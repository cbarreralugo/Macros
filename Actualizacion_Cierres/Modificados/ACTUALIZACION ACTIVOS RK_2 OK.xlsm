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F377336A-1CFB-46E9-9CCB-0044FA4CB6F8}" xr6:coauthVersionLast="47" xr6:coauthVersionMax="47" xr10:uidLastSave="{00000000-0000-0000-0000-000000000000}"/>
  <bookViews>
    <workbookView xWindow="-120" yWindow="-120" windowWidth="29040" windowHeight="15720" tabRatio="803" firstSheet="1" activeTab="2" xr2:uid="{00000000-000D-0000-FFFF-FFFF00000000}"/>
  </bookViews>
  <sheets>
    <sheet name="FONT" sheetId="1" r:id="rId1"/>
    <sheet name="PENDIENTES" sheetId="3" r:id="rId2"/>
    <sheet name="CONTRATOS RK" sheetId="2" r:id="rId3"/>
    <sheet name="VALUACIÓN" sheetId="4" r:id="rId4"/>
    <sheet name="CatalogoContratos" sheetId="12" r:id="rId5"/>
    <sheet name="ListaContratos" sheetId="10" r:id="rId6"/>
    <sheet name="Contratos" sheetId="11" r:id="rId7"/>
    <sheet name="CatalogoConfiguracion" sheetId="8" r:id="rId8"/>
    <sheet name="Especial" sheetId="5" r:id="rId9"/>
    <sheet name="Retiro" sheetId="6" r:id="rId10"/>
    <sheet name="Comercial" sheetId="7" r:id="rId11"/>
  </sheets>
  <definedNames>
    <definedName name="_xlnm._FilterDatabase" localSheetId="7" hidden="1">CatalogoContratos!$B$1:$E$157</definedName>
    <definedName name="_xlnm._FilterDatabase" localSheetId="4" hidden="1">CatalogoContratos!$A$1:$E$162</definedName>
    <definedName name="_xlnm._FilterDatabase" localSheetId="10" hidden="1">Comercial!$A$1:$F$45</definedName>
    <definedName name="_xlnm._FilterDatabase" localSheetId="6" hidden="1">Contratos!$A$1:$H$167</definedName>
    <definedName name="_xlnm._FilterDatabase" localSheetId="8" hidden="1">Especial!$A$1:$F$51</definedName>
    <definedName name="_xlnm._FilterDatabase" localSheetId="0" hidden="1">FONT!$A$5:$S$2937</definedName>
    <definedName name="_xlnm._FilterDatabase" localSheetId="9" hidden="1">Retiro!$A$1:$F$5</definedName>
    <definedName name="_xlnm._FilterDatabase" localSheetId="3" hidden="1">VALUACIÓN!$Q$3:$V$66</definedName>
  </definedNames>
  <calcPr calcId="191029" iterateCount="1"/>
  <pivotCaches>
    <pivotCache cacheId="12" r:id="rId12"/>
    <pivotCache cacheId="17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2" l="1"/>
  <c r="K10" i="2"/>
  <c r="O9" i="2"/>
  <c r="K9" i="2"/>
  <c r="O8" i="2"/>
  <c r="K8" i="2"/>
  <c r="O7" i="2"/>
  <c r="K7" i="2"/>
  <c r="W48" i="2"/>
  <c r="W4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S25" i="2"/>
  <c r="S26" i="2"/>
  <c r="S27" i="2"/>
  <c r="S28" i="2"/>
  <c r="G39" i="2"/>
  <c r="G54" i="2"/>
  <c r="G16" i="2"/>
  <c r="G17" i="2"/>
  <c r="G18" i="2"/>
  <c r="G19" i="2"/>
  <c r="G20" i="2"/>
  <c r="G83" i="2"/>
  <c r="G82" i="2" l="1"/>
  <c r="G81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15" i="2"/>
  <c r="G14" i="2"/>
  <c r="G13" i="2"/>
  <c r="G12" i="2"/>
  <c r="G11" i="2"/>
  <c r="G10" i="2"/>
  <c r="G9" i="2"/>
  <c r="G8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G7" i="2" l="1"/>
  <c r="C7" i="2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</calcChain>
</file>

<file path=xl/sharedStrings.xml><?xml version="1.0" encoding="utf-8"?>
<sst xmlns="http://schemas.openxmlformats.org/spreadsheetml/2006/main" count="15386" uniqueCount="883">
  <si>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</si>
  <si>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</si>
  <si>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</si>
  <si>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</si>
  <si>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</si>
  <si>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</si>
  <si>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</si>
  <si>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</si>
  <si>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</si>
  <si>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</si>
  <si>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</si>
  <si>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</si>
  <si>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</si>
  <si>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</si>
  <si>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</si>
  <si>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</si>
  <si>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</si>
  <si>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</si>
  <si>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</si>
  <si>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</si>
  <si>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</si>
  <si>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</si>
  <si>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</si>
  <si>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</si>
  <si>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</si>
  <si>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</si>
  <si>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</si>
  <si>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</si>
  <si>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</si>
  <si>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</si>
  <si>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</si>
  <si>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</si>
  <si>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</si>
  <si>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</si>
  <si>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</si>
  <si>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</si>
  <si>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</si>
  <si>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</si>
  <si>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</si>
  <si>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</si>
  <si>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</si>
  <si>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</si>
  <si>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</si>
  <si>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</si>
  <si>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</si>
  <si>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</si>
  <si>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</si>
  <si>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</si>
  <si>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</si>
  <si>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</si>
  <si>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</si>
  <si>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</si>
  <si>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</si>
  <si>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</si>
  <si>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</si>
  <si>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</si>
  <si>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</si>
  <si>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</si>
  <si>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</si>
  <si>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</si>
  <si>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</si>
  <si>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</si>
  <si>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</si>
  <si>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</si>
  <si>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</si>
  <si>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</si>
  <si>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</si>
  <si>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</si>
  <si>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</si>
  <si>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</si>
  <si>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</si>
  <si>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</si>
  <si>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</si>
  <si>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</si>
  <si>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</si>
  <si>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</si>
  <si>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</si>
  <si>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</si>
  <si>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</si>
  <si>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</si>
  <si>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</si>
  <si>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</si>
  <si>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</si>
  <si>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</si>
  <si>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</si>
  <si>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</si>
  <si>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</si>
  <si>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</si>
  <si>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</si>
  <si>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</si>
  <si>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</si>
  <si>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</si>
  <si>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</si>
  <si>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</si>
  <si>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</si>
  <si>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</si>
  <si>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</si>
  <si>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</si>
  <si>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</si>
  <si>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</si>
  <si>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</si>
  <si>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</si>
  <si>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</si>
  <si>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</si>
  <si>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</si>
  <si>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</si>
  <si>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</si>
  <si>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</si>
  <si>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</si>
  <si>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</si>
  <si>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</si>
  <si>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</si>
  <si>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</si>
  <si>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</si>
  <si>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</si>
  <si>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</si>
  <si>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</si>
  <si>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</si>
  <si>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</si>
  <si>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</si>
  <si>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</si>
  <si>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</si>
  <si>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</si>
  <si>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</si>
  <si>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</si>
  <si>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</si>
  <si>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</si>
  <si>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</si>
  <si>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</si>
  <si>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</si>
  <si>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</si>
  <si>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</si>
  <si>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</si>
  <si>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</si>
  <si>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</si>
  <si>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</si>
  <si>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</si>
  <si>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</si>
  <si>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</si>
  <si>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</si>
  <si>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</si>
  <si>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</si>
  <si>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</si>
  <si>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</si>
  <si>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</si>
  <si>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</si>
  <si>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</si>
  <si>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</si>
  <si>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</si>
  <si>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</si>
  <si>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</si>
  <si>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</si>
  <si>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</si>
  <si>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</si>
  <si>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</si>
  <si>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</si>
  <si>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</si>
  <si>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</si>
  <si>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</si>
  <si>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</si>
  <si>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</si>
  <si>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</si>
  <si>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</si>
  <si>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</si>
  <si>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</si>
  <si>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</si>
  <si>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</si>
  <si>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</si>
  <si>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</si>
  <si>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</si>
  <si>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</si>
  <si>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</si>
  <si>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</si>
  <si>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</si>
  <si>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</si>
  <si>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</si>
  <si>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</si>
  <si>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</si>
  <si>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</si>
  <si>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</si>
  <si>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</si>
  <si>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</si>
  <si>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</si>
  <si>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</si>
  <si>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</si>
  <si>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</si>
  <si>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</si>
  <si>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</si>
  <si>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</si>
  <si>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</si>
  <si>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</si>
  <si>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</si>
  <si>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</si>
  <si>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</si>
  <si>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</si>
  <si>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</si>
  <si>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</si>
  <si>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</si>
  <si>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</si>
  <si>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</si>
  <si>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</si>
  <si>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</si>
  <si>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</si>
  <si>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</si>
  <si>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</si>
  <si>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</si>
  <si>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</si>
  <si>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</si>
  <si>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</si>
  <si>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</si>
  <si>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</si>
  <si>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</si>
  <si>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</si>
  <si>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</si>
  <si>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</si>
  <si>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</si>
  <si>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</si>
  <si>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</si>
  <si>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</si>
  <si>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</si>
  <si>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</si>
  <si>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</si>
  <si>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</si>
  <si>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</si>
  <si>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</si>
  <si>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</si>
  <si>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</si>
  <si>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</si>
  <si>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</si>
  <si>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</si>
  <si>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</si>
  <si>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</si>
  <si>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</si>
  <si>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</si>
  <si>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</si>
  <si>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</si>
  <si>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</si>
  <si>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</si>
  <si>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</si>
  <si>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</si>
  <si>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</si>
  <si>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</si>
  <si>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</si>
  <si>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</si>
  <si>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</si>
  <si>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</si>
  <si>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</si>
  <si>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</si>
  <si>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</si>
  <si>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</si>
  <si>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</si>
  <si>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</si>
  <si>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</si>
  <si>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</si>
  <si>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</si>
  <si>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</si>
  <si>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</si>
  <si>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</si>
  <si>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</si>
  <si>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</si>
  <si>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</si>
  <si>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</si>
  <si>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</si>
  <si>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</si>
  <si>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</si>
  <si>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</si>
  <si>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</si>
  <si>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</si>
  <si>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</si>
  <si>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</si>
  <si>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</si>
  <si>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</si>
  <si>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</si>
  <si>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</si>
  <si>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</si>
  <si>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</si>
  <si>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</si>
  <si>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</si>
  <si>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</si>
  <si>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</si>
  <si>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</si>
  <si>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</si>
  <si>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</si>
  <si>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</si>
  <si>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</si>
  <si>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</si>
  <si>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</si>
  <si>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</si>
  <si>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</si>
  <si>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</si>
  <si>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</si>
  <si>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</si>
  <si>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</si>
  <si>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</si>
  <si>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</si>
  <si>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</si>
  <si>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</si>
  <si>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</si>
  <si>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</si>
  <si>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</si>
  <si>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</si>
  <si>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</si>
  <si>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</si>
  <si>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</si>
  <si>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</si>
  <si>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</si>
  <si>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</si>
  <si>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</si>
  <si>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</si>
  <si>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</si>
  <si>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</si>
  <si>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</si>
  <si>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</si>
  <si>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</si>
  <si>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</si>
  <si>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</si>
  <si>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</si>
  <si>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</si>
  <si>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</si>
  <si>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</si>
  <si>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</si>
  <si>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</si>
  <si>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</si>
  <si>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</si>
  <si>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</si>
  <si>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</si>
  <si>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</si>
  <si>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</si>
  <si>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</si>
  <si>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</si>
  <si>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</si>
  <si>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</si>
  <si>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</si>
  <si>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</si>
  <si>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</si>
  <si>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</si>
  <si>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</si>
  <si>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</si>
  <si>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</si>
  <si>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</si>
  <si>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</si>
  <si>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</si>
  <si>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</si>
  <si>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</si>
  <si>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</si>
  <si>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</si>
  <si>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</si>
  <si>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</si>
  <si>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</si>
  <si>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</si>
  <si>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</si>
  <si>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</si>
  <si>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</si>
  <si>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</si>
  <si>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</si>
  <si>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</si>
  <si>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</si>
  <si>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 xml:space="preserve">AC *                </t>
  </si>
  <si>
    <t xml:space="preserve">ACWI *              </t>
  </si>
  <si>
    <t xml:space="preserve">ALSEA *             </t>
  </si>
  <si>
    <t xml:space="preserve">AMX B               </t>
  </si>
  <si>
    <t xml:space="preserve">BIMBO A             </t>
  </si>
  <si>
    <t xml:space="preserve">CEMEX CPO           </t>
  </si>
  <si>
    <t xml:space="preserve">CETES 241003        </t>
  </si>
  <si>
    <t xml:space="preserve">CETES 250123        </t>
  </si>
  <si>
    <t xml:space="preserve">EEM *               </t>
  </si>
  <si>
    <t>EFECTIVO</t>
  </si>
  <si>
    <t xml:space="preserve">EPP *               </t>
  </si>
  <si>
    <t xml:space="preserve">EWJ *               </t>
  </si>
  <si>
    <t xml:space="preserve">FEMSA UBD           </t>
  </si>
  <si>
    <t xml:space="preserve">GAP B               </t>
  </si>
  <si>
    <t xml:space="preserve">GCC *               </t>
  </si>
  <si>
    <t xml:space="preserve">GENTERA *           </t>
  </si>
  <si>
    <t xml:space="preserve">GFNORTE O           </t>
  </si>
  <si>
    <t xml:space="preserve">GMEXICO B           </t>
  </si>
  <si>
    <t xml:space="preserve">GOBFED 240905       </t>
  </si>
  <si>
    <t xml:space="preserve">GOBFED 241205       </t>
  </si>
  <si>
    <t xml:space="preserve">GOBFED 250306       </t>
  </si>
  <si>
    <t xml:space="preserve">GOBFED 260305       </t>
  </si>
  <si>
    <t xml:space="preserve">GOBFED 270304       </t>
  </si>
  <si>
    <t xml:space="preserve">GOBFED 270603       </t>
  </si>
  <si>
    <t xml:space="preserve">GOBFED 290531       </t>
  </si>
  <si>
    <t xml:space="preserve">GOBFED 310529       </t>
  </si>
  <si>
    <t xml:space="preserve">GOBFED 330526       </t>
  </si>
  <si>
    <t xml:space="preserve">GOBFED 421113       </t>
  </si>
  <si>
    <t xml:space="preserve">GOBFED 471107       </t>
  </si>
  <si>
    <t xml:space="preserve">GOBFED 530731       </t>
  </si>
  <si>
    <t xml:space="preserve">GRUMA B             </t>
  </si>
  <si>
    <t xml:space="preserve">IVV *               </t>
  </si>
  <si>
    <t xml:space="preserve">STERGOB ED          </t>
  </si>
  <si>
    <t xml:space="preserve">UDIBONO 231116      </t>
  </si>
  <si>
    <t xml:space="preserve">UDIBONO 251204      </t>
  </si>
  <si>
    <t xml:space="preserve">UDIBONO 261203      </t>
  </si>
  <si>
    <t xml:space="preserve">UDIBONO 281130      </t>
  </si>
  <si>
    <t xml:space="preserve">UDIBONO 311127      </t>
  </si>
  <si>
    <t xml:space="preserve">UDIBONO 351122      </t>
  </si>
  <si>
    <t xml:space="preserve">UDIBONO 401115      </t>
  </si>
  <si>
    <t xml:space="preserve">UDIBONO 431112      </t>
  </si>
  <si>
    <t xml:space="preserve">UDIBONO 461108      </t>
  </si>
  <si>
    <t xml:space="preserve">UDIBONO 501103      </t>
  </si>
  <si>
    <t xml:space="preserve">VESTA *             </t>
  </si>
  <si>
    <t xml:space="preserve">VGK *               </t>
  </si>
  <si>
    <t xml:space="preserve">VOO *               </t>
  </si>
  <si>
    <t xml:space="preserve">WALMEX *            </t>
  </si>
  <si>
    <t xml:space="preserve">SVIVE20 ED          </t>
  </si>
  <si>
    <t xml:space="preserve">SVIVE35 ED          </t>
  </si>
  <si>
    <t xml:space="preserve">SVIVE50 ED          </t>
  </si>
  <si>
    <t xml:space="preserve">SVIVE60 ED          </t>
  </si>
  <si>
    <t xml:space="preserve">GOBFED 381118       </t>
  </si>
  <si>
    <t xml:space="preserve">CETES 241128        </t>
  </si>
  <si>
    <t xml:space="preserve">CETES 250320        </t>
  </si>
  <si>
    <t xml:space="preserve">STERGOB B2          </t>
  </si>
  <si>
    <t xml:space="preserve">STERGOB B0          </t>
  </si>
  <si>
    <t xml:space="preserve">SVIVE20 S           </t>
  </si>
  <si>
    <t xml:space="preserve">SVIVE35 S           </t>
  </si>
  <si>
    <t xml:space="preserve">SVIVE50 S           </t>
  </si>
  <si>
    <t xml:space="preserve">SVIVE60 S           </t>
  </si>
  <si>
    <t xml:space="preserve">STRGOB2 ED          </t>
  </si>
  <si>
    <t xml:space="preserve">GOBFED 361120       </t>
  </si>
  <si>
    <t xml:space="preserve">IENOVA *            </t>
  </si>
  <si>
    <t xml:space="preserve">SVIVE50 C3          </t>
  </si>
  <si>
    <t xml:space="preserve">STRGOB2 B4          </t>
  </si>
  <si>
    <t xml:space="preserve">CETELEM 22          </t>
  </si>
  <si>
    <t xml:space="preserve">CETELEM 22-4        </t>
  </si>
  <si>
    <t xml:space="preserve">CFE 14-2            </t>
  </si>
  <si>
    <t xml:space="preserve">GAP 22L             </t>
  </si>
  <si>
    <t xml:space="preserve">GOBFED 231207       </t>
  </si>
  <si>
    <t xml:space="preserve">GOBFED 341123       </t>
  </si>
  <si>
    <t xml:space="preserve">LIVEPOL 19          </t>
  </si>
  <si>
    <t xml:space="preserve">PEMEX 13-2          </t>
  </si>
  <si>
    <t xml:space="preserve">ST&amp;ER-C ED          </t>
  </si>
  <si>
    <t xml:space="preserve">STERGOB B1          </t>
  </si>
  <si>
    <t xml:space="preserve">SANMEX B            </t>
  </si>
  <si>
    <t xml:space="preserve">BBVAMX 22X          </t>
  </si>
  <si>
    <t xml:space="preserve">BPA182 270121       </t>
  </si>
  <si>
    <t xml:space="preserve">CETELEM 21-4        </t>
  </si>
  <si>
    <t xml:space="preserve">FNCOT 22S           </t>
  </si>
  <si>
    <t xml:space="preserve">PEMEX 19            </t>
  </si>
  <si>
    <t xml:space="preserve">VWLEASE 22-2        </t>
  </si>
  <si>
    <t xml:space="preserve">CETES 151015        </t>
  </si>
  <si>
    <t xml:space="preserve">CETES 160414        </t>
  </si>
  <si>
    <t xml:space="preserve">CETES 160428        </t>
  </si>
  <si>
    <t xml:space="preserve">GOBFED 170615       </t>
  </si>
  <si>
    <t xml:space="preserve">GOBFED 180614       </t>
  </si>
  <si>
    <t xml:space="preserve">GOBFED 191211       </t>
  </si>
  <si>
    <t xml:space="preserve">GOBFED 200611       </t>
  </si>
  <si>
    <t xml:space="preserve">GOBFED 210610       </t>
  </si>
  <si>
    <t xml:space="preserve">GOBFED 220609       </t>
  </si>
  <si>
    <t xml:space="preserve">UDIBONO 160616      </t>
  </si>
  <si>
    <t xml:space="preserve">UDIBONO 171214      </t>
  </si>
  <si>
    <t xml:space="preserve">UDIBONO 190613      </t>
  </si>
  <si>
    <t xml:space="preserve">UDIBONO 201210      </t>
  </si>
  <si>
    <t xml:space="preserve">UDIBONO 220609      </t>
  </si>
  <si>
    <t xml:space="preserve">BONDESD 251211      </t>
  </si>
  <si>
    <t xml:space="preserve">CFE 21U             </t>
  </si>
  <si>
    <t xml:space="preserve">CHIACB 07           </t>
  </si>
  <si>
    <t xml:space="preserve">FOVISCB 17U         </t>
  </si>
  <si>
    <t xml:space="preserve">LALA 19-2           </t>
  </si>
  <si>
    <t xml:space="preserve">TFOVICB 16U         </t>
  </si>
  <si>
    <t xml:space="preserve">STER-OP ED          </t>
  </si>
  <si>
    <t xml:space="preserve">FERROMX 14          </t>
  </si>
  <si>
    <t xml:space="preserve">GICSA 17            </t>
  </si>
  <si>
    <t xml:space="preserve">MOLYMET 21-2        </t>
  </si>
  <si>
    <t xml:space="preserve">NM 15               </t>
  </si>
  <si>
    <t xml:space="preserve">PEMEX 14U           </t>
  </si>
  <si>
    <t xml:space="preserve">USA-EQ ED           </t>
  </si>
  <si>
    <t xml:space="preserve">TFOVICB 15U         </t>
  </si>
  <si>
    <t xml:space="preserve">STER-OP MD          </t>
  </si>
  <si>
    <t xml:space="preserve">BPA182 130919       </t>
  </si>
  <si>
    <t xml:space="preserve">BPA182 140327       </t>
  </si>
  <si>
    <t xml:space="preserve">CETES 131017        </t>
  </si>
  <si>
    <t xml:space="preserve">CETES 230601        </t>
  </si>
  <si>
    <t xml:space="preserve">STER-OP E2          </t>
  </si>
  <si>
    <t xml:space="preserve">STERGOB B3          </t>
  </si>
  <si>
    <t xml:space="preserve">CASITA *            </t>
  </si>
  <si>
    <t xml:space="preserve">STRGOB2 B2          </t>
  </si>
  <si>
    <t xml:space="preserve">CETES 160107        </t>
  </si>
  <si>
    <t xml:space="preserve">SVIVE35 C2          </t>
  </si>
  <si>
    <t xml:space="preserve">SVIVE35 C3          </t>
  </si>
  <si>
    <t xml:space="preserve">STERGOB B5          </t>
  </si>
  <si>
    <t xml:space="preserve">STERGOB B4          </t>
  </si>
  <si>
    <t xml:space="preserve">SVIVE60 C1          </t>
  </si>
  <si>
    <t xml:space="preserve">SVIVE60 C3          </t>
  </si>
  <si>
    <t xml:space="preserve">ACBE 17             </t>
  </si>
  <si>
    <t xml:space="preserve">ALSEA 17-2          </t>
  </si>
  <si>
    <t xml:space="preserve">BINBUR 14-7         </t>
  </si>
  <si>
    <t xml:space="preserve">CFE 17              </t>
  </si>
  <si>
    <t xml:space="preserve">DANHOS 17           </t>
  </si>
  <si>
    <t xml:space="preserve">FUNO 17             </t>
  </si>
  <si>
    <t xml:space="preserve">GMXT 17             </t>
  </si>
  <si>
    <t xml:space="preserve">HSBC 17-2           </t>
  </si>
  <si>
    <t xml:space="preserve">LALA 18             </t>
  </si>
  <si>
    <t xml:space="preserve">TELMEX 07           </t>
  </si>
  <si>
    <t xml:space="preserve">METROCB 07          </t>
  </si>
  <si>
    <t xml:space="preserve">SVIVE20 C2          </t>
  </si>
  <si>
    <t xml:space="preserve">SVIVE50 C2          </t>
  </si>
  <si>
    <t xml:space="preserve">SVIVE60 C2          </t>
  </si>
  <si>
    <t xml:space="preserve">BANOA64 999999      </t>
  </si>
  <si>
    <t xml:space="preserve">POSAS95 271230      </t>
  </si>
  <si>
    <t xml:space="preserve">GOBFED 260903       </t>
  </si>
  <si>
    <t xml:space="preserve">TRAXION A           </t>
  </si>
  <si>
    <t xml:space="preserve">SPSM *              </t>
  </si>
  <si>
    <t xml:space="preserve">AMX 0131X           </t>
  </si>
  <si>
    <t xml:space="preserve">HERDEZ *            </t>
  </si>
  <si>
    <t xml:space="preserve">SAM-RVG E           </t>
  </si>
  <si>
    <t xml:space="preserve">STER-OP E3          </t>
  </si>
  <si>
    <t xml:space="preserve">ALFA A              </t>
  </si>
  <si>
    <t xml:space="preserve">GOBFED 290301       </t>
  </si>
  <si>
    <t xml:space="preserve">EDUCA 23L           </t>
  </si>
  <si>
    <t xml:space="preserve">BONDESF 240815      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</si>
  <si>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</si>
  <si>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</si>
  <si>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</si>
  <si>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</si>
  <si>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</si>
  <si>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</si>
  <si>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</si>
  <si>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</si>
  <si>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</si>
  <si>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</si>
  <si>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</si>
  <si>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</si>
  <si>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</si>
  <si>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</si>
  <si>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</si>
  <si>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</si>
  <si>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</si>
  <si>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</si>
  <si>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</si>
  <si>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</si>
  <si>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</si>
  <si>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</si>
  <si>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</si>
  <si>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</si>
  <si>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</si>
  <si>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</si>
  <si>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</si>
  <si>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</si>
  <si>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</si>
  <si>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 xml:space="preserve">KOF UBL             </t>
  </si>
  <si>
    <t xml:space="preserve">LACOMER UBC         </t>
  </si>
  <si>
    <t xml:space="preserve">R A                 </t>
  </si>
  <si>
    <t xml:space="preserve">BONDESF 241107      </t>
  </si>
  <si>
    <t xml:space="preserve">CETES 251030        </t>
  </si>
  <si>
    <t xml:space="preserve">NEMAK A             </t>
  </si>
  <si>
    <t xml:space="preserve">RSP *               </t>
  </si>
  <si>
    <t xml:space="preserve">BPA182 301010       </t>
  </si>
  <si>
    <t>BSH</t>
  </si>
  <si>
    <t>BSH Home Appliances, S.A de C.V. (Fondo de Ahorro</t>
  </si>
  <si>
    <t>Alpamayo</t>
  </si>
  <si>
    <t>Inmobiliaria Alpamayo, S.A. de C.V</t>
  </si>
  <si>
    <t xml:space="preserve">ASUR B              </t>
  </si>
  <si>
    <t xml:space="preserve">BLADEX 24           </t>
  </si>
  <si>
    <t xml:space="preserve">LIVEPOL C-1         </t>
  </si>
  <si>
    <t xml:space="preserve">CETES 251224        </t>
  </si>
  <si>
    <t xml:space="preserve">BPAG91 270107       </t>
  </si>
  <si>
    <t xml:space="preserve">CETES 250206        </t>
  </si>
  <si>
    <t xml:space="preserve">STERGOB C2          </t>
  </si>
  <si>
    <t xml:space="preserve">AMX 10-2            </t>
  </si>
  <si>
    <t xml:space="preserve">CBIC003 210128      </t>
  </si>
  <si>
    <t xml:space="preserve">CBIC007 221208      </t>
  </si>
  <si>
    <t xml:space="preserve">CBIC008 231207      </t>
  </si>
  <si>
    <t xml:space="preserve">CETES 140821        </t>
  </si>
  <si>
    <t xml:space="preserve">CETES 141211        </t>
  </si>
  <si>
    <t xml:space="preserve">GOBFED 181213       </t>
  </si>
  <si>
    <t xml:space="preserve">UDIBONO 141218      </t>
  </si>
  <si>
    <t xml:space="preserve">STERGOB M2          </t>
  </si>
  <si>
    <t xml:space="preserve">SVIVE20 C3          </t>
  </si>
  <si>
    <t xml:space="preserve">ST&amp;ER-7 ED          </t>
  </si>
  <si>
    <t xml:space="preserve">STEREAL ED          </t>
  </si>
  <si>
    <t xml:space="preserve">CETES 240822        </t>
  </si>
  <si>
    <t xml:space="preserve">BBPEN 21            </t>
  </si>
  <si>
    <t xml:space="preserve">BONDESF 250227      </t>
  </si>
  <si>
    <t xml:space="preserve">BONDESF 250424      </t>
  </si>
  <si>
    <t xml:space="preserve">BONDESF 250619      </t>
  </si>
  <si>
    <t xml:space="preserve">CETELEM 21-3        </t>
  </si>
  <si>
    <t xml:space="preserve">FIBRAMQ 12          </t>
  </si>
  <si>
    <t xml:space="preserve">FIBRAPL 14          </t>
  </si>
  <si>
    <t xml:space="preserve">JAVER *             </t>
  </si>
  <si>
    <t xml:space="preserve">KIMBER 22           </t>
  </si>
  <si>
    <t xml:space="preserve">KIMBER A            </t>
  </si>
  <si>
    <t xml:space="preserve">KOF 21-2L           </t>
  </si>
  <si>
    <t xml:space="preserve">TERRA 13            </t>
  </si>
  <si>
    <t xml:space="preserve">GFINBUR O           </t>
  </si>
  <si>
    <t xml:space="preserve">CETES 211118        </t>
  </si>
  <si>
    <t xml:space="preserve">CFE 21-5            </t>
  </si>
  <si>
    <t xml:space="preserve">TFOVICB 20U         </t>
  </si>
  <si>
    <t xml:space="preserve">ELEKTRA *           </t>
  </si>
  <si>
    <t xml:space="preserve">FINAMEX O           </t>
  </si>
  <si>
    <t xml:space="preserve">GFREGIO O           </t>
  </si>
  <si>
    <t xml:space="preserve">OHLMEX *            </t>
  </si>
  <si>
    <t xml:space="preserve">ABACOGF A           </t>
  </si>
  <si>
    <t xml:space="preserve">CABLE CPO           </t>
  </si>
  <si>
    <t xml:space="preserve">FEMSA UB            </t>
  </si>
  <si>
    <t xml:space="preserve">VIDEO *             </t>
  </si>
  <si>
    <t xml:space="preserve">COVARRA *           </t>
  </si>
  <si>
    <t xml:space="preserve">STRGOB2 B0          </t>
  </si>
  <si>
    <t xml:space="preserve">CREYCB 07-2         </t>
  </si>
  <si>
    <t xml:space="preserve">FOVISCB 19-2U       </t>
  </si>
  <si>
    <t xml:space="preserve">DANHOS 13           </t>
  </si>
  <si>
    <t xml:space="preserve">EDUCA 18            </t>
  </si>
  <si>
    <t xml:space="preserve">FEZ *               </t>
  </si>
  <si>
    <t xml:space="preserve">FHIPOCB 17U         </t>
  </si>
  <si>
    <t xml:space="preserve">FORION 20           </t>
  </si>
  <si>
    <t xml:space="preserve">FUNO 11             </t>
  </si>
  <si>
    <t xml:space="preserve">FVIA 16             </t>
  </si>
  <si>
    <t xml:space="preserve">HICKOK 90           </t>
  </si>
  <si>
    <t xml:space="preserve">IBANOBRA 13171      </t>
  </si>
  <si>
    <t xml:space="preserve">LASITE B-1          </t>
  </si>
  <si>
    <t xml:space="preserve">RCOCB 09            </t>
  </si>
  <si>
    <t xml:space="preserve">SPY *               </t>
  </si>
  <si>
    <t xml:space="preserve">TFOVICB 15-2U       </t>
  </si>
  <si>
    <t xml:space="preserve">CETES 240530        </t>
  </si>
  <si>
    <t xml:space="preserve">CETES 260219        </t>
  </si>
  <si>
    <t xml:space="preserve">CASA LEY SAPI SA DE CV (FONDO DE AHORRO) </t>
  </si>
  <si>
    <t xml:space="preserve">CETES 250306        </t>
  </si>
  <si>
    <t xml:space="preserve">FEFA 24             </t>
  </si>
  <si>
    <t xml:space="preserve">ALPEK A             </t>
  </si>
  <si>
    <t xml:space="preserve">UDIBONO 340824      </t>
  </si>
  <si>
    <t>CASA LEY SAPI FA</t>
  </si>
  <si>
    <t>QUE1</t>
  </si>
  <si>
    <t>Bosch Rexroth, S.A. de C.V. (Fondo de Ahorro QUE1)</t>
  </si>
  <si>
    <t>PEGASO PCS SA DE CV</t>
  </si>
  <si>
    <t>NORMAL</t>
  </si>
  <si>
    <t>MXN</t>
  </si>
  <si>
    <t>EPER</t>
  </si>
  <si>
    <t>CONTROLADORA MABE SA DE CV</t>
  </si>
  <si>
    <t xml:space="preserve">AMX 0129            </t>
  </si>
  <si>
    <t xml:space="preserve">MEGA 24X            </t>
  </si>
  <si>
    <t>BANCO SANTANDER MEXICO SA FIDEICOMISO F  24606130</t>
  </si>
  <si>
    <t>FUNDACION TELEFONICA MEXICO AC</t>
  </si>
  <si>
    <t>CFENERGIA SA DE CV</t>
  </si>
  <si>
    <t>ROBERT BOSCH MEXICO SISTEMAS AUTOMOTRICES, S.A. DE C.V. (FONDO DE AHOR</t>
  </si>
  <si>
    <t>ROBERT BOSCH MEXICO SISTEMAS DE SEGURIDAD, S.A. DE C.V. (FONDO DE AHOR</t>
  </si>
  <si>
    <t>ROBERT BOSCH MEXICO, S.A. DE C.V. (FONDO DE AHORRO 25D0)</t>
  </si>
  <si>
    <t>ROBERT BOSCH MEXICO, S.A. DE C.V. (FONDO DE AHORRO 25D1)</t>
  </si>
  <si>
    <t>ROBERT BOSCH TOOL DE MÉXICO, S.A DE C.V. (FONDO DE AHORRO 41D0)</t>
  </si>
  <si>
    <t>ROBERT BOSCH MÉXICO SISTEMAS DE FRENOS, S. DE R.L. DE C.V. (FONDO DE A</t>
  </si>
  <si>
    <t>ROBERT BOSCH SISTEMAS AUTOMOTRICES S.A DE C.V</t>
  </si>
  <si>
    <t>ROBERT BOSCH SISTEMAS AUTOMOTRICES S.A. DE C.V.</t>
  </si>
  <si>
    <t>FRENADOS MEXICANOS, S.A. DE C.V. (FONDO DE AHORRO 86F0)</t>
  </si>
  <si>
    <t>ROBERT BOSCH S DE RL DE CV (FONDO DE AHORRO 904W)</t>
  </si>
  <si>
    <t>BOSCH REXROTH S.A. DE C.V. (FONDO DE AHORRO MX10)</t>
  </si>
  <si>
    <t>BSH HOME APPLIANCES  S.A DE C.V (FONDO DE AHORRO)</t>
  </si>
  <si>
    <t>UNIVERSIDAD AUTONOMA DE BAJA C ALIFORNIA</t>
  </si>
  <si>
    <t>BANCO SANTANDER MEXICO FID F/2003141-0</t>
  </si>
  <si>
    <t>BCO.SANTANDER MEXICO S.A FID.2001672-1</t>
  </si>
  <si>
    <t>BANCO MERCANTIL DE NORTE SA X CTA DEL FID/30203-7 DEUDA</t>
  </si>
  <si>
    <t>BANCO SANTANDER MEXICO FIDEICOMISO F/2001815 2</t>
  </si>
  <si>
    <t xml:space="preserve">CETES 250403        </t>
  </si>
  <si>
    <t>BANCO SANTANDER MEXICO FIDEICOMISO F/2001815 3</t>
  </si>
  <si>
    <t>BANCO SANTANDER MEXICO FIDEICOMISO F/2001815 4</t>
  </si>
  <si>
    <t>BANCO SANTANDER MEXICO FIDEICOMISO F/2001213 4</t>
  </si>
  <si>
    <t>BCO SANT MEX, SA CTA CONC PLANES PERS DE RET DEDUC CONSERVADOR</t>
  </si>
  <si>
    <t>GESTION SANTANDER SA DE CV SO DE SICH CAJA AHORRO EMPLEADOS</t>
  </si>
  <si>
    <t>GESTION SANTANDER SA DE CV SOP SIPP</t>
  </si>
  <si>
    <t>BANCO SANTANDER MEXICO SA FIDEICOMISO 20018231</t>
  </si>
  <si>
    <t>BANCO SANTANDER MEXICO SA FID 2000352-1</t>
  </si>
  <si>
    <t>BANCO SANTANDER MEXICO SA FIDEICOMISO F/2110597-1</t>
  </si>
  <si>
    <t>NAFINSA COMO FID.DEL FISO ART.16 LEY ADUANERA (CON MANDATO)</t>
  </si>
  <si>
    <t>BANCO SANTANDER MEXICO SA FIDEICOMISO  F/35740-0</t>
  </si>
  <si>
    <t>BANCO SANTANDER MEXICO SA FIDEICOMISO  F/2002506-1</t>
  </si>
  <si>
    <t>BANCO SANTANDER MEXICO SA FIDEICOMISO  F/2002507-1</t>
  </si>
  <si>
    <t>INVESTIGACIONES Y ESTUDIOS SUPERIORES SC (FONDO DE AHORRO)</t>
  </si>
  <si>
    <t>BANCO NACIONAL DE MÉXICO, S.A. X CTA. DEL FID. 5073632</t>
  </si>
  <si>
    <t>BANCO SANTANDER MEXICO S. A. FIDEICOMISO F/2002670-5</t>
  </si>
  <si>
    <t>BANCO SANTANDER MEXICO S. A. FIDEICOMISO F/2002670-6</t>
  </si>
  <si>
    <t>BANCO SANTANDER MEXICO S. A. FIDEICOMISO F/2002670-2</t>
  </si>
  <si>
    <t>CAJA DE PREVISION Y AHORROS DEL S N T S S</t>
  </si>
  <si>
    <t>NACIONAL FINANCIERA SNC COMO FIDUCIARIA DEL FID 80722 PENSIONES PMI</t>
  </si>
  <si>
    <t>BANCO SANTANDER MEXICO SA FIDEICOMISO F/2003285-1</t>
  </si>
  <si>
    <t>ALMACENADORA SUR SA DE CV ORG. AUX. DEL CDTO.(RESERVA DE CONTINGENCIA)</t>
  </si>
  <si>
    <t>PRAXAIR MEXICO S DE RL DE CV</t>
  </si>
  <si>
    <t>BREMBO MEXICO SA DE CV FONDO DE AHORRO</t>
  </si>
  <si>
    <t>OPERADORA TURISTICA HOTELERA SA DE CV (FONDO DE AHORRO</t>
  </si>
  <si>
    <t>SEGUROS EL POTOSI,S.A.FDO.PENS.APOR.EMPL</t>
  </si>
  <si>
    <t>SEGUROS EL POTOSI,S.A.FDO.DE PENSIONES CONTRIBUCION DEFINIDA</t>
  </si>
  <si>
    <t>SAINT GOBAIN AMERICA SA DE CV</t>
  </si>
  <si>
    <t>SAINT GOBAIN MEXICO, S.A. DE C.V.</t>
  </si>
  <si>
    <t>SAINT-GOBAIN GYPSUM OPERADORA SA DE CV</t>
  </si>
  <si>
    <t>SAINT GOBAIN ABRASIVOS SA DE CV (FDO DE AHORRO EMPLEADOS)</t>
  </si>
  <si>
    <t>SAINT GOBAIN ABRASIVOS SA DE CV (FDO AHORRO SINDICAL)</t>
  </si>
  <si>
    <t>AHORRO EMPLEADOS)                                 SAINT GOBAIN SOPORTE</t>
  </si>
  <si>
    <t>SAINT GOBAIN AMERICA, S.A. DE C.V.</t>
  </si>
  <si>
    <t>SKANDIA LIFE, S.A. DE C.V POR CUENTA DEL FID 331-06 DEUDA</t>
  </si>
  <si>
    <t>SKANDIA LIFE, S.A. DE C.V. POR CUENTA DEL FID 331-06 RV</t>
  </si>
  <si>
    <t>BRINKS SERVICIOS ADMINISTRATIVOS SA DE CV (PLAN PENSIONES)</t>
  </si>
  <si>
    <t>SANTANDER SERVICIOS CORPORATIVOS SA DE CV (PLAN DE PENSIONES)</t>
  </si>
  <si>
    <t>SANTANDER SERVICIOS CORPORATIVOS SA DE CV (CAJA DE AHORRO)</t>
  </si>
  <si>
    <t>SANTANDER INCLUSION FINANCIERA SA DE CV SOFOM ER GFSM (PLAN PENSIONES)</t>
  </si>
  <si>
    <t>SANTANDER INCLUSION FINANCIERA SA DE CV SOFOM ER GFSM (CAJA DE AHORRO)</t>
  </si>
  <si>
    <t>ENVASADORAS DE AGUAS EN MEXICO S DE RL DE CV</t>
  </si>
  <si>
    <t>ENVASABON S DE RL DE CV</t>
  </si>
  <si>
    <t>ASOCIACION MEXICANA DE INSTITUCIONES BURSATILES  AC FDO DE AHORRO</t>
  </si>
  <si>
    <t>ARJEA, S.C</t>
  </si>
  <si>
    <t>SCOTIABANK INVERLAT SA FID 11041274</t>
  </si>
  <si>
    <t>BANCO SANTANDER MEXICO SA FIDEICOMISO F/2460173-0</t>
  </si>
  <si>
    <t>SAM ASSET MANAGEMENT SA CV SOFI X CTA Y ORDEN DE TERCEROS</t>
  </si>
  <si>
    <t>AJEMEX CONSULTORES SA DE CV</t>
  </si>
  <si>
    <t>CAJA RADIOPOLIS SC</t>
  </si>
  <si>
    <t>FONDO RADIOPOLIS SC</t>
  </si>
  <si>
    <t>SAINT GOBAIN PLAKA, S.A. DE C.V.</t>
  </si>
  <si>
    <t>DANONE DE MEXICO SA DE CV FONDO DE AHORRO SINDICALIZADO</t>
  </si>
  <si>
    <t>DANONE DE MEXICO SA DE CV FONDO DE AHORRO NO SINDICALIZADO</t>
  </si>
  <si>
    <t>COMPANIA GENERAL DE AGUAS SA DE CV FONDO DE AHORRO</t>
  </si>
  <si>
    <t>ENVASADORAS DE AGUAS EN MEXICO S DE RLDECV FDO DE AHORRO SINDICALIZADO</t>
  </si>
  <si>
    <t>SAINT GOBAIN MEXICO SA DE CV (FDO AHORRO EMPLEADOS)</t>
  </si>
  <si>
    <t>SAINT GOBAIN MEXICO SA DE CV (FDO AHORRO SINDICALIZADOS)</t>
  </si>
  <si>
    <t>ENVASADORA LA SUPREMA SA DE CV FONDO DE AHORRO</t>
  </si>
  <si>
    <t>ENVASADORA LA SUPREMA SA DE CV FONDO DE PENSIONES</t>
  </si>
  <si>
    <t>BONAFONT SA DE CV FONDO DE AHORRO SINDICALIZADO</t>
  </si>
  <si>
    <t>BONAFONT SA DE CV FONDO DE AHORRO NO SINDICALIZADO</t>
  </si>
  <si>
    <t>SIF ICAP SA DE CV FONDO DE AHORRO</t>
  </si>
  <si>
    <t>SIF ICAP SA DE CV PENSIONES Y PRIMA DE ANTIGUEDAD</t>
  </si>
  <si>
    <t>ZURICH ASEGURADORA MEXICANA, S.A. DE C.V</t>
  </si>
  <si>
    <t>AJEMEX SA DE CV</t>
  </si>
  <si>
    <t>COCENTRO SA DE CV</t>
  </si>
  <si>
    <t>SAINT GOBAIN PLAKA SA DE CV</t>
  </si>
  <si>
    <t>AUTOBUSES DE ORIENTE (ADO) S.A. DE C.V.</t>
  </si>
  <si>
    <t>BANCO SANTANDER (MEXICO) FIDEICOMISO F/100246-1</t>
  </si>
  <si>
    <t>BANCO SANTANDER (MEXICO) FIDEICOMISO F/20875-0</t>
  </si>
  <si>
    <t>BANCO SANTANDER (MEXICO) FIDEICOMISO F/11272-0</t>
  </si>
  <si>
    <t>BANCO SANTANDER (MEXICO) FIDEICOMISO F/11280-0</t>
  </si>
  <si>
    <t>BANCO SANTANDER (MEXICO) FIDEICOMISO F/11361-0</t>
  </si>
  <si>
    <t>BANCO SANTANDER (MEXICO) FIDEICOMISO F/20441-0</t>
  </si>
  <si>
    <t>BCO.SANT.MEX.SA CTA.CONCENTRADORA PLANES PERS.DE RET.APOR NO DEDUC.</t>
  </si>
  <si>
    <t>BCO.SANTANDER MEX.SA CTA.CONCENTRADORA PLANES PERS.DE RET.APOR.DEDUC.</t>
  </si>
  <si>
    <t>VALORES EN GARANTIA POR FORWARD</t>
  </si>
  <si>
    <t>BANCO SANTANDER (MEXICO) FIDEICOMISO F/2112221-1</t>
  </si>
  <si>
    <t>BANCO SANTANDER (MEXICO) FIDEICOMISO F/2000363-1</t>
  </si>
  <si>
    <t>BANCO SANTANDER (MEXICO) FIDEICOMISO F/2000363-2</t>
  </si>
  <si>
    <t>BANCO SANTANDER (MEXICO) FIDEICOMISO F/2000363-3</t>
  </si>
  <si>
    <t>BANCO SANTANDER (MEXICO) FIDEICOMISO F/2000363-4</t>
  </si>
  <si>
    <t>BANCO SANTANDER (MEXICO) FIDEICOMISO F/2000362-1</t>
  </si>
  <si>
    <t>BANCO SANTANDER (MEXICO) FIDEICOMISO F/2000362-2</t>
  </si>
  <si>
    <t>BANCO SANTANDER (MEXICO) FIDEICOMISO F/2112323-1</t>
  </si>
  <si>
    <t>INST. DEL FDO.NAC.DE LA VIVIENDA PARA LOS TRABAJADORES,  FDO DE AHORRO</t>
  </si>
  <si>
    <t>BCO.SANTANDER MEX.SA CTA.CONCENTRADORA PLANES PERS.RET.APOR.DEDUC.(RV)</t>
  </si>
  <si>
    <t>AUTOS PULLMAN, S.A. DE C.V.</t>
  </si>
  <si>
    <t>BANCO SANTANDER MEXICO FIDEICOMISO F 211</t>
  </si>
  <si>
    <t>DANONE DE MEXICO SA DE CV</t>
  </si>
  <si>
    <t>BOSE CORPORATION SA DE CV FONDO AHORRO E</t>
  </si>
  <si>
    <t>BANCO SANTANDER MEXICO FIDEICOMISO F/100654 1</t>
  </si>
  <si>
    <t>ENVASADORAS DE AGUAS EN MEXICO S DE R LD</t>
  </si>
  <si>
    <t>BANCO SANTANDER (MEXICO) FIDEICOMISO F/2001277-1</t>
  </si>
  <si>
    <t>BANCO SANTANDER (MEXICO) FIDEICOMISO F/2001422-1</t>
  </si>
  <si>
    <t>BANCO SANTANDER (MEXICO) FIDEICOMISO F/2001447-1</t>
  </si>
  <si>
    <t>BANCO SANTANDER (MEXICO) FIDEICOMISO F/2001512-1</t>
  </si>
  <si>
    <t>BONAFONT SA DE CV</t>
  </si>
  <si>
    <t>UNIVERSIDAD AUTONOMA DEL ESTADO DE MEXIC</t>
  </si>
  <si>
    <t>BBVA BANCOMER SA F/470914 SUBCTA 1 DIRECCION FIDUCIARIA</t>
  </si>
  <si>
    <t>BBVA BANCOMER SA F/470914 SUBCTA 4 DIRECCION FIDUCIARIA</t>
  </si>
  <si>
    <t>CAJA DE AHORRO EJECUTIVOS CM AC</t>
  </si>
  <si>
    <t>BANCO SANTANDER MEXICO SA FIDEICOMISO 20</t>
  </si>
  <si>
    <t>ELECTRO COMPONENTES DE MEXICO SA DE CV F</t>
  </si>
  <si>
    <t>BANCO SANTANDER MEXICO SA FIDEICOMISO 20 02171 1</t>
  </si>
  <si>
    <t>AFORE INVERCAP SA DE CV CV FONDO DE AHOR</t>
  </si>
  <si>
    <t>DEUTSCHE BANK MEXICO SOCIEDAD ANONIMA DI</t>
  </si>
  <si>
    <t>ADMINISTRADORA DE RESERVAS DE LOS TRABAJ</t>
  </si>
  <si>
    <t>NOMISER SA DE CV FONDO DE AHORRO</t>
  </si>
  <si>
    <t>BANCO SANTANDER MEXICO SA FIDEICOMISO F</t>
  </si>
  <si>
    <t>BANCO SANTANDER MEXICO FID F2010190-0</t>
  </si>
  <si>
    <t>BANCO SANTANDER MEXICO SA FIDEICOMISO F2</t>
  </si>
  <si>
    <t>BBVA BANCOMER SA F470914 SUBCTA 2 DIREC</t>
  </si>
  <si>
    <t>ADMINISTRADORA FONDO DE AHORRO PALACE RE</t>
  </si>
  <si>
    <t>BANCO SANTANDER MEXICO FID F2001422-1</t>
  </si>
  <si>
    <t>SINDICATO DE LOS TRAB DEL INST TEC SUP D</t>
  </si>
  <si>
    <t>CASA LEY SAPI DE CV</t>
  </si>
  <si>
    <t>ARCELORMITTAL MEXICO SA DE CV</t>
  </si>
  <si>
    <t>ARCELORMITTAL PORTUARIOS SA DE CV</t>
  </si>
  <si>
    <t>CORPORACION DEL BALSAS SA DE CV</t>
  </si>
  <si>
    <t>ARCELORMITTAL LAS TRUCHAS SA DE CV</t>
  </si>
  <si>
    <t>COMERCIAL CITY FRESKO S DE RL DE CV</t>
  </si>
  <si>
    <t>USD</t>
  </si>
  <si>
    <t>ASEGURADORA ASERTA SA DE CV</t>
  </si>
  <si>
    <t>BANCO SANTANDER MEXICO FIDEICOMISO F/2001815 5</t>
  </si>
  <si>
    <t>BANCO SANTANDER MEXICO FIDEICOMISO F/2001815 6</t>
  </si>
  <si>
    <t>ASEGURADORA INSURGENTES SA DE CV</t>
  </si>
  <si>
    <t>SCOTIABANK INVERLAT, S.A. FID. 11032679  (FDO. DE PENS. PMI)</t>
  </si>
  <si>
    <t>BCO. SANTANDER ( MEXICO ) FIDEICOMISO F/ 2112257-3</t>
  </si>
  <si>
    <t>GESBAN MEXICO SERVICIOS ADMINISTRATIVOS GLOBALES SA CV CAJA DE AHORRO</t>
  </si>
  <si>
    <t>GESBAN MEXICO SERVICIOS ADMINISTRATIVOS GLOBALES SA DE CV FDO PENS CD</t>
  </si>
  <si>
    <t>BANCO SANTANDER MEXICO FIDEICOMISO F/2000712 2</t>
  </si>
  <si>
    <t>BANCO SANTANDER MEXICO FIDEICOMISO F/2000712 3</t>
  </si>
  <si>
    <t>BANCO SANTANDER MEXICO FIDEICOMISO F/2000712 4</t>
  </si>
  <si>
    <t>BANCO SANTANDER MEXICO FIDEICOMISO F/2000713 2</t>
  </si>
  <si>
    <t>BANCO SANTANDER MEXICO FIDEICOMISO F/2000713 3</t>
  </si>
  <si>
    <t>BANCO SANTANDER MEXICO S.A. FIDEICOMISO F/2000713-4</t>
  </si>
  <si>
    <t>BANCO NACIONAL DE MEXICO SA FIDEICOMISO F/140021</t>
  </si>
  <si>
    <t>GESBAN MEXICO SERVICOS ADMINISTRATIVOS GLOBALES, SA DE CV PRIMA DE ANT</t>
  </si>
  <si>
    <t>ORGANIZACION FR MEXICO SA CV FDO. PENS.</t>
  </si>
  <si>
    <t>CASA DE BOLSA, S.A. DE C.V., CAJA DE AHORRO</t>
  </si>
  <si>
    <t>CASA DE BOLSA, S.A. DE C.V., PLAN DE PENSIONES</t>
  </si>
  <si>
    <t>ORGANIZACION FR MEXICO S.A DE C.V. FDO. PENS. CD</t>
  </si>
  <si>
    <t>ORGANIZACION FR MEXICO S.A DE C.V. (N/SIND) FDO. AHORRO</t>
  </si>
  <si>
    <t>BANCO SANTANDER MEXICO S.A. FIDEICOMISO F/2001896-1</t>
  </si>
  <si>
    <t>LAFON LAUNAY COSMETICS SA DE CV</t>
  </si>
  <si>
    <t>BANCO SANTANDER MEXICO FIDEICOMISO F/2002126-1</t>
  </si>
  <si>
    <t>SERVICIO PAN AMERICANO DE PROTECCION, S.A. DE C.V. (FONDO DE AHORRO)</t>
  </si>
  <si>
    <t>SUPERMERCADOS INTERNACIONALES HEB. S.A. DE C.V</t>
  </si>
  <si>
    <t>SERVICIO PAN AMERICANO DE PROTECCION SA DE CV (FDO. DE PENSIONES B.D.)</t>
  </si>
  <si>
    <t>SERVICIO PAN AMERICANO DE PROTECCION SA DE CV (FDO. DE PENSIONES C.D)</t>
  </si>
  <si>
    <t>OASIS SOUTH, S. DE R.L. DE C.V. FONDO DE AHORRO</t>
  </si>
  <si>
    <t>CA EMP EJEC Y ADM SERVICIO PAN AMERICANO DE PROTECCION, A.C.</t>
  </si>
  <si>
    <t>SERVICIO PAN AMERICANO DE PROTECCION SA DE CV (F.A. PER SIND)</t>
  </si>
  <si>
    <t>BM CONTROL Y ADMON DE PERSONAL SA DE CV (FDO DE AHORRO)</t>
  </si>
  <si>
    <t>OASIS LATINOAMERICA S DE RL DE CV (FONDO DE AHORRO)</t>
  </si>
  <si>
    <t>BANCO SANTANDER MEXICO SA FIDEICOMISO F/ 2001213-6</t>
  </si>
  <si>
    <t>SERVICIO PAN AMERICANO DE PROTECCION SA CV FDO AHORRO PERS SIND INT</t>
  </si>
  <si>
    <t>ASOC. DE TRABAJADORES SIND. DE SPAPSA METROPOLITANA AC CAJA DE AHORROS</t>
  </si>
  <si>
    <t>ASOC DE TRABAJADORES SIND DE SPAPSA DEL INT DE LA REP AC CAJA AHORROS</t>
  </si>
  <si>
    <t>SERVICIO PAN AMERICANO DE PROTECCION SA DE CV (FDO DE PENSIONES BD)NVO</t>
  </si>
  <si>
    <t>BANCO SANTANDER MEXICO FIDEICOMISO F/2002961-1</t>
  </si>
  <si>
    <t>FABRICA DE JABON LA CORONA SA DE CV (FONDO DE PENSIONES CD)</t>
  </si>
  <si>
    <t>INSTITUTO DE ESTUDIOS SUPERIORES DE TAMAULIPAS AC (CAJA DE AHORRO)</t>
  </si>
  <si>
    <t>INST. DE ESTUDIOS SUPERIORES DE TAMAULIPAS AC (PENSIONES CONT.)</t>
  </si>
  <si>
    <t>INSTITUTO DE ESTUDIOS SUPERIORES DE TAMAULIPAS AC (FONDO DE PENSIONES)</t>
  </si>
  <si>
    <t>KIMBERLY CLARK DE MEXICO S.A.B. DE C.V. (PP)</t>
  </si>
  <si>
    <t>KIMBERLY CLARK DE MEXICO S.A.B. DE C.V. (PA)</t>
  </si>
  <si>
    <t>OPERADORA WINGS SA DE CV FONDO DE PENSIONES</t>
  </si>
  <si>
    <t>BANCO S3 MEXICO SA INSTITUCION DE BANCA MULTIPLE (COMPA?IA)</t>
  </si>
  <si>
    <t>BANCO S3 CACEIS MEXICO SA INSTITUCION DE BANCA MULTIPLE</t>
  </si>
  <si>
    <t>ELEVADORES OTIS S DE RL DE CV FONDO DE AHORRO SINDICALIZADOS</t>
  </si>
  <si>
    <t>ELEVADORES OTIS S DE RL DE CV FONDO DE AHORRO EMPLEADOS</t>
  </si>
  <si>
    <t>ISSSTE RESERVA FINANCIERA Y ACTUARIAL</t>
  </si>
  <si>
    <t xml:space="preserve">MPGOBFED 290531     </t>
  </si>
  <si>
    <t xml:space="preserve">SHV *               </t>
  </si>
  <si>
    <t>ISSSTE RESERVA DE OPERACION PARA CONTINGENCIAS Y FINANCIAMIENTO</t>
  </si>
  <si>
    <t>ISSSTE RESERVA GENERAL FINANCIERA Y ACTUARIAL</t>
  </si>
  <si>
    <t>BANCO SANTANDER (MEXICO) FIDEICOMISO F/35732-0</t>
  </si>
  <si>
    <t>BANCO SANTANDER (MEXICO) FIDEICOMISO F/35740-0</t>
  </si>
  <si>
    <t>BANCO SANTANDER (MEXICO) FIDEICOMISO F/100078-0</t>
  </si>
  <si>
    <t>BANCO SANTANDER (MEXICO) FIDEICOMISO F/100079-0</t>
  </si>
  <si>
    <t>BANCO SANTANDER (MEXICO) FIDEICOMISO F/2321501-1</t>
  </si>
  <si>
    <t>BANCO SANTANDER (MEXICO) FIDEICOMISO F/3199-0</t>
  </si>
  <si>
    <t>BANCO SANTANDER (MEXICO) FIDEICOMISO F/3210-0</t>
  </si>
  <si>
    <t>BANCO SANTANDER (MEXICO) FIDEICOMISO F/2010190-1</t>
  </si>
  <si>
    <t>BANCO SANTANDER (MEXICO) FIDEICOMISO F/2010331-1.</t>
  </si>
  <si>
    <t>BANCO SANTANDER (MEXICO) FIDEICOMISO F/2112253-1</t>
  </si>
  <si>
    <t>BANCO SANTANDER (MEXICO) FIDEICOMISO F/2112332-1</t>
  </si>
  <si>
    <t>BANCO SANTANDER (MEXICO) FIDEICOMISO F/2112338-1</t>
  </si>
  <si>
    <t>BANCO SANTANDER (MEXICO) FIDEICOMISO F/100574-0</t>
  </si>
  <si>
    <t>BANCO SANTANDER (MEXICO) FIDEICOMISO F/100575-0</t>
  </si>
  <si>
    <t>BANCO SANTANDER (MEXICO) FIDEICOMISO F/100671-0</t>
  </si>
  <si>
    <t>BANCO SANTANDER (MEXICO) FIDEICOMISO F/100672-0</t>
  </si>
  <si>
    <t>BANCO SANTANDER (MEXICO) FIDEICOMISO F/2112355-1</t>
  </si>
  <si>
    <t>BANCO SANTANDER (MEXICO) FIDEICOMISO F/2112357-1</t>
  </si>
  <si>
    <t>BANCO SANTANDER (MEXICO) FIDEICOMISO F/2112369-1</t>
  </si>
  <si>
    <t>BANCO SANTANDER (MEXICO) FIDEICOMISO F/2112387-1</t>
  </si>
  <si>
    <t>BANCO SANTANDER (MEXICO) FIDEICOMISO F/2112388-1</t>
  </si>
  <si>
    <t>BANCO SANTANDER (MEXICO) FIDEICOMISO F/2112385-1</t>
  </si>
  <si>
    <t>BANCO SANTANDER (MEXICO) FIDEICOMISO F/2112343-1</t>
  </si>
  <si>
    <t>BANCO SANTANDER (MEXICO) FIDEICOMISO F/2112389-1</t>
  </si>
  <si>
    <t>BANCO SANTANDER (MEXICO) FIDEICOMISO F/2112386-1</t>
  </si>
  <si>
    <t>BANCO SANTANDER (MEXICO) FIDEICOMISO F/2112384-1</t>
  </si>
  <si>
    <t>BANCO SANTANDER (MEXICO) FIDEICOMISO F/2112356-1</t>
  </si>
  <si>
    <t>SERV.CORP.SAUZA,SA DE CV (F.P.BENEFICIO DEFINIDO )</t>
  </si>
  <si>
    <t>BANCO SANTANDER (MEXICO) FIDEICOMISO F/2000712-1</t>
  </si>
  <si>
    <t>BANCO SANTANDER (MEXICO) FIDEICOMISO F/2000713-1</t>
  </si>
  <si>
    <t>BANCO SANTANDER (MEXICO) FIDEICOMISO F/2000711-1</t>
  </si>
  <si>
    <t xml:space="preserve">CHDRAUI B           </t>
  </si>
  <si>
    <t xml:space="preserve">VOLAR A             </t>
  </si>
  <si>
    <t>BANCO SANTANDER (MEXICO) FIDEICOMISO F/2000797-1</t>
  </si>
  <si>
    <t>BANCO SANTANDER (MEXICO) FIDEICOMISO F/2000798-1</t>
  </si>
  <si>
    <t>BANCO SANTANDER (MEXICO) FIDEICOMISO F/2000799-1</t>
  </si>
  <si>
    <t>BANCO SANTANDER (MEXICO) FIDEICOMISO F/2000800-1</t>
  </si>
  <si>
    <t>BANCO SANTANDER (MEXICO) FIDEICOMISO F/2000801-1</t>
  </si>
  <si>
    <t>BANCO SANTANDER (MEXICO) FIDEICOMISO F/2000803-1</t>
  </si>
  <si>
    <t>BANCO SANTANDER (MEXICO) FIDEICOMISO F/2001213-2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</si>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</sst>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##,##0.00000000"/>
    <numFmt numFmtId="167" formatCode="\$##,##0.00"/>
  </numFmts>
  <fonts count="9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8" fillId="0" borderId="0"/>
    <xf numFmtId="44" fontId="1" fillId="0" borderId="0" applyFont="0" applyFill="0" applyBorder="0" applyAlignment="0" applyProtection="0"/>
    <xf numFmtId="0" fontId="28" fillId="0" borderId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3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3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3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3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3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3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2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32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32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32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32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32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18" fillId="5" borderId="0" applyNumberFormat="0" applyBorder="0" applyAlignment="0" applyProtection="0"/>
    <xf numFmtId="0" fontId="3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22" fillId="8" borderId="7" applyNumberFormat="0" applyAlignment="0" applyProtection="0"/>
    <xf numFmtId="0" fontId="34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35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36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4" fillId="9" borderId="10" applyNumberFormat="0" applyAlignment="0" applyProtection="0"/>
    <xf numFmtId="0" fontId="3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32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32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32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32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32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38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20" fillId="7" borderId="7" applyNumberFormat="0" applyAlignment="0" applyProtection="0"/>
    <xf numFmtId="0" fontId="23" fillId="0" borderId="9" applyNumberFormat="0" applyFill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0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11" fillId="0" borderId="0">
      <protection locked="0"/>
    </xf>
    <xf numFmtId="0" fontId="1" fillId="0" borderId="0"/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11" fillId="10" borderId="11" applyNumberFormat="0" applyFont="0" applyAlignment="0" applyProtection="0"/>
    <xf numFmtId="0" fontId="21" fillId="8" borderId="8" applyNumberFormat="0" applyAlignment="0" applyProtection="0"/>
    <xf numFmtId="0" fontId="4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4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4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37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46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25" fillId="0" borderId="0" applyNumberFormat="0" applyFill="0" applyBorder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5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8" fillId="0" borderId="0"/>
    <xf numFmtId="0" fontId="33" fillId="4" borderId="0" applyNumberFormat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0" fillId="0" borderId="0"/>
    <xf numFmtId="0" fontId="71" fillId="0" borderId="0"/>
    <xf numFmtId="0" fontId="72" fillId="0" borderId="0"/>
    <xf numFmtId="0" fontId="7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4" fillId="0" borderId="0"/>
    <xf numFmtId="0" fontId="75" fillId="0" borderId="0"/>
    <xf numFmtId="0" fontId="76" fillId="0" borderId="0"/>
    <xf numFmtId="0" fontId="77" fillId="0" borderId="0"/>
    <xf numFmtId="0" fontId="14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8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79" fillId="6" borderId="0" applyNumberFormat="0" applyBorder="0" applyAlignment="0" applyProtection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1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80" fillId="0" borderId="0"/>
    <xf numFmtId="0" fontId="81" fillId="0" borderId="0"/>
    <xf numFmtId="0" fontId="82" fillId="0" borderId="0"/>
    <xf numFmtId="0" fontId="85" fillId="0" borderId="0"/>
    <xf numFmtId="0" fontId="86" fillId="0" borderId="0"/>
    <xf numFmtId="0" fontId="88" fillId="0" borderId="0"/>
    <xf numFmtId="0" fontId="90" fillId="0" borderId="0"/>
    <xf numFmtId="0" fontId="9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93" fillId="0" borderId="0"/>
    <xf numFmtId="0" fontId="93" fillId="0" borderId="0"/>
    <xf numFmtId="0" fontId="11" fillId="0" borderId="0">
      <protection locked="0"/>
    </xf>
  </cellStyleXfs>
  <cellXfs count="136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0" fontId="5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165" fontId="4" fillId="0" borderId="3" xfId="0" applyNumberFormat="1" applyFont="1" applyBorder="1"/>
    <xf numFmtId="0" fontId="6" fillId="0" borderId="0" xfId="0" applyFont="1" applyAlignment="1">
      <alignment horizontal="left" wrapText="1"/>
    </xf>
    <xf numFmtId="37" fontId="6" fillId="0" borderId="0" xfId="0" applyNumberFormat="1" applyFont="1" applyAlignment="1">
      <alignment horizontal="right" wrapText="1"/>
    </xf>
    <xf numFmtId="164" fontId="6" fillId="0" borderId="0" xfId="0" applyNumberFormat="1" applyFont="1" applyAlignment="1">
      <alignment horizontal="right" wrapText="1"/>
    </xf>
    <xf numFmtId="7" fontId="6" fillId="0" borderId="0" xfId="0" applyNumberFormat="1" applyFont="1" applyAlignment="1">
      <alignment horizontal="right" wrapText="1"/>
    </xf>
    <xf numFmtId="4" fontId="0" fillId="0" borderId="0" xfId="0" applyNumberFormat="1"/>
    <xf numFmtId="4" fontId="7" fillId="0" borderId="0" xfId="0" applyNumberFormat="1" applyFont="1"/>
    <xf numFmtId="0" fontId="0" fillId="3" borderId="0" xfId="0" applyFill="1"/>
    <xf numFmtId="4" fontId="9" fillId="0" borderId="0" xfId="0" applyNumberFormat="1" applyFont="1"/>
    <xf numFmtId="4" fontId="10" fillId="0" borderId="0" xfId="0" applyNumberFormat="1" applyFont="1"/>
    <xf numFmtId="8" fontId="9" fillId="0" borderId="0" xfId="0" applyNumberFormat="1" applyFont="1"/>
    <xf numFmtId="43" fontId="0" fillId="0" borderId="0" xfId="1" applyFont="1" applyFill="1"/>
    <xf numFmtId="0" fontId="12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13" fillId="0" borderId="0" xfId="0" applyFont="1"/>
    <xf numFmtId="43" fontId="13" fillId="0" borderId="0" xfId="1" applyFont="1"/>
    <xf numFmtId="7" fontId="13" fillId="0" borderId="0" xfId="0" applyNumberFormat="1" applyFont="1"/>
    <xf numFmtId="44" fontId="0" fillId="0" borderId="0" xfId="4" applyFont="1" applyFill="1"/>
    <xf numFmtId="44" fontId="0" fillId="0" borderId="0" xfId="4" applyFont="1"/>
    <xf numFmtId="0" fontId="3" fillId="0" borderId="0" xfId="0" applyFont="1"/>
    <xf numFmtId="0" fontId="54" fillId="0" borderId="0" xfId="1739"/>
    <xf numFmtId="0" fontId="0" fillId="43" borderId="2" xfId="0" applyFill="1" applyBorder="1" applyAlignment="1">
      <alignment wrapText="1"/>
    </xf>
    <xf numFmtId="0" fontId="0" fillId="43" borderId="2" xfId="0" applyFill="1" applyBorder="1" applyAlignment="1">
      <alignment horizontal="center" wrapText="1"/>
    </xf>
    <xf numFmtId="0" fontId="0" fillId="4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6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57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13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5" borderId="2" xfId="0" applyFill="1" applyBorder="1" applyAlignment="1">
      <alignment horizontal="left" wrapText="1"/>
    </xf>
    <xf numFmtId="0" fontId="55" fillId="42" borderId="0" xfId="0" applyFont="1" applyFill="1" applyAlignment="1">
      <alignment horizontal="center" vertical="center" wrapText="1"/>
    </xf>
    <xf numFmtId="0" fontId="69" fillId="0" borderId="0" xfId="0" applyFont="1" applyAlignment="1">
      <alignment horizontal="left" wrapText="1"/>
    </xf>
    <xf numFmtId="7" fontId="69" fillId="0" borderId="0" xfId="0" applyNumberFormat="1" applyFont="1" applyAlignment="1">
      <alignment horizontal="right" wrapText="1"/>
    </xf>
    <xf numFmtId="164" fontId="69" fillId="0" borderId="0" xfId="0" applyNumberFormat="1" applyFont="1" applyAlignment="1">
      <alignment horizontal="right" wrapText="1"/>
    </xf>
    <xf numFmtId="37" fontId="69" fillId="0" borderId="0" xfId="0" applyNumberFormat="1" applyFont="1" applyAlignment="1">
      <alignment horizontal="right" wrapText="1"/>
    </xf>
    <xf numFmtId="0" fontId="6" fillId="0" borderId="0" xfId="2" applyFont="1" applyAlignment="1">
      <alignment horizontal="left" wrapText="1"/>
    </xf>
    <xf numFmtId="0" fontId="0" fillId="0" borderId="0" xfId="0" applyAlignment="1">
      <alignment horizontal="center" wrapText="1"/>
    </xf>
    <xf numFmtId="37" fontId="6" fillId="0" borderId="0" xfId="2" applyNumberFormat="1" applyFont="1" applyAlignment="1">
      <alignment horizontal="right" wrapText="1"/>
    </xf>
    <xf numFmtId="7" fontId="6" fillId="0" borderId="0" xfId="2" applyNumberFormat="1" applyFont="1" applyAlignment="1">
      <alignment horizontal="right" wrapText="1"/>
    </xf>
    <xf numFmtId="164" fontId="6" fillId="0" borderId="0" xfId="2" applyNumberFormat="1" applyFont="1" applyAlignment="1">
      <alignment horizontal="right" wrapText="1"/>
    </xf>
    <xf numFmtId="0" fontId="0" fillId="0" borderId="2" xfId="0" applyBorder="1"/>
    <xf numFmtId="0" fontId="83" fillId="0" borderId="2" xfId="0" applyFont="1" applyBorder="1" applyAlignment="1">
      <alignment horizontal="center"/>
    </xf>
    <xf numFmtId="0" fontId="83" fillId="0" borderId="2" xfId="0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165" fontId="83" fillId="0" borderId="2" xfId="0" applyNumberFormat="1" applyFont="1" applyBorder="1"/>
    <xf numFmtId="0" fontId="84" fillId="0" borderId="2" xfId="0" applyFont="1" applyBorder="1" applyAlignment="1">
      <alignment vertical="center" wrapText="1"/>
    </xf>
    <xf numFmtId="14" fontId="83" fillId="0" borderId="2" xfId="0" applyNumberFormat="1" applyFont="1" applyBorder="1" applyAlignment="1">
      <alignment horizontal="center" wrapText="1"/>
    </xf>
    <xf numFmtId="43" fontId="2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87" fillId="0" borderId="2" xfId="0" applyFont="1" applyBorder="1" applyAlignment="1">
      <alignment horizontal="center"/>
    </xf>
    <xf numFmtId="0" fontId="87" fillId="0" borderId="2" xfId="0" applyFont="1" applyBorder="1" applyAlignment="1">
      <alignment horizontal="center" wrapText="1"/>
    </xf>
    <xf numFmtId="165" fontId="87" fillId="0" borderId="2" xfId="0" applyNumberFormat="1" applyFont="1" applyBorder="1"/>
    <xf numFmtId="165" fontId="87" fillId="0" borderId="3" xfId="0" applyNumberFormat="1" applyFont="1" applyBorder="1"/>
    <xf numFmtId="0" fontId="89" fillId="0" borderId="0" xfId="3566" applyFont="1" applyAlignment="1">
      <alignment horizontal="left" wrapText="1"/>
    </xf>
    <xf numFmtId="37" fontId="89" fillId="0" borderId="0" xfId="3566" applyNumberFormat="1" applyFont="1" applyAlignment="1">
      <alignment horizontal="right" wrapText="1"/>
    </xf>
    <xf numFmtId="7" fontId="89" fillId="0" borderId="0" xfId="3566" applyNumberFormat="1" applyFont="1" applyAlignment="1">
      <alignment horizontal="right" wrapText="1"/>
    </xf>
    <xf numFmtId="164" fontId="89" fillId="0" borderId="0" xfId="3566" applyNumberFormat="1" applyFont="1" applyAlignment="1">
      <alignment horizontal="right" wrapText="1"/>
    </xf>
    <xf numFmtId="0" fontId="0" fillId="0" borderId="0" xfId="0" quotePrefix="1" applyAlignment="1">
      <alignment horizontal="left" vertical="center"/>
    </xf>
    <xf numFmtId="0" fontId="91" fillId="0" borderId="0" xfId="3567" applyFont="1" applyAlignment="1">
      <alignment horizontal="left" wrapText="1"/>
    </xf>
    <xf numFmtId="37" fontId="91" fillId="0" borderId="0" xfId="3567" applyNumberFormat="1" applyFont="1" applyAlignment="1">
      <alignment horizontal="right" wrapText="1"/>
    </xf>
    <xf numFmtId="7" fontId="91" fillId="0" borderId="0" xfId="3567" applyNumberFormat="1" applyFont="1" applyAlignment="1">
      <alignment horizontal="right" wrapText="1"/>
    </xf>
    <xf numFmtId="164" fontId="91" fillId="0" borderId="0" xfId="3567" applyNumberFormat="1" applyFont="1" applyAlignment="1">
      <alignment horizontal="right" wrapText="1"/>
    </xf>
    <xf numFmtId="0" fontId="87" fillId="0" borderId="2" xfId="0" applyFont="1" applyBorder="1" applyAlignment="1">
      <alignment wrapText="1"/>
    </xf>
    <xf numFmtId="0" fontId="92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right" vertical="center"/>
    </xf>
    <xf numFmtId="166" fontId="6" fillId="0" borderId="0" xfId="0" applyNumberFormat="1" applyFont="1" applyAlignment="1">
      <alignment horizontal="right" vertical="center"/>
    </xf>
    <xf numFmtId="167" fontId="6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left" indent="1"/>
    </xf>
    <xf numFmtId="0" fontId="6" fillId="0" borderId="0" xfId="3568" applyFont="1" applyAlignment="1">
      <alignment horizontal="left" vertical="center"/>
    </xf>
    <xf numFmtId="166" fontId="6" fillId="0" borderId="0" xfId="3568" applyNumberFormat="1" applyFont="1" applyAlignment="1">
      <alignment horizontal="right" vertical="center"/>
    </xf>
    <xf numFmtId="167" fontId="6" fillId="0" borderId="0" xfId="3568" applyNumberFormat="1" applyFont="1" applyAlignment="1">
      <alignment horizontal="right" vertical="center"/>
    </xf>
    <xf numFmtId="3" fontId="6" fillId="0" borderId="0" xfId="3568" applyNumberFormat="1" applyFont="1" applyAlignment="1">
      <alignment horizontal="right" vertical="center"/>
    </xf>
    <xf numFmtId="165" fontId="87" fillId="0" borderId="2" xfId="2" applyNumberFormat="1" applyFont="1" applyBorder="1"/>
    <xf numFmtId="0" fontId="87" fillId="0" borderId="2" xfId="2" applyFont="1" applyBorder="1" applyAlignment="1">
      <alignment wrapText="1"/>
    </xf>
    <xf numFmtId="0" fontId="3" fillId="0" borderId="2" xfId="2" applyBorder="1"/>
    <xf numFmtId="0" fontId="92" fillId="0" borderId="2" xfId="2" applyFont="1" applyBorder="1" applyAlignment="1">
      <alignment vertical="center" wrapText="1"/>
    </xf>
    <xf numFmtId="14" fontId="83" fillId="0" borderId="2" xfId="2" applyNumberFormat="1" applyFont="1" applyBorder="1" applyAlignment="1">
      <alignment horizontal="center" wrapText="1"/>
    </xf>
    <xf numFmtId="0" fontId="83" fillId="0" borderId="2" xfId="2" applyFont="1" applyBorder="1" applyAlignment="1">
      <alignment horizontal="center" wrapText="1"/>
    </xf>
    <xf numFmtId="0" fontId="83" fillId="0" borderId="2" xfId="2" applyFont="1" applyBorder="1" applyAlignment="1">
      <alignment horizontal="center"/>
    </xf>
    <xf numFmtId="0" fontId="83" fillId="0" borderId="2" xfId="2" applyFont="1" applyBorder="1" applyAlignment="1">
      <alignment wrapText="1"/>
    </xf>
    <xf numFmtId="44" fontId="83" fillId="0" borderId="2" xfId="2" applyNumberFormat="1" applyFont="1" applyBorder="1" applyAlignment="1">
      <alignment wrapText="1"/>
    </xf>
    <xf numFmtId="165" fontId="83" fillId="0" borderId="2" xfId="2" applyNumberFormat="1" applyFont="1" applyBorder="1"/>
    <xf numFmtId="14" fontId="84" fillId="46" borderId="2" xfId="2" applyNumberFormat="1" applyFont="1" applyFill="1" applyBorder="1" applyAlignment="1">
      <alignment horizontal="center" wrapText="1"/>
    </xf>
    <xf numFmtId="0" fontId="83" fillId="0" borderId="3" xfId="2" applyFont="1" applyBorder="1" applyAlignment="1">
      <alignment horizontal="center"/>
    </xf>
    <xf numFmtId="0" fontId="83" fillId="0" borderId="3" xfId="2" applyFont="1" applyBorder="1" applyAlignment="1">
      <alignment horizontal="center" wrapText="1"/>
    </xf>
    <xf numFmtId="14" fontId="83" fillId="0" borderId="3" xfId="2" applyNumberFormat="1" applyFont="1" applyBorder="1" applyAlignment="1">
      <alignment horizontal="center" wrapText="1"/>
    </xf>
    <xf numFmtId="0" fontId="83" fillId="0" borderId="3" xfId="2" applyFont="1" applyBorder="1" applyAlignment="1">
      <alignment wrapText="1"/>
    </xf>
    <xf numFmtId="44" fontId="83" fillId="0" borderId="0" xfId="2" applyNumberFormat="1" applyFont="1" applyAlignment="1">
      <alignment wrapText="1"/>
    </xf>
    <xf numFmtId="165" fontId="83" fillId="0" borderId="3" xfId="2" applyNumberFormat="1" applyFont="1" applyBorder="1"/>
    <xf numFmtId="14" fontId="84" fillId="46" borderId="3" xfId="2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55" fillId="42" borderId="0" xfId="0" applyFont="1" applyFill="1" applyAlignment="1">
      <alignment horizontal="center" vertical="center" wrapText="1"/>
    </xf>
    <xf numFmtId="0" fontId="55" fillId="42" borderId="13" xfId="0" applyFont="1" applyFill="1" applyBorder="1" applyAlignment="1">
      <alignment horizontal="center" vertical="center" wrapText="1"/>
    </xf>
    <xf numFmtId="0" fontId="27" fillId="47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 vertical="center"/>
    </xf>
    <xf numFmtId="43" fontId="0" fillId="0" borderId="0" xfId="1" applyFont="1" applyFill="1" applyAlignment="1">
      <alignment vertical="center"/>
    </xf>
    <xf numFmtId="0" fontId="0" fillId="0" borderId="0" xfId="0" applyNumberFormat="1"/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0" fillId="0" borderId="0" xfId="0" applyFont="1" applyAlignment="1">
      <alignment horizontal="left" indent="1"/>
    </xf>
    <xf numFmtId="0" fontId="0" fillId="0" borderId="0" xfId="0" applyFont="1" applyFill="1" applyAlignment="1">
      <alignment horizontal="left" indent="1"/>
    </xf>
    <xf numFmtId="0" fontId="0" fillId="0" borderId="0" xfId="0" applyNumberFormat="1" applyFont="1" applyFill="1"/>
    <xf numFmtId="0" fontId="13" fillId="0" borderId="0" xfId="0" applyNumberFormat="1" applyFont="1"/>
    <xf numFmtId="0" fontId="0" fillId="0" borderId="0" xfId="0" applyFont="1" applyFill="1" applyAlignment="1">
      <alignment horizontal="left"/>
    </xf>
  </cellXfs>
  <cellStyles count="3754">
    <cellStyle name="20% - Accent1" xfId="6" xr:uid="{00000000-0005-0000-0000-000000000000}"/>
    <cellStyle name="20% - Accent1 2" xfId="3123" xr:uid="{F6C73542-4290-4DCC-9442-4F95CDDDAFD4}"/>
    <cellStyle name="20% - Accent2" xfId="7" xr:uid="{00000000-0005-0000-0000-000001000000}"/>
    <cellStyle name="20% - Accent2 2" xfId="3124" xr:uid="{7CCD0DE4-2E7D-485E-AE4D-81849AEB9F52}"/>
    <cellStyle name="20% - Accent3" xfId="8" xr:uid="{00000000-0005-0000-0000-000002000000}"/>
    <cellStyle name="20% - Accent3 2" xfId="3125" xr:uid="{B5596A3A-7643-4650-BC73-782F26E9E32A}"/>
    <cellStyle name="20% - Accent4" xfId="9" xr:uid="{00000000-0005-0000-0000-000003000000}"/>
    <cellStyle name="20% - Accent4 2" xfId="3126" xr:uid="{F4F81C8F-E9E8-4D2F-B56B-124CD8A022C8}"/>
    <cellStyle name="20% - Accent5" xfId="10" xr:uid="{00000000-0005-0000-0000-000004000000}"/>
    <cellStyle name="20% - Accent5 2" xfId="3127" xr:uid="{4B482C50-D9CD-4144-A012-1B2E442F53CC}"/>
    <cellStyle name="20% - Accent6" xfId="11" xr:uid="{00000000-0005-0000-0000-000005000000}"/>
    <cellStyle name="20% - Accent6 2" xfId="3128" xr:uid="{5360FC54-9120-41BB-BA24-2C93DFAC055D}"/>
    <cellStyle name="20% - Énfasis1 10" xfId="13" xr:uid="{00000000-0005-0000-0000-000006000000}"/>
    <cellStyle name="20% - Énfasis1 10 2" xfId="14" xr:uid="{00000000-0005-0000-0000-000007000000}"/>
    <cellStyle name="20% - Énfasis1 10 2 2" xfId="3130" xr:uid="{8F6645A6-A153-4DC7-B046-D07BCC481798}"/>
    <cellStyle name="20% - Énfasis1 10 3" xfId="3129" xr:uid="{B2F92312-CF3F-4AAD-B63E-48F62D05D347}"/>
    <cellStyle name="20% - Énfasis1 11" xfId="15" xr:uid="{00000000-0005-0000-0000-000008000000}"/>
    <cellStyle name="20% - Énfasis1 11 2" xfId="16" xr:uid="{00000000-0005-0000-0000-000009000000}"/>
    <cellStyle name="20% - Énfasis1 11 2 2" xfId="3132" xr:uid="{47ADE2C9-41CB-4849-B6A4-939318D9E373}"/>
    <cellStyle name="20% - Énfasis1 11 3" xfId="3131" xr:uid="{7DA96D5C-40C4-436E-8C60-6A8851B0F526}"/>
    <cellStyle name="20% - Énfasis1 12" xfId="17" xr:uid="{00000000-0005-0000-0000-00000A000000}"/>
    <cellStyle name="20% - Énfasis1 12 2" xfId="18" xr:uid="{00000000-0005-0000-0000-00000B000000}"/>
    <cellStyle name="20% - Énfasis1 12 2 2" xfId="3134" xr:uid="{DC80FD96-7381-4380-971A-49B8E7250676}"/>
    <cellStyle name="20% - Énfasis1 12 3" xfId="3133" xr:uid="{917BC63B-FF42-478B-8B6F-CB15893AF1A5}"/>
    <cellStyle name="20% - Énfasis1 13" xfId="19" xr:uid="{00000000-0005-0000-0000-00000C000000}"/>
    <cellStyle name="20% - Énfasis1 13 2" xfId="20" xr:uid="{00000000-0005-0000-0000-00000D000000}"/>
    <cellStyle name="20% - Énfasis1 13 2 2" xfId="3136" xr:uid="{A9571757-1D8E-49EE-88F6-0511B018678E}"/>
    <cellStyle name="20% - Énfasis1 13 3" xfId="3135" xr:uid="{C4A51286-8D92-4114-BA6A-26923DB38EF9}"/>
    <cellStyle name="20% - Énfasis1 14" xfId="21" xr:uid="{00000000-0005-0000-0000-00000E000000}"/>
    <cellStyle name="20% - Énfasis1 14 2" xfId="22" xr:uid="{00000000-0005-0000-0000-00000F000000}"/>
    <cellStyle name="20% - Énfasis1 14 2 2" xfId="3138" xr:uid="{AC02592B-4CB0-4AC9-B4A3-39F106BD46B5}"/>
    <cellStyle name="20% - Énfasis1 14 3" xfId="3137" xr:uid="{19A7FE8F-49E9-428D-A299-1AE018F4DAB9}"/>
    <cellStyle name="20% - Énfasis1 15" xfId="12" xr:uid="{00000000-0005-0000-0000-000010000000}"/>
    <cellStyle name="20% - Énfasis1 16" xfId="3105" xr:uid="{61DFDF29-C08D-4692-AF22-D90B1F2FF36E}"/>
    <cellStyle name="20% - Énfasis1 16 2" xfId="3543" xr:uid="{F404E2EE-F1D8-4497-86BA-B849E63A18E9}"/>
    <cellStyle name="20% - Énfasis1 2" xfId="23" xr:uid="{00000000-0005-0000-0000-000011000000}"/>
    <cellStyle name="20% - Énfasis1 2 2" xfId="24" xr:uid="{00000000-0005-0000-0000-000012000000}"/>
    <cellStyle name="20% - Énfasis1 2 2 2" xfId="3140" xr:uid="{F1646A9A-24DF-43A6-87F5-17A31EEC8CF5}"/>
    <cellStyle name="20% - Énfasis1 2 3" xfId="3139" xr:uid="{A18FCA8D-C507-4435-BE42-9856DE81DC9C}"/>
    <cellStyle name="20% - Énfasis1 3" xfId="25" xr:uid="{00000000-0005-0000-0000-000013000000}"/>
    <cellStyle name="20% - Énfasis1 3 2" xfId="26" xr:uid="{00000000-0005-0000-0000-000014000000}"/>
    <cellStyle name="20% - Énfasis1 3 2 2" xfId="3142" xr:uid="{D9B62E6B-7A2D-4C13-9C28-9D71424B8648}"/>
    <cellStyle name="20% - Énfasis1 3 3" xfId="3141" xr:uid="{003253AD-8FE5-43DC-88C9-279AEDC57213}"/>
    <cellStyle name="20% - Énfasis1 4" xfId="27" xr:uid="{00000000-0005-0000-0000-000015000000}"/>
    <cellStyle name="20% - Énfasis1 4 2" xfId="28" xr:uid="{00000000-0005-0000-0000-000016000000}"/>
    <cellStyle name="20% - Énfasis1 4 2 2" xfId="3144" xr:uid="{844955CE-F894-471B-A59D-53B8B8A9A898}"/>
    <cellStyle name="20% - Énfasis1 4 3" xfId="3143" xr:uid="{A301E22B-9DCD-4D9E-9295-6EE6292632A8}"/>
    <cellStyle name="20% - Énfasis1 5" xfId="29" xr:uid="{00000000-0005-0000-0000-000017000000}"/>
    <cellStyle name="20% - Énfasis1 5 2" xfId="30" xr:uid="{00000000-0005-0000-0000-000018000000}"/>
    <cellStyle name="20% - Énfasis1 5 2 2" xfId="3146" xr:uid="{87ED9246-60F5-49D0-AEAB-1CDF2422082C}"/>
    <cellStyle name="20% - Énfasis1 5 3" xfId="3145" xr:uid="{F64887CE-0B80-4BE5-87B9-17F8EABE109A}"/>
    <cellStyle name="20% - Énfasis1 6" xfId="31" xr:uid="{00000000-0005-0000-0000-000019000000}"/>
    <cellStyle name="20% - Énfasis1 6 2" xfId="32" xr:uid="{00000000-0005-0000-0000-00001A000000}"/>
    <cellStyle name="20% - Énfasis1 6 2 2" xfId="3148" xr:uid="{87AF9251-0B46-49F2-B635-067DF410F6D8}"/>
    <cellStyle name="20% - Énfasis1 6 3" xfId="3147" xr:uid="{0D3DB278-694C-44D9-94F2-3B802607BCF4}"/>
    <cellStyle name="20% - Énfasis1 7" xfId="33" xr:uid="{00000000-0005-0000-0000-00001B000000}"/>
    <cellStyle name="20% - Énfasis1 7 2" xfId="34" xr:uid="{00000000-0005-0000-0000-00001C000000}"/>
    <cellStyle name="20% - Énfasis1 7 2 2" xfId="3150" xr:uid="{90B8C504-5458-411D-BD03-7D98F207B73F}"/>
    <cellStyle name="20% - Énfasis1 7 3" xfId="3149" xr:uid="{1AD5ACAB-54CB-4FEB-8B2F-7D0B955A9895}"/>
    <cellStyle name="20% - Énfasis1 8" xfId="35" xr:uid="{00000000-0005-0000-0000-00001D000000}"/>
    <cellStyle name="20% - Énfasis1 8 2" xfId="36" xr:uid="{00000000-0005-0000-0000-00001E000000}"/>
    <cellStyle name="20% - Énfasis1 8 2 2" xfId="3152" xr:uid="{60397889-DCFA-4C0D-8335-7C0788F2EBD8}"/>
    <cellStyle name="20% - Énfasis1 8 3" xfId="3151" xr:uid="{37007E58-B0C9-43FD-9E43-8CF97F9DF6BA}"/>
    <cellStyle name="20% - Énfasis1 9" xfId="37" xr:uid="{00000000-0005-0000-0000-00001F000000}"/>
    <cellStyle name="20% - Énfasis1 9 2" xfId="38" xr:uid="{00000000-0005-0000-0000-000020000000}"/>
    <cellStyle name="20% - Énfasis1 9 2 2" xfId="3154" xr:uid="{68629474-9A73-44FC-82AC-C82242876108}"/>
    <cellStyle name="20% - Énfasis1 9 3" xfId="3153" xr:uid="{89443071-6F04-411B-901F-4C0930F4B836}"/>
    <cellStyle name="20% - Énfasis2 10" xfId="40" xr:uid="{00000000-0005-0000-0000-000021000000}"/>
    <cellStyle name="20% - Énfasis2 10 2" xfId="41" xr:uid="{00000000-0005-0000-0000-000022000000}"/>
    <cellStyle name="20% - Énfasis2 10 2 2" xfId="3156" xr:uid="{10CFA615-3A12-4C20-9445-F1D8EF0F8C1A}"/>
    <cellStyle name="20% - Énfasis2 10 3" xfId="3155" xr:uid="{47904C94-2453-4FB5-8798-E81AE77A4F91}"/>
    <cellStyle name="20% - Énfasis2 11" xfId="42" xr:uid="{00000000-0005-0000-0000-000023000000}"/>
    <cellStyle name="20% - Énfasis2 11 2" xfId="43" xr:uid="{00000000-0005-0000-0000-000024000000}"/>
    <cellStyle name="20% - Énfasis2 11 2 2" xfId="3158" xr:uid="{00852D0B-02A0-40B9-A2DD-40DFE3E4D085}"/>
    <cellStyle name="20% - Énfasis2 11 3" xfId="3157" xr:uid="{FA53CCAA-6A04-4028-A444-3AB7D1C250A0}"/>
    <cellStyle name="20% - Énfasis2 12" xfId="44" xr:uid="{00000000-0005-0000-0000-000025000000}"/>
    <cellStyle name="20% - Énfasis2 12 2" xfId="45" xr:uid="{00000000-0005-0000-0000-000026000000}"/>
    <cellStyle name="20% - Énfasis2 12 2 2" xfId="3160" xr:uid="{58443043-A5F2-4960-AA75-080964CCC438}"/>
    <cellStyle name="20% - Énfasis2 12 3" xfId="3159" xr:uid="{5158EF33-5C86-43E6-95FD-B7534A651744}"/>
    <cellStyle name="20% - Énfasis2 13" xfId="46" xr:uid="{00000000-0005-0000-0000-000027000000}"/>
    <cellStyle name="20% - Énfasis2 13 2" xfId="47" xr:uid="{00000000-0005-0000-0000-000028000000}"/>
    <cellStyle name="20% - Énfasis2 13 2 2" xfId="3162" xr:uid="{75B1076D-29DB-4AA7-A19E-C5E3425DDFF0}"/>
    <cellStyle name="20% - Énfasis2 13 3" xfId="3161" xr:uid="{45BF099B-459C-4F75-A6C0-9EDB904B1B27}"/>
    <cellStyle name="20% - Énfasis2 14" xfId="48" xr:uid="{00000000-0005-0000-0000-000029000000}"/>
    <cellStyle name="20% - Énfasis2 14 2" xfId="49" xr:uid="{00000000-0005-0000-0000-00002A000000}"/>
    <cellStyle name="20% - Énfasis2 14 2 2" xfId="3164" xr:uid="{A2BC5C2E-711B-4323-A1DA-1B6EE7B4B03B}"/>
    <cellStyle name="20% - Énfasis2 14 3" xfId="3163" xr:uid="{35EA446A-21BA-42A7-A1A0-DBDCD526A3E8}"/>
    <cellStyle name="20% - Énfasis2 15" xfId="39" xr:uid="{00000000-0005-0000-0000-00002B000000}"/>
    <cellStyle name="20% - Énfasis2 16" xfId="3108" xr:uid="{A6B5DE61-05CB-45D0-85F7-5E5887849703}"/>
    <cellStyle name="20% - Énfasis2 16 2" xfId="3546" xr:uid="{CAF3C47C-233F-4AF0-8A97-58937136CC31}"/>
    <cellStyle name="20% - Énfasis2 2" xfId="50" xr:uid="{00000000-0005-0000-0000-00002C000000}"/>
    <cellStyle name="20% - Énfasis2 2 2" xfId="51" xr:uid="{00000000-0005-0000-0000-00002D000000}"/>
    <cellStyle name="20% - Énfasis2 2 2 2" xfId="3166" xr:uid="{31921430-19A1-448D-B6CF-8D10D807CE6E}"/>
    <cellStyle name="20% - Énfasis2 2 3" xfId="3165" xr:uid="{307A0FF2-BEE4-4686-ABB6-65A7F6715817}"/>
    <cellStyle name="20% - Énfasis2 3" xfId="52" xr:uid="{00000000-0005-0000-0000-00002E000000}"/>
    <cellStyle name="20% - Énfasis2 3 2" xfId="53" xr:uid="{00000000-0005-0000-0000-00002F000000}"/>
    <cellStyle name="20% - Énfasis2 3 2 2" xfId="3168" xr:uid="{A1C89517-39B2-4FEE-9B75-F2C983EFC113}"/>
    <cellStyle name="20% - Énfasis2 3 3" xfId="3167" xr:uid="{864326B4-076F-41D7-ADAC-E24D832A3BBA}"/>
    <cellStyle name="20% - Énfasis2 4" xfId="54" xr:uid="{00000000-0005-0000-0000-000030000000}"/>
    <cellStyle name="20% - Énfasis2 4 2" xfId="55" xr:uid="{00000000-0005-0000-0000-000031000000}"/>
    <cellStyle name="20% - Énfasis2 4 2 2" xfId="3170" xr:uid="{B75E6459-2D1E-4629-A524-DB1416FE7E8F}"/>
    <cellStyle name="20% - Énfasis2 4 3" xfId="3169" xr:uid="{4D6A7685-F274-4360-BD7F-0F3FBB6F739D}"/>
    <cellStyle name="20% - Énfasis2 5" xfId="56" xr:uid="{00000000-0005-0000-0000-000032000000}"/>
    <cellStyle name="20% - Énfasis2 5 2" xfId="57" xr:uid="{00000000-0005-0000-0000-000033000000}"/>
    <cellStyle name="20% - Énfasis2 5 2 2" xfId="3172" xr:uid="{314B326C-0CBC-4993-8D32-043E5B1A9C82}"/>
    <cellStyle name="20% - Énfasis2 5 3" xfId="3171" xr:uid="{33A9DFDB-EB21-4B90-902B-EA3EE4B464BA}"/>
    <cellStyle name="20% - Énfasis2 6" xfId="58" xr:uid="{00000000-0005-0000-0000-000034000000}"/>
    <cellStyle name="20% - Énfasis2 6 2" xfId="59" xr:uid="{00000000-0005-0000-0000-000035000000}"/>
    <cellStyle name="20% - Énfasis2 6 2 2" xfId="3174" xr:uid="{7A2B47E3-F73E-4427-9928-56E5099A0260}"/>
    <cellStyle name="20% - Énfasis2 6 3" xfId="3173" xr:uid="{E040953E-12A6-4156-9C75-39EF4349B4AC}"/>
    <cellStyle name="20% - Énfasis2 7" xfId="60" xr:uid="{00000000-0005-0000-0000-000036000000}"/>
    <cellStyle name="20% - Énfasis2 7 2" xfId="61" xr:uid="{00000000-0005-0000-0000-000037000000}"/>
    <cellStyle name="20% - Énfasis2 7 2 2" xfId="3176" xr:uid="{3554716B-6D61-4950-8D8D-72A9917107DA}"/>
    <cellStyle name="20% - Énfasis2 7 3" xfId="3175" xr:uid="{F3EB8074-82F9-4C08-B8CF-01FDEAB32030}"/>
    <cellStyle name="20% - Énfasis2 8" xfId="62" xr:uid="{00000000-0005-0000-0000-000038000000}"/>
    <cellStyle name="20% - Énfasis2 8 2" xfId="63" xr:uid="{00000000-0005-0000-0000-000039000000}"/>
    <cellStyle name="20% - Énfasis2 8 2 2" xfId="3178" xr:uid="{1F550CE6-E71C-4BFA-A9BA-DA005B1ECAB7}"/>
    <cellStyle name="20% - Énfasis2 8 3" xfId="3177" xr:uid="{58BA7F02-79A9-4420-974C-E8D34020A19E}"/>
    <cellStyle name="20% - Énfasis2 9" xfId="64" xr:uid="{00000000-0005-0000-0000-00003A000000}"/>
    <cellStyle name="20% - Énfasis2 9 2" xfId="65" xr:uid="{00000000-0005-0000-0000-00003B000000}"/>
    <cellStyle name="20% - Énfasis2 9 2 2" xfId="3180" xr:uid="{9CECD722-B001-45FF-8E99-8A761FF1DE0F}"/>
    <cellStyle name="20% - Énfasis2 9 3" xfId="3179" xr:uid="{F4700724-B16C-40A0-9832-BEB3A0938E44}"/>
    <cellStyle name="20% - Énfasis3 10" xfId="67" xr:uid="{00000000-0005-0000-0000-00003C000000}"/>
    <cellStyle name="20% - Énfasis3 10 2" xfId="68" xr:uid="{00000000-0005-0000-0000-00003D000000}"/>
    <cellStyle name="20% - Énfasis3 10 2 2" xfId="3182" xr:uid="{59C1710D-8307-49AF-8F70-E8DEDD4EFD10}"/>
    <cellStyle name="20% - Énfasis3 10 3" xfId="3181" xr:uid="{27075650-2F81-48E3-B094-250CA89DC1B2}"/>
    <cellStyle name="20% - Énfasis3 11" xfId="69" xr:uid="{00000000-0005-0000-0000-00003E000000}"/>
    <cellStyle name="20% - Énfasis3 11 2" xfId="70" xr:uid="{00000000-0005-0000-0000-00003F000000}"/>
    <cellStyle name="20% - Énfasis3 11 2 2" xfId="3184" xr:uid="{E4F05264-7F0E-4647-976F-5A8E46EB1225}"/>
    <cellStyle name="20% - Énfasis3 11 3" xfId="3183" xr:uid="{A9EFB014-9E52-4317-8DCE-4D5179536806}"/>
    <cellStyle name="20% - Énfasis3 12" xfId="71" xr:uid="{00000000-0005-0000-0000-000040000000}"/>
    <cellStyle name="20% - Énfasis3 12 2" xfId="72" xr:uid="{00000000-0005-0000-0000-000041000000}"/>
    <cellStyle name="20% - Énfasis3 12 2 2" xfId="3186" xr:uid="{E95EB21C-3626-4986-9CAE-079699688416}"/>
    <cellStyle name="20% - Énfasis3 12 3" xfId="3185" xr:uid="{89B093BF-F091-4BEF-85D5-869A125DF05D}"/>
    <cellStyle name="20% - Énfasis3 13" xfId="73" xr:uid="{00000000-0005-0000-0000-000042000000}"/>
    <cellStyle name="20% - Énfasis3 13 2" xfId="74" xr:uid="{00000000-0005-0000-0000-000043000000}"/>
    <cellStyle name="20% - Énfasis3 13 2 2" xfId="3188" xr:uid="{00AD48C4-7840-42B9-A181-264848F39C21}"/>
    <cellStyle name="20% - Énfasis3 13 3" xfId="3187" xr:uid="{80E6AC1D-94BE-4E21-81CE-294E91C42368}"/>
    <cellStyle name="20% - Énfasis3 14" xfId="75" xr:uid="{00000000-0005-0000-0000-000044000000}"/>
    <cellStyle name="20% - Énfasis3 14 2" xfId="76" xr:uid="{00000000-0005-0000-0000-000045000000}"/>
    <cellStyle name="20% - Énfasis3 14 2 2" xfId="3190" xr:uid="{2F4D81F6-E1C7-4293-8695-E4F942E37619}"/>
    <cellStyle name="20% - Énfasis3 14 3" xfId="3189" xr:uid="{307A9969-A634-441A-8BF4-67A37492CBBE}"/>
    <cellStyle name="20% - Énfasis3 15" xfId="66" xr:uid="{00000000-0005-0000-0000-000046000000}"/>
    <cellStyle name="20% - Énfasis3 16" xfId="3111" xr:uid="{3C6259C0-A7DD-4AB7-AB41-528CE4B2BDC3}"/>
    <cellStyle name="20% - Énfasis3 16 2" xfId="3549" xr:uid="{721136AA-A26C-4085-9868-1971EAB53509}"/>
    <cellStyle name="20% - Énfasis3 2" xfId="77" xr:uid="{00000000-0005-0000-0000-000047000000}"/>
    <cellStyle name="20% - Énfasis3 2 2" xfId="78" xr:uid="{00000000-0005-0000-0000-000048000000}"/>
    <cellStyle name="20% - Énfasis3 2 2 2" xfId="3192" xr:uid="{23FB28F4-8670-41A4-AF06-21512F19E151}"/>
    <cellStyle name="20% - Énfasis3 2 3" xfId="3191" xr:uid="{03CC3702-EBBD-4234-BCB7-E4A43B40422A}"/>
    <cellStyle name="20% - Énfasis3 3" xfId="79" xr:uid="{00000000-0005-0000-0000-000049000000}"/>
    <cellStyle name="20% - Énfasis3 3 2" xfId="80" xr:uid="{00000000-0005-0000-0000-00004A000000}"/>
    <cellStyle name="20% - Énfasis3 3 2 2" xfId="3194" xr:uid="{9FF107CA-B821-45D9-B1D3-E92637F17F3B}"/>
    <cellStyle name="20% - Énfasis3 3 3" xfId="3193" xr:uid="{89ACAA25-C0E4-4935-BC26-A0D54F70CEF3}"/>
    <cellStyle name="20% - Énfasis3 4" xfId="81" xr:uid="{00000000-0005-0000-0000-00004B000000}"/>
    <cellStyle name="20% - Énfasis3 4 2" xfId="82" xr:uid="{00000000-0005-0000-0000-00004C000000}"/>
    <cellStyle name="20% - Énfasis3 4 2 2" xfId="3196" xr:uid="{E7AB2B64-EE3D-458A-9A87-08E240A71DEA}"/>
    <cellStyle name="20% - Énfasis3 4 3" xfId="3195" xr:uid="{68C45C6C-A47B-4901-9FA6-23057BE493C1}"/>
    <cellStyle name="20% - Énfasis3 5" xfId="83" xr:uid="{00000000-0005-0000-0000-00004D000000}"/>
    <cellStyle name="20% - Énfasis3 5 2" xfId="84" xr:uid="{00000000-0005-0000-0000-00004E000000}"/>
    <cellStyle name="20% - Énfasis3 5 2 2" xfId="3198" xr:uid="{00D80F47-60D3-43EC-B864-D384D3C9B045}"/>
    <cellStyle name="20% - Énfasis3 5 3" xfId="3197" xr:uid="{ECC9B3E0-3E11-4179-8FA5-1CD6EEC1E675}"/>
    <cellStyle name="20% - Énfasis3 6" xfId="85" xr:uid="{00000000-0005-0000-0000-00004F000000}"/>
    <cellStyle name="20% - Énfasis3 6 2" xfId="86" xr:uid="{00000000-0005-0000-0000-000050000000}"/>
    <cellStyle name="20% - Énfasis3 6 2 2" xfId="3200" xr:uid="{C173DBE9-6F1E-42AF-AB19-490EC1EAEAA8}"/>
    <cellStyle name="20% - Énfasis3 6 3" xfId="3199" xr:uid="{6C7D4B2D-4A1D-4E92-AA61-F6B24172A4BB}"/>
    <cellStyle name="20% - Énfasis3 7" xfId="87" xr:uid="{00000000-0005-0000-0000-000051000000}"/>
    <cellStyle name="20% - Énfasis3 7 2" xfId="88" xr:uid="{00000000-0005-0000-0000-000052000000}"/>
    <cellStyle name="20% - Énfasis3 7 2 2" xfId="3202" xr:uid="{8E40986D-78D6-44C5-9B1E-71A137C6C855}"/>
    <cellStyle name="20% - Énfasis3 7 3" xfId="3201" xr:uid="{024EAC48-E340-4F03-982C-D6F3CCD5DD09}"/>
    <cellStyle name="20% - Énfasis3 8" xfId="89" xr:uid="{00000000-0005-0000-0000-000053000000}"/>
    <cellStyle name="20% - Énfasis3 8 2" xfId="90" xr:uid="{00000000-0005-0000-0000-000054000000}"/>
    <cellStyle name="20% - Énfasis3 8 2 2" xfId="3204" xr:uid="{78D6B982-ED60-4434-B479-FD1FB519CD54}"/>
    <cellStyle name="20% - Énfasis3 8 3" xfId="3203" xr:uid="{AB68385E-9B6F-4DBA-8F8B-FAE750683C7A}"/>
    <cellStyle name="20% - Énfasis3 9" xfId="91" xr:uid="{00000000-0005-0000-0000-000055000000}"/>
    <cellStyle name="20% - Énfasis3 9 2" xfId="92" xr:uid="{00000000-0005-0000-0000-000056000000}"/>
    <cellStyle name="20% - Énfasis3 9 2 2" xfId="3206" xr:uid="{F26D5FE1-738A-4AAE-B676-ADE5A793BF2D}"/>
    <cellStyle name="20% - Énfasis3 9 3" xfId="3205" xr:uid="{41FA2AA6-3432-4AB0-9409-85DEA3493330}"/>
    <cellStyle name="20% - Énfasis4 10" xfId="94" xr:uid="{00000000-0005-0000-0000-000057000000}"/>
    <cellStyle name="20% - Énfasis4 10 2" xfId="95" xr:uid="{00000000-0005-0000-0000-000058000000}"/>
    <cellStyle name="20% - Énfasis4 10 2 2" xfId="3208" xr:uid="{84CA1BD1-CEFC-40B9-853A-73663D4A9418}"/>
    <cellStyle name="20% - Énfasis4 10 3" xfId="3207" xr:uid="{C6A49DCF-D370-4658-9D43-E325BDE58BE0}"/>
    <cellStyle name="20% - Énfasis4 11" xfId="96" xr:uid="{00000000-0005-0000-0000-000059000000}"/>
    <cellStyle name="20% - Énfasis4 11 2" xfId="97" xr:uid="{00000000-0005-0000-0000-00005A000000}"/>
    <cellStyle name="20% - Énfasis4 11 2 2" xfId="3210" xr:uid="{C851FA4E-8523-4621-9BE7-76928BC280E4}"/>
    <cellStyle name="20% - Énfasis4 11 3" xfId="3209" xr:uid="{6DA98D0B-51DF-42D3-84DD-0585381D5C7C}"/>
    <cellStyle name="20% - Énfasis4 12" xfId="98" xr:uid="{00000000-0005-0000-0000-00005B000000}"/>
    <cellStyle name="20% - Énfasis4 12 2" xfId="99" xr:uid="{00000000-0005-0000-0000-00005C000000}"/>
    <cellStyle name="20% - Énfasis4 12 2 2" xfId="3212" xr:uid="{392A2B42-498B-439E-B307-4E4AF7DEA39C}"/>
    <cellStyle name="20% - Énfasis4 12 3" xfId="3211" xr:uid="{FD09EB39-6EF6-4354-A940-2E1ACBD0796A}"/>
    <cellStyle name="20% - Énfasis4 13" xfId="100" xr:uid="{00000000-0005-0000-0000-00005D000000}"/>
    <cellStyle name="20% - Énfasis4 13 2" xfId="101" xr:uid="{00000000-0005-0000-0000-00005E000000}"/>
    <cellStyle name="20% - Énfasis4 13 2 2" xfId="3214" xr:uid="{66B6FEFC-9188-4891-8C35-44F0E3303B9D}"/>
    <cellStyle name="20% - Énfasis4 13 3" xfId="3213" xr:uid="{D0A7FFDE-957D-45F9-9C36-A5C59E958E52}"/>
    <cellStyle name="20% - Énfasis4 14" xfId="102" xr:uid="{00000000-0005-0000-0000-00005F000000}"/>
    <cellStyle name="20% - Énfasis4 14 2" xfId="103" xr:uid="{00000000-0005-0000-0000-000060000000}"/>
    <cellStyle name="20% - Énfasis4 14 2 2" xfId="3216" xr:uid="{46BE0C04-D116-4A4C-B86B-1E7C8AAD4B31}"/>
    <cellStyle name="20% - Énfasis4 14 3" xfId="3215" xr:uid="{00764606-ADFC-4C9E-B777-D4B0109FE406}"/>
    <cellStyle name="20% - Énfasis4 15" xfId="93" xr:uid="{00000000-0005-0000-0000-000061000000}"/>
    <cellStyle name="20% - Énfasis4 16" xfId="3114" xr:uid="{A41B8C20-9491-43FA-881E-7A31B0701B5B}"/>
    <cellStyle name="20% - Énfasis4 16 2" xfId="3552" xr:uid="{5A88AB31-BC33-4AEC-A654-3B462DD52E34}"/>
    <cellStyle name="20% - Énfasis4 2" xfId="104" xr:uid="{00000000-0005-0000-0000-000062000000}"/>
    <cellStyle name="20% - Énfasis4 2 2" xfId="105" xr:uid="{00000000-0005-0000-0000-000063000000}"/>
    <cellStyle name="20% - Énfasis4 2 2 2" xfId="3218" xr:uid="{C332F909-AF9D-46EF-AE9F-6F59357E3719}"/>
    <cellStyle name="20% - Énfasis4 2 3" xfId="3217" xr:uid="{1B79C1D6-5E6B-444E-BBD2-7AF4FBED48BF}"/>
    <cellStyle name="20% - Énfasis4 3" xfId="106" xr:uid="{00000000-0005-0000-0000-000064000000}"/>
    <cellStyle name="20% - Énfasis4 3 2" xfId="107" xr:uid="{00000000-0005-0000-0000-000065000000}"/>
    <cellStyle name="20% - Énfasis4 3 2 2" xfId="3220" xr:uid="{0E6B7867-4F9C-4E5C-9C1B-67EA519CBE45}"/>
    <cellStyle name="20% - Énfasis4 3 3" xfId="3219" xr:uid="{4FCD4224-E6FB-42CD-8B85-9251EBCEDFFD}"/>
    <cellStyle name="20% - Énfasis4 4" xfId="108" xr:uid="{00000000-0005-0000-0000-000066000000}"/>
    <cellStyle name="20% - Énfasis4 4 2" xfId="109" xr:uid="{00000000-0005-0000-0000-000067000000}"/>
    <cellStyle name="20% - Énfasis4 4 2 2" xfId="3222" xr:uid="{C764511C-32E8-4294-9E58-BE552AF82681}"/>
    <cellStyle name="20% - Énfasis4 4 3" xfId="3221" xr:uid="{B4B43EAB-4FDA-4D5A-938A-44E3C57B4C9B}"/>
    <cellStyle name="20% - Énfasis4 5" xfId="110" xr:uid="{00000000-0005-0000-0000-000068000000}"/>
    <cellStyle name="20% - Énfasis4 5 2" xfId="111" xr:uid="{00000000-0005-0000-0000-000069000000}"/>
    <cellStyle name="20% - Énfasis4 5 2 2" xfId="3224" xr:uid="{8A130845-DAB1-4054-84E6-15CF71F901B6}"/>
    <cellStyle name="20% - Énfasis4 5 3" xfId="3223" xr:uid="{EB988788-FCEF-4505-82C6-CCB19241B0DB}"/>
    <cellStyle name="20% - Énfasis4 6" xfId="112" xr:uid="{00000000-0005-0000-0000-00006A000000}"/>
    <cellStyle name="20% - Énfasis4 6 2" xfId="113" xr:uid="{00000000-0005-0000-0000-00006B000000}"/>
    <cellStyle name="20% - Énfasis4 6 2 2" xfId="3226" xr:uid="{A58C29B4-6531-4E96-BAA1-D134007233B9}"/>
    <cellStyle name="20% - Énfasis4 6 3" xfId="3225" xr:uid="{62BA0DB7-EBA0-48F8-89E4-C3049EF4C727}"/>
    <cellStyle name="20% - Énfasis4 7" xfId="114" xr:uid="{00000000-0005-0000-0000-00006C000000}"/>
    <cellStyle name="20% - Énfasis4 7 2" xfId="115" xr:uid="{00000000-0005-0000-0000-00006D000000}"/>
    <cellStyle name="20% - Énfasis4 7 2 2" xfId="3228" xr:uid="{355C3AFA-C33D-49AF-ABB0-81D0FDA5387D}"/>
    <cellStyle name="20% - Énfasis4 7 3" xfId="3227" xr:uid="{71834889-A0C1-462D-91D1-7A9AC145104A}"/>
    <cellStyle name="20% - Énfasis4 8" xfId="116" xr:uid="{00000000-0005-0000-0000-00006E000000}"/>
    <cellStyle name="20% - Énfasis4 8 2" xfId="117" xr:uid="{00000000-0005-0000-0000-00006F000000}"/>
    <cellStyle name="20% - Énfasis4 8 2 2" xfId="3230" xr:uid="{170F2EAB-B265-48E5-AD52-6E5766F2231D}"/>
    <cellStyle name="20% - Énfasis4 8 3" xfId="3229" xr:uid="{7DFFB8AC-4144-4928-BA9A-0BAA768A3C67}"/>
    <cellStyle name="20% - Énfasis4 9" xfId="118" xr:uid="{00000000-0005-0000-0000-000070000000}"/>
    <cellStyle name="20% - Énfasis4 9 2" xfId="119" xr:uid="{00000000-0005-0000-0000-000071000000}"/>
    <cellStyle name="20% - Énfasis4 9 2 2" xfId="3232" xr:uid="{52B3DCF4-7420-40CE-BFC0-AAEA4FAA5F7F}"/>
    <cellStyle name="20% - Énfasis4 9 3" xfId="3231" xr:uid="{F5918B1E-2F7A-4D42-9D26-117EC16A1B5A}"/>
    <cellStyle name="20% - Énfasis5 10" xfId="121" xr:uid="{00000000-0005-0000-0000-000072000000}"/>
    <cellStyle name="20% - Énfasis5 10 2" xfId="122" xr:uid="{00000000-0005-0000-0000-000073000000}"/>
    <cellStyle name="20% - Énfasis5 10 2 2" xfId="3234" xr:uid="{CC8351F3-8DF3-4F90-BEA4-251EE66DE60E}"/>
    <cellStyle name="20% - Énfasis5 10 3" xfId="3233" xr:uid="{45C3CF08-27E8-4D74-836E-EA9A290B3CBA}"/>
    <cellStyle name="20% - Énfasis5 11" xfId="123" xr:uid="{00000000-0005-0000-0000-000074000000}"/>
    <cellStyle name="20% - Énfasis5 11 2" xfId="124" xr:uid="{00000000-0005-0000-0000-000075000000}"/>
    <cellStyle name="20% - Énfasis5 11 2 2" xfId="3236" xr:uid="{9F53E611-40A3-4E37-8976-7C989B313363}"/>
    <cellStyle name="20% - Énfasis5 11 3" xfId="3235" xr:uid="{27EC76DA-4C7C-476C-809E-541053316560}"/>
    <cellStyle name="20% - Énfasis5 12" xfId="125" xr:uid="{00000000-0005-0000-0000-000076000000}"/>
    <cellStyle name="20% - Énfasis5 12 2" xfId="126" xr:uid="{00000000-0005-0000-0000-000077000000}"/>
    <cellStyle name="20% - Énfasis5 12 2 2" xfId="3238" xr:uid="{1D61A059-2141-4280-9930-9074166BCE93}"/>
    <cellStyle name="20% - Énfasis5 12 3" xfId="3237" xr:uid="{3F37DF19-AF4C-46FF-9BBC-09C4ECC3A86F}"/>
    <cellStyle name="20% - Énfasis5 13" xfId="127" xr:uid="{00000000-0005-0000-0000-000078000000}"/>
    <cellStyle name="20% - Énfasis5 13 2" xfId="128" xr:uid="{00000000-0005-0000-0000-000079000000}"/>
    <cellStyle name="20% - Énfasis5 13 2 2" xfId="3240" xr:uid="{38188F39-9398-4C97-9330-CA56587A5C60}"/>
    <cellStyle name="20% - Énfasis5 13 3" xfId="3239" xr:uid="{879CBCAC-5BD9-4585-AEAA-E38EBA53E927}"/>
    <cellStyle name="20% - Énfasis5 14" xfId="129" xr:uid="{00000000-0005-0000-0000-00007A000000}"/>
    <cellStyle name="20% - Énfasis5 14 2" xfId="130" xr:uid="{00000000-0005-0000-0000-00007B000000}"/>
    <cellStyle name="20% - Énfasis5 14 2 2" xfId="3242" xr:uid="{F8F12D77-7994-4F31-BBB3-B56F72E05C3D}"/>
    <cellStyle name="20% - Énfasis5 14 3" xfId="3241" xr:uid="{B512876B-4920-4CB5-ACE3-3ECAFA35C902}"/>
    <cellStyle name="20% - Énfasis5 15" xfId="120" xr:uid="{00000000-0005-0000-0000-00007C000000}"/>
    <cellStyle name="20% - Énfasis5 16" xfId="3117" xr:uid="{32D38F27-6CF8-4A3E-9586-B0857A91C863}"/>
    <cellStyle name="20% - Énfasis5 16 2" xfId="3555" xr:uid="{786D868D-4800-4DDF-A06B-E7BE579B64DA}"/>
    <cellStyle name="20% - Énfasis5 2" xfId="131" xr:uid="{00000000-0005-0000-0000-00007D000000}"/>
    <cellStyle name="20% - Énfasis5 2 2" xfId="132" xr:uid="{00000000-0005-0000-0000-00007E000000}"/>
    <cellStyle name="20% - Énfasis5 2 2 2" xfId="3244" xr:uid="{5837E9BC-1FE3-43C9-961A-1A1FC93EBA1D}"/>
    <cellStyle name="20% - Énfasis5 2 3" xfId="3243" xr:uid="{A5F9BA1D-994A-4AEC-9D42-50B551C02238}"/>
    <cellStyle name="20% - Énfasis5 3" xfId="133" xr:uid="{00000000-0005-0000-0000-00007F000000}"/>
    <cellStyle name="20% - Énfasis5 3 2" xfId="134" xr:uid="{00000000-0005-0000-0000-000080000000}"/>
    <cellStyle name="20% - Énfasis5 3 2 2" xfId="3246" xr:uid="{F30C640F-5E48-4842-A250-B9331DC2C108}"/>
    <cellStyle name="20% - Énfasis5 3 3" xfId="3245" xr:uid="{98F13638-E695-490C-AC0D-B2BD236894C3}"/>
    <cellStyle name="20% - Énfasis5 4" xfId="135" xr:uid="{00000000-0005-0000-0000-000081000000}"/>
    <cellStyle name="20% - Énfasis5 4 2" xfId="136" xr:uid="{00000000-0005-0000-0000-000082000000}"/>
    <cellStyle name="20% - Énfasis5 4 2 2" xfId="3248" xr:uid="{E6786148-DE35-4E7C-B246-4738DC378917}"/>
    <cellStyle name="20% - Énfasis5 4 3" xfId="3247" xr:uid="{4CCE36F3-2511-4745-AB1A-CF62983151E2}"/>
    <cellStyle name="20% - Énfasis5 5" xfId="137" xr:uid="{00000000-0005-0000-0000-000083000000}"/>
    <cellStyle name="20% - Énfasis5 5 2" xfId="138" xr:uid="{00000000-0005-0000-0000-000084000000}"/>
    <cellStyle name="20% - Énfasis5 5 2 2" xfId="3250" xr:uid="{6560AF82-121D-47F9-AB85-5FF141B7CFC6}"/>
    <cellStyle name="20% - Énfasis5 5 3" xfId="3249" xr:uid="{1AEAB87D-F5B6-4645-8523-48C8A47C3CDE}"/>
    <cellStyle name="20% - Énfasis5 6" xfId="139" xr:uid="{00000000-0005-0000-0000-000085000000}"/>
    <cellStyle name="20% - Énfasis5 6 2" xfId="140" xr:uid="{00000000-0005-0000-0000-000086000000}"/>
    <cellStyle name="20% - Énfasis5 6 2 2" xfId="3252" xr:uid="{7810301F-0CE3-437F-8FA7-BDEADFB4735A}"/>
    <cellStyle name="20% - Énfasis5 6 3" xfId="3251" xr:uid="{30CA46B1-4BAC-4A3D-A6E5-F1F34B93FE41}"/>
    <cellStyle name="20% - Énfasis5 7" xfId="141" xr:uid="{00000000-0005-0000-0000-000087000000}"/>
    <cellStyle name="20% - Énfasis5 7 2" xfId="142" xr:uid="{00000000-0005-0000-0000-000088000000}"/>
    <cellStyle name="20% - Énfasis5 7 2 2" xfId="3254" xr:uid="{A3846588-77E3-4981-A0B2-2D9F51F915D3}"/>
    <cellStyle name="20% - Énfasis5 7 3" xfId="3253" xr:uid="{D6C62BD2-EA0B-4EA0-A0B1-EB5487F69AFC}"/>
    <cellStyle name="20% - Énfasis5 8" xfId="143" xr:uid="{00000000-0005-0000-0000-000089000000}"/>
    <cellStyle name="20% - Énfasis5 8 2" xfId="144" xr:uid="{00000000-0005-0000-0000-00008A000000}"/>
    <cellStyle name="20% - Énfasis5 8 2 2" xfId="3256" xr:uid="{213C0C90-BDFF-4AD1-94CD-E6FE5506DB2B}"/>
    <cellStyle name="20% - Énfasis5 8 3" xfId="3255" xr:uid="{D38BA4E9-83A6-422D-90C3-7B29BAAAEF55}"/>
    <cellStyle name="20% - Énfasis5 9" xfId="145" xr:uid="{00000000-0005-0000-0000-00008B000000}"/>
    <cellStyle name="20% - Énfasis5 9 2" xfId="146" xr:uid="{00000000-0005-0000-0000-00008C000000}"/>
    <cellStyle name="20% - Énfasis5 9 2 2" xfId="3258" xr:uid="{D7E85116-35D2-4CFA-9A7B-7CBECA03F79A}"/>
    <cellStyle name="20% - Énfasis5 9 3" xfId="3257" xr:uid="{028AC600-137B-4BA1-B56E-FDB7FBC36098}"/>
    <cellStyle name="20% - Énfasis6 10" xfId="148" xr:uid="{00000000-0005-0000-0000-00008D000000}"/>
    <cellStyle name="20% - Énfasis6 10 2" xfId="149" xr:uid="{00000000-0005-0000-0000-00008E000000}"/>
    <cellStyle name="20% - Énfasis6 10 2 2" xfId="3260" xr:uid="{93D32B26-8795-4ACF-9321-6E24D56E4A41}"/>
    <cellStyle name="20% - Énfasis6 10 3" xfId="3259" xr:uid="{D5B23F34-F695-4033-92D3-EAFD6020D22F}"/>
    <cellStyle name="20% - Énfasis6 11" xfId="150" xr:uid="{00000000-0005-0000-0000-00008F000000}"/>
    <cellStyle name="20% - Énfasis6 11 2" xfId="151" xr:uid="{00000000-0005-0000-0000-000090000000}"/>
    <cellStyle name="20% - Énfasis6 11 2 2" xfId="3262" xr:uid="{255862AC-4E23-4DBD-AAAC-79AE69F54E15}"/>
    <cellStyle name="20% - Énfasis6 11 3" xfId="3261" xr:uid="{7124C01E-C45E-40B3-B1ED-798EE281D3A1}"/>
    <cellStyle name="20% - Énfasis6 12" xfId="152" xr:uid="{00000000-0005-0000-0000-000091000000}"/>
    <cellStyle name="20% - Énfasis6 12 2" xfId="153" xr:uid="{00000000-0005-0000-0000-000092000000}"/>
    <cellStyle name="20% - Énfasis6 12 2 2" xfId="3264" xr:uid="{8A73DFD9-F33F-4E25-9CC9-27E34F907D55}"/>
    <cellStyle name="20% - Énfasis6 12 3" xfId="3263" xr:uid="{5142D36C-0057-4920-A612-5D260AD0C594}"/>
    <cellStyle name="20% - Énfasis6 13" xfId="154" xr:uid="{00000000-0005-0000-0000-000093000000}"/>
    <cellStyle name="20% - Énfasis6 13 2" xfId="155" xr:uid="{00000000-0005-0000-0000-000094000000}"/>
    <cellStyle name="20% - Énfasis6 13 2 2" xfId="3266" xr:uid="{A2857D1C-6D2A-42CD-B264-83294F96C4F6}"/>
    <cellStyle name="20% - Énfasis6 13 3" xfId="3265" xr:uid="{246904D4-056C-4D01-B959-022C9D539A1B}"/>
    <cellStyle name="20% - Énfasis6 14" xfId="156" xr:uid="{00000000-0005-0000-0000-000095000000}"/>
    <cellStyle name="20% - Énfasis6 14 2" xfId="157" xr:uid="{00000000-0005-0000-0000-000096000000}"/>
    <cellStyle name="20% - Énfasis6 14 2 2" xfId="3268" xr:uid="{ED4DFC84-7FD2-439D-B16E-1DBDAA10CB10}"/>
    <cellStyle name="20% - Énfasis6 14 3" xfId="3267" xr:uid="{F534753C-BAC7-47D9-9A1A-9712A3D0E23E}"/>
    <cellStyle name="20% - Énfasis6 15" xfId="147" xr:uid="{00000000-0005-0000-0000-000097000000}"/>
    <cellStyle name="20% - Énfasis6 16" xfId="3120" xr:uid="{3D4EF18F-2619-4C41-9BB0-A77DCE8AD0FA}"/>
    <cellStyle name="20% - Énfasis6 16 2" xfId="3558" xr:uid="{1F29136A-5084-46A3-9E45-D6EDBCC8C69A}"/>
    <cellStyle name="20% - Énfasis6 2" xfId="158" xr:uid="{00000000-0005-0000-0000-000098000000}"/>
    <cellStyle name="20% - Énfasis6 2 2" xfId="159" xr:uid="{00000000-0005-0000-0000-000099000000}"/>
    <cellStyle name="20% - Énfasis6 2 2 2" xfId="3270" xr:uid="{B7B0E932-E09E-4DE0-9E93-9171AEAE5DE3}"/>
    <cellStyle name="20% - Énfasis6 2 3" xfId="3269" xr:uid="{A6D68CB5-3C8B-43BE-B016-0CFB07F1B225}"/>
    <cellStyle name="20% - Énfasis6 3" xfId="160" xr:uid="{00000000-0005-0000-0000-00009A000000}"/>
    <cellStyle name="20% - Énfasis6 3 2" xfId="161" xr:uid="{00000000-0005-0000-0000-00009B000000}"/>
    <cellStyle name="20% - Énfasis6 3 2 2" xfId="3272" xr:uid="{5D2495B9-7575-41E2-8481-6702563CA56C}"/>
    <cellStyle name="20% - Énfasis6 3 3" xfId="3271" xr:uid="{82464383-866F-4C41-A569-B95F5988E291}"/>
    <cellStyle name="20% - Énfasis6 4" xfId="162" xr:uid="{00000000-0005-0000-0000-00009C000000}"/>
    <cellStyle name="20% - Énfasis6 4 2" xfId="163" xr:uid="{00000000-0005-0000-0000-00009D000000}"/>
    <cellStyle name="20% - Énfasis6 4 2 2" xfId="3274" xr:uid="{D2860CFA-8046-4E2A-A796-8D44E2432374}"/>
    <cellStyle name="20% - Énfasis6 4 3" xfId="3273" xr:uid="{635FF142-B26B-4484-B545-AD983B796FE3}"/>
    <cellStyle name="20% - Énfasis6 5" xfId="164" xr:uid="{00000000-0005-0000-0000-00009E000000}"/>
    <cellStyle name="20% - Énfasis6 5 2" xfId="165" xr:uid="{00000000-0005-0000-0000-00009F000000}"/>
    <cellStyle name="20% - Énfasis6 5 2 2" xfId="3276" xr:uid="{886ADD3E-4B1C-4A4D-8D28-C3EC35BB1A7F}"/>
    <cellStyle name="20% - Énfasis6 5 3" xfId="3275" xr:uid="{2A0667E2-DFE3-4BA7-8117-1C99D1A9961F}"/>
    <cellStyle name="20% - Énfasis6 6" xfId="166" xr:uid="{00000000-0005-0000-0000-0000A0000000}"/>
    <cellStyle name="20% - Énfasis6 6 2" xfId="167" xr:uid="{00000000-0005-0000-0000-0000A1000000}"/>
    <cellStyle name="20% - Énfasis6 6 2 2" xfId="3278" xr:uid="{1F177771-749A-420C-BE06-241DE6E4BBCD}"/>
    <cellStyle name="20% - Énfasis6 6 3" xfId="3277" xr:uid="{9A5C2659-364C-40A9-B9E9-B70EEA2FC2E1}"/>
    <cellStyle name="20% - Énfasis6 7" xfId="168" xr:uid="{00000000-0005-0000-0000-0000A2000000}"/>
    <cellStyle name="20% - Énfasis6 7 2" xfId="169" xr:uid="{00000000-0005-0000-0000-0000A3000000}"/>
    <cellStyle name="20% - Énfasis6 7 2 2" xfId="3280" xr:uid="{CFFB7BCD-027C-4D7D-87B0-3E2796A8095D}"/>
    <cellStyle name="20% - Énfasis6 7 3" xfId="3279" xr:uid="{5BE5AA97-C436-45DE-8ABC-316CFE2E6170}"/>
    <cellStyle name="20% - Énfasis6 8" xfId="170" xr:uid="{00000000-0005-0000-0000-0000A4000000}"/>
    <cellStyle name="20% - Énfasis6 8 2" xfId="171" xr:uid="{00000000-0005-0000-0000-0000A5000000}"/>
    <cellStyle name="20% - Énfasis6 8 2 2" xfId="3282" xr:uid="{F358EB5B-4B87-4FB1-9ED2-A4A4C640DD02}"/>
    <cellStyle name="20% - Énfasis6 8 3" xfId="3281" xr:uid="{D19CEDCB-863D-4946-9D41-DD152C885D8D}"/>
    <cellStyle name="20% - Énfasis6 9" xfId="172" xr:uid="{00000000-0005-0000-0000-0000A6000000}"/>
    <cellStyle name="20% - Énfasis6 9 2" xfId="173" xr:uid="{00000000-0005-0000-0000-0000A7000000}"/>
    <cellStyle name="20% - Énfasis6 9 2 2" xfId="3284" xr:uid="{1FFCB381-CD60-4EF6-824A-ADEBBE13EF69}"/>
    <cellStyle name="20% - Énfasis6 9 3" xfId="3283" xr:uid="{893F2AC8-3A55-4372-990A-2B81CB47CCDB}"/>
    <cellStyle name="40% - Accent1" xfId="174" xr:uid="{00000000-0005-0000-0000-0000A8000000}"/>
    <cellStyle name="40% - Accent1 2" xfId="3285" xr:uid="{FFA6BCD3-94BE-4D01-B4E9-3AB2B193E384}"/>
    <cellStyle name="40% - Accent2" xfId="175" xr:uid="{00000000-0005-0000-0000-0000A9000000}"/>
    <cellStyle name="40% - Accent2 2" xfId="3286" xr:uid="{E14EC03E-7357-4BB0-BA22-2DA6380EB00C}"/>
    <cellStyle name="40% - Accent3" xfId="176" xr:uid="{00000000-0005-0000-0000-0000AA000000}"/>
    <cellStyle name="40% - Accent3 2" xfId="3287" xr:uid="{78023988-18CB-4CB9-AE99-4EF731CCE3E8}"/>
    <cellStyle name="40% - Accent4" xfId="177" xr:uid="{00000000-0005-0000-0000-0000AB000000}"/>
    <cellStyle name="40% - Accent4 2" xfId="3288" xr:uid="{48C30B4E-F8A3-4D46-AC38-C0F94A1F1EA9}"/>
    <cellStyle name="40% - Accent5" xfId="178" xr:uid="{00000000-0005-0000-0000-0000AC000000}"/>
    <cellStyle name="40% - Accent5 2" xfId="3289" xr:uid="{1D636E48-A1D5-4C9F-A509-90A9B3E48486}"/>
    <cellStyle name="40% - Accent6" xfId="179" xr:uid="{00000000-0005-0000-0000-0000AD000000}"/>
    <cellStyle name="40% - Accent6 2" xfId="3290" xr:uid="{4D85F4C8-69B5-4AC8-AC39-9AE47AA51197}"/>
    <cellStyle name="40% - Énfasis1 10" xfId="181" xr:uid="{00000000-0005-0000-0000-0000AE000000}"/>
    <cellStyle name="40% - Énfasis1 10 2" xfId="182" xr:uid="{00000000-0005-0000-0000-0000AF000000}"/>
    <cellStyle name="40% - Énfasis1 10 2 2" xfId="3292" xr:uid="{70623AD7-ACF3-4E65-92AB-8BF4F058D49F}"/>
    <cellStyle name="40% - Énfasis1 10 3" xfId="3291" xr:uid="{9E84AC2D-2F05-4652-97D3-0368AAC521FF}"/>
    <cellStyle name="40% - Énfasis1 11" xfId="183" xr:uid="{00000000-0005-0000-0000-0000B0000000}"/>
    <cellStyle name="40% - Énfasis1 11 2" xfId="184" xr:uid="{00000000-0005-0000-0000-0000B1000000}"/>
    <cellStyle name="40% - Énfasis1 11 2 2" xfId="3294" xr:uid="{29B87BA0-9878-408B-A4D6-29E8DEC74AB4}"/>
    <cellStyle name="40% - Énfasis1 11 3" xfId="3293" xr:uid="{FF9D8C3B-4A2D-4425-9691-100811908C42}"/>
    <cellStyle name="40% - Énfasis1 12" xfId="185" xr:uid="{00000000-0005-0000-0000-0000B2000000}"/>
    <cellStyle name="40% - Énfasis1 12 2" xfId="186" xr:uid="{00000000-0005-0000-0000-0000B3000000}"/>
    <cellStyle name="40% - Énfasis1 12 2 2" xfId="3296" xr:uid="{14F0272B-40A3-40CD-BC3A-BFB992C3F0DE}"/>
    <cellStyle name="40% - Énfasis1 12 3" xfId="3295" xr:uid="{D917E063-4077-45A5-A9F1-3629AF706184}"/>
    <cellStyle name="40% - Énfasis1 13" xfId="187" xr:uid="{00000000-0005-0000-0000-0000B4000000}"/>
    <cellStyle name="40% - Énfasis1 13 2" xfId="188" xr:uid="{00000000-0005-0000-0000-0000B5000000}"/>
    <cellStyle name="40% - Énfasis1 13 2 2" xfId="3298" xr:uid="{3A4A086A-CE3E-442A-9A72-EB41A28D1453}"/>
    <cellStyle name="40% - Énfasis1 13 3" xfId="3297" xr:uid="{296C39E6-14C9-4BE6-8AC4-8D010769DDD7}"/>
    <cellStyle name="40% - Énfasis1 14" xfId="189" xr:uid="{00000000-0005-0000-0000-0000B6000000}"/>
    <cellStyle name="40% - Énfasis1 14 2" xfId="190" xr:uid="{00000000-0005-0000-0000-0000B7000000}"/>
    <cellStyle name="40% - Énfasis1 14 2 2" xfId="3300" xr:uid="{6EDB8791-5BE8-48B4-ADDE-E679F1319A37}"/>
    <cellStyle name="40% - Énfasis1 14 3" xfId="3299" xr:uid="{2D20A8C8-428D-42C6-9FB0-0160768BA970}"/>
    <cellStyle name="40% - Énfasis1 15" xfId="180" xr:uid="{00000000-0005-0000-0000-0000B8000000}"/>
    <cellStyle name="40% - Énfasis1 16" xfId="3106" xr:uid="{5702DC89-9EC1-4CE3-87D5-E4F30DBED61B}"/>
    <cellStyle name="40% - Énfasis1 16 2" xfId="3544" xr:uid="{2A3A8D81-EEDC-4530-BEA2-22694FFF6709}"/>
    <cellStyle name="40% - Énfasis1 2" xfId="191" xr:uid="{00000000-0005-0000-0000-0000B9000000}"/>
    <cellStyle name="40% - Énfasis1 2 2" xfId="192" xr:uid="{00000000-0005-0000-0000-0000BA000000}"/>
    <cellStyle name="40% - Énfasis1 2 2 2" xfId="3302" xr:uid="{FE752741-F733-4C93-81B7-EB053094656B}"/>
    <cellStyle name="40% - Énfasis1 2 3" xfId="3301" xr:uid="{1C66EDED-17AE-4C3E-A94D-DEA7A77C48BE}"/>
    <cellStyle name="40% - Énfasis1 3" xfId="193" xr:uid="{00000000-0005-0000-0000-0000BB000000}"/>
    <cellStyle name="40% - Énfasis1 3 2" xfId="194" xr:uid="{00000000-0005-0000-0000-0000BC000000}"/>
    <cellStyle name="40% - Énfasis1 3 2 2" xfId="3304" xr:uid="{45EB768B-5691-4827-8E1D-3C42FB131D99}"/>
    <cellStyle name="40% - Énfasis1 3 3" xfId="3303" xr:uid="{3A1559F7-24CF-48BB-B870-94EB1B47602C}"/>
    <cellStyle name="40% - Énfasis1 4" xfId="195" xr:uid="{00000000-0005-0000-0000-0000BD000000}"/>
    <cellStyle name="40% - Énfasis1 4 2" xfId="196" xr:uid="{00000000-0005-0000-0000-0000BE000000}"/>
    <cellStyle name="40% - Énfasis1 4 2 2" xfId="3306" xr:uid="{E01F8368-8B0A-4692-89BD-9D3A06050FED}"/>
    <cellStyle name="40% - Énfasis1 4 3" xfId="3305" xr:uid="{C66B94CC-4E21-4D5C-BF1C-344F34AA19B9}"/>
    <cellStyle name="40% - Énfasis1 5" xfId="197" xr:uid="{00000000-0005-0000-0000-0000BF000000}"/>
    <cellStyle name="40% - Énfasis1 5 2" xfId="198" xr:uid="{00000000-0005-0000-0000-0000C0000000}"/>
    <cellStyle name="40% - Énfasis1 5 2 2" xfId="3308" xr:uid="{0070B2CC-3CBB-40FB-ACBE-0888427D8E02}"/>
    <cellStyle name="40% - Énfasis1 5 3" xfId="3307" xr:uid="{A6C8B88C-B4D9-4DA0-871E-DD211D19FAAA}"/>
    <cellStyle name="40% - Énfasis1 6" xfId="199" xr:uid="{00000000-0005-0000-0000-0000C1000000}"/>
    <cellStyle name="40% - Énfasis1 6 2" xfId="200" xr:uid="{00000000-0005-0000-0000-0000C2000000}"/>
    <cellStyle name="40% - Énfasis1 6 2 2" xfId="3310" xr:uid="{A52A23BF-689A-4222-B55E-B294DADBD703}"/>
    <cellStyle name="40% - Énfasis1 6 3" xfId="3309" xr:uid="{138CB20C-EC3F-4EDB-9F0E-37C2632B5E9A}"/>
    <cellStyle name="40% - Énfasis1 7" xfId="201" xr:uid="{00000000-0005-0000-0000-0000C3000000}"/>
    <cellStyle name="40% - Énfasis1 7 2" xfId="202" xr:uid="{00000000-0005-0000-0000-0000C4000000}"/>
    <cellStyle name="40% - Énfasis1 7 2 2" xfId="3312" xr:uid="{7CAD5873-9773-4D29-89D4-418CA8D79CA9}"/>
    <cellStyle name="40% - Énfasis1 7 3" xfId="3311" xr:uid="{44155404-11AE-4EE6-A717-7D9269721CCD}"/>
    <cellStyle name="40% - Énfasis1 8" xfId="203" xr:uid="{00000000-0005-0000-0000-0000C5000000}"/>
    <cellStyle name="40% - Énfasis1 8 2" xfId="204" xr:uid="{00000000-0005-0000-0000-0000C6000000}"/>
    <cellStyle name="40% - Énfasis1 8 2 2" xfId="3314" xr:uid="{859B73E0-27FA-40FE-B213-99B12EDD947E}"/>
    <cellStyle name="40% - Énfasis1 8 3" xfId="3313" xr:uid="{DCB84E3F-A88D-4748-9ADB-241068F70C1E}"/>
    <cellStyle name="40% - Énfasis1 9" xfId="205" xr:uid="{00000000-0005-0000-0000-0000C7000000}"/>
    <cellStyle name="40% - Énfasis1 9 2" xfId="206" xr:uid="{00000000-0005-0000-0000-0000C8000000}"/>
    <cellStyle name="40% - Énfasis1 9 2 2" xfId="3316" xr:uid="{234F6ED9-9FA3-4E37-9573-85D3171F1FA1}"/>
    <cellStyle name="40% - Énfasis1 9 3" xfId="3315" xr:uid="{629C897D-F77A-47FE-9AA3-85C895EEE15B}"/>
    <cellStyle name="40% - Énfasis2 10" xfId="208" xr:uid="{00000000-0005-0000-0000-0000C9000000}"/>
    <cellStyle name="40% - Énfasis2 10 2" xfId="209" xr:uid="{00000000-0005-0000-0000-0000CA000000}"/>
    <cellStyle name="40% - Énfasis2 10 2 2" xfId="3318" xr:uid="{EF55F232-1F14-40DC-93C2-FA268C66E7EA}"/>
    <cellStyle name="40% - Énfasis2 10 3" xfId="3317" xr:uid="{5A61D17D-381B-405C-B9AB-A486344ED9BA}"/>
    <cellStyle name="40% - Énfasis2 11" xfId="210" xr:uid="{00000000-0005-0000-0000-0000CB000000}"/>
    <cellStyle name="40% - Énfasis2 11 2" xfId="211" xr:uid="{00000000-0005-0000-0000-0000CC000000}"/>
    <cellStyle name="40% - Énfasis2 11 2 2" xfId="3320" xr:uid="{48C0F42A-0AD6-4E3E-8504-036E59C57D0C}"/>
    <cellStyle name="40% - Énfasis2 11 3" xfId="3319" xr:uid="{B0167C04-AC46-4D51-9AA0-2C810B42374D}"/>
    <cellStyle name="40% - Énfasis2 12" xfId="212" xr:uid="{00000000-0005-0000-0000-0000CD000000}"/>
    <cellStyle name="40% - Énfasis2 12 2" xfId="213" xr:uid="{00000000-0005-0000-0000-0000CE000000}"/>
    <cellStyle name="40% - Énfasis2 12 2 2" xfId="3322" xr:uid="{C858E43E-154E-45D7-91AE-29F04D838626}"/>
    <cellStyle name="40% - Énfasis2 12 3" xfId="3321" xr:uid="{B0A8196B-2A05-48CB-9B13-22BA4C49C472}"/>
    <cellStyle name="40% - Énfasis2 13" xfId="214" xr:uid="{00000000-0005-0000-0000-0000CF000000}"/>
    <cellStyle name="40% - Énfasis2 13 2" xfId="215" xr:uid="{00000000-0005-0000-0000-0000D0000000}"/>
    <cellStyle name="40% - Énfasis2 13 2 2" xfId="3324" xr:uid="{8ED1789A-5A08-49A5-B434-72519E561D1D}"/>
    <cellStyle name="40% - Énfasis2 13 3" xfId="3323" xr:uid="{91EEE414-B036-4562-8EF5-723537D88ACE}"/>
    <cellStyle name="40% - Énfasis2 14" xfId="216" xr:uid="{00000000-0005-0000-0000-0000D1000000}"/>
    <cellStyle name="40% - Énfasis2 14 2" xfId="217" xr:uid="{00000000-0005-0000-0000-0000D2000000}"/>
    <cellStyle name="40% - Énfasis2 14 2 2" xfId="3326" xr:uid="{4BA0EF60-F29D-4C9F-A1F7-07A6D54ED2B9}"/>
    <cellStyle name="40% - Énfasis2 14 3" xfId="3325" xr:uid="{D5B4974C-2B11-43B5-A6BC-9045FD095B3A}"/>
    <cellStyle name="40% - Énfasis2 15" xfId="207" xr:uid="{00000000-0005-0000-0000-0000D3000000}"/>
    <cellStyle name="40% - Énfasis2 16" xfId="3109" xr:uid="{44E085A6-5F28-4B44-9F1E-059ECB7ACB8A}"/>
    <cellStyle name="40% - Énfasis2 16 2" xfId="3547" xr:uid="{2923477E-0148-47AC-986B-4EBAB4708865}"/>
    <cellStyle name="40% - Énfasis2 2" xfId="218" xr:uid="{00000000-0005-0000-0000-0000D4000000}"/>
    <cellStyle name="40% - Énfasis2 2 2" xfId="219" xr:uid="{00000000-0005-0000-0000-0000D5000000}"/>
    <cellStyle name="40% - Énfasis2 2 2 2" xfId="3328" xr:uid="{07607E85-742E-4AFD-A072-FCE35861C0D6}"/>
    <cellStyle name="40% - Énfasis2 2 3" xfId="3327" xr:uid="{1F046F9C-DFA0-4F8E-8E72-D319A8658CC7}"/>
    <cellStyle name="40% - Énfasis2 3" xfId="220" xr:uid="{00000000-0005-0000-0000-0000D6000000}"/>
    <cellStyle name="40% - Énfasis2 3 2" xfId="221" xr:uid="{00000000-0005-0000-0000-0000D7000000}"/>
    <cellStyle name="40% - Énfasis2 3 2 2" xfId="3330" xr:uid="{2EC09327-757B-4605-B2DB-BB92B3984E17}"/>
    <cellStyle name="40% - Énfasis2 3 3" xfId="3329" xr:uid="{8C2F0281-8CD7-45F1-88C5-5BB6F17E0B03}"/>
    <cellStyle name="40% - Énfasis2 4" xfId="222" xr:uid="{00000000-0005-0000-0000-0000D8000000}"/>
    <cellStyle name="40% - Énfasis2 4 2" xfId="223" xr:uid="{00000000-0005-0000-0000-0000D9000000}"/>
    <cellStyle name="40% - Énfasis2 4 2 2" xfId="3332" xr:uid="{965577EB-79CF-44B8-B022-F559B36078A7}"/>
    <cellStyle name="40% - Énfasis2 4 3" xfId="3331" xr:uid="{14B78668-834C-4C8A-9454-598687051937}"/>
    <cellStyle name="40% - Énfasis2 5" xfId="224" xr:uid="{00000000-0005-0000-0000-0000DA000000}"/>
    <cellStyle name="40% - Énfasis2 5 2" xfId="225" xr:uid="{00000000-0005-0000-0000-0000DB000000}"/>
    <cellStyle name="40% - Énfasis2 5 2 2" xfId="3334" xr:uid="{A8BA64D4-A2A3-47DA-B2E6-FE26EDC070D4}"/>
    <cellStyle name="40% - Énfasis2 5 3" xfId="3333" xr:uid="{7DEBAD23-FD06-4E95-B190-C514DA40E3B9}"/>
    <cellStyle name="40% - Énfasis2 6" xfId="226" xr:uid="{00000000-0005-0000-0000-0000DC000000}"/>
    <cellStyle name="40% - Énfasis2 6 2" xfId="227" xr:uid="{00000000-0005-0000-0000-0000DD000000}"/>
    <cellStyle name="40% - Énfasis2 6 2 2" xfId="3336" xr:uid="{6EF86BC4-5AF9-4A46-974C-D7460F31C958}"/>
    <cellStyle name="40% - Énfasis2 6 3" xfId="3335" xr:uid="{D30A06FD-542A-4DDD-9B78-59E0E5B526D7}"/>
    <cellStyle name="40% - Énfasis2 7" xfId="228" xr:uid="{00000000-0005-0000-0000-0000DE000000}"/>
    <cellStyle name="40% - Énfasis2 7 2" xfId="229" xr:uid="{00000000-0005-0000-0000-0000DF000000}"/>
    <cellStyle name="40% - Énfasis2 7 2 2" xfId="3338" xr:uid="{4A765A0A-A40E-4AE3-A390-B9DD1FC18EA2}"/>
    <cellStyle name="40% - Énfasis2 7 3" xfId="3337" xr:uid="{F8418BCA-8039-4665-B07C-DF8EBDBE10A4}"/>
    <cellStyle name="40% - Énfasis2 8" xfId="230" xr:uid="{00000000-0005-0000-0000-0000E0000000}"/>
    <cellStyle name="40% - Énfasis2 8 2" xfId="231" xr:uid="{00000000-0005-0000-0000-0000E1000000}"/>
    <cellStyle name="40% - Énfasis2 8 2 2" xfId="3340" xr:uid="{FE63B63A-2825-4D79-9E29-5C292D4EA0B6}"/>
    <cellStyle name="40% - Énfasis2 8 3" xfId="3339" xr:uid="{22124285-6235-4517-8F8C-497665C8E740}"/>
    <cellStyle name="40% - Énfasis2 9" xfId="232" xr:uid="{00000000-0005-0000-0000-0000E2000000}"/>
    <cellStyle name="40% - Énfasis2 9 2" xfId="233" xr:uid="{00000000-0005-0000-0000-0000E3000000}"/>
    <cellStyle name="40% - Énfasis2 9 2 2" xfId="3342" xr:uid="{A4D65980-F2DF-456C-A656-B158AD4DEC09}"/>
    <cellStyle name="40% - Énfasis2 9 3" xfId="3341" xr:uid="{DA07271B-4224-41BF-88AD-1B556EAC010F}"/>
    <cellStyle name="40% - Énfasis3 10" xfId="235" xr:uid="{00000000-0005-0000-0000-0000E4000000}"/>
    <cellStyle name="40% - Énfasis3 10 2" xfId="236" xr:uid="{00000000-0005-0000-0000-0000E5000000}"/>
    <cellStyle name="40% - Énfasis3 10 2 2" xfId="3344" xr:uid="{A971F87C-7D8A-4B73-91E8-7C230BA4FC8A}"/>
    <cellStyle name="40% - Énfasis3 10 3" xfId="3343" xr:uid="{817659E0-D4D8-41B4-940B-0C5E50577AC6}"/>
    <cellStyle name="40% - Énfasis3 11" xfId="237" xr:uid="{00000000-0005-0000-0000-0000E6000000}"/>
    <cellStyle name="40% - Énfasis3 11 2" xfId="238" xr:uid="{00000000-0005-0000-0000-0000E7000000}"/>
    <cellStyle name="40% - Énfasis3 11 2 2" xfId="3346" xr:uid="{47D7FF20-0862-4E75-9132-B8931979649C}"/>
    <cellStyle name="40% - Énfasis3 11 3" xfId="3345" xr:uid="{7DD8313C-C361-48A2-B44C-1B5449ABCC98}"/>
    <cellStyle name="40% - Énfasis3 12" xfId="239" xr:uid="{00000000-0005-0000-0000-0000E8000000}"/>
    <cellStyle name="40% - Énfasis3 12 2" xfId="240" xr:uid="{00000000-0005-0000-0000-0000E9000000}"/>
    <cellStyle name="40% - Énfasis3 12 2 2" xfId="3348" xr:uid="{DBD283C6-737E-4156-B9E8-2EAE9C37619B}"/>
    <cellStyle name="40% - Énfasis3 12 3" xfId="3347" xr:uid="{11B34238-DF75-42FA-9495-D7AA1E8AE60B}"/>
    <cellStyle name="40% - Énfasis3 13" xfId="241" xr:uid="{00000000-0005-0000-0000-0000EA000000}"/>
    <cellStyle name="40% - Énfasis3 13 2" xfId="242" xr:uid="{00000000-0005-0000-0000-0000EB000000}"/>
    <cellStyle name="40% - Énfasis3 13 2 2" xfId="3350" xr:uid="{6022507F-AE77-49A9-86D6-EC3FD99BD9F8}"/>
    <cellStyle name="40% - Énfasis3 13 3" xfId="3349" xr:uid="{F3B7BD9C-8C2B-4836-A56D-48DB13F9E72A}"/>
    <cellStyle name="40% - Énfasis3 14" xfId="243" xr:uid="{00000000-0005-0000-0000-0000EC000000}"/>
    <cellStyle name="40% - Énfasis3 14 2" xfId="244" xr:uid="{00000000-0005-0000-0000-0000ED000000}"/>
    <cellStyle name="40% - Énfasis3 14 2 2" xfId="3352" xr:uid="{73473E3D-182D-4FA8-B588-5DFE25A6FFB6}"/>
    <cellStyle name="40% - Énfasis3 14 3" xfId="3351" xr:uid="{870DE158-E6E9-428C-A8EE-152FC90CA242}"/>
    <cellStyle name="40% - Énfasis3 15" xfId="234" xr:uid="{00000000-0005-0000-0000-0000EE000000}"/>
    <cellStyle name="40% - Énfasis3 16" xfId="3112" xr:uid="{1A4F227D-D129-412A-91A5-ED27B68D2967}"/>
    <cellStyle name="40% - Énfasis3 16 2" xfId="3550" xr:uid="{8D7A2C12-1238-4DE2-B445-ECA0316E1C4E}"/>
    <cellStyle name="40% - Énfasis3 2" xfId="245" xr:uid="{00000000-0005-0000-0000-0000EF000000}"/>
    <cellStyle name="40% - Énfasis3 2 2" xfId="246" xr:uid="{00000000-0005-0000-0000-0000F0000000}"/>
    <cellStyle name="40% - Énfasis3 2 2 2" xfId="3354" xr:uid="{4F747AC0-8A5C-4DF3-BC3C-7C8722C2E85B}"/>
    <cellStyle name="40% - Énfasis3 2 3" xfId="3353" xr:uid="{18C77BB2-85AF-4C1C-81B9-B6EFB16D2478}"/>
    <cellStyle name="40% - Énfasis3 3" xfId="247" xr:uid="{00000000-0005-0000-0000-0000F1000000}"/>
    <cellStyle name="40% - Énfasis3 3 2" xfId="248" xr:uid="{00000000-0005-0000-0000-0000F2000000}"/>
    <cellStyle name="40% - Énfasis3 3 2 2" xfId="3356" xr:uid="{53422FD9-8BFD-4CB3-BDF1-BBAB80690B42}"/>
    <cellStyle name="40% - Énfasis3 3 3" xfId="3355" xr:uid="{920F94E1-8F14-4A9B-A5F4-1F8282694A12}"/>
    <cellStyle name="40% - Énfasis3 4" xfId="249" xr:uid="{00000000-0005-0000-0000-0000F3000000}"/>
    <cellStyle name="40% - Énfasis3 4 2" xfId="250" xr:uid="{00000000-0005-0000-0000-0000F4000000}"/>
    <cellStyle name="40% - Énfasis3 4 2 2" xfId="3358" xr:uid="{17927DD2-4B77-49C7-AF8F-2CE629148AD0}"/>
    <cellStyle name="40% - Énfasis3 4 3" xfId="3357" xr:uid="{6A948C6E-EA82-4AB8-B232-1FF732EA761C}"/>
    <cellStyle name="40% - Énfasis3 5" xfId="251" xr:uid="{00000000-0005-0000-0000-0000F5000000}"/>
    <cellStyle name="40% - Énfasis3 5 2" xfId="252" xr:uid="{00000000-0005-0000-0000-0000F6000000}"/>
    <cellStyle name="40% - Énfasis3 5 2 2" xfId="3360" xr:uid="{1575DC80-C69D-47A4-B4BC-CD2FC9117079}"/>
    <cellStyle name="40% - Énfasis3 5 3" xfId="3359" xr:uid="{A2DCAD5C-351D-4EF9-A9BD-9C02FE154362}"/>
    <cellStyle name="40% - Énfasis3 6" xfId="253" xr:uid="{00000000-0005-0000-0000-0000F7000000}"/>
    <cellStyle name="40% - Énfasis3 6 2" xfId="254" xr:uid="{00000000-0005-0000-0000-0000F8000000}"/>
    <cellStyle name="40% - Énfasis3 6 2 2" xfId="3362" xr:uid="{D23D737D-8D04-48C3-934A-E1A59F0185C4}"/>
    <cellStyle name="40% - Énfasis3 6 3" xfId="3361" xr:uid="{783F088F-D2C5-420B-AEC2-59E320B5A8B1}"/>
    <cellStyle name="40% - Énfasis3 7" xfId="255" xr:uid="{00000000-0005-0000-0000-0000F9000000}"/>
    <cellStyle name="40% - Énfasis3 7 2" xfId="256" xr:uid="{00000000-0005-0000-0000-0000FA000000}"/>
    <cellStyle name="40% - Énfasis3 7 2 2" xfId="3364" xr:uid="{A4B08464-0034-4D2D-824C-2C8782020E8F}"/>
    <cellStyle name="40% - Énfasis3 7 3" xfId="3363" xr:uid="{EDAFB5F7-5FC8-4AB3-B5A6-F515F4CC94C7}"/>
    <cellStyle name="40% - Énfasis3 8" xfId="257" xr:uid="{00000000-0005-0000-0000-0000FB000000}"/>
    <cellStyle name="40% - Énfasis3 8 2" xfId="258" xr:uid="{00000000-0005-0000-0000-0000FC000000}"/>
    <cellStyle name="40% - Énfasis3 8 2 2" xfId="3366" xr:uid="{4E822A61-5379-43A6-9B75-F4B76B275EBB}"/>
    <cellStyle name="40% - Énfasis3 8 3" xfId="3365" xr:uid="{064195BC-EFA1-4850-9730-33EC71548769}"/>
    <cellStyle name="40% - Énfasis3 9" xfId="259" xr:uid="{00000000-0005-0000-0000-0000FD000000}"/>
    <cellStyle name="40% - Énfasis3 9 2" xfId="260" xr:uid="{00000000-0005-0000-0000-0000FE000000}"/>
    <cellStyle name="40% - Énfasis3 9 2 2" xfId="3368" xr:uid="{66A68DA6-F69B-481E-9331-B6DD6F87FC4E}"/>
    <cellStyle name="40% - Énfasis3 9 3" xfId="3367" xr:uid="{7E4248D0-91B9-47C7-82CE-E76094CD70CE}"/>
    <cellStyle name="40% - Énfasis4 10" xfId="262" xr:uid="{00000000-0005-0000-0000-0000FF000000}"/>
    <cellStyle name="40% - Énfasis4 10 2" xfId="263" xr:uid="{00000000-0005-0000-0000-000000010000}"/>
    <cellStyle name="40% - Énfasis4 10 2 2" xfId="3370" xr:uid="{00686315-4AAB-4C21-A288-4DAD142DFCDA}"/>
    <cellStyle name="40% - Énfasis4 10 3" xfId="3369" xr:uid="{330E677E-BCDE-4BA8-AC7E-8301DAE8B49E}"/>
    <cellStyle name="40% - Énfasis4 11" xfId="264" xr:uid="{00000000-0005-0000-0000-000001010000}"/>
    <cellStyle name="40% - Énfasis4 11 2" xfId="265" xr:uid="{00000000-0005-0000-0000-000002010000}"/>
    <cellStyle name="40% - Énfasis4 11 2 2" xfId="3372" xr:uid="{DD57B817-0B19-4A1A-8B56-D80263483CD5}"/>
    <cellStyle name="40% - Énfasis4 11 3" xfId="3371" xr:uid="{0FB24753-0522-4901-B0F8-13D47C0FCE52}"/>
    <cellStyle name="40% - Énfasis4 12" xfId="266" xr:uid="{00000000-0005-0000-0000-000003010000}"/>
    <cellStyle name="40% - Énfasis4 12 2" xfId="267" xr:uid="{00000000-0005-0000-0000-000004010000}"/>
    <cellStyle name="40% - Énfasis4 12 2 2" xfId="3374" xr:uid="{0DB1779B-CE22-4EEF-AEEA-EB3935E747A0}"/>
    <cellStyle name="40% - Énfasis4 12 3" xfId="3373" xr:uid="{E9DF9D72-C7E6-4BDE-832F-AC6EFBE6856F}"/>
    <cellStyle name="40% - Énfasis4 13" xfId="268" xr:uid="{00000000-0005-0000-0000-000005010000}"/>
    <cellStyle name="40% - Énfasis4 13 2" xfId="269" xr:uid="{00000000-0005-0000-0000-000006010000}"/>
    <cellStyle name="40% - Énfasis4 13 2 2" xfId="3376" xr:uid="{F87662DA-C95A-43FC-85F9-AECBA728E935}"/>
    <cellStyle name="40% - Énfasis4 13 3" xfId="3375" xr:uid="{437A6092-435A-4915-B6C7-FC7EB73A63FD}"/>
    <cellStyle name="40% - Énfasis4 14" xfId="270" xr:uid="{00000000-0005-0000-0000-000007010000}"/>
    <cellStyle name="40% - Énfasis4 14 2" xfId="271" xr:uid="{00000000-0005-0000-0000-000008010000}"/>
    <cellStyle name="40% - Énfasis4 14 2 2" xfId="3378" xr:uid="{72B870AD-E382-42FF-8699-2B1C9D058BF1}"/>
    <cellStyle name="40% - Énfasis4 14 3" xfId="3377" xr:uid="{125C197C-F794-4A3E-B090-9905E9DFC726}"/>
    <cellStyle name="40% - Énfasis4 15" xfId="261" xr:uid="{00000000-0005-0000-0000-000009010000}"/>
    <cellStyle name="40% - Énfasis4 16" xfId="3115" xr:uid="{0E6B8B70-E94F-433F-A27B-9D5C46E9788F}"/>
    <cellStyle name="40% - Énfasis4 16 2" xfId="3553" xr:uid="{C84AB1EC-AA8D-40DF-AE54-BC6865DA349B}"/>
    <cellStyle name="40% - Énfasis4 2" xfId="272" xr:uid="{00000000-0005-0000-0000-00000A010000}"/>
    <cellStyle name="40% - Énfasis4 2 2" xfId="273" xr:uid="{00000000-0005-0000-0000-00000B010000}"/>
    <cellStyle name="40% - Énfasis4 2 2 2" xfId="3380" xr:uid="{0957C791-0092-4FA5-A005-03CC6E0FA64A}"/>
    <cellStyle name="40% - Énfasis4 2 3" xfId="3379" xr:uid="{24035773-7370-42DA-A796-3ACD58848988}"/>
    <cellStyle name="40% - Énfasis4 3" xfId="274" xr:uid="{00000000-0005-0000-0000-00000C010000}"/>
    <cellStyle name="40% - Énfasis4 3 2" xfId="275" xr:uid="{00000000-0005-0000-0000-00000D010000}"/>
    <cellStyle name="40% - Énfasis4 3 2 2" xfId="3382" xr:uid="{C6E1570D-0075-44A9-BBC9-32A7871C4445}"/>
    <cellStyle name="40% - Énfasis4 3 3" xfId="3381" xr:uid="{7D715F67-9623-4A21-ADA3-9214FBA9A590}"/>
    <cellStyle name="40% - Énfasis4 4" xfId="276" xr:uid="{00000000-0005-0000-0000-00000E010000}"/>
    <cellStyle name="40% - Énfasis4 4 2" xfId="277" xr:uid="{00000000-0005-0000-0000-00000F010000}"/>
    <cellStyle name="40% - Énfasis4 4 2 2" xfId="3384" xr:uid="{8EE41416-8B20-4B40-A2B3-FEA4236FF8A3}"/>
    <cellStyle name="40% - Énfasis4 4 3" xfId="3383" xr:uid="{67CFADC0-3B37-445E-BA3E-4855F570FCC9}"/>
    <cellStyle name="40% - Énfasis4 5" xfId="278" xr:uid="{00000000-0005-0000-0000-000010010000}"/>
    <cellStyle name="40% - Énfasis4 5 2" xfId="279" xr:uid="{00000000-0005-0000-0000-000011010000}"/>
    <cellStyle name="40% - Énfasis4 5 2 2" xfId="3386" xr:uid="{C7487D67-F80E-4DA2-BE2F-2B7C80E81375}"/>
    <cellStyle name="40% - Énfasis4 5 3" xfId="3385" xr:uid="{1194515B-76A5-4600-A0B8-EDBD84CDDD22}"/>
    <cellStyle name="40% - Énfasis4 6" xfId="280" xr:uid="{00000000-0005-0000-0000-000012010000}"/>
    <cellStyle name="40% - Énfasis4 6 2" xfId="281" xr:uid="{00000000-0005-0000-0000-000013010000}"/>
    <cellStyle name="40% - Énfasis4 6 2 2" xfId="3388" xr:uid="{7ED4A83C-4E85-49EE-8C5B-22B3B8BE771F}"/>
    <cellStyle name="40% - Énfasis4 6 3" xfId="3387" xr:uid="{59365741-75CB-450A-87C5-AD79B7E38171}"/>
    <cellStyle name="40% - Énfasis4 7" xfId="282" xr:uid="{00000000-0005-0000-0000-000014010000}"/>
    <cellStyle name="40% - Énfasis4 7 2" xfId="283" xr:uid="{00000000-0005-0000-0000-000015010000}"/>
    <cellStyle name="40% - Énfasis4 7 2 2" xfId="3390" xr:uid="{26E8EDEF-9136-4464-AB11-9696A11E7F21}"/>
    <cellStyle name="40% - Énfasis4 7 3" xfId="3389" xr:uid="{3AEF91BB-E234-4244-B739-7341110348C4}"/>
    <cellStyle name="40% - Énfasis4 8" xfId="284" xr:uid="{00000000-0005-0000-0000-000016010000}"/>
    <cellStyle name="40% - Énfasis4 8 2" xfId="285" xr:uid="{00000000-0005-0000-0000-000017010000}"/>
    <cellStyle name="40% - Énfasis4 8 2 2" xfId="3392" xr:uid="{AC511DD4-346C-40DA-B2B0-AAA3EB227562}"/>
    <cellStyle name="40% - Énfasis4 8 3" xfId="3391" xr:uid="{783773C1-E723-44CB-B98B-388D76139C12}"/>
    <cellStyle name="40% - Énfasis4 9" xfId="286" xr:uid="{00000000-0005-0000-0000-000018010000}"/>
    <cellStyle name="40% - Énfasis4 9 2" xfId="287" xr:uid="{00000000-0005-0000-0000-000019010000}"/>
    <cellStyle name="40% - Énfasis4 9 2 2" xfId="3394" xr:uid="{A293E72A-BF80-40F5-AB7B-B89D56628286}"/>
    <cellStyle name="40% - Énfasis4 9 3" xfId="3393" xr:uid="{E41D1D2C-BB45-423A-AC92-903E147B30B8}"/>
    <cellStyle name="40% - Énfasis5 10" xfId="289" xr:uid="{00000000-0005-0000-0000-00001A010000}"/>
    <cellStyle name="40% - Énfasis5 10 2" xfId="290" xr:uid="{00000000-0005-0000-0000-00001B010000}"/>
    <cellStyle name="40% - Énfasis5 10 2 2" xfId="3396" xr:uid="{3B103D62-9441-40D0-86F3-13462FEF3D70}"/>
    <cellStyle name="40% - Énfasis5 10 3" xfId="3395" xr:uid="{2D40820D-EEB6-4AD5-AE4E-BB0B30C02E96}"/>
    <cellStyle name="40% - Énfasis5 11" xfId="291" xr:uid="{00000000-0005-0000-0000-00001C010000}"/>
    <cellStyle name="40% - Énfasis5 11 2" xfId="292" xr:uid="{00000000-0005-0000-0000-00001D010000}"/>
    <cellStyle name="40% - Énfasis5 11 2 2" xfId="3398" xr:uid="{D5814416-52B2-490E-B9B1-7CED1F097B01}"/>
    <cellStyle name="40% - Énfasis5 11 3" xfId="3397" xr:uid="{938789F0-2195-4EB3-AE7C-C25AC9786ABB}"/>
    <cellStyle name="40% - Énfasis5 12" xfId="293" xr:uid="{00000000-0005-0000-0000-00001E010000}"/>
    <cellStyle name="40% - Énfasis5 12 2" xfId="294" xr:uid="{00000000-0005-0000-0000-00001F010000}"/>
    <cellStyle name="40% - Énfasis5 12 2 2" xfId="3400" xr:uid="{E6A1B9CE-67C6-4118-8984-8197E273A99C}"/>
    <cellStyle name="40% - Énfasis5 12 3" xfId="3399" xr:uid="{50E0B21B-2CAC-470F-A1B9-B9FCD207C97A}"/>
    <cellStyle name="40% - Énfasis5 13" xfId="295" xr:uid="{00000000-0005-0000-0000-000020010000}"/>
    <cellStyle name="40% - Énfasis5 13 2" xfId="296" xr:uid="{00000000-0005-0000-0000-000021010000}"/>
    <cellStyle name="40% - Énfasis5 13 2 2" xfId="3402" xr:uid="{2803BA91-EC66-493D-8E62-A8F82774577C}"/>
    <cellStyle name="40% - Énfasis5 13 3" xfId="3401" xr:uid="{76992686-F0C7-40E5-9935-2EECA41353DE}"/>
    <cellStyle name="40% - Énfasis5 14" xfId="297" xr:uid="{00000000-0005-0000-0000-000022010000}"/>
    <cellStyle name="40% - Énfasis5 14 2" xfId="298" xr:uid="{00000000-0005-0000-0000-000023010000}"/>
    <cellStyle name="40% - Énfasis5 14 2 2" xfId="3404" xr:uid="{A47D605F-6684-48F5-B641-E4714D3D7A4C}"/>
    <cellStyle name="40% - Énfasis5 14 3" xfId="3403" xr:uid="{F17A8793-B894-426A-967E-BB4ED0DF203F}"/>
    <cellStyle name="40% - Énfasis5 15" xfId="288" xr:uid="{00000000-0005-0000-0000-000024010000}"/>
    <cellStyle name="40% - Énfasis5 16" xfId="3118" xr:uid="{BEC6D50B-8DC9-4792-9CD1-FA99359848B1}"/>
    <cellStyle name="40% - Énfasis5 16 2" xfId="3556" xr:uid="{B1427979-5146-4C0E-A8F8-7E1308A98D30}"/>
    <cellStyle name="40% - Énfasis5 2" xfId="299" xr:uid="{00000000-0005-0000-0000-000025010000}"/>
    <cellStyle name="40% - Énfasis5 2 2" xfId="300" xr:uid="{00000000-0005-0000-0000-000026010000}"/>
    <cellStyle name="40% - Énfasis5 2 2 2" xfId="3406" xr:uid="{518AE02E-388E-48F2-BA97-3980782B2F09}"/>
    <cellStyle name="40% - Énfasis5 2 3" xfId="3405" xr:uid="{455BB764-EA7D-40C6-A7D3-5F45EDC304D0}"/>
    <cellStyle name="40% - Énfasis5 3" xfId="301" xr:uid="{00000000-0005-0000-0000-000027010000}"/>
    <cellStyle name="40% - Énfasis5 3 2" xfId="302" xr:uid="{00000000-0005-0000-0000-000028010000}"/>
    <cellStyle name="40% - Énfasis5 3 2 2" xfId="3408" xr:uid="{8296B26A-908C-406A-8B31-79D5676407CB}"/>
    <cellStyle name="40% - Énfasis5 3 3" xfId="3407" xr:uid="{EDDA3B9E-1BEF-453D-8587-52D179A90504}"/>
    <cellStyle name="40% - Énfasis5 4" xfId="303" xr:uid="{00000000-0005-0000-0000-000029010000}"/>
    <cellStyle name="40% - Énfasis5 4 2" xfId="304" xr:uid="{00000000-0005-0000-0000-00002A010000}"/>
    <cellStyle name="40% - Énfasis5 4 2 2" xfId="3410" xr:uid="{AB8FF8EE-BF52-4BE9-81F4-31BD63AC411D}"/>
    <cellStyle name="40% - Énfasis5 4 3" xfId="3409" xr:uid="{6EA5FD45-1149-472C-978C-9F728902590A}"/>
    <cellStyle name="40% - Énfasis5 5" xfId="305" xr:uid="{00000000-0005-0000-0000-00002B010000}"/>
    <cellStyle name="40% - Énfasis5 5 2" xfId="306" xr:uid="{00000000-0005-0000-0000-00002C010000}"/>
    <cellStyle name="40% - Énfasis5 5 2 2" xfId="3412" xr:uid="{25366D67-5848-43C6-A34B-B52BB2B94A46}"/>
    <cellStyle name="40% - Énfasis5 5 3" xfId="3411" xr:uid="{E20D7847-359A-45A1-B34E-05E9FC02A5F3}"/>
    <cellStyle name="40% - Énfasis5 6" xfId="307" xr:uid="{00000000-0005-0000-0000-00002D010000}"/>
    <cellStyle name="40% - Énfasis5 6 2" xfId="308" xr:uid="{00000000-0005-0000-0000-00002E010000}"/>
    <cellStyle name="40% - Énfasis5 6 2 2" xfId="3414" xr:uid="{2A991D9F-A578-428C-BF08-CD82710E60B5}"/>
    <cellStyle name="40% - Énfasis5 6 3" xfId="3413" xr:uid="{3F72BD85-F8D4-4A0F-B05F-373ED183FFDB}"/>
    <cellStyle name="40% - Énfasis5 7" xfId="309" xr:uid="{00000000-0005-0000-0000-00002F010000}"/>
    <cellStyle name="40% - Énfasis5 7 2" xfId="310" xr:uid="{00000000-0005-0000-0000-000030010000}"/>
    <cellStyle name="40% - Énfasis5 7 2 2" xfId="3416" xr:uid="{B28A37B7-5BCC-4F54-B491-63B5BD4DD64A}"/>
    <cellStyle name="40% - Énfasis5 7 3" xfId="3415" xr:uid="{4F3A93A9-6D42-4D3C-BDCA-0D0D65878DC2}"/>
    <cellStyle name="40% - Énfasis5 8" xfId="311" xr:uid="{00000000-0005-0000-0000-000031010000}"/>
    <cellStyle name="40% - Énfasis5 8 2" xfId="312" xr:uid="{00000000-0005-0000-0000-000032010000}"/>
    <cellStyle name="40% - Énfasis5 8 2 2" xfId="3418" xr:uid="{C1E114B5-69E3-480B-85CC-D0B8CBCD1149}"/>
    <cellStyle name="40% - Énfasis5 8 3" xfId="3417" xr:uid="{7DAE838C-28BD-442E-B348-0C09CC1B9016}"/>
    <cellStyle name="40% - Énfasis5 9" xfId="313" xr:uid="{00000000-0005-0000-0000-000033010000}"/>
    <cellStyle name="40% - Énfasis5 9 2" xfId="314" xr:uid="{00000000-0005-0000-0000-000034010000}"/>
    <cellStyle name="40% - Énfasis5 9 2 2" xfId="3420" xr:uid="{070E24EA-C2DD-48FF-992F-FEC8A72E4F66}"/>
    <cellStyle name="40% - Énfasis5 9 3" xfId="3419" xr:uid="{AC165636-E1BC-4137-A038-F574D243D1AD}"/>
    <cellStyle name="40% - Énfasis6 10" xfId="316" xr:uid="{00000000-0005-0000-0000-000035010000}"/>
    <cellStyle name="40% - Énfasis6 10 2" xfId="317" xr:uid="{00000000-0005-0000-0000-000036010000}"/>
    <cellStyle name="40% - Énfasis6 10 2 2" xfId="3422" xr:uid="{2C570473-FE2D-4BD3-8357-9E5E69EAE424}"/>
    <cellStyle name="40% - Énfasis6 10 3" xfId="3421" xr:uid="{4F777046-834A-4860-97B4-E8D6C9ECBC84}"/>
    <cellStyle name="40% - Énfasis6 11" xfId="318" xr:uid="{00000000-0005-0000-0000-000037010000}"/>
    <cellStyle name="40% - Énfasis6 11 2" xfId="319" xr:uid="{00000000-0005-0000-0000-000038010000}"/>
    <cellStyle name="40% - Énfasis6 11 2 2" xfId="3424" xr:uid="{6A2469B8-CBF8-4FFA-86C6-863A0B62915B}"/>
    <cellStyle name="40% - Énfasis6 11 3" xfId="3423" xr:uid="{21D89044-1A18-49C4-900F-A21B814D423D}"/>
    <cellStyle name="40% - Énfasis6 12" xfId="320" xr:uid="{00000000-0005-0000-0000-000039010000}"/>
    <cellStyle name="40% - Énfasis6 12 2" xfId="321" xr:uid="{00000000-0005-0000-0000-00003A010000}"/>
    <cellStyle name="40% - Énfasis6 12 2 2" xfId="3426" xr:uid="{81C1C89F-B09F-4C6C-BE8A-1FFE9FBFEEC2}"/>
    <cellStyle name="40% - Énfasis6 12 3" xfId="3425" xr:uid="{73BB1B04-72AB-4B25-AB8C-C200F31D1891}"/>
    <cellStyle name="40% - Énfasis6 13" xfId="322" xr:uid="{00000000-0005-0000-0000-00003B010000}"/>
    <cellStyle name="40% - Énfasis6 13 2" xfId="323" xr:uid="{00000000-0005-0000-0000-00003C010000}"/>
    <cellStyle name="40% - Énfasis6 13 2 2" xfId="3428" xr:uid="{ACF3BD54-4F5D-452F-909D-49924C269D43}"/>
    <cellStyle name="40% - Énfasis6 13 3" xfId="3427" xr:uid="{1EE915AF-C6E2-4EE0-A561-B084A515F3AF}"/>
    <cellStyle name="40% - Énfasis6 14" xfId="324" xr:uid="{00000000-0005-0000-0000-00003D010000}"/>
    <cellStyle name="40% - Énfasis6 14 2" xfId="325" xr:uid="{00000000-0005-0000-0000-00003E010000}"/>
    <cellStyle name="40% - Énfasis6 14 2 2" xfId="3430" xr:uid="{5337E1FE-2603-4325-AE31-8A0352903E19}"/>
    <cellStyle name="40% - Énfasis6 14 3" xfId="3429" xr:uid="{42EE657B-A98F-4156-8FD8-97ED94981CBA}"/>
    <cellStyle name="40% - Énfasis6 15" xfId="315" xr:uid="{00000000-0005-0000-0000-00003F010000}"/>
    <cellStyle name="40% - Énfasis6 16" xfId="3121" xr:uid="{DAB3A215-CDD9-4336-A33B-BC82F515F680}"/>
    <cellStyle name="40% - Énfasis6 16 2" xfId="3559" xr:uid="{15AC2AC0-49F3-4FB1-8786-3C359CB79237}"/>
    <cellStyle name="40% - Énfasis6 2" xfId="326" xr:uid="{00000000-0005-0000-0000-000040010000}"/>
    <cellStyle name="40% - Énfasis6 2 2" xfId="327" xr:uid="{00000000-0005-0000-0000-000041010000}"/>
    <cellStyle name="40% - Énfasis6 2 2 2" xfId="3432" xr:uid="{26613564-E734-44E0-80E3-1D873DFAF34F}"/>
    <cellStyle name="40% - Énfasis6 2 3" xfId="3431" xr:uid="{58493865-AD44-49F9-B87D-4DBD4C66132B}"/>
    <cellStyle name="40% - Énfasis6 3" xfId="328" xr:uid="{00000000-0005-0000-0000-000042010000}"/>
    <cellStyle name="40% - Énfasis6 3 2" xfId="329" xr:uid="{00000000-0005-0000-0000-000043010000}"/>
    <cellStyle name="40% - Énfasis6 3 2 2" xfId="3434" xr:uid="{06A4E60C-EC8A-41F0-8BE5-EA544ABD00DE}"/>
    <cellStyle name="40% - Énfasis6 3 3" xfId="3433" xr:uid="{08D00802-656A-47DC-86FC-A4282BB11C86}"/>
    <cellStyle name="40% - Énfasis6 4" xfId="330" xr:uid="{00000000-0005-0000-0000-000044010000}"/>
    <cellStyle name="40% - Énfasis6 4 2" xfId="331" xr:uid="{00000000-0005-0000-0000-000045010000}"/>
    <cellStyle name="40% - Énfasis6 4 2 2" xfId="3436" xr:uid="{5C737403-3206-4CC6-B48C-729C9562FA99}"/>
    <cellStyle name="40% - Énfasis6 4 3" xfId="3435" xr:uid="{A8F8556F-43C2-4828-B747-7F68AE580201}"/>
    <cellStyle name="40% - Énfasis6 5" xfId="332" xr:uid="{00000000-0005-0000-0000-000046010000}"/>
    <cellStyle name="40% - Énfasis6 5 2" xfId="333" xr:uid="{00000000-0005-0000-0000-000047010000}"/>
    <cellStyle name="40% - Énfasis6 5 2 2" xfId="3438" xr:uid="{574FF6C7-8BCB-4141-B1CF-7CBA40A4DF10}"/>
    <cellStyle name="40% - Énfasis6 5 3" xfId="3437" xr:uid="{E92D56E4-1E20-4CE1-9AFB-739136C60AB8}"/>
    <cellStyle name="40% - Énfasis6 6" xfId="334" xr:uid="{00000000-0005-0000-0000-000048010000}"/>
    <cellStyle name="40% - Énfasis6 6 2" xfId="335" xr:uid="{00000000-0005-0000-0000-000049010000}"/>
    <cellStyle name="40% - Énfasis6 6 2 2" xfId="3440" xr:uid="{CE7B98C6-085F-46C7-9D74-700CBF3CC81C}"/>
    <cellStyle name="40% - Énfasis6 6 3" xfId="3439" xr:uid="{8EF90350-FE1B-4C88-92DA-C6729B0A1B34}"/>
    <cellStyle name="40% - Énfasis6 7" xfId="336" xr:uid="{00000000-0005-0000-0000-00004A010000}"/>
    <cellStyle name="40% - Énfasis6 7 2" xfId="337" xr:uid="{00000000-0005-0000-0000-00004B010000}"/>
    <cellStyle name="40% - Énfasis6 7 2 2" xfId="3442" xr:uid="{FE41BED4-B6B8-4DD8-BC68-622B761A863E}"/>
    <cellStyle name="40% - Énfasis6 7 3" xfId="3441" xr:uid="{4CBBE9DD-F634-4DDC-8B85-B7F6E9C002D6}"/>
    <cellStyle name="40% - Énfasis6 8" xfId="338" xr:uid="{00000000-0005-0000-0000-00004C010000}"/>
    <cellStyle name="40% - Énfasis6 8 2" xfId="339" xr:uid="{00000000-0005-0000-0000-00004D010000}"/>
    <cellStyle name="40% - Énfasis6 8 2 2" xfId="3444" xr:uid="{9D0B8586-7D6E-4F6F-B547-A1AF5660AA71}"/>
    <cellStyle name="40% - Énfasis6 8 3" xfId="3443" xr:uid="{8A9E8C55-81E9-4905-8C12-48DBA7B6A5D4}"/>
    <cellStyle name="40% - Énfasis6 9" xfId="340" xr:uid="{00000000-0005-0000-0000-00004E010000}"/>
    <cellStyle name="40% - Énfasis6 9 2" xfId="341" xr:uid="{00000000-0005-0000-0000-00004F010000}"/>
    <cellStyle name="40% - Énfasis6 9 2 2" xfId="3446" xr:uid="{2684E456-9EC5-4067-8D27-B6C30F67962A}"/>
    <cellStyle name="40% - Énfasis6 9 3" xfId="3445" xr:uid="{74D37A3F-3FCF-45D7-91BF-CA5D460AF683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16" xfId="3107" xr:uid="{A918A12C-FFA9-413D-A005-288B19D2E381}"/>
    <cellStyle name="60% - Énfasis1 16 2" xfId="3545" xr:uid="{85B5E56D-C51B-4777-A13E-9FC1B2A9E8A2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16" xfId="3110" xr:uid="{D96468D2-4C33-4FEA-AEA4-5E7FE308A1CD}"/>
    <cellStyle name="60% - Énfasis2 16 2" xfId="3548" xr:uid="{4A6B6D8C-2D06-4D3D-8000-F432D0F8B17E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16" xfId="3113" xr:uid="{2887A0CF-3B19-45DA-9E7C-CC3442ABE0D8}"/>
    <cellStyle name="60% - Énfasis3 16 2" xfId="3551" xr:uid="{5B0C15A3-5AC5-4C01-9EA9-0FA3E3100029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16" xfId="3116" xr:uid="{8C692496-793A-4B0A-873C-5BF37A2924D8}"/>
    <cellStyle name="60% - Énfasis4 16 2" xfId="3554" xr:uid="{C02BD03A-2774-49FD-ADCC-F13D911D74BE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16" xfId="3119" xr:uid="{B68DBFB2-EC57-47FA-82B3-6C93B7C7D553}"/>
    <cellStyle name="60% - Énfasis5 16 2" xfId="3557" xr:uid="{197561EC-C222-42B9-838C-8A079FA89364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16" xfId="3122" xr:uid="{693FDBA6-2DE3-4ABC-8DD3-BA0FE4E68FD7}"/>
    <cellStyle name="60% - Énfasis6 16 2" xfId="3560" xr:uid="{D57F3294-EF6D-482D-9BF4-BC79C1D4F79A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Bueno 2" xfId="1741" xr:uid="{00000000-0005-0000-0000-00001A020000}"/>
    <cellStyle name="Bueno 2 2" xfId="3102" xr:uid="{2117C172-F418-4C93-85C6-918E8818FA8E}"/>
    <cellStyle name="Calculation" xfId="544" xr:uid="{00000000-0005-0000-0000-00001B020000}"/>
    <cellStyle name="Cálculo 10" xfId="546" xr:uid="{00000000-0005-0000-0000-00001C020000}"/>
    <cellStyle name="Cálculo 10 2" xfId="547" xr:uid="{00000000-0005-0000-0000-00001D020000}"/>
    <cellStyle name="Cálculo 11" xfId="548" xr:uid="{00000000-0005-0000-0000-00001E020000}"/>
    <cellStyle name="Cálculo 11 2" xfId="549" xr:uid="{00000000-0005-0000-0000-00001F020000}"/>
    <cellStyle name="Cálculo 12" xfId="550" xr:uid="{00000000-0005-0000-0000-000020020000}"/>
    <cellStyle name="Cálculo 12 2" xfId="551" xr:uid="{00000000-0005-0000-0000-000021020000}"/>
    <cellStyle name="Cálculo 13" xfId="552" xr:uid="{00000000-0005-0000-0000-000022020000}"/>
    <cellStyle name="Cálculo 13 2" xfId="553" xr:uid="{00000000-0005-0000-0000-000023020000}"/>
    <cellStyle name="Cálculo 14" xfId="554" xr:uid="{00000000-0005-0000-0000-000024020000}"/>
    <cellStyle name="Cálculo 14 2" xfId="555" xr:uid="{00000000-0005-0000-0000-000025020000}"/>
    <cellStyle name="Cálculo 15" xfId="545" xr:uid="{00000000-0005-0000-0000-000026020000}"/>
    <cellStyle name="Cálculo 2" xfId="556" xr:uid="{00000000-0005-0000-0000-000027020000}"/>
    <cellStyle name="Cálculo 2 2" xfId="557" xr:uid="{00000000-0005-0000-0000-000028020000}"/>
    <cellStyle name="Cálculo 3" xfId="558" xr:uid="{00000000-0005-0000-0000-000029020000}"/>
    <cellStyle name="Cálculo 3 2" xfId="559" xr:uid="{00000000-0005-0000-0000-00002A020000}"/>
    <cellStyle name="Cálculo 4" xfId="560" xr:uid="{00000000-0005-0000-0000-00002B020000}"/>
    <cellStyle name="Cálculo 4 2" xfId="561" xr:uid="{00000000-0005-0000-0000-00002C020000}"/>
    <cellStyle name="Cálculo 5" xfId="562" xr:uid="{00000000-0005-0000-0000-00002D020000}"/>
    <cellStyle name="Cálculo 5 2" xfId="563" xr:uid="{00000000-0005-0000-0000-00002E020000}"/>
    <cellStyle name="Cálculo 6" xfId="564" xr:uid="{00000000-0005-0000-0000-00002F020000}"/>
    <cellStyle name="Cálculo 6 2" xfId="565" xr:uid="{00000000-0005-0000-0000-000030020000}"/>
    <cellStyle name="Cálculo 7" xfId="566" xr:uid="{00000000-0005-0000-0000-000031020000}"/>
    <cellStyle name="Cálculo 7 2" xfId="567" xr:uid="{00000000-0005-0000-0000-000032020000}"/>
    <cellStyle name="Cálculo 8" xfId="568" xr:uid="{00000000-0005-0000-0000-000033020000}"/>
    <cellStyle name="Cálculo 8 2" xfId="569" xr:uid="{00000000-0005-0000-0000-000034020000}"/>
    <cellStyle name="Cálculo 9" xfId="570" xr:uid="{00000000-0005-0000-0000-000035020000}"/>
    <cellStyle name="Cálculo 9 2" xfId="571" xr:uid="{00000000-0005-0000-0000-000036020000}"/>
    <cellStyle name="Celda de comprobación 10" xfId="573" xr:uid="{00000000-0005-0000-0000-000037020000}"/>
    <cellStyle name="Celda de comprobación 10 2" xfId="574" xr:uid="{00000000-0005-0000-0000-000038020000}"/>
    <cellStyle name="Celda de comprobación 11" xfId="575" xr:uid="{00000000-0005-0000-0000-000039020000}"/>
    <cellStyle name="Celda de comprobación 11 2" xfId="576" xr:uid="{00000000-0005-0000-0000-00003A020000}"/>
    <cellStyle name="Celda de comprobación 12" xfId="577" xr:uid="{00000000-0005-0000-0000-00003B020000}"/>
    <cellStyle name="Celda de comprobación 12 2" xfId="578" xr:uid="{00000000-0005-0000-0000-00003C020000}"/>
    <cellStyle name="Celda de comprobación 13" xfId="579" xr:uid="{00000000-0005-0000-0000-00003D020000}"/>
    <cellStyle name="Celda de comprobación 13 2" xfId="580" xr:uid="{00000000-0005-0000-0000-00003E020000}"/>
    <cellStyle name="Celda de comprobación 14" xfId="581" xr:uid="{00000000-0005-0000-0000-00003F020000}"/>
    <cellStyle name="Celda de comprobación 14 2" xfId="582" xr:uid="{00000000-0005-0000-0000-000040020000}"/>
    <cellStyle name="Celda de comprobación 15" xfId="572" xr:uid="{00000000-0005-0000-0000-000041020000}"/>
    <cellStyle name="Celda de comprobación 2" xfId="583" xr:uid="{00000000-0005-0000-0000-000042020000}"/>
    <cellStyle name="Celda de comprobación 2 2" xfId="584" xr:uid="{00000000-0005-0000-0000-000043020000}"/>
    <cellStyle name="Celda de comprobación 3" xfId="585" xr:uid="{00000000-0005-0000-0000-000044020000}"/>
    <cellStyle name="Celda de comprobación 3 2" xfId="586" xr:uid="{00000000-0005-0000-0000-000045020000}"/>
    <cellStyle name="Celda de comprobación 4" xfId="587" xr:uid="{00000000-0005-0000-0000-000046020000}"/>
    <cellStyle name="Celda de comprobación 4 2" xfId="588" xr:uid="{00000000-0005-0000-0000-000047020000}"/>
    <cellStyle name="Celda de comprobación 5" xfId="589" xr:uid="{00000000-0005-0000-0000-000048020000}"/>
    <cellStyle name="Celda de comprobación 5 2" xfId="590" xr:uid="{00000000-0005-0000-0000-000049020000}"/>
    <cellStyle name="Celda de comprobación 6" xfId="591" xr:uid="{00000000-0005-0000-0000-00004A020000}"/>
    <cellStyle name="Celda de comprobación 6 2" xfId="592" xr:uid="{00000000-0005-0000-0000-00004B020000}"/>
    <cellStyle name="Celda de comprobación 7" xfId="593" xr:uid="{00000000-0005-0000-0000-00004C020000}"/>
    <cellStyle name="Celda de comprobación 7 2" xfId="594" xr:uid="{00000000-0005-0000-0000-00004D020000}"/>
    <cellStyle name="Celda de comprobación 8" xfId="595" xr:uid="{00000000-0005-0000-0000-00004E020000}"/>
    <cellStyle name="Celda de comprobación 8 2" xfId="596" xr:uid="{00000000-0005-0000-0000-00004F020000}"/>
    <cellStyle name="Celda de comprobación 9" xfId="597" xr:uid="{00000000-0005-0000-0000-000050020000}"/>
    <cellStyle name="Celda de comprobación 9 2" xfId="598" xr:uid="{00000000-0005-0000-0000-000051020000}"/>
    <cellStyle name="Celda vinculada 10" xfId="600" xr:uid="{00000000-0005-0000-0000-000052020000}"/>
    <cellStyle name="Celda vinculada 10 2" xfId="601" xr:uid="{00000000-0005-0000-0000-000053020000}"/>
    <cellStyle name="Celda vinculada 11" xfId="602" xr:uid="{00000000-0005-0000-0000-000054020000}"/>
    <cellStyle name="Celda vinculada 11 2" xfId="603" xr:uid="{00000000-0005-0000-0000-000055020000}"/>
    <cellStyle name="Celda vinculada 12" xfId="604" xr:uid="{00000000-0005-0000-0000-000056020000}"/>
    <cellStyle name="Celda vinculada 12 2" xfId="605" xr:uid="{00000000-0005-0000-0000-000057020000}"/>
    <cellStyle name="Celda vinculada 13" xfId="606" xr:uid="{00000000-0005-0000-0000-000058020000}"/>
    <cellStyle name="Celda vinculada 13 2" xfId="607" xr:uid="{00000000-0005-0000-0000-000059020000}"/>
    <cellStyle name="Celda vinculada 14" xfId="608" xr:uid="{00000000-0005-0000-0000-00005A020000}"/>
    <cellStyle name="Celda vinculada 14 2" xfId="609" xr:uid="{00000000-0005-0000-0000-00005B020000}"/>
    <cellStyle name="Celda vinculada 15" xfId="599" xr:uid="{00000000-0005-0000-0000-00005C020000}"/>
    <cellStyle name="Celda vinculada 2" xfId="610" xr:uid="{00000000-0005-0000-0000-00005D020000}"/>
    <cellStyle name="Celda vinculada 2 2" xfId="611" xr:uid="{00000000-0005-0000-0000-00005E020000}"/>
    <cellStyle name="Celda vinculada 3" xfId="612" xr:uid="{00000000-0005-0000-0000-00005F020000}"/>
    <cellStyle name="Celda vinculada 3 2" xfId="613" xr:uid="{00000000-0005-0000-0000-000060020000}"/>
    <cellStyle name="Celda vinculada 4" xfId="614" xr:uid="{00000000-0005-0000-0000-000061020000}"/>
    <cellStyle name="Celda vinculada 4 2" xfId="615" xr:uid="{00000000-0005-0000-0000-000062020000}"/>
    <cellStyle name="Celda vinculada 5" xfId="616" xr:uid="{00000000-0005-0000-0000-000063020000}"/>
    <cellStyle name="Celda vinculada 5 2" xfId="617" xr:uid="{00000000-0005-0000-0000-000064020000}"/>
    <cellStyle name="Celda vinculada 6" xfId="618" xr:uid="{00000000-0005-0000-0000-000065020000}"/>
    <cellStyle name="Celda vinculada 6 2" xfId="619" xr:uid="{00000000-0005-0000-0000-000066020000}"/>
    <cellStyle name="Celda vinculada 7" xfId="620" xr:uid="{00000000-0005-0000-0000-000067020000}"/>
    <cellStyle name="Celda vinculada 7 2" xfId="621" xr:uid="{00000000-0005-0000-0000-000068020000}"/>
    <cellStyle name="Celda vinculada 8" xfId="622" xr:uid="{00000000-0005-0000-0000-000069020000}"/>
    <cellStyle name="Celda vinculada 8 2" xfId="623" xr:uid="{00000000-0005-0000-0000-00006A020000}"/>
    <cellStyle name="Celda vinculada 9" xfId="624" xr:uid="{00000000-0005-0000-0000-00006B020000}"/>
    <cellStyle name="Celda vinculada 9 2" xfId="625" xr:uid="{00000000-0005-0000-0000-00006C020000}"/>
    <cellStyle name="Check Cell" xfId="626" xr:uid="{00000000-0005-0000-0000-00006D020000}"/>
    <cellStyle name="Encabezado 1" xfId="3008" builtinId="16" customBuiltin="1"/>
    <cellStyle name="Encabezado 4 10" xfId="628" xr:uid="{00000000-0005-0000-0000-00006E020000}"/>
    <cellStyle name="Encabezado 4 10 2" xfId="629" xr:uid="{00000000-0005-0000-0000-00006F020000}"/>
    <cellStyle name="Encabezado 4 11" xfId="630" xr:uid="{00000000-0005-0000-0000-000070020000}"/>
    <cellStyle name="Encabezado 4 11 2" xfId="631" xr:uid="{00000000-0005-0000-0000-000071020000}"/>
    <cellStyle name="Encabezado 4 12" xfId="632" xr:uid="{00000000-0005-0000-0000-000072020000}"/>
    <cellStyle name="Encabezado 4 12 2" xfId="633" xr:uid="{00000000-0005-0000-0000-000073020000}"/>
    <cellStyle name="Encabezado 4 13" xfId="634" xr:uid="{00000000-0005-0000-0000-000074020000}"/>
    <cellStyle name="Encabezado 4 13 2" xfId="635" xr:uid="{00000000-0005-0000-0000-000075020000}"/>
    <cellStyle name="Encabezado 4 14" xfId="636" xr:uid="{00000000-0005-0000-0000-000076020000}"/>
    <cellStyle name="Encabezado 4 14 2" xfId="637" xr:uid="{00000000-0005-0000-0000-000077020000}"/>
    <cellStyle name="Encabezado 4 15" xfId="627" xr:uid="{00000000-0005-0000-0000-000078020000}"/>
    <cellStyle name="Encabezado 4 2" xfId="638" xr:uid="{00000000-0005-0000-0000-000079020000}"/>
    <cellStyle name="Encabezado 4 2 2" xfId="639" xr:uid="{00000000-0005-0000-0000-00007A020000}"/>
    <cellStyle name="Encabezado 4 3" xfId="640" xr:uid="{00000000-0005-0000-0000-00007B020000}"/>
    <cellStyle name="Encabezado 4 3 2" xfId="641" xr:uid="{00000000-0005-0000-0000-00007C020000}"/>
    <cellStyle name="Encabezado 4 4" xfId="642" xr:uid="{00000000-0005-0000-0000-00007D020000}"/>
    <cellStyle name="Encabezado 4 4 2" xfId="643" xr:uid="{00000000-0005-0000-0000-00007E020000}"/>
    <cellStyle name="Encabezado 4 5" xfId="644" xr:uid="{00000000-0005-0000-0000-00007F020000}"/>
    <cellStyle name="Encabezado 4 5 2" xfId="645" xr:uid="{00000000-0005-0000-0000-000080020000}"/>
    <cellStyle name="Encabezado 4 6" xfId="646" xr:uid="{00000000-0005-0000-0000-000081020000}"/>
    <cellStyle name="Encabezado 4 6 2" xfId="647" xr:uid="{00000000-0005-0000-0000-000082020000}"/>
    <cellStyle name="Encabezado 4 7" xfId="648" xr:uid="{00000000-0005-0000-0000-000083020000}"/>
    <cellStyle name="Encabezado 4 7 2" xfId="649" xr:uid="{00000000-0005-0000-0000-000084020000}"/>
    <cellStyle name="Encabezado 4 8" xfId="650" xr:uid="{00000000-0005-0000-0000-000085020000}"/>
    <cellStyle name="Encabezado 4 8 2" xfId="651" xr:uid="{00000000-0005-0000-0000-000086020000}"/>
    <cellStyle name="Encabezado 4 9" xfId="652" xr:uid="{00000000-0005-0000-0000-000087020000}"/>
    <cellStyle name="Encabezado 4 9 2" xfId="653" xr:uid="{00000000-0005-0000-0000-000088020000}"/>
    <cellStyle name="Énfasis1 10" xfId="655" xr:uid="{00000000-0005-0000-0000-000089020000}"/>
    <cellStyle name="Énfasis1 10 2" xfId="656" xr:uid="{00000000-0005-0000-0000-00008A020000}"/>
    <cellStyle name="Énfasis1 11" xfId="657" xr:uid="{00000000-0005-0000-0000-00008B020000}"/>
    <cellStyle name="Énfasis1 11 2" xfId="658" xr:uid="{00000000-0005-0000-0000-00008C020000}"/>
    <cellStyle name="Énfasis1 12" xfId="659" xr:uid="{00000000-0005-0000-0000-00008D020000}"/>
    <cellStyle name="Énfasis1 12 2" xfId="660" xr:uid="{00000000-0005-0000-0000-00008E020000}"/>
    <cellStyle name="Énfasis1 13" xfId="661" xr:uid="{00000000-0005-0000-0000-00008F020000}"/>
    <cellStyle name="Énfasis1 13 2" xfId="662" xr:uid="{00000000-0005-0000-0000-000090020000}"/>
    <cellStyle name="Énfasis1 14" xfId="663" xr:uid="{00000000-0005-0000-0000-000091020000}"/>
    <cellStyle name="Énfasis1 14 2" xfId="664" xr:uid="{00000000-0005-0000-0000-000092020000}"/>
    <cellStyle name="Énfasis1 15" xfId="654" xr:uid="{00000000-0005-0000-0000-000093020000}"/>
    <cellStyle name="Énfasis1 2" xfId="665" xr:uid="{00000000-0005-0000-0000-000094020000}"/>
    <cellStyle name="Énfasis1 2 2" xfId="666" xr:uid="{00000000-0005-0000-0000-000095020000}"/>
    <cellStyle name="Énfasis1 3" xfId="667" xr:uid="{00000000-0005-0000-0000-000096020000}"/>
    <cellStyle name="Énfasis1 3 2" xfId="668" xr:uid="{00000000-0005-0000-0000-000097020000}"/>
    <cellStyle name="Énfasis1 4" xfId="669" xr:uid="{00000000-0005-0000-0000-000098020000}"/>
    <cellStyle name="Énfasis1 4 2" xfId="670" xr:uid="{00000000-0005-0000-0000-000099020000}"/>
    <cellStyle name="Énfasis1 5" xfId="671" xr:uid="{00000000-0005-0000-0000-00009A020000}"/>
    <cellStyle name="Énfasis1 5 2" xfId="672" xr:uid="{00000000-0005-0000-0000-00009B020000}"/>
    <cellStyle name="Énfasis1 6" xfId="673" xr:uid="{00000000-0005-0000-0000-00009C020000}"/>
    <cellStyle name="Énfasis1 6 2" xfId="674" xr:uid="{00000000-0005-0000-0000-00009D020000}"/>
    <cellStyle name="Énfasis1 7" xfId="675" xr:uid="{00000000-0005-0000-0000-00009E020000}"/>
    <cellStyle name="Énfasis1 7 2" xfId="676" xr:uid="{00000000-0005-0000-0000-00009F020000}"/>
    <cellStyle name="Énfasis1 8" xfId="677" xr:uid="{00000000-0005-0000-0000-0000A0020000}"/>
    <cellStyle name="Énfasis1 8 2" xfId="678" xr:uid="{00000000-0005-0000-0000-0000A1020000}"/>
    <cellStyle name="Énfasis1 9" xfId="679" xr:uid="{00000000-0005-0000-0000-0000A2020000}"/>
    <cellStyle name="Énfasis1 9 2" xfId="680" xr:uid="{00000000-0005-0000-0000-0000A3020000}"/>
    <cellStyle name="Énfasis2 10" xfId="682" xr:uid="{00000000-0005-0000-0000-0000A4020000}"/>
    <cellStyle name="Énfasis2 10 2" xfId="683" xr:uid="{00000000-0005-0000-0000-0000A5020000}"/>
    <cellStyle name="Énfasis2 11" xfId="684" xr:uid="{00000000-0005-0000-0000-0000A6020000}"/>
    <cellStyle name="Énfasis2 11 2" xfId="685" xr:uid="{00000000-0005-0000-0000-0000A7020000}"/>
    <cellStyle name="Énfasis2 12" xfId="686" xr:uid="{00000000-0005-0000-0000-0000A8020000}"/>
    <cellStyle name="Énfasis2 12 2" xfId="687" xr:uid="{00000000-0005-0000-0000-0000A9020000}"/>
    <cellStyle name="Énfasis2 13" xfId="688" xr:uid="{00000000-0005-0000-0000-0000AA020000}"/>
    <cellStyle name="Énfasis2 13 2" xfId="689" xr:uid="{00000000-0005-0000-0000-0000AB020000}"/>
    <cellStyle name="Énfasis2 14" xfId="690" xr:uid="{00000000-0005-0000-0000-0000AC020000}"/>
    <cellStyle name="Énfasis2 14 2" xfId="691" xr:uid="{00000000-0005-0000-0000-0000AD020000}"/>
    <cellStyle name="Énfasis2 15" xfId="681" xr:uid="{00000000-0005-0000-0000-0000AE020000}"/>
    <cellStyle name="Énfasis2 2" xfId="692" xr:uid="{00000000-0005-0000-0000-0000AF020000}"/>
    <cellStyle name="Énfasis2 2 2" xfId="693" xr:uid="{00000000-0005-0000-0000-0000B0020000}"/>
    <cellStyle name="Énfasis2 3" xfId="694" xr:uid="{00000000-0005-0000-0000-0000B1020000}"/>
    <cellStyle name="Énfasis2 3 2" xfId="695" xr:uid="{00000000-0005-0000-0000-0000B2020000}"/>
    <cellStyle name="Énfasis2 4" xfId="696" xr:uid="{00000000-0005-0000-0000-0000B3020000}"/>
    <cellStyle name="Énfasis2 4 2" xfId="697" xr:uid="{00000000-0005-0000-0000-0000B4020000}"/>
    <cellStyle name="Énfasis2 5" xfId="698" xr:uid="{00000000-0005-0000-0000-0000B5020000}"/>
    <cellStyle name="Énfasis2 5 2" xfId="699" xr:uid="{00000000-0005-0000-0000-0000B6020000}"/>
    <cellStyle name="Énfasis2 6" xfId="700" xr:uid="{00000000-0005-0000-0000-0000B7020000}"/>
    <cellStyle name="Énfasis2 6 2" xfId="701" xr:uid="{00000000-0005-0000-0000-0000B8020000}"/>
    <cellStyle name="Énfasis2 7" xfId="702" xr:uid="{00000000-0005-0000-0000-0000B9020000}"/>
    <cellStyle name="Énfasis2 7 2" xfId="703" xr:uid="{00000000-0005-0000-0000-0000BA020000}"/>
    <cellStyle name="Énfasis2 8" xfId="704" xr:uid="{00000000-0005-0000-0000-0000BB020000}"/>
    <cellStyle name="Énfasis2 8 2" xfId="705" xr:uid="{00000000-0005-0000-0000-0000BC020000}"/>
    <cellStyle name="Énfasis2 9" xfId="706" xr:uid="{00000000-0005-0000-0000-0000BD020000}"/>
    <cellStyle name="Énfasis2 9 2" xfId="707" xr:uid="{00000000-0005-0000-0000-0000BE020000}"/>
    <cellStyle name="Énfasis3 10" xfId="709" xr:uid="{00000000-0005-0000-0000-0000BF020000}"/>
    <cellStyle name="Énfasis3 10 2" xfId="710" xr:uid="{00000000-0005-0000-0000-0000C0020000}"/>
    <cellStyle name="Énfasis3 11" xfId="711" xr:uid="{00000000-0005-0000-0000-0000C1020000}"/>
    <cellStyle name="Énfasis3 11 2" xfId="712" xr:uid="{00000000-0005-0000-0000-0000C2020000}"/>
    <cellStyle name="Énfasis3 12" xfId="713" xr:uid="{00000000-0005-0000-0000-0000C3020000}"/>
    <cellStyle name="Énfasis3 12 2" xfId="714" xr:uid="{00000000-0005-0000-0000-0000C4020000}"/>
    <cellStyle name="Énfasis3 13" xfId="715" xr:uid="{00000000-0005-0000-0000-0000C5020000}"/>
    <cellStyle name="Énfasis3 13 2" xfId="716" xr:uid="{00000000-0005-0000-0000-0000C6020000}"/>
    <cellStyle name="Énfasis3 14" xfId="717" xr:uid="{00000000-0005-0000-0000-0000C7020000}"/>
    <cellStyle name="Énfasis3 14 2" xfId="718" xr:uid="{00000000-0005-0000-0000-0000C8020000}"/>
    <cellStyle name="Énfasis3 15" xfId="708" xr:uid="{00000000-0005-0000-0000-0000C9020000}"/>
    <cellStyle name="Énfasis3 2" xfId="719" xr:uid="{00000000-0005-0000-0000-0000CA020000}"/>
    <cellStyle name="Énfasis3 2 2" xfId="720" xr:uid="{00000000-0005-0000-0000-0000CB020000}"/>
    <cellStyle name="Énfasis3 3" xfId="721" xr:uid="{00000000-0005-0000-0000-0000CC020000}"/>
    <cellStyle name="Énfasis3 3 2" xfId="722" xr:uid="{00000000-0005-0000-0000-0000CD020000}"/>
    <cellStyle name="Énfasis3 4" xfId="723" xr:uid="{00000000-0005-0000-0000-0000CE020000}"/>
    <cellStyle name="Énfasis3 4 2" xfId="724" xr:uid="{00000000-0005-0000-0000-0000CF020000}"/>
    <cellStyle name="Énfasis3 5" xfId="725" xr:uid="{00000000-0005-0000-0000-0000D0020000}"/>
    <cellStyle name="Énfasis3 5 2" xfId="726" xr:uid="{00000000-0005-0000-0000-0000D1020000}"/>
    <cellStyle name="Énfasis3 6" xfId="727" xr:uid="{00000000-0005-0000-0000-0000D2020000}"/>
    <cellStyle name="Énfasis3 6 2" xfId="728" xr:uid="{00000000-0005-0000-0000-0000D3020000}"/>
    <cellStyle name="Énfasis3 7" xfId="729" xr:uid="{00000000-0005-0000-0000-0000D4020000}"/>
    <cellStyle name="Énfasis3 7 2" xfId="730" xr:uid="{00000000-0005-0000-0000-0000D5020000}"/>
    <cellStyle name="Énfasis3 8" xfId="731" xr:uid="{00000000-0005-0000-0000-0000D6020000}"/>
    <cellStyle name="Énfasis3 8 2" xfId="732" xr:uid="{00000000-0005-0000-0000-0000D7020000}"/>
    <cellStyle name="Énfasis3 9" xfId="733" xr:uid="{00000000-0005-0000-0000-0000D8020000}"/>
    <cellStyle name="Énfasis3 9 2" xfId="734" xr:uid="{00000000-0005-0000-0000-0000D9020000}"/>
    <cellStyle name="Énfasis4 10" xfId="736" xr:uid="{00000000-0005-0000-0000-0000DA020000}"/>
    <cellStyle name="Énfasis4 10 2" xfId="737" xr:uid="{00000000-0005-0000-0000-0000DB020000}"/>
    <cellStyle name="Énfasis4 11" xfId="738" xr:uid="{00000000-0005-0000-0000-0000DC020000}"/>
    <cellStyle name="Énfasis4 11 2" xfId="739" xr:uid="{00000000-0005-0000-0000-0000DD020000}"/>
    <cellStyle name="Énfasis4 12" xfId="740" xr:uid="{00000000-0005-0000-0000-0000DE020000}"/>
    <cellStyle name="Énfasis4 12 2" xfId="741" xr:uid="{00000000-0005-0000-0000-0000DF020000}"/>
    <cellStyle name="Énfasis4 13" xfId="742" xr:uid="{00000000-0005-0000-0000-0000E0020000}"/>
    <cellStyle name="Énfasis4 13 2" xfId="743" xr:uid="{00000000-0005-0000-0000-0000E1020000}"/>
    <cellStyle name="Énfasis4 14" xfId="744" xr:uid="{00000000-0005-0000-0000-0000E2020000}"/>
    <cellStyle name="Énfasis4 14 2" xfId="745" xr:uid="{00000000-0005-0000-0000-0000E3020000}"/>
    <cellStyle name="Énfasis4 15" xfId="735" xr:uid="{00000000-0005-0000-0000-0000E4020000}"/>
    <cellStyle name="Énfasis4 2" xfId="746" xr:uid="{00000000-0005-0000-0000-0000E5020000}"/>
    <cellStyle name="Énfasis4 2 2" xfId="747" xr:uid="{00000000-0005-0000-0000-0000E6020000}"/>
    <cellStyle name="Énfasis4 3" xfId="748" xr:uid="{00000000-0005-0000-0000-0000E7020000}"/>
    <cellStyle name="Énfasis4 3 2" xfId="749" xr:uid="{00000000-0005-0000-0000-0000E8020000}"/>
    <cellStyle name="Énfasis4 4" xfId="750" xr:uid="{00000000-0005-0000-0000-0000E9020000}"/>
    <cellStyle name="Énfasis4 4 2" xfId="751" xr:uid="{00000000-0005-0000-0000-0000EA020000}"/>
    <cellStyle name="Énfasis4 5" xfId="752" xr:uid="{00000000-0005-0000-0000-0000EB020000}"/>
    <cellStyle name="Énfasis4 5 2" xfId="753" xr:uid="{00000000-0005-0000-0000-0000EC020000}"/>
    <cellStyle name="Énfasis4 6" xfId="754" xr:uid="{00000000-0005-0000-0000-0000ED020000}"/>
    <cellStyle name="Énfasis4 6 2" xfId="755" xr:uid="{00000000-0005-0000-0000-0000EE020000}"/>
    <cellStyle name="Énfasis4 7" xfId="756" xr:uid="{00000000-0005-0000-0000-0000EF020000}"/>
    <cellStyle name="Énfasis4 7 2" xfId="757" xr:uid="{00000000-0005-0000-0000-0000F0020000}"/>
    <cellStyle name="Énfasis4 8" xfId="758" xr:uid="{00000000-0005-0000-0000-0000F1020000}"/>
    <cellStyle name="Énfasis4 8 2" xfId="759" xr:uid="{00000000-0005-0000-0000-0000F2020000}"/>
    <cellStyle name="Énfasis4 9" xfId="760" xr:uid="{00000000-0005-0000-0000-0000F3020000}"/>
    <cellStyle name="Énfasis4 9 2" xfId="761" xr:uid="{00000000-0005-0000-0000-0000F4020000}"/>
    <cellStyle name="Énfasis5 10" xfId="763" xr:uid="{00000000-0005-0000-0000-0000F5020000}"/>
    <cellStyle name="Énfasis5 10 2" xfId="764" xr:uid="{00000000-0005-0000-0000-0000F6020000}"/>
    <cellStyle name="Énfasis5 11" xfId="765" xr:uid="{00000000-0005-0000-0000-0000F7020000}"/>
    <cellStyle name="Énfasis5 11 2" xfId="766" xr:uid="{00000000-0005-0000-0000-0000F8020000}"/>
    <cellStyle name="Énfasis5 12" xfId="767" xr:uid="{00000000-0005-0000-0000-0000F9020000}"/>
    <cellStyle name="Énfasis5 12 2" xfId="768" xr:uid="{00000000-0005-0000-0000-0000FA020000}"/>
    <cellStyle name="Énfasis5 13" xfId="769" xr:uid="{00000000-0005-0000-0000-0000FB020000}"/>
    <cellStyle name="Énfasis5 13 2" xfId="770" xr:uid="{00000000-0005-0000-0000-0000FC020000}"/>
    <cellStyle name="Énfasis5 14" xfId="771" xr:uid="{00000000-0005-0000-0000-0000FD020000}"/>
    <cellStyle name="Énfasis5 14 2" xfId="772" xr:uid="{00000000-0005-0000-0000-0000FE020000}"/>
    <cellStyle name="Énfasis5 15" xfId="762" xr:uid="{00000000-0005-0000-0000-0000FF020000}"/>
    <cellStyle name="Énfasis5 2" xfId="773" xr:uid="{00000000-0005-0000-0000-000000030000}"/>
    <cellStyle name="Énfasis5 2 2" xfId="774" xr:uid="{00000000-0005-0000-0000-000001030000}"/>
    <cellStyle name="Énfasis5 3" xfId="775" xr:uid="{00000000-0005-0000-0000-000002030000}"/>
    <cellStyle name="Énfasis5 3 2" xfId="776" xr:uid="{00000000-0005-0000-0000-000003030000}"/>
    <cellStyle name="Énfasis5 4" xfId="777" xr:uid="{00000000-0005-0000-0000-000004030000}"/>
    <cellStyle name="Énfasis5 4 2" xfId="778" xr:uid="{00000000-0005-0000-0000-000005030000}"/>
    <cellStyle name="Énfasis5 5" xfId="779" xr:uid="{00000000-0005-0000-0000-000006030000}"/>
    <cellStyle name="Énfasis5 5 2" xfId="780" xr:uid="{00000000-0005-0000-0000-000007030000}"/>
    <cellStyle name="Énfasis5 6" xfId="781" xr:uid="{00000000-0005-0000-0000-000008030000}"/>
    <cellStyle name="Énfasis5 6 2" xfId="782" xr:uid="{00000000-0005-0000-0000-000009030000}"/>
    <cellStyle name="Énfasis5 7" xfId="783" xr:uid="{00000000-0005-0000-0000-00000A030000}"/>
    <cellStyle name="Énfasis5 7 2" xfId="784" xr:uid="{00000000-0005-0000-0000-00000B030000}"/>
    <cellStyle name="Énfasis5 8" xfId="785" xr:uid="{00000000-0005-0000-0000-00000C030000}"/>
    <cellStyle name="Énfasis5 8 2" xfId="786" xr:uid="{00000000-0005-0000-0000-00000D030000}"/>
    <cellStyle name="Énfasis5 9" xfId="787" xr:uid="{00000000-0005-0000-0000-00000E030000}"/>
    <cellStyle name="Énfasis5 9 2" xfId="788" xr:uid="{00000000-0005-0000-0000-00000F030000}"/>
    <cellStyle name="Énfasis6 10" xfId="790" xr:uid="{00000000-0005-0000-0000-000010030000}"/>
    <cellStyle name="Énfasis6 10 2" xfId="791" xr:uid="{00000000-0005-0000-0000-000011030000}"/>
    <cellStyle name="Énfasis6 11" xfId="792" xr:uid="{00000000-0005-0000-0000-000012030000}"/>
    <cellStyle name="Énfasis6 11 2" xfId="793" xr:uid="{00000000-0005-0000-0000-000013030000}"/>
    <cellStyle name="Énfasis6 12" xfId="794" xr:uid="{00000000-0005-0000-0000-000014030000}"/>
    <cellStyle name="Énfasis6 12 2" xfId="795" xr:uid="{00000000-0005-0000-0000-000015030000}"/>
    <cellStyle name="Énfasis6 13" xfId="796" xr:uid="{00000000-0005-0000-0000-000016030000}"/>
    <cellStyle name="Énfasis6 13 2" xfId="797" xr:uid="{00000000-0005-0000-0000-000017030000}"/>
    <cellStyle name="Énfasis6 14" xfId="798" xr:uid="{00000000-0005-0000-0000-000018030000}"/>
    <cellStyle name="Énfasis6 14 2" xfId="799" xr:uid="{00000000-0005-0000-0000-000019030000}"/>
    <cellStyle name="Énfasis6 15" xfId="789" xr:uid="{00000000-0005-0000-0000-00001A030000}"/>
    <cellStyle name="Énfasis6 2" xfId="800" xr:uid="{00000000-0005-0000-0000-00001B030000}"/>
    <cellStyle name="Énfasis6 2 2" xfId="801" xr:uid="{00000000-0005-0000-0000-00001C030000}"/>
    <cellStyle name="Énfasis6 3" xfId="802" xr:uid="{00000000-0005-0000-0000-00001D030000}"/>
    <cellStyle name="Énfasis6 3 2" xfId="803" xr:uid="{00000000-0005-0000-0000-00001E030000}"/>
    <cellStyle name="Énfasis6 4" xfId="804" xr:uid="{00000000-0005-0000-0000-00001F030000}"/>
    <cellStyle name="Énfasis6 4 2" xfId="805" xr:uid="{00000000-0005-0000-0000-000020030000}"/>
    <cellStyle name="Énfasis6 5" xfId="806" xr:uid="{00000000-0005-0000-0000-000021030000}"/>
    <cellStyle name="Énfasis6 5 2" xfId="807" xr:uid="{00000000-0005-0000-0000-000022030000}"/>
    <cellStyle name="Énfasis6 6" xfId="808" xr:uid="{00000000-0005-0000-0000-000023030000}"/>
    <cellStyle name="Énfasis6 6 2" xfId="809" xr:uid="{00000000-0005-0000-0000-000024030000}"/>
    <cellStyle name="Énfasis6 7" xfId="810" xr:uid="{00000000-0005-0000-0000-000025030000}"/>
    <cellStyle name="Énfasis6 7 2" xfId="811" xr:uid="{00000000-0005-0000-0000-000026030000}"/>
    <cellStyle name="Énfasis6 8" xfId="812" xr:uid="{00000000-0005-0000-0000-000027030000}"/>
    <cellStyle name="Énfasis6 8 2" xfId="813" xr:uid="{00000000-0005-0000-0000-000028030000}"/>
    <cellStyle name="Énfasis6 9" xfId="814" xr:uid="{00000000-0005-0000-0000-000029030000}"/>
    <cellStyle name="Énfasis6 9 2" xfId="815" xr:uid="{00000000-0005-0000-0000-00002A030000}"/>
    <cellStyle name="Entrada 10" xfId="817" xr:uid="{00000000-0005-0000-0000-00002B030000}"/>
    <cellStyle name="Entrada 10 2" xfId="818" xr:uid="{00000000-0005-0000-0000-00002C030000}"/>
    <cellStyle name="Entrada 11" xfId="819" xr:uid="{00000000-0005-0000-0000-00002D030000}"/>
    <cellStyle name="Entrada 11 2" xfId="820" xr:uid="{00000000-0005-0000-0000-00002E030000}"/>
    <cellStyle name="Entrada 12" xfId="821" xr:uid="{00000000-0005-0000-0000-00002F030000}"/>
    <cellStyle name="Entrada 12 2" xfId="822" xr:uid="{00000000-0005-0000-0000-000030030000}"/>
    <cellStyle name="Entrada 13" xfId="823" xr:uid="{00000000-0005-0000-0000-000031030000}"/>
    <cellStyle name="Entrada 13 2" xfId="824" xr:uid="{00000000-0005-0000-0000-000032030000}"/>
    <cellStyle name="Entrada 14" xfId="825" xr:uid="{00000000-0005-0000-0000-000033030000}"/>
    <cellStyle name="Entrada 14 2" xfId="826" xr:uid="{00000000-0005-0000-0000-000034030000}"/>
    <cellStyle name="Entrada 15" xfId="816" xr:uid="{00000000-0005-0000-0000-000035030000}"/>
    <cellStyle name="Entrada 2" xfId="827" xr:uid="{00000000-0005-0000-0000-000036030000}"/>
    <cellStyle name="Entrada 2 2" xfId="828" xr:uid="{00000000-0005-0000-0000-000037030000}"/>
    <cellStyle name="Entrada 3" xfId="829" xr:uid="{00000000-0005-0000-0000-000038030000}"/>
    <cellStyle name="Entrada 3 2" xfId="830" xr:uid="{00000000-0005-0000-0000-000039030000}"/>
    <cellStyle name="Entrada 4" xfId="831" xr:uid="{00000000-0005-0000-0000-00003A030000}"/>
    <cellStyle name="Entrada 4 2" xfId="832" xr:uid="{00000000-0005-0000-0000-00003B030000}"/>
    <cellStyle name="Entrada 5" xfId="833" xr:uid="{00000000-0005-0000-0000-00003C030000}"/>
    <cellStyle name="Entrada 5 2" xfId="834" xr:uid="{00000000-0005-0000-0000-00003D030000}"/>
    <cellStyle name="Entrada 6" xfId="835" xr:uid="{00000000-0005-0000-0000-00003E030000}"/>
    <cellStyle name="Entrada 6 2" xfId="836" xr:uid="{00000000-0005-0000-0000-00003F030000}"/>
    <cellStyle name="Entrada 7" xfId="837" xr:uid="{00000000-0005-0000-0000-000040030000}"/>
    <cellStyle name="Entrada 7 2" xfId="838" xr:uid="{00000000-0005-0000-0000-000041030000}"/>
    <cellStyle name="Entrada 8" xfId="839" xr:uid="{00000000-0005-0000-0000-000042030000}"/>
    <cellStyle name="Entrada 8 2" xfId="840" xr:uid="{00000000-0005-0000-0000-000043030000}"/>
    <cellStyle name="Entrada 9" xfId="841" xr:uid="{00000000-0005-0000-0000-000044030000}"/>
    <cellStyle name="Entrada 9 2" xfId="842" xr:uid="{00000000-0005-0000-0000-000045030000}"/>
    <cellStyle name="Explanatory Text" xfId="843" xr:uid="{00000000-0005-0000-0000-000046030000}"/>
    <cellStyle name="Good" xfId="844" xr:uid="{00000000-0005-0000-0000-000047030000}"/>
    <cellStyle name="Heading 1" xfId="845" xr:uid="{00000000-0005-0000-0000-000048030000}"/>
    <cellStyle name="Heading 2" xfId="846" xr:uid="{00000000-0005-0000-0000-000049030000}"/>
    <cellStyle name="Heading 3" xfId="847" xr:uid="{00000000-0005-0000-0000-00004A030000}"/>
    <cellStyle name="Heading 4" xfId="848" xr:uid="{00000000-0005-0000-0000-00004B030000}"/>
    <cellStyle name="Hipervínculo" xfId="1739" builtinId="8"/>
    <cellStyle name="Hipervínculo 2" xfId="1742" xr:uid="{00000000-0005-0000-0000-00004D030000}"/>
    <cellStyle name="Incorrecto 10" xfId="850" xr:uid="{00000000-0005-0000-0000-00004E030000}"/>
    <cellStyle name="Incorrecto 10 2" xfId="851" xr:uid="{00000000-0005-0000-0000-00004F030000}"/>
    <cellStyle name="Incorrecto 11" xfId="852" xr:uid="{00000000-0005-0000-0000-000050030000}"/>
    <cellStyle name="Incorrecto 11 2" xfId="853" xr:uid="{00000000-0005-0000-0000-000051030000}"/>
    <cellStyle name="Incorrecto 12" xfId="854" xr:uid="{00000000-0005-0000-0000-000052030000}"/>
    <cellStyle name="Incorrecto 12 2" xfId="855" xr:uid="{00000000-0005-0000-0000-000053030000}"/>
    <cellStyle name="Incorrecto 13" xfId="856" xr:uid="{00000000-0005-0000-0000-000054030000}"/>
    <cellStyle name="Incorrecto 13 2" xfId="857" xr:uid="{00000000-0005-0000-0000-000055030000}"/>
    <cellStyle name="Incorrecto 14" xfId="858" xr:uid="{00000000-0005-0000-0000-000056030000}"/>
    <cellStyle name="Incorrecto 14 2" xfId="859" xr:uid="{00000000-0005-0000-0000-000057030000}"/>
    <cellStyle name="Incorrecto 15" xfId="849" xr:uid="{00000000-0005-0000-0000-000058030000}"/>
    <cellStyle name="Incorrecto 2" xfId="860" xr:uid="{00000000-0005-0000-0000-000059030000}"/>
    <cellStyle name="Incorrecto 2 2" xfId="861" xr:uid="{00000000-0005-0000-0000-00005A030000}"/>
    <cellStyle name="Incorrecto 3" xfId="862" xr:uid="{00000000-0005-0000-0000-00005B030000}"/>
    <cellStyle name="Incorrecto 3 2" xfId="863" xr:uid="{00000000-0005-0000-0000-00005C030000}"/>
    <cellStyle name="Incorrecto 4" xfId="864" xr:uid="{00000000-0005-0000-0000-00005D030000}"/>
    <cellStyle name="Incorrecto 4 2" xfId="865" xr:uid="{00000000-0005-0000-0000-00005E030000}"/>
    <cellStyle name="Incorrecto 5" xfId="866" xr:uid="{00000000-0005-0000-0000-00005F030000}"/>
    <cellStyle name="Incorrecto 5 2" xfId="867" xr:uid="{00000000-0005-0000-0000-000060030000}"/>
    <cellStyle name="Incorrecto 6" xfId="868" xr:uid="{00000000-0005-0000-0000-000061030000}"/>
    <cellStyle name="Incorrecto 6 2" xfId="869" xr:uid="{00000000-0005-0000-0000-000062030000}"/>
    <cellStyle name="Incorrecto 7" xfId="870" xr:uid="{00000000-0005-0000-0000-000063030000}"/>
    <cellStyle name="Incorrecto 7 2" xfId="871" xr:uid="{00000000-0005-0000-0000-000064030000}"/>
    <cellStyle name="Incorrecto 8" xfId="872" xr:uid="{00000000-0005-0000-0000-000065030000}"/>
    <cellStyle name="Incorrecto 8 2" xfId="873" xr:uid="{00000000-0005-0000-0000-000066030000}"/>
    <cellStyle name="Incorrecto 9" xfId="874" xr:uid="{00000000-0005-0000-0000-000067030000}"/>
    <cellStyle name="Incorrecto 9 2" xfId="875" xr:uid="{00000000-0005-0000-0000-000068030000}"/>
    <cellStyle name="Input" xfId="876" xr:uid="{00000000-0005-0000-0000-000069030000}"/>
    <cellStyle name="Linked Cell" xfId="877" xr:uid="{00000000-0005-0000-0000-00006A030000}"/>
    <cellStyle name="Millares" xfId="1" builtinId="3"/>
    <cellStyle name="Millares 10" xfId="1216" xr:uid="{00000000-0005-0000-0000-00006C030000}"/>
    <cellStyle name="Millares 10 10" xfId="2014" xr:uid="{CF07FBDA-0C78-4423-B677-43C335C2F2CD}"/>
    <cellStyle name="Millares 10 11" xfId="2105" xr:uid="{330075B9-FA87-4304-BCE8-F28459AB6434}"/>
    <cellStyle name="Millares 10 12" xfId="2194" xr:uid="{309ED8B5-8BCF-4F57-A715-309E47D71D2F}"/>
    <cellStyle name="Millares 10 13" xfId="2284" xr:uid="{8F9ABAF1-5DDE-40E7-99F3-144BA4B910A5}"/>
    <cellStyle name="Millares 10 14" xfId="2373" xr:uid="{1AF67724-0244-4CA0-9D51-33E10E5557AF}"/>
    <cellStyle name="Millares 10 15" xfId="2463" xr:uid="{8C57E2A1-2867-4891-B8F1-3483781AD16F}"/>
    <cellStyle name="Millares 10 16" xfId="2552" xr:uid="{8854651B-31B7-4D51-A09F-3AF5898CB747}"/>
    <cellStyle name="Millares 10 17" xfId="2642" xr:uid="{73CD7DC2-0C6C-4BEC-8260-7AC8D6504BAE}"/>
    <cellStyle name="Millares 10 18" xfId="2732" xr:uid="{DAA07D83-8DC3-4AB3-9824-B8244D38CB71}"/>
    <cellStyle name="Millares 10 19" xfId="2822" xr:uid="{84ABBE66-B5E4-4668-A25C-3E3F780F3C3A}"/>
    <cellStyle name="Millares 10 2" xfId="1282" xr:uid="{00000000-0005-0000-0000-00006D030000}"/>
    <cellStyle name="Millares 10 2 2" xfId="3447" xr:uid="{EAF3B7C9-052E-460A-95AE-84F5D5C33C52}"/>
    <cellStyle name="Millares 10 2 3" xfId="3659" xr:uid="{B12855CF-FCE6-4C47-BB4F-55EB9FBC26BE}"/>
    <cellStyle name="Millares 10 20" xfId="2915" xr:uid="{FBBE602A-8963-44AB-BF08-DD3650E33AA5}"/>
    <cellStyle name="Millares 10 21" xfId="3009" xr:uid="{E3BF9760-5DFC-4724-A03C-2DC9303C3E5D}"/>
    <cellStyle name="Millares 10 22" xfId="3569" xr:uid="{5F59202F-4277-43A8-9D40-6A8A9778C55B}"/>
    <cellStyle name="Millares 10 3" xfId="1379" xr:uid="{00000000-0005-0000-0000-00006E030000}"/>
    <cellStyle name="Millares 10 4" xfId="1469" xr:uid="{00000000-0005-0000-0000-00006F030000}"/>
    <cellStyle name="Millares 10 5" xfId="1559" xr:uid="{00000000-0005-0000-0000-000070030000}"/>
    <cellStyle name="Millares 10 6" xfId="1650" xr:uid="{00000000-0005-0000-0000-000071030000}"/>
    <cellStyle name="Millares 10 7" xfId="1743" xr:uid="{00000000-0005-0000-0000-000072030000}"/>
    <cellStyle name="Millares 10 8" xfId="1834" xr:uid="{1C71A905-D821-4CE5-9F88-41998F9BBC44}"/>
    <cellStyle name="Millares 10 9" xfId="1925" xr:uid="{295A7098-48A1-4BCF-9B19-112F9F65D93E}"/>
    <cellStyle name="Millares 11" xfId="1220" xr:uid="{00000000-0005-0000-0000-000073030000}"/>
    <cellStyle name="Millares 11 10" xfId="2015" xr:uid="{58756788-4E48-497A-A74B-54AAC9A61350}"/>
    <cellStyle name="Millares 11 11" xfId="2106" xr:uid="{55A84581-3A32-4FB0-9534-4BAECF6CBF32}"/>
    <cellStyle name="Millares 11 12" xfId="2195" xr:uid="{8946BB70-21F6-4C87-BBCC-CC14414AD553}"/>
    <cellStyle name="Millares 11 13" xfId="2285" xr:uid="{24D72481-5DFF-40A7-8C8E-B531EBF07AE3}"/>
    <cellStyle name="Millares 11 14" xfId="2374" xr:uid="{9567AB1A-C938-40D2-AB55-D5D5FCFA2860}"/>
    <cellStyle name="Millares 11 15" xfId="2464" xr:uid="{ED402978-9356-4AC6-8C94-C2216293CB8E}"/>
    <cellStyle name="Millares 11 16" xfId="2553" xr:uid="{9BA0EC1E-94DD-4C66-BDCC-DA1B0DB3312A}"/>
    <cellStyle name="Millares 11 17" xfId="2643" xr:uid="{DFCC34BE-2F1A-41E0-952F-B53D595B42E1}"/>
    <cellStyle name="Millares 11 18" xfId="2733" xr:uid="{9047EF05-E6B0-4617-BB9F-7B7CD90C5487}"/>
    <cellStyle name="Millares 11 19" xfId="2823" xr:uid="{4033B887-139A-49DD-9780-84B41F058335}"/>
    <cellStyle name="Millares 11 2" xfId="1283" xr:uid="{00000000-0005-0000-0000-000074030000}"/>
    <cellStyle name="Millares 11 2 2" xfId="3448" xr:uid="{CFDA1C8F-E5FB-4D3F-9D58-69BA692C2682}"/>
    <cellStyle name="Millares 11 2 3" xfId="3660" xr:uid="{DE024F37-8AE1-495F-8BEA-122562B39431}"/>
    <cellStyle name="Millares 11 20" xfId="2916" xr:uid="{9580F4DF-D8A9-4BCB-BAA0-2DF9C0DA6977}"/>
    <cellStyle name="Millares 11 21" xfId="3010" xr:uid="{AEC6ECDB-C34D-460C-816E-0946B2910C34}"/>
    <cellStyle name="Millares 11 22" xfId="3570" xr:uid="{E4EC3802-EF7A-4218-BEB3-2C08DACC770B}"/>
    <cellStyle name="Millares 11 3" xfId="1380" xr:uid="{00000000-0005-0000-0000-000075030000}"/>
    <cellStyle name="Millares 11 4" xfId="1470" xr:uid="{00000000-0005-0000-0000-000076030000}"/>
    <cellStyle name="Millares 11 5" xfId="1560" xr:uid="{00000000-0005-0000-0000-000077030000}"/>
    <cellStyle name="Millares 11 6" xfId="1651" xr:uid="{00000000-0005-0000-0000-000078030000}"/>
    <cellStyle name="Millares 11 7" xfId="1744" xr:uid="{00000000-0005-0000-0000-000079030000}"/>
    <cellStyle name="Millares 11 8" xfId="1835" xr:uid="{BFBA2BAE-B8B8-4629-9CF9-3B125B9FB669}"/>
    <cellStyle name="Millares 11 9" xfId="1926" xr:uid="{E79E35BF-03FD-4912-B9D2-7476FED6285A}"/>
    <cellStyle name="Millares 12" xfId="1224" xr:uid="{00000000-0005-0000-0000-00007A030000}"/>
    <cellStyle name="Millares 12 10" xfId="2016" xr:uid="{B1A7ABE7-60B6-4E03-808A-590A672E85EF}"/>
    <cellStyle name="Millares 12 11" xfId="2107" xr:uid="{8DE0976C-E563-4F77-B9DB-5A8246D82A7B}"/>
    <cellStyle name="Millares 12 12" xfId="2196" xr:uid="{7BD41FBF-C6A6-4F47-B427-9BA04788048F}"/>
    <cellStyle name="Millares 12 13" xfId="2286" xr:uid="{D0AC0F2F-3332-4113-88E8-893CFEF475E1}"/>
    <cellStyle name="Millares 12 14" xfId="2375" xr:uid="{94A2206D-1F01-45F5-97B2-503CE08476E3}"/>
    <cellStyle name="Millares 12 15" xfId="2465" xr:uid="{86C8721A-A4C7-47DC-94EF-E41656C4AEAC}"/>
    <cellStyle name="Millares 12 16" xfId="2554" xr:uid="{0238256E-880B-4E5E-B49A-3892D9685B7B}"/>
    <cellStyle name="Millares 12 17" xfId="2644" xr:uid="{B2CB8F54-53EA-402C-8EC5-C937CD444A55}"/>
    <cellStyle name="Millares 12 18" xfId="2734" xr:uid="{5C561CEA-62CB-4B4B-9B1D-B1CC37447EEB}"/>
    <cellStyle name="Millares 12 19" xfId="2824" xr:uid="{FB51A038-5303-4DBA-8E5A-6E2394005312}"/>
    <cellStyle name="Millares 12 2" xfId="1284" xr:uid="{00000000-0005-0000-0000-00007B030000}"/>
    <cellStyle name="Millares 12 2 2" xfId="3449" xr:uid="{89D68D4F-B95F-4A58-A305-52C0210F6961}"/>
    <cellStyle name="Millares 12 2 3" xfId="3661" xr:uid="{762C569D-DFC4-4B05-9A4B-7378C33090B9}"/>
    <cellStyle name="Millares 12 20" xfId="2917" xr:uid="{11FDC657-61D5-45B1-9944-108C200D090B}"/>
    <cellStyle name="Millares 12 21" xfId="3011" xr:uid="{CC03CAC9-D0E9-476F-9530-CEA5D59F2D9D}"/>
    <cellStyle name="Millares 12 22" xfId="3571" xr:uid="{CF401F8C-AB59-4B49-85EB-76FEDFBF2598}"/>
    <cellStyle name="Millares 12 3" xfId="1381" xr:uid="{00000000-0005-0000-0000-00007C030000}"/>
    <cellStyle name="Millares 12 4" xfId="1471" xr:uid="{00000000-0005-0000-0000-00007D030000}"/>
    <cellStyle name="Millares 12 5" xfId="1561" xr:uid="{00000000-0005-0000-0000-00007E030000}"/>
    <cellStyle name="Millares 12 6" xfId="1652" xr:uid="{00000000-0005-0000-0000-00007F030000}"/>
    <cellStyle name="Millares 12 7" xfId="1745" xr:uid="{00000000-0005-0000-0000-000080030000}"/>
    <cellStyle name="Millares 12 8" xfId="1836" xr:uid="{4BB6C203-B752-45B8-B9D7-DF8E44B88420}"/>
    <cellStyle name="Millares 12 9" xfId="1927" xr:uid="{18EEFC1E-F97F-49B5-8EFA-396976B99AF0}"/>
    <cellStyle name="Millares 13" xfId="1228" xr:uid="{00000000-0005-0000-0000-000081030000}"/>
    <cellStyle name="Millares 13 10" xfId="2017" xr:uid="{67E1A243-6E85-4FB5-A7C3-61F20841C816}"/>
    <cellStyle name="Millares 13 11" xfId="2108" xr:uid="{4415D44B-F4BA-48BE-A736-8342F4B0A859}"/>
    <cellStyle name="Millares 13 12" xfId="2197" xr:uid="{89DE5E6A-F13B-4636-8E09-D5A4373B7F33}"/>
    <cellStyle name="Millares 13 13" xfId="2287" xr:uid="{E573E532-AEA8-461A-832F-EACE55EC8C8E}"/>
    <cellStyle name="Millares 13 14" xfId="2376" xr:uid="{09DF7449-36F5-4664-9D61-88EF76B38177}"/>
    <cellStyle name="Millares 13 15" xfId="2466" xr:uid="{FA91BFF0-8E28-4413-AA95-01EE926A57DB}"/>
    <cellStyle name="Millares 13 16" xfId="2555" xr:uid="{5F0FD5F2-C5FA-4128-9EC1-EAD43F4D7916}"/>
    <cellStyle name="Millares 13 17" xfId="2645" xr:uid="{0299F141-E20D-4A8B-B7A4-7828A4AA5F81}"/>
    <cellStyle name="Millares 13 18" xfId="2735" xr:uid="{075AB611-9C90-4060-8F2A-55AA222ED1E9}"/>
    <cellStyle name="Millares 13 19" xfId="2825" xr:uid="{DC66E1AC-536F-41D1-8F57-C3FB92D8DD25}"/>
    <cellStyle name="Millares 13 2" xfId="1285" xr:uid="{00000000-0005-0000-0000-000082030000}"/>
    <cellStyle name="Millares 13 2 2" xfId="3450" xr:uid="{8D5556B2-7CE5-4E5F-95B9-E6AFBC0BF5E1}"/>
    <cellStyle name="Millares 13 2 3" xfId="3662" xr:uid="{65E72592-FCF3-433B-B98A-E7032AC47666}"/>
    <cellStyle name="Millares 13 20" xfId="2918" xr:uid="{D06BEFBC-AF3F-4ED7-AA8B-4AAED6C64729}"/>
    <cellStyle name="Millares 13 21" xfId="3012" xr:uid="{01E70150-B5F2-44B7-B1FE-099236EF96AD}"/>
    <cellStyle name="Millares 13 22" xfId="3572" xr:uid="{5C5DC36D-F8D6-4EF5-9127-F16F7DB2D479}"/>
    <cellStyle name="Millares 13 3" xfId="1382" xr:uid="{00000000-0005-0000-0000-000083030000}"/>
    <cellStyle name="Millares 13 4" xfId="1472" xr:uid="{00000000-0005-0000-0000-000084030000}"/>
    <cellStyle name="Millares 13 5" xfId="1562" xr:uid="{00000000-0005-0000-0000-000085030000}"/>
    <cellStyle name="Millares 13 6" xfId="1653" xr:uid="{00000000-0005-0000-0000-000086030000}"/>
    <cellStyle name="Millares 13 7" xfId="1746" xr:uid="{00000000-0005-0000-0000-000087030000}"/>
    <cellStyle name="Millares 13 8" xfId="1837" xr:uid="{529133E0-53C1-475D-8DC2-B54F6C1770E5}"/>
    <cellStyle name="Millares 13 9" xfId="1928" xr:uid="{07AD6C38-E16E-4BE3-8E4E-3B73CFDD08B3}"/>
    <cellStyle name="Millares 14" xfId="1232" xr:uid="{00000000-0005-0000-0000-000088030000}"/>
    <cellStyle name="Millares 14 10" xfId="2018" xr:uid="{0A65F1B6-7005-44DA-B070-2DCD5FCB6CD7}"/>
    <cellStyle name="Millares 14 11" xfId="2109" xr:uid="{1AE7B405-BAFF-4D1C-AEBC-4D8111393205}"/>
    <cellStyle name="Millares 14 12" xfId="2198" xr:uid="{1BD4142F-29B3-45DD-A1B0-4D3B49707B00}"/>
    <cellStyle name="Millares 14 13" xfId="2288" xr:uid="{E3E198B4-AC1D-4D6E-8EEF-14A86F3312E7}"/>
    <cellStyle name="Millares 14 14" xfId="2377" xr:uid="{17B6FA93-927D-45C2-9D0F-F7AED5B8311A}"/>
    <cellStyle name="Millares 14 15" xfId="2467" xr:uid="{B562E461-45D6-46BC-81C1-6F0698F01B04}"/>
    <cellStyle name="Millares 14 16" xfId="2556" xr:uid="{2E6B7E66-5E70-4090-BD3C-6437C6D24F7B}"/>
    <cellStyle name="Millares 14 17" xfId="2646" xr:uid="{18CDFED1-1653-4BA0-AE2E-52604E2D6C0A}"/>
    <cellStyle name="Millares 14 18" xfId="2736" xr:uid="{D51EC86C-E9A6-4826-81EC-EF54BCAF0EF9}"/>
    <cellStyle name="Millares 14 19" xfId="2826" xr:uid="{1A0370D0-50D0-4564-BA91-302562B858EC}"/>
    <cellStyle name="Millares 14 2" xfId="1286" xr:uid="{00000000-0005-0000-0000-000089030000}"/>
    <cellStyle name="Millares 14 2 2" xfId="3451" xr:uid="{995BA8D5-4042-4604-A9C5-1C3EBFEF14CF}"/>
    <cellStyle name="Millares 14 2 3" xfId="3663" xr:uid="{CAC81B63-204A-42D4-820D-D65D22597140}"/>
    <cellStyle name="Millares 14 20" xfId="2919" xr:uid="{AC8173BC-02D8-480E-96CD-34000302DBE1}"/>
    <cellStyle name="Millares 14 21" xfId="3013" xr:uid="{BCCF4D7B-3682-426F-B134-19FE968E7969}"/>
    <cellStyle name="Millares 14 22" xfId="3573" xr:uid="{5EB47D8D-78B4-4109-858F-9DBB9AD2132A}"/>
    <cellStyle name="Millares 14 3" xfId="1383" xr:uid="{00000000-0005-0000-0000-00008A030000}"/>
    <cellStyle name="Millares 14 4" xfId="1473" xr:uid="{00000000-0005-0000-0000-00008B030000}"/>
    <cellStyle name="Millares 14 5" xfId="1563" xr:uid="{00000000-0005-0000-0000-00008C030000}"/>
    <cellStyle name="Millares 14 6" xfId="1654" xr:uid="{00000000-0005-0000-0000-00008D030000}"/>
    <cellStyle name="Millares 14 7" xfId="1747" xr:uid="{00000000-0005-0000-0000-00008E030000}"/>
    <cellStyle name="Millares 14 8" xfId="1838" xr:uid="{8FF223FD-FB94-4181-9307-A39D2488C6AF}"/>
    <cellStyle name="Millares 14 9" xfId="1929" xr:uid="{31A96780-7585-44D8-8F78-C0A8E2564A6B}"/>
    <cellStyle name="Millares 15" xfId="1236" xr:uid="{00000000-0005-0000-0000-00008F030000}"/>
    <cellStyle name="Millares 15 10" xfId="2019" xr:uid="{68187CD5-68CB-4685-90E5-C1DDB683188B}"/>
    <cellStyle name="Millares 15 11" xfId="2110" xr:uid="{3AD872B5-23B8-47EB-9486-FD1E9A0FA3BF}"/>
    <cellStyle name="Millares 15 12" xfId="2199" xr:uid="{609B1864-1C46-4576-A89E-B20C46F1854F}"/>
    <cellStyle name="Millares 15 13" xfId="2289" xr:uid="{C25E6D79-9AEC-4426-A4B0-CCEAE257AA7B}"/>
    <cellStyle name="Millares 15 14" xfId="2378" xr:uid="{1F353F1C-C365-49CF-BB76-9B3932DFD662}"/>
    <cellStyle name="Millares 15 15" xfId="2468" xr:uid="{6766C19F-839A-47E3-A531-A74A2F24B9E1}"/>
    <cellStyle name="Millares 15 16" xfId="2557" xr:uid="{C53AC327-ACC6-44EF-9FF7-C95C2B281E1B}"/>
    <cellStyle name="Millares 15 17" xfId="2647" xr:uid="{57AFB147-AC87-4070-A5C3-1CE0273DCE9A}"/>
    <cellStyle name="Millares 15 18" xfId="2737" xr:uid="{5FF221AE-9B32-4643-9FAB-758FB6BAF6A2}"/>
    <cellStyle name="Millares 15 19" xfId="2827" xr:uid="{080D60EB-71DD-45EB-BF15-52AE4F74CB0D}"/>
    <cellStyle name="Millares 15 2" xfId="1287" xr:uid="{00000000-0005-0000-0000-000090030000}"/>
    <cellStyle name="Millares 15 2 2" xfId="3452" xr:uid="{96CB46F3-A619-46DE-A130-8F32CD7D4354}"/>
    <cellStyle name="Millares 15 2 3" xfId="3664" xr:uid="{CFF2F98E-CD57-4FCC-9366-B953600E1E4C}"/>
    <cellStyle name="Millares 15 20" xfId="2920" xr:uid="{9393BC5B-059E-45B1-B3EA-CC607D908042}"/>
    <cellStyle name="Millares 15 21" xfId="3014" xr:uid="{81EC7D68-99BB-4F79-8B86-27A0F22F08C0}"/>
    <cellStyle name="Millares 15 22" xfId="3574" xr:uid="{F1ED8A88-942D-4B98-AB96-DD1C04C2BFC8}"/>
    <cellStyle name="Millares 15 3" xfId="1384" xr:uid="{00000000-0005-0000-0000-000091030000}"/>
    <cellStyle name="Millares 15 4" xfId="1474" xr:uid="{00000000-0005-0000-0000-000092030000}"/>
    <cellStyle name="Millares 15 5" xfId="1564" xr:uid="{00000000-0005-0000-0000-000093030000}"/>
    <cellStyle name="Millares 15 6" xfId="1655" xr:uid="{00000000-0005-0000-0000-000094030000}"/>
    <cellStyle name="Millares 15 7" xfId="1748" xr:uid="{00000000-0005-0000-0000-000095030000}"/>
    <cellStyle name="Millares 15 8" xfId="1839" xr:uid="{6DDF9DB4-A794-4A0A-9537-768B86E7B4D7}"/>
    <cellStyle name="Millares 15 9" xfId="1930" xr:uid="{D371ED07-DF98-4D42-B22D-288A79346B99}"/>
    <cellStyle name="Millares 16" xfId="1241" xr:uid="{00000000-0005-0000-0000-000096030000}"/>
    <cellStyle name="Millares 16 10" xfId="2020" xr:uid="{FCD688DA-9571-4FA8-9999-3090A4A98FF2}"/>
    <cellStyle name="Millares 16 11" xfId="2111" xr:uid="{60A08D00-C233-4D9A-8D88-5346B7F25091}"/>
    <cellStyle name="Millares 16 12" xfId="2200" xr:uid="{80B3E406-EFF0-4F06-90F2-753A90293E29}"/>
    <cellStyle name="Millares 16 13" xfId="2290" xr:uid="{FC96C34A-B9AD-4101-8299-24CFFFB70C7D}"/>
    <cellStyle name="Millares 16 14" xfId="2379" xr:uid="{FF142759-2CD7-43B3-9161-AC283FADB0F3}"/>
    <cellStyle name="Millares 16 15" xfId="2469" xr:uid="{A3601A1D-8B3C-4FE7-9624-46B2F74F5643}"/>
    <cellStyle name="Millares 16 16" xfId="2558" xr:uid="{48CC26F0-A9C7-4AE5-99F4-F85D7184EF33}"/>
    <cellStyle name="Millares 16 17" xfId="2648" xr:uid="{60B5EF70-C63F-4E47-BB72-21F8018241F1}"/>
    <cellStyle name="Millares 16 18" xfId="2738" xr:uid="{F0969D27-D258-4460-A05D-9E64FE925926}"/>
    <cellStyle name="Millares 16 19" xfId="2828" xr:uid="{F23AFDAD-92C7-4A30-944A-166E23458BF8}"/>
    <cellStyle name="Millares 16 2" xfId="1288" xr:uid="{00000000-0005-0000-0000-000097030000}"/>
    <cellStyle name="Millares 16 2 2" xfId="3453" xr:uid="{DA897432-98C1-41D2-A6B2-E706541B235A}"/>
    <cellStyle name="Millares 16 2 3" xfId="3665" xr:uid="{1F56BBFE-34FC-422F-8F48-4D069448D642}"/>
    <cellStyle name="Millares 16 20" xfId="2921" xr:uid="{72D0D3D5-9C42-4F4C-A956-2756F8FBB523}"/>
    <cellStyle name="Millares 16 21" xfId="3015" xr:uid="{F72B87E9-60AA-4878-B2F7-CADC74385AF0}"/>
    <cellStyle name="Millares 16 22" xfId="3575" xr:uid="{0805471E-A669-4783-AABD-21C00E2CA452}"/>
    <cellStyle name="Millares 16 3" xfId="1385" xr:uid="{00000000-0005-0000-0000-000098030000}"/>
    <cellStyle name="Millares 16 4" xfId="1475" xr:uid="{00000000-0005-0000-0000-000099030000}"/>
    <cellStyle name="Millares 16 5" xfId="1565" xr:uid="{00000000-0005-0000-0000-00009A030000}"/>
    <cellStyle name="Millares 16 6" xfId="1656" xr:uid="{00000000-0005-0000-0000-00009B030000}"/>
    <cellStyle name="Millares 16 7" xfId="1749" xr:uid="{00000000-0005-0000-0000-00009C030000}"/>
    <cellStyle name="Millares 16 8" xfId="1840" xr:uid="{AB6C58D7-C669-4EEF-8FEC-2B2BD55A2F38}"/>
    <cellStyle name="Millares 16 9" xfId="1931" xr:uid="{BD5B6A65-4975-4B41-AD54-001D3C836E81}"/>
    <cellStyle name="Millares 17" xfId="1246" xr:uid="{00000000-0005-0000-0000-00009D030000}"/>
    <cellStyle name="Millares 17 10" xfId="2021" xr:uid="{C4305BA7-7A9F-4C11-8DD3-8C87FADF5272}"/>
    <cellStyle name="Millares 17 11" xfId="2112" xr:uid="{A4BBF681-6869-46C8-B3B0-E383080A8B72}"/>
    <cellStyle name="Millares 17 12" xfId="2201" xr:uid="{FF6B1571-6CC0-4A1A-993B-96231054CD87}"/>
    <cellStyle name="Millares 17 13" xfId="2291" xr:uid="{6C78A7DC-4CA9-4DB6-AEA5-1B62E009A8B0}"/>
    <cellStyle name="Millares 17 14" xfId="2380" xr:uid="{FBDFA324-B347-4D9A-9A22-042CDE0B0BDE}"/>
    <cellStyle name="Millares 17 15" xfId="2470" xr:uid="{9555A020-A34A-4FF3-A0FA-F419DD2B58CE}"/>
    <cellStyle name="Millares 17 16" xfId="2559" xr:uid="{F31623F4-57CD-464A-B5AB-B9ECCA28B173}"/>
    <cellStyle name="Millares 17 17" xfId="2649" xr:uid="{71A14748-AA19-4F39-B171-AB1C4FE7AD0F}"/>
    <cellStyle name="Millares 17 18" xfId="2739" xr:uid="{D01D4232-ECB5-4F03-B93C-F690A98D3F99}"/>
    <cellStyle name="Millares 17 19" xfId="2829" xr:uid="{2EA311F6-7DD4-4946-9EEC-EF5430B1428A}"/>
    <cellStyle name="Millares 17 2" xfId="1289" xr:uid="{00000000-0005-0000-0000-00009E030000}"/>
    <cellStyle name="Millares 17 2 2" xfId="3454" xr:uid="{E1574025-870D-4E50-8E66-7B82C2DC37CB}"/>
    <cellStyle name="Millares 17 2 3" xfId="3666" xr:uid="{0A9A3886-43FD-4817-A71B-71D170006913}"/>
    <cellStyle name="Millares 17 20" xfId="2922" xr:uid="{042FEDA2-731C-407C-86FC-AA17B21E8A05}"/>
    <cellStyle name="Millares 17 21" xfId="3016" xr:uid="{1B81F8C3-15E2-4037-9391-8A0CD5BA446B}"/>
    <cellStyle name="Millares 17 22" xfId="3576" xr:uid="{B271EA44-F69F-4174-ADD6-699DBEC3A08A}"/>
    <cellStyle name="Millares 17 3" xfId="1386" xr:uid="{00000000-0005-0000-0000-00009F030000}"/>
    <cellStyle name="Millares 17 4" xfId="1476" xr:uid="{00000000-0005-0000-0000-0000A0030000}"/>
    <cellStyle name="Millares 17 5" xfId="1566" xr:uid="{00000000-0005-0000-0000-0000A1030000}"/>
    <cellStyle name="Millares 17 6" xfId="1657" xr:uid="{00000000-0005-0000-0000-0000A2030000}"/>
    <cellStyle name="Millares 17 7" xfId="1750" xr:uid="{00000000-0005-0000-0000-0000A3030000}"/>
    <cellStyle name="Millares 17 8" xfId="1841" xr:uid="{5A1D07F0-5B04-49ED-9A95-8B4385893A36}"/>
    <cellStyle name="Millares 17 9" xfId="1932" xr:uid="{27D709B2-76DD-4130-8D11-AC7936B42053}"/>
    <cellStyle name="Millares 18" xfId="1251" xr:uid="{00000000-0005-0000-0000-0000A4030000}"/>
    <cellStyle name="Millares 18 10" xfId="2022" xr:uid="{BB67D489-BB67-4410-A31A-10571A87B1E8}"/>
    <cellStyle name="Millares 18 11" xfId="2113" xr:uid="{EB8186AA-36F5-4B16-9DC5-CDA6A39D4E1F}"/>
    <cellStyle name="Millares 18 12" xfId="2202" xr:uid="{F948A163-1989-49CB-9AA1-9E0CEA96D504}"/>
    <cellStyle name="Millares 18 13" xfId="2292" xr:uid="{7643400C-A7A4-40C1-AFD7-E47850C5EECD}"/>
    <cellStyle name="Millares 18 14" xfId="2381" xr:uid="{CB2887EA-4355-4EA2-AD10-B6713915FDA9}"/>
    <cellStyle name="Millares 18 15" xfId="2471" xr:uid="{3C83CB37-4813-4AC1-B773-E12767CF78A4}"/>
    <cellStyle name="Millares 18 16" xfId="2560" xr:uid="{B7D8302C-6BE7-44A9-AAC5-019614F6B7E9}"/>
    <cellStyle name="Millares 18 17" xfId="2650" xr:uid="{AE18B953-BB09-419B-970B-4F1CDA42F087}"/>
    <cellStyle name="Millares 18 18" xfId="2740" xr:uid="{328A64A5-146F-404C-862C-2B49D3661D5B}"/>
    <cellStyle name="Millares 18 19" xfId="2830" xr:uid="{29ACFF8B-3372-45A5-A0AE-D1BFE85DAA09}"/>
    <cellStyle name="Millares 18 2" xfId="1290" xr:uid="{00000000-0005-0000-0000-0000A5030000}"/>
    <cellStyle name="Millares 18 2 2" xfId="3455" xr:uid="{CD59E236-9525-4A7A-86A5-B79301E68EB5}"/>
    <cellStyle name="Millares 18 2 3" xfId="3667" xr:uid="{E4953646-4B81-4D31-B8CF-530D5D99BCFB}"/>
    <cellStyle name="Millares 18 20" xfId="2923" xr:uid="{C295B189-D23B-4AEF-A546-9825660635AF}"/>
    <cellStyle name="Millares 18 21" xfId="3017" xr:uid="{9CFDC85D-C081-47B5-9CB2-271E299B219D}"/>
    <cellStyle name="Millares 18 22" xfId="3577" xr:uid="{026D4892-51D1-44CA-82E9-210AE913E995}"/>
    <cellStyle name="Millares 18 3" xfId="1387" xr:uid="{00000000-0005-0000-0000-0000A6030000}"/>
    <cellStyle name="Millares 18 4" xfId="1477" xr:uid="{00000000-0005-0000-0000-0000A7030000}"/>
    <cellStyle name="Millares 18 5" xfId="1567" xr:uid="{00000000-0005-0000-0000-0000A8030000}"/>
    <cellStyle name="Millares 18 6" xfId="1658" xr:uid="{00000000-0005-0000-0000-0000A9030000}"/>
    <cellStyle name="Millares 18 7" xfId="1751" xr:uid="{00000000-0005-0000-0000-0000AA030000}"/>
    <cellStyle name="Millares 18 8" xfId="1842" xr:uid="{FDA16A86-7843-4F67-86D8-FE56E8C4A211}"/>
    <cellStyle name="Millares 18 9" xfId="1933" xr:uid="{43A3DB5D-7249-4714-984A-F7529B018570}"/>
    <cellStyle name="Millares 19" xfId="1256" xr:uid="{00000000-0005-0000-0000-0000AB030000}"/>
    <cellStyle name="Millares 19 10" xfId="2023" xr:uid="{6A90BDCE-26E8-4BB7-80B9-F9A13821461E}"/>
    <cellStyle name="Millares 19 11" xfId="2114" xr:uid="{19AC9F52-B6EC-4FDB-946A-764CABC2A120}"/>
    <cellStyle name="Millares 19 12" xfId="2203" xr:uid="{B6FE3767-355C-48A2-991D-51621C121358}"/>
    <cellStyle name="Millares 19 13" xfId="2293" xr:uid="{5F276A5F-92A9-491F-BAAC-A04C191FDDAE}"/>
    <cellStyle name="Millares 19 14" xfId="2382" xr:uid="{4CA4C36B-C062-4135-80DF-C3F4B567E694}"/>
    <cellStyle name="Millares 19 15" xfId="2472" xr:uid="{05B8D268-69A4-4D98-BEF2-3E77670E2A29}"/>
    <cellStyle name="Millares 19 16" xfId="2561" xr:uid="{2A8E5CD0-778D-4C9D-860A-35DA750CFD40}"/>
    <cellStyle name="Millares 19 17" xfId="2651" xr:uid="{D3D342C0-AF28-490B-951D-474A9FD557D6}"/>
    <cellStyle name="Millares 19 18" xfId="2741" xr:uid="{14ECB599-7223-4918-A6FB-19204C0B10EE}"/>
    <cellStyle name="Millares 19 19" xfId="2831" xr:uid="{646B13DD-0934-4EF0-90D1-4E45D02A4A09}"/>
    <cellStyle name="Millares 19 2" xfId="1291" xr:uid="{00000000-0005-0000-0000-0000AC030000}"/>
    <cellStyle name="Millares 19 2 2" xfId="3456" xr:uid="{88AE02FA-DEBC-4D2F-9E03-EF196C2638F4}"/>
    <cellStyle name="Millares 19 2 3" xfId="3668" xr:uid="{F069421D-AAE3-453F-B5E6-4C3922317666}"/>
    <cellStyle name="Millares 19 20" xfId="2924" xr:uid="{36F2FF98-5DE6-4497-9872-D681D8CA7F05}"/>
    <cellStyle name="Millares 19 21" xfId="3018" xr:uid="{C80DAE96-C886-4617-9336-D9745A14F3D9}"/>
    <cellStyle name="Millares 19 22" xfId="3578" xr:uid="{1E819BAC-3B8D-423F-AF51-FE98DFAC41AE}"/>
    <cellStyle name="Millares 19 3" xfId="1388" xr:uid="{00000000-0005-0000-0000-0000AD030000}"/>
    <cellStyle name="Millares 19 4" xfId="1478" xr:uid="{00000000-0005-0000-0000-0000AE030000}"/>
    <cellStyle name="Millares 19 5" xfId="1568" xr:uid="{00000000-0005-0000-0000-0000AF030000}"/>
    <cellStyle name="Millares 19 6" xfId="1659" xr:uid="{00000000-0005-0000-0000-0000B0030000}"/>
    <cellStyle name="Millares 19 7" xfId="1752" xr:uid="{00000000-0005-0000-0000-0000B1030000}"/>
    <cellStyle name="Millares 19 8" xfId="1843" xr:uid="{20A817A7-BB4F-41BC-900E-948521855654}"/>
    <cellStyle name="Millares 19 9" xfId="1934" xr:uid="{99D1F936-F76E-4EC9-9379-5631B5A51C4F}"/>
    <cellStyle name="Millares 2" xfId="879" xr:uid="{00000000-0005-0000-0000-0000B2030000}"/>
    <cellStyle name="Millares 2 10" xfId="1225" xr:uid="{00000000-0005-0000-0000-0000B3030000}"/>
    <cellStyle name="Millares 2 10 10" xfId="2025" xr:uid="{71BE5D9E-9B50-4809-897F-2B6C79DE8F2D}"/>
    <cellStyle name="Millares 2 10 11" xfId="2116" xr:uid="{EAF42174-2F3E-46CF-98C7-098EE60EA803}"/>
    <cellStyle name="Millares 2 10 12" xfId="2205" xr:uid="{3BD770A0-1095-49D2-84E7-8D7E1CEE5EF0}"/>
    <cellStyle name="Millares 2 10 13" xfId="2295" xr:uid="{60E67F0C-C146-4BDD-90D1-B0422F791E21}"/>
    <cellStyle name="Millares 2 10 14" xfId="2384" xr:uid="{C2213417-8734-481B-B707-C57EEB090CB9}"/>
    <cellStyle name="Millares 2 10 15" xfId="2474" xr:uid="{59DCB6A6-6831-4C39-930D-1C23A5491E58}"/>
    <cellStyle name="Millares 2 10 16" xfId="2563" xr:uid="{2E5BB06B-DDCB-45AF-BA25-30F5644EFDA5}"/>
    <cellStyle name="Millares 2 10 17" xfId="2653" xr:uid="{CAEED580-8EDF-4CEE-9AEA-CFA1550F05A1}"/>
    <cellStyle name="Millares 2 10 18" xfId="2743" xr:uid="{8E5AB939-5628-4444-9B15-68FA3AAEBEA8}"/>
    <cellStyle name="Millares 2 10 19" xfId="2833" xr:uid="{82C0751E-4371-4877-B14F-17C538311CAA}"/>
    <cellStyle name="Millares 2 10 2" xfId="1293" xr:uid="{00000000-0005-0000-0000-0000B4030000}"/>
    <cellStyle name="Millares 2 10 2 2" xfId="3458" xr:uid="{F525A098-79E1-4337-824A-72D6E4E2D195}"/>
    <cellStyle name="Millares 2 10 2 3" xfId="3670" xr:uid="{D3E69FFC-CD05-41B6-90ED-D72505CE37D2}"/>
    <cellStyle name="Millares 2 10 20" xfId="2926" xr:uid="{CF7A9CCE-4FC7-4F35-B37B-BF9B872D9A14}"/>
    <cellStyle name="Millares 2 10 21" xfId="3020" xr:uid="{98CA58DA-9BA2-4CC0-B94A-15DF8079596A}"/>
    <cellStyle name="Millares 2 10 22" xfId="3580" xr:uid="{DB5BEDCF-6782-492F-AE30-07BB72F283E7}"/>
    <cellStyle name="Millares 2 10 3" xfId="1390" xr:uid="{00000000-0005-0000-0000-0000B5030000}"/>
    <cellStyle name="Millares 2 10 4" xfId="1480" xr:uid="{00000000-0005-0000-0000-0000B6030000}"/>
    <cellStyle name="Millares 2 10 5" xfId="1570" xr:uid="{00000000-0005-0000-0000-0000B7030000}"/>
    <cellStyle name="Millares 2 10 6" xfId="1661" xr:uid="{00000000-0005-0000-0000-0000B8030000}"/>
    <cellStyle name="Millares 2 10 7" xfId="1754" xr:uid="{00000000-0005-0000-0000-0000B9030000}"/>
    <cellStyle name="Millares 2 10 8" xfId="1845" xr:uid="{E5F83835-FA4C-4E88-BDD3-FD070BE62967}"/>
    <cellStyle name="Millares 2 10 9" xfId="1936" xr:uid="{3D05080E-D3F5-409B-9DB0-45F945304903}"/>
    <cellStyle name="Millares 2 11" xfId="1229" xr:uid="{00000000-0005-0000-0000-0000BA030000}"/>
    <cellStyle name="Millares 2 11 10" xfId="2026" xr:uid="{0310A74B-7AFE-44B4-81F4-921B504C03C8}"/>
    <cellStyle name="Millares 2 11 11" xfId="2117" xr:uid="{4BBA0FEB-FAF6-40A0-83EF-49EA6F274EFC}"/>
    <cellStyle name="Millares 2 11 12" xfId="2206" xr:uid="{C460EB9C-FDB8-4772-8F5B-70572BED1203}"/>
    <cellStyle name="Millares 2 11 13" xfId="2296" xr:uid="{87837AA9-8C79-411B-939E-308473279430}"/>
    <cellStyle name="Millares 2 11 14" xfId="2385" xr:uid="{8749D2A6-FC17-4D93-84AD-B4A8DD9F89D7}"/>
    <cellStyle name="Millares 2 11 15" xfId="2475" xr:uid="{4C45A512-2EE1-443F-9631-3395B6C8E5FE}"/>
    <cellStyle name="Millares 2 11 16" xfId="2564" xr:uid="{E8CF2C9A-041F-4453-B705-2A636A65E559}"/>
    <cellStyle name="Millares 2 11 17" xfId="2654" xr:uid="{EA7E3129-19DA-433D-BF94-E1B643A5C64B}"/>
    <cellStyle name="Millares 2 11 18" xfId="2744" xr:uid="{DE4E5842-8B25-450E-A8C1-6D1E4F4B5C44}"/>
    <cellStyle name="Millares 2 11 19" xfId="2834" xr:uid="{7A96CCA9-3FC6-4CBC-811C-DE9B5499BCE9}"/>
    <cellStyle name="Millares 2 11 2" xfId="1294" xr:uid="{00000000-0005-0000-0000-0000BB030000}"/>
    <cellStyle name="Millares 2 11 2 2" xfId="3459" xr:uid="{ED16A0AE-3445-43AF-AA0E-EF38BD11140F}"/>
    <cellStyle name="Millares 2 11 2 3" xfId="3671" xr:uid="{8B05AA77-8E2F-440F-9783-C6CCE8841AA9}"/>
    <cellStyle name="Millares 2 11 20" xfId="2927" xr:uid="{36BAD128-A537-43EA-ADFA-7CD1D555A6C9}"/>
    <cellStyle name="Millares 2 11 21" xfId="3021" xr:uid="{37683430-387E-4F15-BE77-DF57F4353A9D}"/>
    <cellStyle name="Millares 2 11 22" xfId="3581" xr:uid="{9FF6288F-A9A8-4CA4-A8B0-5ACD3F2EE4B2}"/>
    <cellStyle name="Millares 2 11 3" xfId="1391" xr:uid="{00000000-0005-0000-0000-0000BC030000}"/>
    <cellStyle name="Millares 2 11 4" xfId="1481" xr:uid="{00000000-0005-0000-0000-0000BD030000}"/>
    <cellStyle name="Millares 2 11 5" xfId="1571" xr:uid="{00000000-0005-0000-0000-0000BE030000}"/>
    <cellStyle name="Millares 2 11 6" xfId="1662" xr:uid="{00000000-0005-0000-0000-0000BF030000}"/>
    <cellStyle name="Millares 2 11 7" xfId="1755" xr:uid="{00000000-0005-0000-0000-0000C0030000}"/>
    <cellStyle name="Millares 2 11 8" xfId="1846" xr:uid="{81474BD2-5C85-4B2B-BC60-0BA9F7D34FC3}"/>
    <cellStyle name="Millares 2 11 9" xfId="1937" xr:uid="{A9F5344E-57A1-495E-B82B-C5453F8FF68B}"/>
    <cellStyle name="Millares 2 12" xfId="1233" xr:uid="{00000000-0005-0000-0000-0000C1030000}"/>
    <cellStyle name="Millares 2 12 10" xfId="2027" xr:uid="{DB063991-2C8E-4FE1-8F7A-B6837727746A}"/>
    <cellStyle name="Millares 2 12 11" xfId="2118" xr:uid="{ACD7149C-05A1-4CBB-8A82-AF3FC5F8C0E5}"/>
    <cellStyle name="Millares 2 12 12" xfId="2207" xr:uid="{B7C54AE0-FAB1-4C71-846A-A33A91C7CD66}"/>
    <cellStyle name="Millares 2 12 13" xfId="2297" xr:uid="{DC04B7F2-772F-4AEF-85F1-2D97D882428C}"/>
    <cellStyle name="Millares 2 12 14" xfId="2386" xr:uid="{E7ED0EB3-7BA2-431D-AF52-ABA77D917170}"/>
    <cellStyle name="Millares 2 12 15" xfId="2476" xr:uid="{D2E1FD2A-1BE9-4A3D-A726-A774574D1AA3}"/>
    <cellStyle name="Millares 2 12 16" xfId="2565" xr:uid="{E9AC3689-547E-4222-808F-77720213C7CB}"/>
    <cellStyle name="Millares 2 12 17" xfId="2655" xr:uid="{97A9DFC6-7B2F-48B6-BD13-0D493D4E7D95}"/>
    <cellStyle name="Millares 2 12 18" xfId="2745" xr:uid="{C709AC51-4797-466D-BB14-5C4D3F1D9D84}"/>
    <cellStyle name="Millares 2 12 19" xfId="2835" xr:uid="{1AA93215-D727-4737-8FE7-E94AF3F39EBB}"/>
    <cellStyle name="Millares 2 12 2" xfId="1295" xr:uid="{00000000-0005-0000-0000-0000C2030000}"/>
    <cellStyle name="Millares 2 12 2 2" xfId="3460" xr:uid="{34940FF5-4C2F-4544-A1D4-42E77C8373FB}"/>
    <cellStyle name="Millares 2 12 2 3" xfId="3672" xr:uid="{0B54043C-D36F-4349-A0A2-8FC05A2FE966}"/>
    <cellStyle name="Millares 2 12 20" xfId="2928" xr:uid="{F18B135B-6527-47CC-A926-040BA2DCFFB8}"/>
    <cellStyle name="Millares 2 12 21" xfId="3022" xr:uid="{B27A02EA-FC54-4220-BB53-C2B3ADE5A582}"/>
    <cellStyle name="Millares 2 12 22" xfId="3582" xr:uid="{C3F63D79-E041-40FC-9123-068469A49811}"/>
    <cellStyle name="Millares 2 12 3" xfId="1392" xr:uid="{00000000-0005-0000-0000-0000C3030000}"/>
    <cellStyle name="Millares 2 12 4" xfId="1482" xr:uid="{00000000-0005-0000-0000-0000C4030000}"/>
    <cellStyle name="Millares 2 12 5" xfId="1572" xr:uid="{00000000-0005-0000-0000-0000C5030000}"/>
    <cellStyle name="Millares 2 12 6" xfId="1663" xr:uid="{00000000-0005-0000-0000-0000C6030000}"/>
    <cellStyle name="Millares 2 12 7" xfId="1756" xr:uid="{00000000-0005-0000-0000-0000C7030000}"/>
    <cellStyle name="Millares 2 12 8" xfId="1847" xr:uid="{7C8A68CC-3680-4B7E-8601-7BE1013E475B}"/>
    <cellStyle name="Millares 2 12 9" xfId="1938" xr:uid="{320BDD3F-E4F8-48A6-A263-39F94B2B2AF9}"/>
    <cellStyle name="Millares 2 13" xfId="1237" xr:uid="{00000000-0005-0000-0000-0000C8030000}"/>
    <cellStyle name="Millares 2 13 10" xfId="2028" xr:uid="{BB34EC71-C9F4-4FD9-A6FD-1644A287031D}"/>
    <cellStyle name="Millares 2 13 11" xfId="2119" xr:uid="{99E3F14B-B228-45B8-93A2-3C93C8A35721}"/>
    <cellStyle name="Millares 2 13 12" xfId="2208" xr:uid="{9231689E-62E6-448D-AFB9-90E2320989E5}"/>
    <cellStyle name="Millares 2 13 13" xfId="2298" xr:uid="{5885E42A-729D-42A1-8D53-1561825F7E72}"/>
    <cellStyle name="Millares 2 13 14" xfId="2387" xr:uid="{BD3F2ABB-CA01-4420-BFF1-B6DA3BE4D85A}"/>
    <cellStyle name="Millares 2 13 15" xfId="2477" xr:uid="{67BD30CE-39E5-4991-9C30-5C8A42E4F22A}"/>
    <cellStyle name="Millares 2 13 16" xfId="2566" xr:uid="{B80B12EE-2097-425B-8B31-44BA1C7B1E3D}"/>
    <cellStyle name="Millares 2 13 17" xfId="2656" xr:uid="{0BB53DD0-3742-4E47-BD24-1D042A7BCF0F}"/>
    <cellStyle name="Millares 2 13 18" xfId="2746" xr:uid="{CA50595D-FBF8-401C-A4A4-80FDCA200400}"/>
    <cellStyle name="Millares 2 13 19" xfId="2836" xr:uid="{9D1199AE-0274-4AC8-8FDE-175A6BCF4E3A}"/>
    <cellStyle name="Millares 2 13 2" xfId="1296" xr:uid="{00000000-0005-0000-0000-0000C9030000}"/>
    <cellStyle name="Millares 2 13 2 2" xfId="3461" xr:uid="{B1181F7C-1363-4581-A8A4-9AD459D35B70}"/>
    <cellStyle name="Millares 2 13 2 3" xfId="3673" xr:uid="{87C2176C-04C1-4E0F-8EC8-E1F1C8092973}"/>
    <cellStyle name="Millares 2 13 20" xfId="2929" xr:uid="{2649117E-AFAC-4BB4-B80F-2EB347402724}"/>
    <cellStyle name="Millares 2 13 21" xfId="3023" xr:uid="{64ACABCF-D74D-4120-B1F3-9330EE70EA3E}"/>
    <cellStyle name="Millares 2 13 22" xfId="3583" xr:uid="{AFC3BD15-F2A4-4329-81DA-70A54C10F07C}"/>
    <cellStyle name="Millares 2 13 3" xfId="1393" xr:uid="{00000000-0005-0000-0000-0000CA030000}"/>
    <cellStyle name="Millares 2 13 4" xfId="1483" xr:uid="{00000000-0005-0000-0000-0000CB030000}"/>
    <cellStyle name="Millares 2 13 5" xfId="1573" xr:uid="{00000000-0005-0000-0000-0000CC030000}"/>
    <cellStyle name="Millares 2 13 6" xfId="1664" xr:uid="{00000000-0005-0000-0000-0000CD030000}"/>
    <cellStyle name="Millares 2 13 7" xfId="1757" xr:uid="{00000000-0005-0000-0000-0000CE030000}"/>
    <cellStyle name="Millares 2 13 8" xfId="1848" xr:uid="{79CD7C19-683D-4683-B9C3-32ECC5241424}"/>
    <cellStyle name="Millares 2 13 9" xfId="1939" xr:uid="{F159DE0C-D5C1-43B9-B8D0-A315F5EC9DE4}"/>
    <cellStyle name="Millares 2 14" xfId="1242" xr:uid="{00000000-0005-0000-0000-0000CF030000}"/>
    <cellStyle name="Millares 2 14 10" xfId="2029" xr:uid="{A026E08A-3029-4D2E-8747-EDBCB7F54553}"/>
    <cellStyle name="Millares 2 14 11" xfId="2120" xr:uid="{33CFA213-C8AE-4759-AE84-B6F10E86388D}"/>
    <cellStyle name="Millares 2 14 12" xfId="2209" xr:uid="{B05CA0B7-AC42-479D-BC98-B9EED91537E9}"/>
    <cellStyle name="Millares 2 14 13" xfId="2299" xr:uid="{DDA89F10-45AA-40B7-9F3E-1C885B6D2210}"/>
    <cellStyle name="Millares 2 14 14" xfId="2388" xr:uid="{89543EF1-FBC9-4257-9716-DAAE0F25CE9D}"/>
    <cellStyle name="Millares 2 14 15" xfId="2478" xr:uid="{A72D8674-DEFC-459C-B0B8-9286F3622581}"/>
    <cellStyle name="Millares 2 14 16" xfId="2567" xr:uid="{A81091EF-01BF-444E-AEF0-C3E93422E814}"/>
    <cellStyle name="Millares 2 14 17" xfId="2657" xr:uid="{B61D4FC3-2D74-4995-A7C5-1F1DB8368B08}"/>
    <cellStyle name="Millares 2 14 18" xfId="2747" xr:uid="{A10756E3-556E-4090-B00A-0E21FC536B05}"/>
    <cellStyle name="Millares 2 14 19" xfId="2837" xr:uid="{4A7A8FE4-39ED-468E-A5F3-F22E4711AF36}"/>
    <cellStyle name="Millares 2 14 2" xfId="1297" xr:uid="{00000000-0005-0000-0000-0000D0030000}"/>
    <cellStyle name="Millares 2 14 2 2" xfId="3462" xr:uid="{E431411D-1BCC-4B23-938D-F34E1675E526}"/>
    <cellStyle name="Millares 2 14 2 3" xfId="3674" xr:uid="{E7A7A871-596C-4724-88BB-E6C798954045}"/>
    <cellStyle name="Millares 2 14 20" xfId="2930" xr:uid="{FDAD5EDC-10E9-48A7-8134-8D9992782CD2}"/>
    <cellStyle name="Millares 2 14 21" xfId="3024" xr:uid="{0AB9B9CE-3A3E-421B-8FF4-A7721187F81C}"/>
    <cellStyle name="Millares 2 14 22" xfId="3584" xr:uid="{F41D98A5-7C61-45A6-8D75-5C8AD9911D1A}"/>
    <cellStyle name="Millares 2 14 3" xfId="1394" xr:uid="{00000000-0005-0000-0000-0000D1030000}"/>
    <cellStyle name="Millares 2 14 4" xfId="1484" xr:uid="{00000000-0005-0000-0000-0000D2030000}"/>
    <cellStyle name="Millares 2 14 5" xfId="1574" xr:uid="{00000000-0005-0000-0000-0000D3030000}"/>
    <cellStyle name="Millares 2 14 6" xfId="1665" xr:uid="{00000000-0005-0000-0000-0000D4030000}"/>
    <cellStyle name="Millares 2 14 7" xfId="1758" xr:uid="{00000000-0005-0000-0000-0000D5030000}"/>
    <cellStyle name="Millares 2 14 8" xfId="1849" xr:uid="{6C84A2DB-E9A3-47CB-88AE-9B3D590E7EE2}"/>
    <cellStyle name="Millares 2 14 9" xfId="1940" xr:uid="{3C693555-55A3-4962-A5AE-F70994FED6BA}"/>
    <cellStyle name="Millares 2 15" xfId="1247" xr:uid="{00000000-0005-0000-0000-0000D6030000}"/>
    <cellStyle name="Millares 2 15 10" xfId="2030" xr:uid="{503FB027-DA9F-438B-9C81-4C22851C22AF}"/>
    <cellStyle name="Millares 2 15 11" xfId="2121" xr:uid="{A20E829C-7996-4D96-B73A-22496AD88801}"/>
    <cellStyle name="Millares 2 15 12" xfId="2210" xr:uid="{71100572-E618-44F9-BEF0-D8E974B36193}"/>
    <cellStyle name="Millares 2 15 13" xfId="2300" xr:uid="{13F3C9F8-78B0-480C-8615-4062C199F833}"/>
    <cellStyle name="Millares 2 15 14" xfId="2389" xr:uid="{E22E91FE-5725-4BA8-980C-5F6B4BC31F14}"/>
    <cellStyle name="Millares 2 15 15" xfId="2479" xr:uid="{E6171931-CDCD-4491-AA7A-D39739D69D9A}"/>
    <cellStyle name="Millares 2 15 16" xfId="2568" xr:uid="{6834B621-17BB-4312-99D2-AD63F5DCEA02}"/>
    <cellStyle name="Millares 2 15 17" xfId="2658" xr:uid="{9222862E-24DF-4CDF-98AE-7F002D6D0B1B}"/>
    <cellStyle name="Millares 2 15 18" xfId="2748" xr:uid="{7906FCCA-7C3D-4B9C-B507-17C1317D3516}"/>
    <cellStyle name="Millares 2 15 19" xfId="2838" xr:uid="{D1641024-8DDF-4833-B10E-3BC144540D88}"/>
    <cellStyle name="Millares 2 15 2" xfId="1298" xr:uid="{00000000-0005-0000-0000-0000D7030000}"/>
    <cellStyle name="Millares 2 15 2 2" xfId="3463" xr:uid="{C523B85C-7C3C-459C-B58E-F2DABA14B336}"/>
    <cellStyle name="Millares 2 15 2 3" xfId="3675" xr:uid="{4C6C830F-03C0-47CB-A9F4-B7A09CFF1FD6}"/>
    <cellStyle name="Millares 2 15 20" xfId="2931" xr:uid="{0C8C7887-A9D3-4E97-8560-29F9DDB0CC6D}"/>
    <cellStyle name="Millares 2 15 21" xfId="3025" xr:uid="{8F7D63B1-7194-4A6C-A167-7AA36C360075}"/>
    <cellStyle name="Millares 2 15 22" xfId="3585" xr:uid="{4C31CE3C-CE58-4C18-ACE7-AD725B54F454}"/>
    <cellStyle name="Millares 2 15 3" xfId="1395" xr:uid="{00000000-0005-0000-0000-0000D8030000}"/>
    <cellStyle name="Millares 2 15 4" xfId="1485" xr:uid="{00000000-0005-0000-0000-0000D9030000}"/>
    <cellStyle name="Millares 2 15 5" xfId="1575" xr:uid="{00000000-0005-0000-0000-0000DA030000}"/>
    <cellStyle name="Millares 2 15 6" xfId="1666" xr:uid="{00000000-0005-0000-0000-0000DB030000}"/>
    <cellStyle name="Millares 2 15 7" xfId="1759" xr:uid="{00000000-0005-0000-0000-0000DC030000}"/>
    <cellStyle name="Millares 2 15 8" xfId="1850" xr:uid="{75251CB8-7D2A-4DF8-976C-1F0F28C3036F}"/>
    <cellStyle name="Millares 2 15 9" xfId="1941" xr:uid="{3D2A9F1F-4F4F-48C8-9E3D-AD840388409E}"/>
    <cellStyle name="Millares 2 16" xfId="1252" xr:uid="{00000000-0005-0000-0000-0000DD030000}"/>
    <cellStyle name="Millares 2 16 10" xfId="2031" xr:uid="{CDC73329-99EA-406A-8E79-B68CB22C0AF1}"/>
    <cellStyle name="Millares 2 16 11" xfId="2122" xr:uid="{2E8B4212-DD28-4308-B7DB-B323E777C9AD}"/>
    <cellStyle name="Millares 2 16 12" xfId="2211" xr:uid="{C7E0ABDC-0F60-44A2-BF4B-13DDE36438E9}"/>
    <cellStyle name="Millares 2 16 13" xfId="2301" xr:uid="{7CE3CBF7-6601-48C1-B288-3EC1F5F01E06}"/>
    <cellStyle name="Millares 2 16 14" xfId="2390" xr:uid="{4AAFDC18-B26F-4EF8-80F3-1306576EA144}"/>
    <cellStyle name="Millares 2 16 15" xfId="2480" xr:uid="{9B5CECC5-DBC5-4D7C-AF66-963B4ADDBB6B}"/>
    <cellStyle name="Millares 2 16 16" xfId="2569" xr:uid="{85B5B966-990F-4B69-BE69-7A0F45E54468}"/>
    <cellStyle name="Millares 2 16 17" xfId="2659" xr:uid="{F85F0BF3-630A-443D-AAA6-FD973BD3E854}"/>
    <cellStyle name="Millares 2 16 18" xfId="2749" xr:uid="{4BFAE0B0-A7B0-45B2-BD58-75B789ABE6E4}"/>
    <cellStyle name="Millares 2 16 19" xfId="2839" xr:uid="{E65C8C39-ECCC-485C-B9E0-E2CFB59564D3}"/>
    <cellStyle name="Millares 2 16 2" xfId="1299" xr:uid="{00000000-0005-0000-0000-0000DE030000}"/>
    <cellStyle name="Millares 2 16 2 2" xfId="3464" xr:uid="{E49FDBE0-F680-4245-87A5-EB9497CF1807}"/>
    <cellStyle name="Millares 2 16 2 3" xfId="3676" xr:uid="{DB3B558F-9B7D-41EC-A440-CA063E37D20A}"/>
    <cellStyle name="Millares 2 16 20" xfId="2932" xr:uid="{A7406EAD-8522-4FFC-942B-0FE3D2A9DD15}"/>
    <cellStyle name="Millares 2 16 21" xfId="3026" xr:uid="{7E5D77C5-7FE5-4CC2-83F6-684542470F5C}"/>
    <cellStyle name="Millares 2 16 22" xfId="3586" xr:uid="{FD3B1E73-6E8B-4F38-B32F-94AB3D123FAA}"/>
    <cellStyle name="Millares 2 16 3" xfId="1396" xr:uid="{00000000-0005-0000-0000-0000DF030000}"/>
    <cellStyle name="Millares 2 16 4" xfId="1486" xr:uid="{00000000-0005-0000-0000-0000E0030000}"/>
    <cellStyle name="Millares 2 16 5" xfId="1576" xr:uid="{00000000-0005-0000-0000-0000E1030000}"/>
    <cellStyle name="Millares 2 16 6" xfId="1667" xr:uid="{00000000-0005-0000-0000-0000E2030000}"/>
    <cellStyle name="Millares 2 16 7" xfId="1760" xr:uid="{00000000-0005-0000-0000-0000E3030000}"/>
    <cellStyle name="Millares 2 16 8" xfId="1851" xr:uid="{0856B9C0-25E2-473D-880C-80A90254E2C1}"/>
    <cellStyle name="Millares 2 16 9" xfId="1942" xr:uid="{E6AC0BE3-AAD3-45AD-B22B-CE7B652115B0}"/>
    <cellStyle name="Millares 2 17" xfId="1257" xr:uid="{00000000-0005-0000-0000-0000E4030000}"/>
    <cellStyle name="Millares 2 17 10" xfId="2032" xr:uid="{7403F874-6CC2-4E54-80E9-1A0FAC55390D}"/>
    <cellStyle name="Millares 2 17 11" xfId="2123" xr:uid="{249C570F-7821-4115-8EDF-33D0813304D7}"/>
    <cellStyle name="Millares 2 17 12" xfId="2212" xr:uid="{3522872C-8CED-4ED6-B3D3-E2571B47C74A}"/>
    <cellStyle name="Millares 2 17 13" xfId="2302" xr:uid="{6E12E895-4AAB-46AB-B02D-77DAF1E04598}"/>
    <cellStyle name="Millares 2 17 14" xfId="2391" xr:uid="{C70C3C61-BCFD-424A-90BF-0B140A583529}"/>
    <cellStyle name="Millares 2 17 15" xfId="2481" xr:uid="{0C971391-E131-448A-81D7-695DD8538CFE}"/>
    <cellStyle name="Millares 2 17 16" xfId="2570" xr:uid="{9E26998C-ACEF-4B3F-9925-3E04111E5A4F}"/>
    <cellStyle name="Millares 2 17 17" xfId="2660" xr:uid="{01181BD8-10C4-445C-866C-BF31E884ED82}"/>
    <cellStyle name="Millares 2 17 18" xfId="2750" xr:uid="{BC3165F1-44CA-4969-BF66-1001341FD2F3}"/>
    <cellStyle name="Millares 2 17 19" xfId="2840" xr:uid="{E68CF3FC-440B-4213-95D0-7441BA1603EF}"/>
    <cellStyle name="Millares 2 17 2" xfId="1300" xr:uid="{00000000-0005-0000-0000-0000E5030000}"/>
    <cellStyle name="Millares 2 17 2 2" xfId="3465" xr:uid="{D7D36EC7-D89F-40C4-8968-7EA3E4B3D374}"/>
    <cellStyle name="Millares 2 17 2 3" xfId="3677" xr:uid="{993A0ECE-E122-49DB-8C46-07676C6081C1}"/>
    <cellStyle name="Millares 2 17 20" xfId="2933" xr:uid="{E7457714-EDA9-4BB5-A5CA-A6519B1D7E80}"/>
    <cellStyle name="Millares 2 17 21" xfId="3027" xr:uid="{F9D2F1B4-8B0B-44D6-B159-64FEC18098C9}"/>
    <cellStyle name="Millares 2 17 22" xfId="3587" xr:uid="{60255833-898E-468E-B71D-6107932ED68E}"/>
    <cellStyle name="Millares 2 17 3" xfId="1397" xr:uid="{00000000-0005-0000-0000-0000E6030000}"/>
    <cellStyle name="Millares 2 17 4" xfId="1487" xr:uid="{00000000-0005-0000-0000-0000E7030000}"/>
    <cellStyle name="Millares 2 17 5" xfId="1577" xr:uid="{00000000-0005-0000-0000-0000E8030000}"/>
    <cellStyle name="Millares 2 17 6" xfId="1668" xr:uid="{00000000-0005-0000-0000-0000E9030000}"/>
    <cellStyle name="Millares 2 17 7" xfId="1761" xr:uid="{00000000-0005-0000-0000-0000EA030000}"/>
    <cellStyle name="Millares 2 17 8" xfId="1852" xr:uid="{D7666C0F-3F4B-409B-BA7A-DC1D46E73695}"/>
    <cellStyle name="Millares 2 17 9" xfId="1943" xr:uid="{BBBFCF15-5FB1-4678-B8FE-AA49D2732B1B}"/>
    <cellStyle name="Millares 2 18" xfId="1261" xr:uid="{00000000-0005-0000-0000-0000EB030000}"/>
    <cellStyle name="Millares 2 18 10" xfId="2033" xr:uid="{0B9BF66A-AF97-4D76-BA7C-BE5990AB63A4}"/>
    <cellStyle name="Millares 2 18 11" xfId="2124" xr:uid="{A966A290-6575-40ED-A2A4-566286464210}"/>
    <cellStyle name="Millares 2 18 12" xfId="2213" xr:uid="{1843C51E-C988-4D6E-A5BA-8C807FB7A4A5}"/>
    <cellStyle name="Millares 2 18 13" xfId="2303" xr:uid="{2AA16378-AE6A-4587-B4DF-E4DF9215A65D}"/>
    <cellStyle name="Millares 2 18 14" xfId="2392" xr:uid="{092BA438-2CF2-42CB-8CB5-5F7FF767EBDE}"/>
    <cellStyle name="Millares 2 18 15" xfId="2482" xr:uid="{D8FBA1E0-5DEB-48E7-A8A8-91944E813A2B}"/>
    <cellStyle name="Millares 2 18 16" xfId="2571" xr:uid="{298B1358-A2A8-4281-9FD9-DBA9C8CCEF53}"/>
    <cellStyle name="Millares 2 18 17" xfId="2661" xr:uid="{63C403B5-A754-4CDD-8EAE-F0918CF706BD}"/>
    <cellStyle name="Millares 2 18 18" xfId="2751" xr:uid="{CF6786D3-7F01-4679-819C-C8F20636C748}"/>
    <cellStyle name="Millares 2 18 19" xfId="2841" xr:uid="{11AAAC63-CD01-4425-8966-6ED81385FC13}"/>
    <cellStyle name="Millares 2 18 2" xfId="1301" xr:uid="{00000000-0005-0000-0000-0000EC030000}"/>
    <cellStyle name="Millares 2 18 2 2" xfId="3466" xr:uid="{4C4821BF-4FDA-4A78-ABA3-352AD63DD5B3}"/>
    <cellStyle name="Millares 2 18 2 3" xfId="3678" xr:uid="{135F0FBD-4201-46AB-A069-B1C0F330C48E}"/>
    <cellStyle name="Millares 2 18 20" xfId="2934" xr:uid="{F0AC5B7F-1B7C-4768-AD52-5DF12B2FFBAA}"/>
    <cellStyle name="Millares 2 18 21" xfId="3028" xr:uid="{2833EB35-B742-417E-AF94-35D859EF3D5A}"/>
    <cellStyle name="Millares 2 18 22" xfId="3588" xr:uid="{390E0E2C-9E4C-467A-BCA0-8883ED902EB5}"/>
    <cellStyle name="Millares 2 18 3" xfId="1398" xr:uid="{00000000-0005-0000-0000-0000ED030000}"/>
    <cellStyle name="Millares 2 18 4" xfId="1488" xr:uid="{00000000-0005-0000-0000-0000EE030000}"/>
    <cellStyle name="Millares 2 18 5" xfId="1578" xr:uid="{00000000-0005-0000-0000-0000EF030000}"/>
    <cellStyle name="Millares 2 18 6" xfId="1669" xr:uid="{00000000-0005-0000-0000-0000F0030000}"/>
    <cellStyle name="Millares 2 18 7" xfId="1762" xr:uid="{00000000-0005-0000-0000-0000F1030000}"/>
    <cellStyle name="Millares 2 18 8" xfId="1853" xr:uid="{0996292C-CEA1-442D-BDF1-A181F6A68AFC}"/>
    <cellStyle name="Millares 2 18 9" xfId="1944" xr:uid="{5AFE50FF-8B05-4795-9892-A7488BBB7656}"/>
    <cellStyle name="Millares 2 19" xfId="1265" xr:uid="{00000000-0005-0000-0000-0000F2030000}"/>
    <cellStyle name="Millares 2 19 10" xfId="2034" xr:uid="{7B09B546-A0E0-49FD-9522-CCE7EABA74F7}"/>
    <cellStyle name="Millares 2 19 11" xfId="2125" xr:uid="{32FE565A-9920-423D-8B3A-C6366F8A3C08}"/>
    <cellStyle name="Millares 2 19 12" xfId="2214" xr:uid="{EA4D3D41-B9A5-4E7C-A1B2-A9E23B9D304D}"/>
    <cellStyle name="Millares 2 19 13" xfId="2304" xr:uid="{5D0EA880-3134-41A4-888B-6C10426104EB}"/>
    <cellStyle name="Millares 2 19 14" xfId="2393" xr:uid="{0327E21D-B3DC-431A-A002-EE8E9445F387}"/>
    <cellStyle name="Millares 2 19 15" xfId="2483" xr:uid="{CEE701E5-351D-4272-878A-79552971038C}"/>
    <cellStyle name="Millares 2 19 16" xfId="2572" xr:uid="{1CB60ACC-6901-4D7A-B6D2-8D1F91A47FBA}"/>
    <cellStyle name="Millares 2 19 17" xfId="2662" xr:uid="{F92D976D-D071-427A-ADDC-EC47AFCDC4F1}"/>
    <cellStyle name="Millares 2 19 18" xfId="2752" xr:uid="{C421666F-8EFF-418C-A361-850C866B337F}"/>
    <cellStyle name="Millares 2 19 19" xfId="2842" xr:uid="{D6866C81-4E33-45B9-AC86-77135FE02E92}"/>
    <cellStyle name="Millares 2 19 2" xfId="1302" xr:uid="{00000000-0005-0000-0000-0000F3030000}"/>
    <cellStyle name="Millares 2 19 2 2" xfId="3467" xr:uid="{0D2C9A16-797E-4EFE-8C64-19E0ED87ED9A}"/>
    <cellStyle name="Millares 2 19 2 3" xfId="3679" xr:uid="{4C5FF4F2-2B15-467B-8857-463836A93AB9}"/>
    <cellStyle name="Millares 2 19 20" xfId="2935" xr:uid="{3CAB81F8-7FE1-4FDB-B4EB-56F3891A9BC9}"/>
    <cellStyle name="Millares 2 19 21" xfId="3029" xr:uid="{3D2D1CF8-D5DD-47C6-8BD7-113E984C8F5C}"/>
    <cellStyle name="Millares 2 19 22" xfId="3589" xr:uid="{45332E21-EDA5-4DA5-8657-6B49275E3E39}"/>
    <cellStyle name="Millares 2 19 3" xfId="1399" xr:uid="{00000000-0005-0000-0000-0000F4030000}"/>
    <cellStyle name="Millares 2 19 4" xfId="1489" xr:uid="{00000000-0005-0000-0000-0000F5030000}"/>
    <cellStyle name="Millares 2 19 5" xfId="1579" xr:uid="{00000000-0005-0000-0000-0000F6030000}"/>
    <cellStyle name="Millares 2 19 6" xfId="1670" xr:uid="{00000000-0005-0000-0000-0000F7030000}"/>
    <cellStyle name="Millares 2 19 7" xfId="1763" xr:uid="{00000000-0005-0000-0000-0000F8030000}"/>
    <cellStyle name="Millares 2 19 8" xfId="1854" xr:uid="{690A5447-3FBA-4ECE-9AB1-042414322477}"/>
    <cellStyle name="Millares 2 19 9" xfId="1945" xr:uid="{D016000B-8B17-4490-AFBC-B79E25C0F5FA}"/>
    <cellStyle name="Millares 2 2" xfId="880" xr:uid="{00000000-0005-0000-0000-0000F9030000}"/>
    <cellStyle name="Millares 2 2 10" xfId="1230" xr:uid="{00000000-0005-0000-0000-0000FA030000}"/>
    <cellStyle name="Millares 2 2 10 10" xfId="2036" xr:uid="{4C0B7426-A176-4966-B412-CB4BAEF4F321}"/>
    <cellStyle name="Millares 2 2 10 11" xfId="2127" xr:uid="{7F8D6835-899F-44DE-B75F-E79F654A8A42}"/>
    <cellStyle name="Millares 2 2 10 12" xfId="2216" xr:uid="{B4C46276-6C8E-4094-B996-021799B4A317}"/>
    <cellStyle name="Millares 2 2 10 13" xfId="2306" xr:uid="{41B93FBD-48E1-4146-BD28-179F8FE2EF1F}"/>
    <cellStyle name="Millares 2 2 10 14" xfId="2395" xr:uid="{03A9AF3A-B8D2-4A64-95B8-9D33240E8D12}"/>
    <cellStyle name="Millares 2 2 10 15" xfId="2485" xr:uid="{B2FD3815-64F5-4D1B-BA6A-8B09590FBD77}"/>
    <cellStyle name="Millares 2 2 10 16" xfId="2574" xr:uid="{7BE4A521-F7B6-4BB2-91B2-69E3E1EDECB4}"/>
    <cellStyle name="Millares 2 2 10 17" xfId="2664" xr:uid="{65A3A01C-8083-47B9-814B-975A7F7ED771}"/>
    <cellStyle name="Millares 2 2 10 18" xfId="2754" xr:uid="{D3471AFC-A1E6-4F5C-86AC-D75C94D75CF7}"/>
    <cellStyle name="Millares 2 2 10 19" xfId="2844" xr:uid="{A5DAEF1B-2696-42AC-991F-C75AEC2FDFB5}"/>
    <cellStyle name="Millares 2 2 10 2" xfId="1304" xr:uid="{00000000-0005-0000-0000-0000FB030000}"/>
    <cellStyle name="Millares 2 2 10 2 2" xfId="3469" xr:uid="{970D67ED-8BA6-4952-A814-FC7BFEA2FC44}"/>
    <cellStyle name="Millares 2 2 10 2 3" xfId="3681" xr:uid="{54B5C307-C67E-4A7F-818A-C1D1A8B3EC56}"/>
    <cellStyle name="Millares 2 2 10 20" xfId="2937" xr:uid="{0035A39E-34CD-4110-AB6A-E2B8DFA9F78D}"/>
    <cellStyle name="Millares 2 2 10 21" xfId="3031" xr:uid="{77941922-F79E-4FC6-B3D9-DEA75E22BDB8}"/>
    <cellStyle name="Millares 2 2 10 22" xfId="3591" xr:uid="{09367B08-52D6-48A3-81D2-3B62D63431B8}"/>
    <cellStyle name="Millares 2 2 10 3" xfId="1401" xr:uid="{00000000-0005-0000-0000-0000FC030000}"/>
    <cellStyle name="Millares 2 2 10 4" xfId="1491" xr:uid="{00000000-0005-0000-0000-0000FD030000}"/>
    <cellStyle name="Millares 2 2 10 5" xfId="1581" xr:uid="{00000000-0005-0000-0000-0000FE030000}"/>
    <cellStyle name="Millares 2 2 10 6" xfId="1672" xr:uid="{00000000-0005-0000-0000-0000FF030000}"/>
    <cellStyle name="Millares 2 2 10 7" xfId="1765" xr:uid="{00000000-0005-0000-0000-000000040000}"/>
    <cellStyle name="Millares 2 2 10 8" xfId="1856" xr:uid="{8E78C304-343C-4FA1-AD6A-161C0A461E10}"/>
    <cellStyle name="Millares 2 2 10 9" xfId="1947" xr:uid="{7D912FD1-147C-4ACF-A088-2842724CB327}"/>
    <cellStyle name="Millares 2 2 11" xfId="1234" xr:uid="{00000000-0005-0000-0000-000001040000}"/>
    <cellStyle name="Millares 2 2 11 10" xfId="2037" xr:uid="{A4587DCD-2D0D-4237-BDFA-14AE9580E252}"/>
    <cellStyle name="Millares 2 2 11 11" xfId="2128" xr:uid="{1EA217EC-1D69-4BE4-8B49-0C70F71CF1C8}"/>
    <cellStyle name="Millares 2 2 11 12" xfId="2217" xr:uid="{D2B9668D-F4F1-4F04-8EF5-DE8F9184A2D3}"/>
    <cellStyle name="Millares 2 2 11 13" xfId="2307" xr:uid="{1EE6D3D8-3086-4FE2-9F08-77BF1B743796}"/>
    <cellStyle name="Millares 2 2 11 14" xfId="2396" xr:uid="{6B35B91D-A467-4EBF-B712-BC57F54E49CE}"/>
    <cellStyle name="Millares 2 2 11 15" xfId="2486" xr:uid="{568DA744-20BC-466D-9163-36A087469920}"/>
    <cellStyle name="Millares 2 2 11 16" xfId="2575" xr:uid="{8DFAEB90-7318-453F-825A-3263794484E2}"/>
    <cellStyle name="Millares 2 2 11 17" xfId="2665" xr:uid="{743B0894-A61C-453E-84CE-404AE9C24518}"/>
    <cellStyle name="Millares 2 2 11 18" xfId="2755" xr:uid="{0B331EB7-D30F-4F45-B1AF-96C5EC6AD119}"/>
    <cellStyle name="Millares 2 2 11 19" xfId="2845" xr:uid="{38B004AF-A380-4AF9-9F35-8F7F65D0FA52}"/>
    <cellStyle name="Millares 2 2 11 2" xfId="1305" xr:uid="{00000000-0005-0000-0000-000002040000}"/>
    <cellStyle name="Millares 2 2 11 2 2" xfId="3470" xr:uid="{7B80C9A5-3F87-46DA-A210-9CE09262DA2C}"/>
    <cellStyle name="Millares 2 2 11 2 3" xfId="3682" xr:uid="{8F6ECCCF-72D6-4E54-96DF-4E7FCE3C03DD}"/>
    <cellStyle name="Millares 2 2 11 20" xfId="2938" xr:uid="{24FC0166-FA34-4B92-9C58-261121427795}"/>
    <cellStyle name="Millares 2 2 11 21" xfId="3032" xr:uid="{5DCE8AE6-9CD5-4634-853F-1BA45B576A21}"/>
    <cellStyle name="Millares 2 2 11 22" xfId="3592" xr:uid="{5695CD66-7749-4D48-BAB5-DDA6ED461E30}"/>
    <cellStyle name="Millares 2 2 11 3" xfId="1402" xr:uid="{00000000-0005-0000-0000-000003040000}"/>
    <cellStyle name="Millares 2 2 11 4" xfId="1492" xr:uid="{00000000-0005-0000-0000-000004040000}"/>
    <cellStyle name="Millares 2 2 11 5" xfId="1582" xr:uid="{00000000-0005-0000-0000-000005040000}"/>
    <cellStyle name="Millares 2 2 11 6" xfId="1673" xr:uid="{00000000-0005-0000-0000-000006040000}"/>
    <cellStyle name="Millares 2 2 11 7" xfId="1766" xr:uid="{00000000-0005-0000-0000-000007040000}"/>
    <cellStyle name="Millares 2 2 11 8" xfId="1857" xr:uid="{10A41D52-E675-4165-9741-2B7CCBCD5F5C}"/>
    <cellStyle name="Millares 2 2 11 9" xfId="1948" xr:uid="{1CAA800A-F57A-4D2B-80D6-B36C41831721}"/>
    <cellStyle name="Millares 2 2 12" xfId="1238" xr:uid="{00000000-0005-0000-0000-000008040000}"/>
    <cellStyle name="Millares 2 2 12 10" xfId="2038" xr:uid="{9CF68211-5C0D-4743-9B91-4D5CEDCC66D4}"/>
    <cellStyle name="Millares 2 2 12 11" xfId="2129" xr:uid="{75EE325F-A441-4E98-9347-6FE00CFAF717}"/>
    <cellStyle name="Millares 2 2 12 12" xfId="2218" xr:uid="{FE12D936-2EB6-47E4-949D-03E16B4A6C89}"/>
    <cellStyle name="Millares 2 2 12 13" xfId="2308" xr:uid="{1DC05EB1-53DC-4BEE-8895-2CD2D400A591}"/>
    <cellStyle name="Millares 2 2 12 14" xfId="2397" xr:uid="{011057C0-2205-462D-8C07-C64748B0ECC7}"/>
    <cellStyle name="Millares 2 2 12 15" xfId="2487" xr:uid="{6D189B8E-1A04-4E1B-A12B-134A972E7A64}"/>
    <cellStyle name="Millares 2 2 12 16" xfId="2576" xr:uid="{0FE720E5-9FC7-4F80-B1D5-5D4AC6B62A59}"/>
    <cellStyle name="Millares 2 2 12 17" xfId="2666" xr:uid="{29238BE8-D7DC-4036-993E-C2209C9A6C79}"/>
    <cellStyle name="Millares 2 2 12 18" xfId="2756" xr:uid="{E1C6E980-F40A-4127-BEBB-F514250D25F5}"/>
    <cellStyle name="Millares 2 2 12 19" xfId="2846" xr:uid="{2812E1FE-E158-4FCF-8C3E-AE9FDD41FDAD}"/>
    <cellStyle name="Millares 2 2 12 2" xfId="1306" xr:uid="{00000000-0005-0000-0000-000009040000}"/>
    <cellStyle name="Millares 2 2 12 2 2" xfId="3471" xr:uid="{CB6494DA-1392-4AB0-B3FE-22CC0252AB2F}"/>
    <cellStyle name="Millares 2 2 12 2 3" xfId="3683" xr:uid="{78BDFC6A-3A6F-462A-B9CD-9C4902786020}"/>
    <cellStyle name="Millares 2 2 12 20" xfId="2939" xr:uid="{81C94146-CEA8-420E-9AEA-250969E6B0C2}"/>
    <cellStyle name="Millares 2 2 12 21" xfId="3033" xr:uid="{56A654A1-BD80-4226-BEA1-FC585A68085F}"/>
    <cellStyle name="Millares 2 2 12 22" xfId="3593" xr:uid="{D213895E-34D2-47B6-875F-CD6884B741EF}"/>
    <cellStyle name="Millares 2 2 12 3" xfId="1403" xr:uid="{00000000-0005-0000-0000-00000A040000}"/>
    <cellStyle name="Millares 2 2 12 4" xfId="1493" xr:uid="{00000000-0005-0000-0000-00000B040000}"/>
    <cellStyle name="Millares 2 2 12 5" xfId="1583" xr:uid="{00000000-0005-0000-0000-00000C040000}"/>
    <cellStyle name="Millares 2 2 12 6" xfId="1674" xr:uid="{00000000-0005-0000-0000-00000D040000}"/>
    <cellStyle name="Millares 2 2 12 7" xfId="1767" xr:uid="{00000000-0005-0000-0000-00000E040000}"/>
    <cellStyle name="Millares 2 2 12 8" xfId="1858" xr:uid="{E513D153-0996-4BDF-B3D7-86261C13319D}"/>
    <cellStyle name="Millares 2 2 12 9" xfId="1949" xr:uid="{8BF66ABB-55B0-4013-ADE8-1B1F5BA33989}"/>
    <cellStyle name="Millares 2 2 13" xfId="1243" xr:uid="{00000000-0005-0000-0000-00000F040000}"/>
    <cellStyle name="Millares 2 2 13 10" xfId="2039" xr:uid="{7DF268F5-D695-4333-BC1A-EC206C6C845C}"/>
    <cellStyle name="Millares 2 2 13 11" xfId="2130" xr:uid="{02FD98C6-749E-4627-81A3-DE1701B3D556}"/>
    <cellStyle name="Millares 2 2 13 12" xfId="2219" xr:uid="{333DFA51-92DE-4659-85A2-26FC062C8F13}"/>
    <cellStyle name="Millares 2 2 13 13" xfId="2309" xr:uid="{D73D23FE-091F-4AE9-B0F5-FE011C7E9F81}"/>
    <cellStyle name="Millares 2 2 13 14" xfId="2398" xr:uid="{C76F4249-3A6B-49C3-8BF0-6C2F48F80FC6}"/>
    <cellStyle name="Millares 2 2 13 15" xfId="2488" xr:uid="{467A9BE4-F4E8-4E95-89C3-D8DB6B431DC6}"/>
    <cellStyle name="Millares 2 2 13 16" xfId="2577" xr:uid="{B966260E-99B4-43C8-B70D-0C5FF612C95E}"/>
    <cellStyle name="Millares 2 2 13 17" xfId="2667" xr:uid="{D4BCBDC4-2E37-4E3F-BBF4-DB2E786D551F}"/>
    <cellStyle name="Millares 2 2 13 18" xfId="2757" xr:uid="{59D2C677-D563-4813-9409-CC6CB9C6FDFA}"/>
    <cellStyle name="Millares 2 2 13 19" xfId="2847" xr:uid="{D1846E11-9C4D-4CD4-9786-3372A040D6FA}"/>
    <cellStyle name="Millares 2 2 13 2" xfId="1307" xr:uid="{00000000-0005-0000-0000-000010040000}"/>
    <cellStyle name="Millares 2 2 13 2 2" xfId="3472" xr:uid="{0B30FC3A-6E32-4387-8521-124C983293EE}"/>
    <cellStyle name="Millares 2 2 13 2 3" xfId="3684" xr:uid="{0471E716-8CCB-498D-901A-D4577F094DF9}"/>
    <cellStyle name="Millares 2 2 13 20" xfId="2940" xr:uid="{4D31CB49-B615-4B88-962F-E3442243B5C3}"/>
    <cellStyle name="Millares 2 2 13 21" xfId="3034" xr:uid="{A9CB3842-80FB-430B-A782-9B6E6FFBD4E5}"/>
    <cellStyle name="Millares 2 2 13 22" xfId="3594" xr:uid="{39311347-424B-47FD-8425-C0153F66CAEF}"/>
    <cellStyle name="Millares 2 2 13 3" xfId="1404" xr:uid="{00000000-0005-0000-0000-000011040000}"/>
    <cellStyle name="Millares 2 2 13 4" xfId="1494" xr:uid="{00000000-0005-0000-0000-000012040000}"/>
    <cellStyle name="Millares 2 2 13 5" xfId="1584" xr:uid="{00000000-0005-0000-0000-000013040000}"/>
    <cellStyle name="Millares 2 2 13 6" xfId="1675" xr:uid="{00000000-0005-0000-0000-000014040000}"/>
    <cellStyle name="Millares 2 2 13 7" xfId="1768" xr:uid="{00000000-0005-0000-0000-000015040000}"/>
    <cellStyle name="Millares 2 2 13 8" xfId="1859" xr:uid="{470FC233-6F84-4119-BB14-63B95FA580EA}"/>
    <cellStyle name="Millares 2 2 13 9" xfId="1950" xr:uid="{ED8039A4-25E3-4907-9941-2A965569AFBE}"/>
    <cellStyle name="Millares 2 2 14" xfId="1248" xr:uid="{00000000-0005-0000-0000-000016040000}"/>
    <cellStyle name="Millares 2 2 14 10" xfId="2040" xr:uid="{684F0E59-AD1D-42D3-93E2-C4C7F4E1AA87}"/>
    <cellStyle name="Millares 2 2 14 11" xfId="2131" xr:uid="{34B381D6-8116-49A2-8073-A4E9F8B2399C}"/>
    <cellStyle name="Millares 2 2 14 12" xfId="2220" xr:uid="{E20665C1-48C8-46DA-90AE-94AC000E773D}"/>
    <cellStyle name="Millares 2 2 14 13" xfId="2310" xr:uid="{D832FE16-FF86-4808-8E26-9800B5FF0669}"/>
    <cellStyle name="Millares 2 2 14 14" xfId="2399" xr:uid="{CED5A290-E41B-4E34-999A-61829E867121}"/>
    <cellStyle name="Millares 2 2 14 15" xfId="2489" xr:uid="{A7F997DB-DFF2-45BD-AC4B-19C574066FB6}"/>
    <cellStyle name="Millares 2 2 14 16" xfId="2578" xr:uid="{384E8B54-AAD6-4E6E-89EC-D14256AA1C81}"/>
    <cellStyle name="Millares 2 2 14 17" xfId="2668" xr:uid="{C4723EEB-5A6A-4F30-86EA-806E66FD51A4}"/>
    <cellStyle name="Millares 2 2 14 18" xfId="2758" xr:uid="{9920E6E6-D4DA-4426-8E57-F96A4165414F}"/>
    <cellStyle name="Millares 2 2 14 19" xfId="2848" xr:uid="{D2F0DD79-67C6-473B-9C84-2FBDEC00ADD7}"/>
    <cellStyle name="Millares 2 2 14 2" xfId="1308" xr:uid="{00000000-0005-0000-0000-000017040000}"/>
    <cellStyle name="Millares 2 2 14 2 2" xfId="3473" xr:uid="{C6E49416-03CF-44C1-9719-4437BE1DB419}"/>
    <cellStyle name="Millares 2 2 14 2 3" xfId="3685" xr:uid="{26BB2A04-19D0-497C-9C34-13A5C40A3B7A}"/>
    <cellStyle name="Millares 2 2 14 20" xfId="2941" xr:uid="{392A6D20-0B21-4096-B003-95D9323E97F7}"/>
    <cellStyle name="Millares 2 2 14 21" xfId="3035" xr:uid="{A7409236-6DFC-42B2-B4B8-18F869E2C410}"/>
    <cellStyle name="Millares 2 2 14 22" xfId="3595" xr:uid="{48FDADC3-4BBD-4DD0-AEFC-6A9769C150E1}"/>
    <cellStyle name="Millares 2 2 14 3" xfId="1405" xr:uid="{00000000-0005-0000-0000-000018040000}"/>
    <cellStyle name="Millares 2 2 14 4" xfId="1495" xr:uid="{00000000-0005-0000-0000-000019040000}"/>
    <cellStyle name="Millares 2 2 14 5" xfId="1585" xr:uid="{00000000-0005-0000-0000-00001A040000}"/>
    <cellStyle name="Millares 2 2 14 6" xfId="1676" xr:uid="{00000000-0005-0000-0000-00001B040000}"/>
    <cellStyle name="Millares 2 2 14 7" xfId="1769" xr:uid="{00000000-0005-0000-0000-00001C040000}"/>
    <cellStyle name="Millares 2 2 14 8" xfId="1860" xr:uid="{1E211E3F-901D-4F32-91F1-C3CF3FEFCC0E}"/>
    <cellStyle name="Millares 2 2 14 9" xfId="1951" xr:uid="{E3FFF034-E58C-4422-B65C-52E23EFD4039}"/>
    <cellStyle name="Millares 2 2 15" xfId="1253" xr:uid="{00000000-0005-0000-0000-00001D040000}"/>
    <cellStyle name="Millares 2 2 15 10" xfId="2041" xr:uid="{48538EC5-C406-4F77-8A1A-047B1DB967E0}"/>
    <cellStyle name="Millares 2 2 15 11" xfId="2132" xr:uid="{E855548D-1BA9-4BC4-ACFE-82BC4F70ACE0}"/>
    <cellStyle name="Millares 2 2 15 12" xfId="2221" xr:uid="{BBE1088C-F0A2-4CE9-9885-9AF5206A4609}"/>
    <cellStyle name="Millares 2 2 15 13" xfId="2311" xr:uid="{B65413E3-20D8-4614-B36C-3D24F59CCE3A}"/>
    <cellStyle name="Millares 2 2 15 14" xfId="2400" xr:uid="{66A1BBAD-F249-4F66-A987-565862B8C404}"/>
    <cellStyle name="Millares 2 2 15 15" xfId="2490" xr:uid="{38EF62E7-550E-4BA6-9175-554F7AADB047}"/>
    <cellStyle name="Millares 2 2 15 16" xfId="2579" xr:uid="{913EE498-F192-4B24-BFF8-71FB397030B6}"/>
    <cellStyle name="Millares 2 2 15 17" xfId="2669" xr:uid="{4DCFFAEC-EB96-44B0-89CC-66BAE253DF24}"/>
    <cellStyle name="Millares 2 2 15 18" xfId="2759" xr:uid="{8F18D925-BE71-42D1-AA87-D0B63919F28B}"/>
    <cellStyle name="Millares 2 2 15 19" xfId="2849" xr:uid="{18B2EF97-0AE2-4FF9-B6E3-40B0450869EF}"/>
    <cellStyle name="Millares 2 2 15 2" xfId="1309" xr:uid="{00000000-0005-0000-0000-00001E040000}"/>
    <cellStyle name="Millares 2 2 15 2 2" xfId="3474" xr:uid="{3353855B-2706-4192-AF71-F3A163667316}"/>
    <cellStyle name="Millares 2 2 15 2 3" xfId="3686" xr:uid="{919B87A6-45E0-4B29-8B83-E6E6D7530043}"/>
    <cellStyle name="Millares 2 2 15 20" xfId="2942" xr:uid="{DD6B05DA-BC77-43CB-831A-92E6EA7EC62F}"/>
    <cellStyle name="Millares 2 2 15 21" xfId="3036" xr:uid="{D7962D97-452A-4F46-9827-8B3644DE2DC6}"/>
    <cellStyle name="Millares 2 2 15 22" xfId="3596" xr:uid="{F4966966-A5E3-4FC9-8C5C-C0CE38E7CA27}"/>
    <cellStyle name="Millares 2 2 15 3" xfId="1406" xr:uid="{00000000-0005-0000-0000-00001F040000}"/>
    <cellStyle name="Millares 2 2 15 4" xfId="1496" xr:uid="{00000000-0005-0000-0000-000020040000}"/>
    <cellStyle name="Millares 2 2 15 5" xfId="1586" xr:uid="{00000000-0005-0000-0000-000021040000}"/>
    <cellStyle name="Millares 2 2 15 6" xfId="1677" xr:uid="{00000000-0005-0000-0000-000022040000}"/>
    <cellStyle name="Millares 2 2 15 7" xfId="1770" xr:uid="{00000000-0005-0000-0000-000023040000}"/>
    <cellStyle name="Millares 2 2 15 8" xfId="1861" xr:uid="{115FE98B-3DDA-4419-8815-C59334A886DD}"/>
    <cellStyle name="Millares 2 2 15 9" xfId="1952" xr:uid="{6C316B51-3636-4501-BF9E-9C37969302F2}"/>
    <cellStyle name="Millares 2 2 16" xfId="1258" xr:uid="{00000000-0005-0000-0000-000024040000}"/>
    <cellStyle name="Millares 2 2 16 10" xfId="2042" xr:uid="{C84604ED-3A94-4123-A0FB-1BA3A4B7A8CF}"/>
    <cellStyle name="Millares 2 2 16 11" xfId="2133" xr:uid="{6F5F2485-FA95-4A40-BEA3-2F9BCBA87C5C}"/>
    <cellStyle name="Millares 2 2 16 12" xfId="2222" xr:uid="{D5837E44-7AD5-484C-8CBA-4477DE5005B8}"/>
    <cellStyle name="Millares 2 2 16 13" xfId="2312" xr:uid="{C671F0F2-CCE0-4A59-AB91-12FAB225D291}"/>
    <cellStyle name="Millares 2 2 16 14" xfId="2401" xr:uid="{2CE25FC2-7E1C-4DBB-B36A-B7FB960567EB}"/>
    <cellStyle name="Millares 2 2 16 15" xfId="2491" xr:uid="{65D3BB13-3259-4608-9195-ADD665F29C1D}"/>
    <cellStyle name="Millares 2 2 16 16" xfId="2580" xr:uid="{C8BF1502-011D-4846-B8B9-09DDD95E4893}"/>
    <cellStyle name="Millares 2 2 16 17" xfId="2670" xr:uid="{4A2504EC-C34C-48CC-9BDC-9FC5FF5025E0}"/>
    <cellStyle name="Millares 2 2 16 18" xfId="2760" xr:uid="{51768685-5C96-4789-8067-972EC0DDBE13}"/>
    <cellStyle name="Millares 2 2 16 19" xfId="2850" xr:uid="{24B47298-1E1C-4CB7-B7F3-407601335419}"/>
    <cellStyle name="Millares 2 2 16 2" xfId="1310" xr:uid="{00000000-0005-0000-0000-000025040000}"/>
    <cellStyle name="Millares 2 2 16 2 2" xfId="3475" xr:uid="{9638C02B-34A7-44DF-94B0-E51ABA0F2107}"/>
    <cellStyle name="Millares 2 2 16 2 3" xfId="3687" xr:uid="{4975DC1E-7118-4309-B41D-EE58F97E30C0}"/>
    <cellStyle name="Millares 2 2 16 20" xfId="2943" xr:uid="{5B5552BA-DA98-4CC8-9B8D-E82E93030C89}"/>
    <cellStyle name="Millares 2 2 16 21" xfId="3037" xr:uid="{36F7DB7A-B4BD-42A8-99D0-EDF095B32EBA}"/>
    <cellStyle name="Millares 2 2 16 22" xfId="3597" xr:uid="{FABFC204-3FB1-48AE-8511-7861236D52EE}"/>
    <cellStyle name="Millares 2 2 16 3" xfId="1407" xr:uid="{00000000-0005-0000-0000-000026040000}"/>
    <cellStyle name="Millares 2 2 16 4" xfId="1497" xr:uid="{00000000-0005-0000-0000-000027040000}"/>
    <cellStyle name="Millares 2 2 16 5" xfId="1587" xr:uid="{00000000-0005-0000-0000-000028040000}"/>
    <cellStyle name="Millares 2 2 16 6" xfId="1678" xr:uid="{00000000-0005-0000-0000-000029040000}"/>
    <cellStyle name="Millares 2 2 16 7" xfId="1771" xr:uid="{00000000-0005-0000-0000-00002A040000}"/>
    <cellStyle name="Millares 2 2 16 8" xfId="1862" xr:uid="{DF7F1BDB-0A1A-46C0-AE32-71D4F635FD7A}"/>
    <cellStyle name="Millares 2 2 16 9" xfId="1953" xr:uid="{639A1C56-2F27-4BAB-9F7B-F83B7F13764F}"/>
    <cellStyle name="Millares 2 2 17" xfId="1262" xr:uid="{00000000-0005-0000-0000-00002B040000}"/>
    <cellStyle name="Millares 2 2 17 10" xfId="2043" xr:uid="{38A666C3-716F-4952-97CE-7034FCC760F3}"/>
    <cellStyle name="Millares 2 2 17 11" xfId="2134" xr:uid="{41D95C07-45B5-4FE9-A91D-AEBA4B5D08F2}"/>
    <cellStyle name="Millares 2 2 17 12" xfId="2223" xr:uid="{3AAB8643-1024-4031-9799-90C62F9C00D7}"/>
    <cellStyle name="Millares 2 2 17 13" xfId="2313" xr:uid="{14C98B54-6A93-4AFE-A861-B6D9F3169231}"/>
    <cellStyle name="Millares 2 2 17 14" xfId="2402" xr:uid="{9A5E2F7A-48FB-40EA-ACB8-B7CE2AC9D801}"/>
    <cellStyle name="Millares 2 2 17 15" xfId="2492" xr:uid="{6A25F2BE-8F3B-466F-BEC4-BEE8B7E4EE83}"/>
    <cellStyle name="Millares 2 2 17 16" xfId="2581" xr:uid="{E15CFFDD-F21C-49D4-83BB-04CBD823E5F0}"/>
    <cellStyle name="Millares 2 2 17 17" xfId="2671" xr:uid="{24EB1F3F-AC8F-4B16-B59F-6ED29F9BC0B6}"/>
    <cellStyle name="Millares 2 2 17 18" xfId="2761" xr:uid="{B63D2511-99A4-4A0A-ABEE-689053C418E7}"/>
    <cellStyle name="Millares 2 2 17 19" xfId="2851" xr:uid="{B87C0C54-0692-4F15-B946-AA051D518EC8}"/>
    <cellStyle name="Millares 2 2 17 2" xfId="1311" xr:uid="{00000000-0005-0000-0000-00002C040000}"/>
    <cellStyle name="Millares 2 2 17 2 2" xfId="3476" xr:uid="{92E17B21-C9C3-4F42-BB9A-188057228136}"/>
    <cellStyle name="Millares 2 2 17 2 3" xfId="3688" xr:uid="{433B46A2-450F-4AD3-B894-4FB635A3C92C}"/>
    <cellStyle name="Millares 2 2 17 20" xfId="2944" xr:uid="{D8040F19-E1F9-4A83-B040-593F7AB48FB5}"/>
    <cellStyle name="Millares 2 2 17 21" xfId="3038" xr:uid="{39E3CA26-3262-4B6A-AD44-6F6FA26E281E}"/>
    <cellStyle name="Millares 2 2 17 22" xfId="3598" xr:uid="{0C0FA692-A3CC-42C8-8233-C65FA11514DB}"/>
    <cellStyle name="Millares 2 2 17 3" xfId="1408" xr:uid="{00000000-0005-0000-0000-00002D040000}"/>
    <cellStyle name="Millares 2 2 17 4" xfId="1498" xr:uid="{00000000-0005-0000-0000-00002E040000}"/>
    <cellStyle name="Millares 2 2 17 5" xfId="1588" xr:uid="{00000000-0005-0000-0000-00002F040000}"/>
    <cellStyle name="Millares 2 2 17 6" xfId="1679" xr:uid="{00000000-0005-0000-0000-000030040000}"/>
    <cellStyle name="Millares 2 2 17 7" xfId="1772" xr:uid="{00000000-0005-0000-0000-000031040000}"/>
    <cellStyle name="Millares 2 2 17 8" xfId="1863" xr:uid="{CBCD47D2-80A2-465C-80DD-AAF91E9DBCB8}"/>
    <cellStyle name="Millares 2 2 17 9" xfId="1954" xr:uid="{4BC5670B-581C-4D64-8E23-3EB6B3401C44}"/>
    <cellStyle name="Millares 2 2 18" xfId="1266" xr:uid="{00000000-0005-0000-0000-000032040000}"/>
    <cellStyle name="Millares 2 2 18 10" xfId="2044" xr:uid="{2AC14945-FF4F-4C6F-A35E-1BDEBB86D1C9}"/>
    <cellStyle name="Millares 2 2 18 11" xfId="2135" xr:uid="{F1CD8ACC-31EA-4EA6-B871-F93BB695DB2B}"/>
    <cellStyle name="Millares 2 2 18 12" xfId="2224" xr:uid="{821FD212-023A-43D3-8E3C-FFF64E820515}"/>
    <cellStyle name="Millares 2 2 18 13" xfId="2314" xr:uid="{23D877C1-CF44-4F5C-A1CF-DB66662EB3D4}"/>
    <cellStyle name="Millares 2 2 18 14" xfId="2403" xr:uid="{B01832E9-C6CB-4888-AD9E-D787A7A2312D}"/>
    <cellStyle name="Millares 2 2 18 15" xfId="2493" xr:uid="{DB78AFDD-B3E8-441A-8D9F-48A9049F808F}"/>
    <cellStyle name="Millares 2 2 18 16" xfId="2582" xr:uid="{A31776A7-0BA3-4B3C-A90E-8FC9A9649780}"/>
    <cellStyle name="Millares 2 2 18 17" xfId="2672" xr:uid="{78DA7557-2F41-48F7-B87E-B0DD6A58D762}"/>
    <cellStyle name="Millares 2 2 18 18" xfId="2762" xr:uid="{9798AF64-7ADC-4A95-A41F-B8047AFFE005}"/>
    <cellStyle name="Millares 2 2 18 19" xfId="2852" xr:uid="{37172DEF-03D7-44EE-AC22-4F9A5E66CF2B}"/>
    <cellStyle name="Millares 2 2 18 2" xfId="1312" xr:uid="{00000000-0005-0000-0000-000033040000}"/>
    <cellStyle name="Millares 2 2 18 2 2" xfId="3477" xr:uid="{A35D66FF-94A3-446D-A888-E4ACB9FE8B4A}"/>
    <cellStyle name="Millares 2 2 18 2 3" xfId="3689" xr:uid="{DF6760E6-6022-4E03-8055-C04D4F87C23E}"/>
    <cellStyle name="Millares 2 2 18 20" xfId="2945" xr:uid="{E1105199-00F8-43B4-861B-A874BAE32B99}"/>
    <cellStyle name="Millares 2 2 18 21" xfId="3039" xr:uid="{8787226D-7C87-4DFE-8A7B-AABC7045DFA9}"/>
    <cellStyle name="Millares 2 2 18 22" xfId="3599" xr:uid="{3659FC02-BA0A-44CA-988B-E97F3AE9FAA7}"/>
    <cellStyle name="Millares 2 2 18 3" xfId="1409" xr:uid="{00000000-0005-0000-0000-000034040000}"/>
    <cellStyle name="Millares 2 2 18 4" xfId="1499" xr:uid="{00000000-0005-0000-0000-000035040000}"/>
    <cellStyle name="Millares 2 2 18 5" xfId="1589" xr:uid="{00000000-0005-0000-0000-000036040000}"/>
    <cellStyle name="Millares 2 2 18 6" xfId="1680" xr:uid="{00000000-0005-0000-0000-000037040000}"/>
    <cellStyle name="Millares 2 2 18 7" xfId="1773" xr:uid="{00000000-0005-0000-0000-000038040000}"/>
    <cellStyle name="Millares 2 2 18 8" xfId="1864" xr:uid="{770B2954-E547-4754-B65E-0B06598BDEDF}"/>
    <cellStyle name="Millares 2 2 18 9" xfId="1955" xr:uid="{F62DC970-6D4A-4E20-BA31-ABA5EAACB348}"/>
    <cellStyle name="Millares 2 2 19" xfId="1271" xr:uid="{00000000-0005-0000-0000-000039040000}"/>
    <cellStyle name="Millares 2 2 19 10" xfId="2045" xr:uid="{78CB8D81-1C1C-4FA9-9D76-54D07A0EE43B}"/>
    <cellStyle name="Millares 2 2 19 11" xfId="2136" xr:uid="{E1C81E1C-CE59-46A6-A8EA-E5F2E9A15EE7}"/>
    <cellStyle name="Millares 2 2 19 12" xfId="2225" xr:uid="{CB496E5F-01A5-47F5-BDB9-2F90BF92FC3D}"/>
    <cellStyle name="Millares 2 2 19 13" xfId="2315" xr:uid="{564E1C96-F769-4FBA-BE05-A1C8685CDFF6}"/>
    <cellStyle name="Millares 2 2 19 14" xfId="2404" xr:uid="{00E6C410-328E-4779-A165-23F9E6B4EE3F}"/>
    <cellStyle name="Millares 2 2 19 15" xfId="2494" xr:uid="{AD376C68-677B-4D95-8F4F-59CA44A60D43}"/>
    <cellStyle name="Millares 2 2 19 16" xfId="2583" xr:uid="{6FC78C2B-8488-4036-ABD8-D507BA0361DC}"/>
    <cellStyle name="Millares 2 2 19 17" xfId="2673" xr:uid="{86ADAAEF-2D53-4EAF-B317-5BCC0EA8D0D3}"/>
    <cellStyle name="Millares 2 2 19 18" xfId="2763" xr:uid="{315429A3-213C-4FFD-9782-A259DC0FD8B4}"/>
    <cellStyle name="Millares 2 2 19 19" xfId="2853" xr:uid="{D56F5BE2-6DE0-402E-91D8-5A734C608357}"/>
    <cellStyle name="Millares 2 2 19 2" xfId="1313" xr:uid="{00000000-0005-0000-0000-00003A040000}"/>
    <cellStyle name="Millares 2 2 19 2 2" xfId="3478" xr:uid="{3EE65A50-9A2E-4288-80E3-553CE0898596}"/>
    <cellStyle name="Millares 2 2 19 2 3" xfId="3690" xr:uid="{A73EE00A-D6BE-444B-B6EB-3539E7FBA924}"/>
    <cellStyle name="Millares 2 2 19 20" xfId="2946" xr:uid="{AC8D7A90-B29A-4641-99FE-B6FA39225E18}"/>
    <cellStyle name="Millares 2 2 19 21" xfId="3040" xr:uid="{65C7B291-AAE0-469B-A141-1E8C16ED49A4}"/>
    <cellStyle name="Millares 2 2 19 22" xfId="3600" xr:uid="{B8638172-8D35-4A8F-A294-E6BD0865C6A7}"/>
    <cellStyle name="Millares 2 2 19 3" xfId="1410" xr:uid="{00000000-0005-0000-0000-00003B040000}"/>
    <cellStyle name="Millares 2 2 19 4" xfId="1500" xr:uid="{00000000-0005-0000-0000-00003C040000}"/>
    <cellStyle name="Millares 2 2 19 5" xfId="1590" xr:uid="{00000000-0005-0000-0000-00003D040000}"/>
    <cellStyle name="Millares 2 2 19 6" xfId="1681" xr:uid="{00000000-0005-0000-0000-00003E040000}"/>
    <cellStyle name="Millares 2 2 19 7" xfId="1774" xr:uid="{00000000-0005-0000-0000-00003F040000}"/>
    <cellStyle name="Millares 2 2 19 8" xfId="1865" xr:uid="{7251B3DC-8292-48CA-9E39-6C179D4FD71A}"/>
    <cellStyle name="Millares 2 2 19 9" xfId="1956" xr:uid="{76BDC2FE-E062-4939-BDA4-0DC1917A8525}"/>
    <cellStyle name="Millares 2 2 2" xfId="1196" xr:uid="{00000000-0005-0000-0000-000040040000}"/>
    <cellStyle name="Millares 2 2 2 10" xfId="2046" xr:uid="{100AE71C-96D7-4BD7-B621-4480C2DFD4F5}"/>
    <cellStyle name="Millares 2 2 2 11" xfId="2137" xr:uid="{ABA3D037-BC6E-40D5-9FA7-87E8417CE002}"/>
    <cellStyle name="Millares 2 2 2 12" xfId="2226" xr:uid="{517AECF3-77A7-4F5B-86E7-19DD2FA9A91F}"/>
    <cellStyle name="Millares 2 2 2 13" xfId="2316" xr:uid="{3C21CEAA-AA10-4A15-B88B-D71CAC242AF3}"/>
    <cellStyle name="Millares 2 2 2 14" xfId="2405" xr:uid="{1AC31964-6F9D-402E-9D21-85D42F1A206C}"/>
    <cellStyle name="Millares 2 2 2 15" xfId="2495" xr:uid="{AAD2D71F-2CB6-4C5F-AD9C-2DACE35A29F6}"/>
    <cellStyle name="Millares 2 2 2 16" xfId="2584" xr:uid="{EE99379D-BAE5-4E52-81A0-E83AC8156060}"/>
    <cellStyle name="Millares 2 2 2 17" xfId="2674" xr:uid="{A22FF0C5-991D-47EA-8C48-D4EB9C6052B8}"/>
    <cellStyle name="Millares 2 2 2 18" xfId="2764" xr:uid="{80B53F66-5E46-48E9-9704-815B28A8C0FE}"/>
    <cellStyle name="Millares 2 2 2 19" xfId="2854" xr:uid="{7C778501-0505-4825-A9CB-14871E505CFD}"/>
    <cellStyle name="Millares 2 2 2 2" xfId="1314" xr:uid="{00000000-0005-0000-0000-000041040000}"/>
    <cellStyle name="Millares 2 2 2 2 2" xfId="3479" xr:uid="{2A9E5242-FF40-4A1E-8009-DF473E7B1EA7}"/>
    <cellStyle name="Millares 2 2 2 2 3" xfId="3691" xr:uid="{37E559CF-5A10-42FE-A914-F9A22C55D289}"/>
    <cellStyle name="Millares 2 2 2 20" xfId="2947" xr:uid="{1122B5FD-C264-4A40-8327-FA9D9DFFE8B6}"/>
    <cellStyle name="Millares 2 2 2 21" xfId="3041" xr:uid="{3F376EB5-D875-4AC1-B85B-FA195B0A413A}"/>
    <cellStyle name="Millares 2 2 2 22" xfId="3601" xr:uid="{EAAB27AB-E1AB-44A9-88BF-CB1C90C4B5E0}"/>
    <cellStyle name="Millares 2 2 2 3" xfId="1411" xr:uid="{00000000-0005-0000-0000-000042040000}"/>
    <cellStyle name="Millares 2 2 2 4" xfId="1501" xr:uid="{00000000-0005-0000-0000-000043040000}"/>
    <cellStyle name="Millares 2 2 2 5" xfId="1591" xr:uid="{00000000-0005-0000-0000-000044040000}"/>
    <cellStyle name="Millares 2 2 2 6" xfId="1682" xr:uid="{00000000-0005-0000-0000-000045040000}"/>
    <cellStyle name="Millares 2 2 2 7" xfId="1775" xr:uid="{00000000-0005-0000-0000-000046040000}"/>
    <cellStyle name="Millares 2 2 2 8" xfId="1866" xr:uid="{C843F626-3C78-4470-826D-5A1613577C0D}"/>
    <cellStyle name="Millares 2 2 2 9" xfId="1957" xr:uid="{16DF5A3D-59A8-42BC-9920-EF3F0EBB501A}"/>
    <cellStyle name="Millares 2 2 20" xfId="1275" xr:uid="{00000000-0005-0000-0000-000047040000}"/>
    <cellStyle name="Millares 2 2 20 10" xfId="2047" xr:uid="{76BC28AB-DBE1-4A72-8E89-E4AA0E78FA08}"/>
    <cellStyle name="Millares 2 2 20 11" xfId="2138" xr:uid="{062806A7-1B70-4F2B-893E-629319B8107E}"/>
    <cellStyle name="Millares 2 2 20 12" xfId="2227" xr:uid="{F2055C96-AEA3-4FCF-8B20-64A30AA859E6}"/>
    <cellStyle name="Millares 2 2 20 13" xfId="2317" xr:uid="{E6FADCAE-83E5-448C-A694-AD5D056ECCFE}"/>
    <cellStyle name="Millares 2 2 20 14" xfId="2406" xr:uid="{02F27CDD-2488-4797-947C-82791CD01CDB}"/>
    <cellStyle name="Millares 2 2 20 15" xfId="2496" xr:uid="{8F8BD5DA-9179-4DEF-A633-29C58AD10D6A}"/>
    <cellStyle name="Millares 2 2 20 16" xfId="2585" xr:uid="{2F661A53-63F3-4D63-96EA-04D0F85CBE38}"/>
    <cellStyle name="Millares 2 2 20 17" xfId="2675" xr:uid="{F6EC7995-2A81-44F8-BF25-A640033E0F90}"/>
    <cellStyle name="Millares 2 2 20 18" xfId="2765" xr:uid="{8A5F6990-C7D2-4439-9B8F-369C6A8B70F9}"/>
    <cellStyle name="Millares 2 2 20 19" xfId="2855" xr:uid="{3EA3FE22-3BB8-43A7-9F7D-C574BC305C32}"/>
    <cellStyle name="Millares 2 2 20 2" xfId="1315" xr:uid="{00000000-0005-0000-0000-000048040000}"/>
    <cellStyle name="Millares 2 2 20 2 2" xfId="3480" xr:uid="{D563BC58-15E5-4DB9-8E86-B3E42AA9CDC4}"/>
    <cellStyle name="Millares 2 2 20 2 3" xfId="3692" xr:uid="{3F7B23FE-2489-41C7-83D4-D02AB51B6A1F}"/>
    <cellStyle name="Millares 2 2 20 20" xfId="2948" xr:uid="{DF2B9952-6900-4852-81E6-B6FDF677A1B9}"/>
    <cellStyle name="Millares 2 2 20 21" xfId="3042" xr:uid="{E51C6C13-8EEA-4F53-98AD-A9FF6DE0B8B4}"/>
    <cellStyle name="Millares 2 2 20 22" xfId="3602" xr:uid="{95B64A98-9FAA-4FB8-A5F5-46373D808159}"/>
    <cellStyle name="Millares 2 2 20 3" xfId="1412" xr:uid="{00000000-0005-0000-0000-000049040000}"/>
    <cellStyle name="Millares 2 2 20 4" xfId="1502" xr:uid="{00000000-0005-0000-0000-00004A040000}"/>
    <cellStyle name="Millares 2 2 20 5" xfId="1592" xr:uid="{00000000-0005-0000-0000-00004B040000}"/>
    <cellStyle name="Millares 2 2 20 6" xfId="1683" xr:uid="{00000000-0005-0000-0000-00004C040000}"/>
    <cellStyle name="Millares 2 2 20 7" xfId="1776" xr:uid="{00000000-0005-0000-0000-00004D040000}"/>
    <cellStyle name="Millares 2 2 20 8" xfId="1867" xr:uid="{3F7C105C-4337-4DCC-9DB6-EE989BCCEBE8}"/>
    <cellStyle name="Millares 2 2 20 9" xfId="1958" xr:uid="{6347FCF7-2218-4B94-BBF0-A2F7D5AEB168}"/>
    <cellStyle name="Millares 2 2 21" xfId="1279" xr:uid="{00000000-0005-0000-0000-00004E040000}"/>
    <cellStyle name="Millares 2 2 21 10" xfId="2048" xr:uid="{D3BDEFA1-C1CA-4FB3-BCC2-1C10A94348D7}"/>
    <cellStyle name="Millares 2 2 21 11" xfId="2139" xr:uid="{DD05EB11-4EFA-45C2-A891-FBDBB08CD854}"/>
    <cellStyle name="Millares 2 2 21 12" xfId="2228" xr:uid="{04864A00-0C78-4514-8945-C52BD73EED6A}"/>
    <cellStyle name="Millares 2 2 21 13" xfId="2318" xr:uid="{3283DFBC-0E58-4F1D-8DEA-77549FF39CA2}"/>
    <cellStyle name="Millares 2 2 21 14" xfId="2407" xr:uid="{2E149305-9E63-4813-8550-9485646444BB}"/>
    <cellStyle name="Millares 2 2 21 15" xfId="2497" xr:uid="{1DE95785-0678-4C8E-B9E0-2E99FFEEDF70}"/>
    <cellStyle name="Millares 2 2 21 16" xfId="2586" xr:uid="{FAA7D097-EE79-4BB1-9923-8B59B35240D9}"/>
    <cellStyle name="Millares 2 2 21 17" xfId="2676" xr:uid="{13CA8450-CAAE-4F52-BC89-2DCF55B1A48A}"/>
    <cellStyle name="Millares 2 2 21 18" xfId="2766" xr:uid="{F76A4B25-70B9-4721-98DB-3C3C79AB98D7}"/>
    <cellStyle name="Millares 2 2 21 19" xfId="2856" xr:uid="{10850332-F08F-498A-80C6-C7764D1F724E}"/>
    <cellStyle name="Millares 2 2 21 2" xfId="1316" xr:uid="{00000000-0005-0000-0000-00004F040000}"/>
    <cellStyle name="Millares 2 2 21 2 2" xfId="3481" xr:uid="{A4F09FFA-82E5-45C7-BCD2-1668F22C782F}"/>
    <cellStyle name="Millares 2 2 21 2 3" xfId="3693" xr:uid="{69B3DCE6-D05E-40CB-9290-B8009B03ABA8}"/>
    <cellStyle name="Millares 2 2 21 20" xfId="2949" xr:uid="{312C7BB4-A380-49B5-A1C3-41E8D59B8BC4}"/>
    <cellStyle name="Millares 2 2 21 21" xfId="3043" xr:uid="{815B889E-CECE-492A-BDCD-C20F8C5B6199}"/>
    <cellStyle name="Millares 2 2 21 22" xfId="3603" xr:uid="{44251C07-2634-4FAB-8DCA-7493C20367B4}"/>
    <cellStyle name="Millares 2 2 21 3" xfId="1413" xr:uid="{00000000-0005-0000-0000-000050040000}"/>
    <cellStyle name="Millares 2 2 21 4" xfId="1503" xr:uid="{00000000-0005-0000-0000-000051040000}"/>
    <cellStyle name="Millares 2 2 21 5" xfId="1593" xr:uid="{00000000-0005-0000-0000-000052040000}"/>
    <cellStyle name="Millares 2 2 21 6" xfId="1684" xr:uid="{00000000-0005-0000-0000-000053040000}"/>
    <cellStyle name="Millares 2 2 21 7" xfId="1777" xr:uid="{00000000-0005-0000-0000-000054040000}"/>
    <cellStyle name="Millares 2 2 21 8" xfId="1868" xr:uid="{A444C3DD-4CCE-455D-B3B9-6D9E534A9E32}"/>
    <cellStyle name="Millares 2 2 21 9" xfId="1959" xr:uid="{63AF042F-EB9A-4128-9701-D684A27F94AF}"/>
    <cellStyle name="Millares 2 2 22" xfId="1317" xr:uid="{00000000-0005-0000-0000-000055040000}"/>
    <cellStyle name="Millares 2 2 22 10" xfId="2140" xr:uid="{B25F22BC-AEB6-4306-A208-EAC2FF859C32}"/>
    <cellStyle name="Millares 2 2 22 11" xfId="2229" xr:uid="{E994A72F-2686-4987-840B-D5EC5E323ABE}"/>
    <cellStyle name="Millares 2 2 22 12" xfId="2319" xr:uid="{C86490FF-5FDA-4D18-8B89-ACE4541E2287}"/>
    <cellStyle name="Millares 2 2 22 13" xfId="2408" xr:uid="{55D28268-73E8-4646-ACCA-3CBE97155947}"/>
    <cellStyle name="Millares 2 2 22 14" xfId="2498" xr:uid="{F5E52628-F5E3-4774-AD21-99D24FD85980}"/>
    <cellStyle name="Millares 2 2 22 15" xfId="2587" xr:uid="{0915B14F-F3B3-4B1B-BAAD-C5FF44F462C6}"/>
    <cellStyle name="Millares 2 2 22 16" xfId="2677" xr:uid="{AA10F8D7-AA04-4F4D-BC5A-8EF6C820CE77}"/>
    <cellStyle name="Millares 2 2 22 17" xfId="2767" xr:uid="{9E25DFEB-897B-4A2A-B99F-267771421EB7}"/>
    <cellStyle name="Millares 2 2 22 18" xfId="2857" xr:uid="{721D279E-56DB-4AE9-8D46-CCB5D02A6744}"/>
    <cellStyle name="Millares 2 2 22 19" xfId="2950" xr:uid="{93E03F24-C58A-4A58-A95B-3D1A04AACE1C}"/>
    <cellStyle name="Millares 2 2 22 2" xfId="1414" xr:uid="{00000000-0005-0000-0000-000056040000}"/>
    <cellStyle name="Millares 2 2 22 2 2" xfId="3482" xr:uid="{F40126E0-4B48-4B89-904F-74C79965C8A8}"/>
    <cellStyle name="Millares 2 2 22 2 3" xfId="3694" xr:uid="{AF495A7A-6E73-446C-9F69-A9C19970A019}"/>
    <cellStyle name="Millares 2 2 22 20" xfId="3044" xr:uid="{DDB1A3C6-C277-4C90-866C-2F1E3D9EFF7A}"/>
    <cellStyle name="Millares 2 2 22 21" xfId="3604" xr:uid="{D0250288-22FE-4E1C-A791-F7B2EC5372CE}"/>
    <cellStyle name="Millares 2 2 22 3" xfId="1504" xr:uid="{00000000-0005-0000-0000-000057040000}"/>
    <cellStyle name="Millares 2 2 22 4" xfId="1594" xr:uid="{00000000-0005-0000-0000-000058040000}"/>
    <cellStyle name="Millares 2 2 22 5" xfId="1685" xr:uid="{00000000-0005-0000-0000-000059040000}"/>
    <cellStyle name="Millares 2 2 22 6" xfId="1778" xr:uid="{00000000-0005-0000-0000-00005A040000}"/>
    <cellStyle name="Millares 2 2 22 7" xfId="1869" xr:uid="{8D9C279D-389F-4710-8DC4-CAE4647C77AE}"/>
    <cellStyle name="Millares 2 2 22 8" xfId="1960" xr:uid="{C0EDF200-BF4E-428C-819E-CB89652698E7}"/>
    <cellStyle name="Millares 2 2 22 9" xfId="2049" xr:uid="{2897AF55-9509-46BD-BFD2-4E91634567F8}"/>
    <cellStyle name="Millares 2 2 23" xfId="1303" xr:uid="{00000000-0005-0000-0000-00005B040000}"/>
    <cellStyle name="Millares 2 2 23 2" xfId="3468" xr:uid="{81EC75EE-2BA7-493D-956B-68C94FA20093}"/>
    <cellStyle name="Millares 2 2 23 3" xfId="3680" xr:uid="{1590CE34-F036-496E-BCDF-524C90F14DA5}"/>
    <cellStyle name="Millares 2 2 24" xfId="1400" xr:uid="{00000000-0005-0000-0000-00005C040000}"/>
    <cellStyle name="Millares 2 2 25" xfId="1490" xr:uid="{00000000-0005-0000-0000-00005D040000}"/>
    <cellStyle name="Millares 2 2 26" xfId="1580" xr:uid="{00000000-0005-0000-0000-00005E040000}"/>
    <cellStyle name="Millares 2 2 27" xfId="1671" xr:uid="{00000000-0005-0000-0000-00005F040000}"/>
    <cellStyle name="Millares 2 2 28" xfId="1764" xr:uid="{00000000-0005-0000-0000-000060040000}"/>
    <cellStyle name="Millares 2 2 29" xfId="1855" xr:uid="{566B1E83-BF6A-4B09-87A4-12634AC5845F}"/>
    <cellStyle name="Millares 2 2 3" xfId="1201" xr:uid="{00000000-0005-0000-0000-000061040000}"/>
    <cellStyle name="Millares 2 2 3 10" xfId="2050" xr:uid="{E6626775-DD43-4D42-B15F-4072C4CFC41D}"/>
    <cellStyle name="Millares 2 2 3 11" xfId="2141" xr:uid="{B5F08C5B-09F6-498B-9BF1-3AD5A67DDAB6}"/>
    <cellStyle name="Millares 2 2 3 12" xfId="2230" xr:uid="{BF5636DC-3ACF-485F-BC1F-B7B10C05F339}"/>
    <cellStyle name="Millares 2 2 3 13" xfId="2320" xr:uid="{6512A2D8-6AB3-43E7-A06C-8FC7D8711A1E}"/>
    <cellStyle name="Millares 2 2 3 14" xfId="2409" xr:uid="{CC28860B-B86E-4AFA-B945-4C72C231325F}"/>
    <cellStyle name="Millares 2 2 3 15" xfId="2499" xr:uid="{A01F336A-0DAA-402E-9789-4C57D49C396A}"/>
    <cellStyle name="Millares 2 2 3 16" xfId="2588" xr:uid="{8C36C4B9-D88D-49A0-9F99-020047F5DE23}"/>
    <cellStyle name="Millares 2 2 3 17" xfId="2678" xr:uid="{77970AF4-B39D-4F7B-A087-ADF540F1896C}"/>
    <cellStyle name="Millares 2 2 3 18" xfId="2768" xr:uid="{DD0D0D02-06F0-483C-A4FE-6CCCEAC13F1B}"/>
    <cellStyle name="Millares 2 2 3 19" xfId="2858" xr:uid="{78BA2E58-EA01-4CD8-A191-C3AEB099BBC9}"/>
    <cellStyle name="Millares 2 2 3 2" xfId="1318" xr:uid="{00000000-0005-0000-0000-000062040000}"/>
    <cellStyle name="Millares 2 2 3 2 2" xfId="3483" xr:uid="{6EC0E2AA-9EF0-4C4A-9970-A664C0AE8CC8}"/>
    <cellStyle name="Millares 2 2 3 2 3" xfId="3695" xr:uid="{4120D161-18F3-4B37-919D-5947BD946E3B}"/>
    <cellStyle name="Millares 2 2 3 20" xfId="2951" xr:uid="{0005FF11-EA69-4EDE-A0D8-50D2587F1E87}"/>
    <cellStyle name="Millares 2 2 3 21" xfId="3045" xr:uid="{656287C2-EC26-4446-9451-7668E771A7DC}"/>
    <cellStyle name="Millares 2 2 3 22" xfId="3605" xr:uid="{A6C39FEE-60E8-4538-B5BC-FF90C95E3846}"/>
    <cellStyle name="Millares 2 2 3 3" xfId="1415" xr:uid="{00000000-0005-0000-0000-000063040000}"/>
    <cellStyle name="Millares 2 2 3 4" xfId="1505" xr:uid="{00000000-0005-0000-0000-000064040000}"/>
    <cellStyle name="Millares 2 2 3 5" xfId="1595" xr:uid="{00000000-0005-0000-0000-000065040000}"/>
    <cellStyle name="Millares 2 2 3 6" xfId="1686" xr:uid="{00000000-0005-0000-0000-000066040000}"/>
    <cellStyle name="Millares 2 2 3 7" xfId="1779" xr:uid="{00000000-0005-0000-0000-000067040000}"/>
    <cellStyle name="Millares 2 2 3 8" xfId="1870" xr:uid="{A605C820-DFC7-44EA-9171-ED7088BBC689}"/>
    <cellStyle name="Millares 2 2 3 9" xfId="1961" xr:uid="{526D2E52-8AC3-466F-BFF8-0ED0F7C28FEC}"/>
    <cellStyle name="Millares 2 2 30" xfId="1946" xr:uid="{24A501FA-81EF-48B4-B951-CA39B783E575}"/>
    <cellStyle name="Millares 2 2 31" xfId="2035" xr:uid="{70EBAF2F-9FDA-4179-A97B-44208D817453}"/>
    <cellStyle name="Millares 2 2 32" xfId="2126" xr:uid="{5111F2F8-3449-4B40-AA80-62AD070E762B}"/>
    <cellStyle name="Millares 2 2 33" xfId="2215" xr:uid="{D74F1F3E-CFC9-49BE-A794-F8EA666ED863}"/>
    <cellStyle name="Millares 2 2 34" xfId="2305" xr:uid="{82420328-E021-4154-8894-93AD128A2917}"/>
    <cellStyle name="Millares 2 2 35" xfId="2394" xr:uid="{76A079BF-9B2E-4636-97A7-EF0F0D9892F0}"/>
    <cellStyle name="Millares 2 2 36" xfId="2484" xr:uid="{5D377580-2081-4A61-AA2D-42EEF5046380}"/>
    <cellStyle name="Millares 2 2 37" xfId="2573" xr:uid="{89F3BE1F-903A-469F-BD5D-3EF9A7DD4C45}"/>
    <cellStyle name="Millares 2 2 38" xfId="2663" xr:uid="{F540FF7A-33BF-4BF6-87AB-4443653BAAD9}"/>
    <cellStyle name="Millares 2 2 39" xfId="2753" xr:uid="{B1F2F73D-2970-4F33-ABF1-6605889F7F5A}"/>
    <cellStyle name="Millares 2 2 4" xfId="1206" xr:uid="{00000000-0005-0000-0000-000068040000}"/>
    <cellStyle name="Millares 2 2 4 10" xfId="2051" xr:uid="{E2CD9D11-5740-4A2B-BD03-BC1415147920}"/>
    <cellStyle name="Millares 2 2 4 11" xfId="2142" xr:uid="{623FDB46-C344-4AA6-9296-450EBE1C485D}"/>
    <cellStyle name="Millares 2 2 4 12" xfId="2231" xr:uid="{A52D7FBC-43EF-4C37-AFA1-CA817613ADD0}"/>
    <cellStyle name="Millares 2 2 4 13" xfId="2321" xr:uid="{F39084AA-28F7-46D5-98C2-AF881E5BF832}"/>
    <cellStyle name="Millares 2 2 4 14" xfId="2410" xr:uid="{D29BFC79-3BC4-412A-B406-D600530C950F}"/>
    <cellStyle name="Millares 2 2 4 15" xfId="2500" xr:uid="{618C6AE4-7A21-45C2-B783-84D059BCF3EF}"/>
    <cellStyle name="Millares 2 2 4 16" xfId="2589" xr:uid="{9D0B8B78-1AB1-4857-9F62-B4170FB35084}"/>
    <cellStyle name="Millares 2 2 4 17" xfId="2679" xr:uid="{4B618CD9-D097-4CEA-8B8D-361E7EAD3D89}"/>
    <cellStyle name="Millares 2 2 4 18" xfId="2769" xr:uid="{19AE2E99-E71C-44DC-BCDB-B1942C50E131}"/>
    <cellStyle name="Millares 2 2 4 19" xfId="2859" xr:uid="{54BFE826-7A12-455C-A807-C04573099AB0}"/>
    <cellStyle name="Millares 2 2 4 2" xfId="1319" xr:uid="{00000000-0005-0000-0000-000069040000}"/>
    <cellStyle name="Millares 2 2 4 2 2" xfId="3484" xr:uid="{1BDF76CA-0632-46AE-AFA5-031DD0338F56}"/>
    <cellStyle name="Millares 2 2 4 2 3" xfId="3696" xr:uid="{82679F27-7521-44EF-AF10-2C89F2CEFE2F}"/>
    <cellStyle name="Millares 2 2 4 20" xfId="2952" xr:uid="{B30FAB9D-DEB9-4B14-B5A8-D69605F2E23B}"/>
    <cellStyle name="Millares 2 2 4 21" xfId="3046" xr:uid="{928F3D8E-E0E4-48D0-A91B-810CAD49A8F3}"/>
    <cellStyle name="Millares 2 2 4 22" xfId="3606" xr:uid="{F569B6D0-2C9C-48AA-82A4-F55E021167BA}"/>
    <cellStyle name="Millares 2 2 4 3" xfId="1416" xr:uid="{00000000-0005-0000-0000-00006A040000}"/>
    <cellStyle name="Millares 2 2 4 4" xfId="1506" xr:uid="{00000000-0005-0000-0000-00006B040000}"/>
    <cellStyle name="Millares 2 2 4 5" xfId="1596" xr:uid="{00000000-0005-0000-0000-00006C040000}"/>
    <cellStyle name="Millares 2 2 4 6" xfId="1687" xr:uid="{00000000-0005-0000-0000-00006D040000}"/>
    <cellStyle name="Millares 2 2 4 7" xfId="1780" xr:uid="{00000000-0005-0000-0000-00006E040000}"/>
    <cellStyle name="Millares 2 2 4 8" xfId="1871" xr:uid="{17ADDDA2-1D9C-413A-ADD8-FC291ED2F04C}"/>
    <cellStyle name="Millares 2 2 4 9" xfId="1962" xr:uid="{82F23980-D9C7-4C5A-8A06-6B73715C3580}"/>
    <cellStyle name="Millares 2 2 40" xfId="2843" xr:uid="{195D9B65-86EC-4985-AB3C-E6DE20CDF678}"/>
    <cellStyle name="Millares 2 2 41" xfId="2936" xr:uid="{A373A33F-BB89-4AEA-B69A-EC50BC742BDF}"/>
    <cellStyle name="Millares 2 2 42" xfId="3030" xr:uid="{089A6D5C-3B36-40BE-AA32-4A8B183EE83D}"/>
    <cellStyle name="Millares 2 2 43" xfId="3590" xr:uid="{AAF15BD2-2B32-49DB-A076-D7882CEDEBAE}"/>
    <cellStyle name="Millares 2 2 5" xfId="1210" xr:uid="{00000000-0005-0000-0000-00006F040000}"/>
    <cellStyle name="Millares 2 2 5 10" xfId="2052" xr:uid="{B8B45D47-E0CE-480A-9060-02C2D471BA2D}"/>
    <cellStyle name="Millares 2 2 5 11" xfId="2143" xr:uid="{87862B0C-08EC-4675-8A67-BA1EA05A7210}"/>
    <cellStyle name="Millares 2 2 5 12" xfId="2232" xr:uid="{DE2D6435-FF88-40EE-A16C-2A2DF06F597F}"/>
    <cellStyle name="Millares 2 2 5 13" xfId="2322" xr:uid="{B420EDD1-6076-4CC7-8991-6AD1EB64B187}"/>
    <cellStyle name="Millares 2 2 5 14" xfId="2411" xr:uid="{FA780CF6-BE89-485A-9943-A6F5352ECC91}"/>
    <cellStyle name="Millares 2 2 5 15" xfId="2501" xr:uid="{67667074-BE42-4DFF-93FF-93C9760AE9D7}"/>
    <cellStyle name="Millares 2 2 5 16" xfId="2590" xr:uid="{26E09625-04EE-45E2-87E7-59DEC7EAF171}"/>
    <cellStyle name="Millares 2 2 5 17" xfId="2680" xr:uid="{650E9140-CE67-45F7-926D-45457757FF52}"/>
    <cellStyle name="Millares 2 2 5 18" xfId="2770" xr:uid="{88F94B92-5351-4A86-B19E-9BC694BD8530}"/>
    <cellStyle name="Millares 2 2 5 19" xfId="2860" xr:uid="{33BCC278-1F51-45E2-8032-F420D61ACD56}"/>
    <cellStyle name="Millares 2 2 5 2" xfId="1320" xr:uid="{00000000-0005-0000-0000-000070040000}"/>
    <cellStyle name="Millares 2 2 5 2 2" xfId="3485" xr:uid="{E864AA60-5561-4E7E-B904-9B127D9DB75C}"/>
    <cellStyle name="Millares 2 2 5 2 3" xfId="3697" xr:uid="{554229DD-050D-4769-B897-0C6407A90B30}"/>
    <cellStyle name="Millares 2 2 5 20" xfId="2953" xr:uid="{CA6D63C2-05B2-44BC-BCC5-5C8BDD9EDAF1}"/>
    <cellStyle name="Millares 2 2 5 21" xfId="3047" xr:uid="{1C537201-6367-4C9A-93CB-0437DE3EC251}"/>
    <cellStyle name="Millares 2 2 5 22" xfId="3607" xr:uid="{A94AAE80-9211-44C1-9400-80F066A2AA67}"/>
    <cellStyle name="Millares 2 2 5 3" xfId="1417" xr:uid="{00000000-0005-0000-0000-000071040000}"/>
    <cellStyle name="Millares 2 2 5 4" xfId="1507" xr:uid="{00000000-0005-0000-0000-000072040000}"/>
    <cellStyle name="Millares 2 2 5 5" xfId="1597" xr:uid="{00000000-0005-0000-0000-000073040000}"/>
    <cellStyle name="Millares 2 2 5 6" xfId="1688" xr:uid="{00000000-0005-0000-0000-000074040000}"/>
    <cellStyle name="Millares 2 2 5 7" xfId="1781" xr:uid="{00000000-0005-0000-0000-000075040000}"/>
    <cellStyle name="Millares 2 2 5 8" xfId="1872" xr:uid="{9B7D5247-DA01-40B8-9A32-6A196D8FD984}"/>
    <cellStyle name="Millares 2 2 5 9" xfId="1963" xr:uid="{8DF630DD-8556-4D20-AEFF-0061B5AC5376}"/>
    <cellStyle name="Millares 2 2 6" xfId="1214" xr:uid="{00000000-0005-0000-0000-000076040000}"/>
    <cellStyle name="Millares 2 2 6 10" xfId="2053" xr:uid="{F61759B8-B60D-4DB6-A998-2B6AFBC7FA7F}"/>
    <cellStyle name="Millares 2 2 6 11" xfId="2144" xr:uid="{EDA2E6AA-DC49-461F-AE2F-53662C924947}"/>
    <cellStyle name="Millares 2 2 6 12" xfId="2233" xr:uid="{90318EA6-E2A5-41D3-8303-D9C3BAC91BE3}"/>
    <cellStyle name="Millares 2 2 6 13" xfId="2323" xr:uid="{DA71A7DB-5D78-4E2B-A262-61895D38A065}"/>
    <cellStyle name="Millares 2 2 6 14" xfId="2412" xr:uid="{72B93343-0D8E-4B66-91AC-B0F67495A7FF}"/>
    <cellStyle name="Millares 2 2 6 15" xfId="2502" xr:uid="{28CFB1E1-FC4B-42E3-84BB-C10673400D57}"/>
    <cellStyle name="Millares 2 2 6 16" xfId="2591" xr:uid="{FD0F444B-F959-4E90-AA0B-676CE957F97B}"/>
    <cellStyle name="Millares 2 2 6 17" xfId="2681" xr:uid="{E393B59C-656B-4884-A5FD-03C48E210105}"/>
    <cellStyle name="Millares 2 2 6 18" xfId="2771" xr:uid="{E2427C3E-DCA5-4D0B-8C4E-F369A42DBDA8}"/>
    <cellStyle name="Millares 2 2 6 19" xfId="2861" xr:uid="{7920A529-9EDB-49C1-ACFA-DD5B7B1A1309}"/>
    <cellStyle name="Millares 2 2 6 2" xfId="1321" xr:uid="{00000000-0005-0000-0000-000077040000}"/>
    <cellStyle name="Millares 2 2 6 2 2" xfId="3486" xr:uid="{5F1475D7-6B0F-4A85-A25C-D00B7F1BCB0E}"/>
    <cellStyle name="Millares 2 2 6 2 3" xfId="3698" xr:uid="{FD250905-B3D1-4D2F-AFC7-85810B4B83FA}"/>
    <cellStyle name="Millares 2 2 6 20" xfId="2954" xr:uid="{390ABF9F-E958-41E1-8934-D8CC54913296}"/>
    <cellStyle name="Millares 2 2 6 21" xfId="3048" xr:uid="{EFD3D1EB-20A9-4737-8162-B20FA08BDA47}"/>
    <cellStyle name="Millares 2 2 6 22" xfId="3608" xr:uid="{367EC54D-51FD-4D02-AA7E-B98BC096C3A1}"/>
    <cellStyle name="Millares 2 2 6 3" xfId="1418" xr:uid="{00000000-0005-0000-0000-000078040000}"/>
    <cellStyle name="Millares 2 2 6 4" xfId="1508" xr:uid="{00000000-0005-0000-0000-000079040000}"/>
    <cellStyle name="Millares 2 2 6 5" xfId="1598" xr:uid="{00000000-0005-0000-0000-00007A040000}"/>
    <cellStyle name="Millares 2 2 6 6" xfId="1689" xr:uid="{00000000-0005-0000-0000-00007B040000}"/>
    <cellStyle name="Millares 2 2 6 7" xfId="1782" xr:uid="{00000000-0005-0000-0000-00007C040000}"/>
    <cellStyle name="Millares 2 2 6 8" xfId="1873" xr:uid="{B1E043CF-C88E-4A03-B3B1-58D8E5367F76}"/>
    <cellStyle name="Millares 2 2 6 9" xfId="1964" xr:uid="{3C6DE352-4C7A-4911-9F33-464E7CA31B06}"/>
    <cellStyle name="Millares 2 2 7" xfId="1218" xr:uid="{00000000-0005-0000-0000-00007D040000}"/>
    <cellStyle name="Millares 2 2 7 10" xfId="2054" xr:uid="{3765E4FB-70EA-4CD1-B6D9-CDC8A1D522AD}"/>
    <cellStyle name="Millares 2 2 7 11" xfId="2145" xr:uid="{3981F9FB-654A-4E2C-A987-5DD0E01F3777}"/>
    <cellStyle name="Millares 2 2 7 12" xfId="2234" xr:uid="{D36FA325-E171-48E9-9B4D-B0255B837055}"/>
    <cellStyle name="Millares 2 2 7 13" xfId="2324" xr:uid="{8845D00E-B5AB-41AF-98BF-A8037BA55D14}"/>
    <cellStyle name="Millares 2 2 7 14" xfId="2413" xr:uid="{378C5DD8-7ADB-4EA4-9832-F4A39F37484D}"/>
    <cellStyle name="Millares 2 2 7 15" xfId="2503" xr:uid="{E2D28AF0-58EE-408A-B621-62CBEBF4377A}"/>
    <cellStyle name="Millares 2 2 7 16" xfId="2592" xr:uid="{057EB366-D30A-45F5-AFBF-399452FF9B3D}"/>
    <cellStyle name="Millares 2 2 7 17" xfId="2682" xr:uid="{391C2AD3-02D9-461C-A666-9563D3470016}"/>
    <cellStyle name="Millares 2 2 7 18" xfId="2772" xr:uid="{1038DDA2-67D1-46CA-8006-0B71E0E202CB}"/>
    <cellStyle name="Millares 2 2 7 19" xfId="2862" xr:uid="{EE40C070-78C2-4BF2-8583-EC2D35BB2DE4}"/>
    <cellStyle name="Millares 2 2 7 2" xfId="1322" xr:uid="{00000000-0005-0000-0000-00007E040000}"/>
    <cellStyle name="Millares 2 2 7 2 2" xfId="3487" xr:uid="{CAD2B92E-F14F-4560-848B-9B664197886A}"/>
    <cellStyle name="Millares 2 2 7 2 3" xfId="3699" xr:uid="{A1ED0C63-D2DD-46BC-ABF1-7CAF129AB89E}"/>
    <cellStyle name="Millares 2 2 7 20" xfId="2955" xr:uid="{5852B54E-F669-453C-A4E7-032FE5FB1E2A}"/>
    <cellStyle name="Millares 2 2 7 21" xfId="3049" xr:uid="{375A20E6-63C5-4519-B715-CA1530A9D7B4}"/>
    <cellStyle name="Millares 2 2 7 22" xfId="3609" xr:uid="{806A129F-8306-4912-8F93-0B708298E052}"/>
    <cellStyle name="Millares 2 2 7 3" xfId="1419" xr:uid="{00000000-0005-0000-0000-00007F040000}"/>
    <cellStyle name="Millares 2 2 7 4" xfId="1509" xr:uid="{00000000-0005-0000-0000-000080040000}"/>
    <cellStyle name="Millares 2 2 7 5" xfId="1599" xr:uid="{00000000-0005-0000-0000-000081040000}"/>
    <cellStyle name="Millares 2 2 7 6" xfId="1690" xr:uid="{00000000-0005-0000-0000-000082040000}"/>
    <cellStyle name="Millares 2 2 7 7" xfId="1783" xr:uid="{00000000-0005-0000-0000-000083040000}"/>
    <cellStyle name="Millares 2 2 7 8" xfId="1874" xr:uid="{C6CD33E0-1AE9-408D-B60C-2A8D32DB4685}"/>
    <cellStyle name="Millares 2 2 7 9" xfId="1965" xr:uid="{A5DE05DE-F16E-44FA-A3E8-C946CFB32F90}"/>
    <cellStyle name="Millares 2 2 8" xfId="1222" xr:uid="{00000000-0005-0000-0000-000084040000}"/>
    <cellStyle name="Millares 2 2 8 10" xfId="2055" xr:uid="{0FB57434-DAA0-4389-A59A-2D1594E9BDAA}"/>
    <cellStyle name="Millares 2 2 8 11" xfId="2146" xr:uid="{C401D793-801C-4354-9E76-A6FB96DFC07B}"/>
    <cellStyle name="Millares 2 2 8 12" xfId="2235" xr:uid="{22A7965E-723E-40CF-9458-CA0D5B38A381}"/>
    <cellStyle name="Millares 2 2 8 13" xfId="2325" xr:uid="{3CC51486-BC53-423D-A1CC-AB342997517F}"/>
    <cellStyle name="Millares 2 2 8 14" xfId="2414" xr:uid="{26FF63EC-7BCA-430C-8FBF-FDBD4BE872F6}"/>
    <cellStyle name="Millares 2 2 8 15" xfId="2504" xr:uid="{ECC60216-F98A-44C9-A839-2794653B2B0D}"/>
    <cellStyle name="Millares 2 2 8 16" xfId="2593" xr:uid="{C0C7EF52-60EA-4094-A0A7-B47C616D7481}"/>
    <cellStyle name="Millares 2 2 8 17" xfId="2683" xr:uid="{6CF64583-D600-4554-B646-E084656346CF}"/>
    <cellStyle name="Millares 2 2 8 18" xfId="2773" xr:uid="{E1756B69-BB8A-448D-9E32-18DBF06A8B3A}"/>
    <cellStyle name="Millares 2 2 8 19" xfId="2863" xr:uid="{E5E0C1BC-86F7-444C-B718-447FC72E6B69}"/>
    <cellStyle name="Millares 2 2 8 2" xfId="1323" xr:uid="{00000000-0005-0000-0000-000085040000}"/>
    <cellStyle name="Millares 2 2 8 2 2" xfId="3488" xr:uid="{897F018C-8C15-4523-964C-657B77924238}"/>
    <cellStyle name="Millares 2 2 8 2 3" xfId="3700" xr:uid="{C95911B7-FED9-46D0-81BA-D59C54E2CC6E}"/>
    <cellStyle name="Millares 2 2 8 20" xfId="2956" xr:uid="{9191F03E-C00B-4856-8A52-52E7699999C2}"/>
    <cellStyle name="Millares 2 2 8 21" xfId="3050" xr:uid="{810BD544-8A3A-4730-B77B-4BCB3DA1ED00}"/>
    <cellStyle name="Millares 2 2 8 22" xfId="3610" xr:uid="{E4C648BC-EAD0-41C6-96BA-2F39291CCDEA}"/>
    <cellStyle name="Millares 2 2 8 3" xfId="1420" xr:uid="{00000000-0005-0000-0000-000086040000}"/>
    <cellStyle name="Millares 2 2 8 4" xfId="1510" xr:uid="{00000000-0005-0000-0000-000087040000}"/>
    <cellStyle name="Millares 2 2 8 5" xfId="1600" xr:uid="{00000000-0005-0000-0000-000088040000}"/>
    <cellStyle name="Millares 2 2 8 6" xfId="1691" xr:uid="{00000000-0005-0000-0000-000089040000}"/>
    <cellStyle name="Millares 2 2 8 7" xfId="1784" xr:uid="{00000000-0005-0000-0000-00008A040000}"/>
    <cellStyle name="Millares 2 2 8 8" xfId="1875" xr:uid="{28438CF6-0B20-46B0-88FD-376B139B537F}"/>
    <cellStyle name="Millares 2 2 8 9" xfId="1966" xr:uid="{D58CECAD-73D8-4D94-B277-4D2D59439DD5}"/>
    <cellStyle name="Millares 2 2 9" xfId="1226" xr:uid="{00000000-0005-0000-0000-00008B040000}"/>
    <cellStyle name="Millares 2 2 9 10" xfId="2056" xr:uid="{2BE817ED-9C99-4645-87C3-FF3545494242}"/>
    <cellStyle name="Millares 2 2 9 11" xfId="2147" xr:uid="{2360B913-57A6-4762-A94E-5E33249315B4}"/>
    <cellStyle name="Millares 2 2 9 12" xfId="2236" xr:uid="{9117EBAA-C742-450F-80C7-C65D24832052}"/>
    <cellStyle name="Millares 2 2 9 13" xfId="2326" xr:uid="{3321A41F-5786-443B-B2BD-D696EBBEAF28}"/>
    <cellStyle name="Millares 2 2 9 14" xfId="2415" xr:uid="{97A06F15-9BF7-4D3F-BB75-516AF4C6CF50}"/>
    <cellStyle name="Millares 2 2 9 15" xfId="2505" xr:uid="{8A9A2265-44D3-4BB4-A35E-C17A4406935D}"/>
    <cellStyle name="Millares 2 2 9 16" xfId="2594" xr:uid="{C2C7798C-B948-43EC-AADD-192C39EE7405}"/>
    <cellStyle name="Millares 2 2 9 17" xfId="2684" xr:uid="{2FE0B095-B011-4746-9A27-55E57C0598E4}"/>
    <cellStyle name="Millares 2 2 9 18" xfId="2774" xr:uid="{ACD955A1-4F9C-4A21-85E7-C09E6A119FA8}"/>
    <cellStyle name="Millares 2 2 9 19" xfId="2864" xr:uid="{4C4FF143-2695-40A4-BED0-5F7B40ECBEFB}"/>
    <cellStyle name="Millares 2 2 9 2" xfId="1324" xr:uid="{00000000-0005-0000-0000-00008C040000}"/>
    <cellStyle name="Millares 2 2 9 2 2" xfId="3489" xr:uid="{8350C099-4F2E-461A-BD5B-B22993236A07}"/>
    <cellStyle name="Millares 2 2 9 2 3" xfId="3701" xr:uid="{E4800FFC-EF30-4851-818E-1430D70D8DAB}"/>
    <cellStyle name="Millares 2 2 9 20" xfId="2957" xr:uid="{06710E38-6C45-4B12-90F8-61A1E5AAE124}"/>
    <cellStyle name="Millares 2 2 9 21" xfId="3051" xr:uid="{A39A1A3C-99EA-4D7C-9462-DCBEA87E9E87}"/>
    <cellStyle name="Millares 2 2 9 22" xfId="3611" xr:uid="{444DD6C1-ABA3-4771-A59E-24FE60217A89}"/>
    <cellStyle name="Millares 2 2 9 3" xfId="1421" xr:uid="{00000000-0005-0000-0000-00008D040000}"/>
    <cellStyle name="Millares 2 2 9 4" xfId="1511" xr:uid="{00000000-0005-0000-0000-00008E040000}"/>
    <cellStyle name="Millares 2 2 9 5" xfId="1601" xr:uid="{00000000-0005-0000-0000-00008F040000}"/>
    <cellStyle name="Millares 2 2 9 6" xfId="1692" xr:uid="{00000000-0005-0000-0000-000090040000}"/>
    <cellStyle name="Millares 2 2 9 7" xfId="1785" xr:uid="{00000000-0005-0000-0000-000091040000}"/>
    <cellStyle name="Millares 2 2 9 8" xfId="1876" xr:uid="{A59C9730-1B51-4157-B7F7-F7F0B053114F}"/>
    <cellStyle name="Millares 2 2 9 9" xfId="1967" xr:uid="{A49E77F0-F032-4898-BBFE-86890C9D1C0F}"/>
    <cellStyle name="Millares 2 20" xfId="1270" xr:uid="{00000000-0005-0000-0000-000092040000}"/>
    <cellStyle name="Millares 2 20 10" xfId="2057" xr:uid="{80BCB718-52E6-402A-951D-61CA2A8293B2}"/>
    <cellStyle name="Millares 2 20 11" xfId="2148" xr:uid="{53234BFB-042A-4D82-9CED-54E424FB7754}"/>
    <cellStyle name="Millares 2 20 12" xfId="2237" xr:uid="{FFBA4B75-BB2B-49E2-AFC8-910A9F649533}"/>
    <cellStyle name="Millares 2 20 13" xfId="2327" xr:uid="{E4075BB2-83D0-4839-A732-38221C4BC861}"/>
    <cellStyle name="Millares 2 20 14" xfId="2416" xr:uid="{0EB8E254-044C-431D-8034-53F39DE27FC1}"/>
    <cellStyle name="Millares 2 20 15" xfId="2506" xr:uid="{AE8702BD-ED1F-491A-A876-07A2A5BC4095}"/>
    <cellStyle name="Millares 2 20 16" xfId="2595" xr:uid="{3EA9FEA1-852C-4552-AF83-513DAA80413A}"/>
    <cellStyle name="Millares 2 20 17" xfId="2685" xr:uid="{C8B2DEBC-E224-4031-B7B2-EF6955856439}"/>
    <cellStyle name="Millares 2 20 18" xfId="2775" xr:uid="{A393BF6A-7EF3-498F-BA94-F57B8636F3D2}"/>
    <cellStyle name="Millares 2 20 19" xfId="2865" xr:uid="{E7E7DCEF-8CB2-4611-B8F3-8F23336EC5A6}"/>
    <cellStyle name="Millares 2 20 2" xfId="1325" xr:uid="{00000000-0005-0000-0000-000093040000}"/>
    <cellStyle name="Millares 2 20 2 2" xfId="3490" xr:uid="{826C21E6-C3AA-43D1-A9D3-39F5872432C4}"/>
    <cellStyle name="Millares 2 20 2 3" xfId="3702" xr:uid="{81D4FDC3-3DB7-479E-91F8-8852801FEB16}"/>
    <cellStyle name="Millares 2 20 20" xfId="2958" xr:uid="{669BCB46-FA9B-448F-B987-3ABE95D9D7D3}"/>
    <cellStyle name="Millares 2 20 21" xfId="3052" xr:uid="{3299B826-72B4-4F3F-B2EC-4B6901C77A62}"/>
    <cellStyle name="Millares 2 20 22" xfId="3612" xr:uid="{AD6A6C51-C8CE-4DBB-9211-C87D7CFBA70E}"/>
    <cellStyle name="Millares 2 20 3" xfId="1422" xr:uid="{00000000-0005-0000-0000-000094040000}"/>
    <cellStyle name="Millares 2 20 4" xfId="1512" xr:uid="{00000000-0005-0000-0000-000095040000}"/>
    <cellStyle name="Millares 2 20 5" xfId="1602" xr:uid="{00000000-0005-0000-0000-000096040000}"/>
    <cellStyle name="Millares 2 20 6" xfId="1693" xr:uid="{00000000-0005-0000-0000-000097040000}"/>
    <cellStyle name="Millares 2 20 7" xfId="1786" xr:uid="{00000000-0005-0000-0000-000098040000}"/>
    <cellStyle name="Millares 2 20 8" xfId="1877" xr:uid="{DFF1AD05-70AF-4247-B100-1EBF5E9FCF42}"/>
    <cellStyle name="Millares 2 20 9" xfId="1968" xr:uid="{9EB5FD74-7E52-4320-9ED7-CCAEFE5A6095}"/>
    <cellStyle name="Millares 2 21" xfId="1274" xr:uid="{00000000-0005-0000-0000-000099040000}"/>
    <cellStyle name="Millares 2 21 10" xfId="2058" xr:uid="{5F136E0C-508A-464A-B78E-D064DE397BE5}"/>
    <cellStyle name="Millares 2 21 11" xfId="2149" xr:uid="{875C4E4D-5F26-4125-AC6B-28FE7AA6E2E8}"/>
    <cellStyle name="Millares 2 21 12" xfId="2238" xr:uid="{F47E473C-0503-4365-9E59-25FAB0D89E7C}"/>
    <cellStyle name="Millares 2 21 13" xfId="2328" xr:uid="{5D5C7264-B369-4E8E-8598-674DD619DD20}"/>
    <cellStyle name="Millares 2 21 14" xfId="2417" xr:uid="{DE278ECE-1725-489C-ADCC-0E41AADD4037}"/>
    <cellStyle name="Millares 2 21 15" xfId="2507" xr:uid="{72414800-D784-4FAF-9563-AAD4B0A08FA7}"/>
    <cellStyle name="Millares 2 21 16" xfId="2596" xr:uid="{376D1A6F-6096-438E-B7E3-46EB1288B570}"/>
    <cellStyle name="Millares 2 21 17" xfId="2686" xr:uid="{8EF62981-9132-42B5-82EF-DC15695FAEA9}"/>
    <cellStyle name="Millares 2 21 18" xfId="2776" xr:uid="{9C22BC1D-0BB4-4E61-A2AA-D22DFE020919}"/>
    <cellStyle name="Millares 2 21 19" xfId="2866" xr:uid="{90D2C281-9816-4834-B8D6-A4B9224057AC}"/>
    <cellStyle name="Millares 2 21 2" xfId="1326" xr:uid="{00000000-0005-0000-0000-00009A040000}"/>
    <cellStyle name="Millares 2 21 2 2" xfId="3491" xr:uid="{B4958528-EE32-4B83-B41D-4911F9E7B66F}"/>
    <cellStyle name="Millares 2 21 2 3" xfId="3703" xr:uid="{5064D1AC-F08B-4F68-9E00-FDC4DE8BB5F4}"/>
    <cellStyle name="Millares 2 21 20" xfId="2959" xr:uid="{32456B7E-07B9-4379-A5ED-44A97DBD6A5B}"/>
    <cellStyle name="Millares 2 21 21" xfId="3053" xr:uid="{EA86760A-7A3D-47E7-A3FE-31C877449722}"/>
    <cellStyle name="Millares 2 21 22" xfId="3613" xr:uid="{3229B2DE-1D4D-4B33-A254-C3465B98F712}"/>
    <cellStyle name="Millares 2 21 3" xfId="1423" xr:uid="{00000000-0005-0000-0000-00009B040000}"/>
    <cellStyle name="Millares 2 21 4" xfId="1513" xr:uid="{00000000-0005-0000-0000-00009C040000}"/>
    <cellStyle name="Millares 2 21 5" xfId="1603" xr:uid="{00000000-0005-0000-0000-00009D040000}"/>
    <cellStyle name="Millares 2 21 6" xfId="1694" xr:uid="{00000000-0005-0000-0000-00009E040000}"/>
    <cellStyle name="Millares 2 21 7" xfId="1787" xr:uid="{00000000-0005-0000-0000-00009F040000}"/>
    <cellStyle name="Millares 2 21 8" xfId="1878" xr:uid="{0ABBD9A1-71AB-4FD1-ABB3-E678C033A84E}"/>
    <cellStyle name="Millares 2 21 9" xfId="1969" xr:uid="{673AB09B-9896-41B2-8132-59C8F9559FB5}"/>
    <cellStyle name="Millares 2 22" xfId="1278" xr:uid="{00000000-0005-0000-0000-0000A0040000}"/>
    <cellStyle name="Millares 2 22 10" xfId="2059" xr:uid="{840EAAE2-4D47-40A5-BCB1-6E19AAF5E7F7}"/>
    <cellStyle name="Millares 2 22 11" xfId="2150" xr:uid="{6174B3B8-8A86-46E3-ACD3-26CDCE07667F}"/>
    <cellStyle name="Millares 2 22 12" xfId="2239" xr:uid="{E0B1CE5B-38CF-4619-A800-589EB6164CA3}"/>
    <cellStyle name="Millares 2 22 13" xfId="2329" xr:uid="{9ED51B77-060D-4A89-995D-CDB4BB351172}"/>
    <cellStyle name="Millares 2 22 14" xfId="2418" xr:uid="{8A9DA7EC-2ACB-4549-820A-E6AB8341730E}"/>
    <cellStyle name="Millares 2 22 15" xfId="2508" xr:uid="{FB352365-DC98-4B13-8BE3-BA172745FD4E}"/>
    <cellStyle name="Millares 2 22 16" xfId="2597" xr:uid="{AB48A565-E579-4471-BF0A-4F1BF3D9984F}"/>
    <cellStyle name="Millares 2 22 17" xfId="2687" xr:uid="{50722F4E-1C26-403C-BE35-1B11BDF496E4}"/>
    <cellStyle name="Millares 2 22 18" xfId="2777" xr:uid="{CB82ADA0-FBF1-4C48-B465-8AC0B6099AE1}"/>
    <cellStyle name="Millares 2 22 19" xfId="2867" xr:uid="{7A5A8FEB-058E-4A44-B866-F2E7BA028C94}"/>
    <cellStyle name="Millares 2 22 2" xfId="1327" xr:uid="{00000000-0005-0000-0000-0000A1040000}"/>
    <cellStyle name="Millares 2 22 2 2" xfId="3492" xr:uid="{159F704B-C2FF-45F9-B8E5-8448BA249846}"/>
    <cellStyle name="Millares 2 22 2 3" xfId="3704" xr:uid="{061776F6-C2AE-49BB-B0DB-129EBF98DADB}"/>
    <cellStyle name="Millares 2 22 20" xfId="2960" xr:uid="{D3B4A59A-81A1-4ECF-B46F-E02DA428E63C}"/>
    <cellStyle name="Millares 2 22 21" xfId="3054" xr:uid="{8554A5B5-666A-4151-8811-6D6FBD7C76C4}"/>
    <cellStyle name="Millares 2 22 22" xfId="3614" xr:uid="{DE3CBD0B-F924-48B7-8ACA-5232FC3182A0}"/>
    <cellStyle name="Millares 2 22 3" xfId="1424" xr:uid="{00000000-0005-0000-0000-0000A2040000}"/>
    <cellStyle name="Millares 2 22 4" xfId="1514" xr:uid="{00000000-0005-0000-0000-0000A3040000}"/>
    <cellStyle name="Millares 2 22 5" xfId="1604" xr:uid="{00000000-0005-0000-0000-0000A4040000}"/>
    <cellStyle name="Millares 2 22 6" xfId="1695" xr:uid="{00000000-0005-0000-0000-0000A5040000}"/>
    <cellStyle name="Millares 2 22 7" xfId="1788" xr:uid="{00000000-0005-0000-0000-0000A6040000}"/>
    <cellStyle name="Millares 2 22 8" xfId="1879" xr:uid="{295B73BE-83F4-4112-99B2-2ACAA544BCD6}"/>
    <cellStyle name="Millares 2 22 9" xfId="1970" xr:uid="{DE31F7F3-A2BE-4D42-9050-4C6337A3C13A}"/>
    <cellStyle name="Millares 2 23" xfId="1328" xr:uid="{00000000-0005-0000-0000-0000A7040000}"/>
    <cellStyle name="Millares 2 23 10" xfId="2151" xr:uid="{2A850C05-FDBD-4C01-B0F4-3CF6673581DC}"/>
    <cellStyle name="Millares 2 23 11" xfId="2240" xr:uid="{F0C18C30-1104-4C05-97AE-F6D771D68631}"/>
    <cellStyle name="Millares 2 23 12" xfId="2330" xr:uid="{C5F92AB9-B3A5-4AE7-8FA8-8CEEE17F4B3D}"/>
    <cellStyle name="Millares 2 23 13" xfId="2419" xr:uid="{CD99A6F8-B6E9-4080-8243-E3581899050A}"/>
    <cellStyle name="Millares 2 23 14" xfId="2509" xr:uid="{5724B0B3-E74F-4E26-B959-C32AF5CDAB5C}"/>
    <cellStyle name="Millares 2 23 15" xfId="2598" xr:uid="{67945855-4A55-4E81-B482-C7EAE8D54711}"/>
    <cellStyle name="Millares 2 23 16" xfId="2688" xr:uid="{BC483CC6-CE24-4CA7-A5A4-491E9CD7F757}"/>
    <cellStyle name="Millares 2 23 17" xfId="2778" xr:uid="{524023F5-633A-4BF7-921F-3EFF16CF7D87}"/>
    <cellStyle name="Millares 2 23 18" xfId="2868" xr:uid="{574AFD19-3CD9-4C6F-B846-8CB233993DDB}"/>
    <cellStyle name="Millares 2 23 19" xfId="2961" xr:uid="{2A7D9E47-6C4C-4BE9-828B-2681F3D56E41}"/>
    <cellStyle name="Millares 2 23 2" xfId="1425" xr:uid="{00000000-0005-0000-0000-0000A8040000}"/>
    <cellStyle name="Millares 2 23 2 2" xfId="3493" xr:uid="{F4ED3A9F-CE79-4BB6-86FB-3C4B48250462}"/>
    <cellStyle name="Millares 2 23 2 3" xfId="3705" xr:uid="{914F8897-91D6-437F-A9B0-9FB358D27C6D}"/>
    <cellStyle name="Millares 2 23 20" xfId="3055" xr:uid="{50554EBD-37F2-4EAF-80C7-1020126F3253}"/>
    <cellStyle name="Millares 2 23 21" xfId="3615" xr:uid="{F42C85DD-55CB-4E65-963A-1FFEC97AEACD}"/>
    <cellStyle name="Millares 2 23 3" xfId="1515" xr:uid="{00000000-0005-0000-0000-0000A9040000}"/>
    <cellStyle name="Millares 2 23 4" xfId="1605" xr:uid="{00000000-0005-0000-0000-0000AA040000}"/>
    <cellStyle name="Millares 2 23 5" xfId="1696" xr:uid="{00000000-0005-0000-0000-0000AB040000}"/>
    <cellStyle name="Millares 2 23 6" xfId="1789" xr:uid="{00000000-0005-0000-0000-0000AC040000}"/>
    <cellStyle name="Millares 2 23 7" xfId="1880" xr:uid="{53128DB9-7599-4307-A551-0C659D1BFFE4}"/>
    <cellStyle name="Millares 2 23 8" xfId="1971" xr:uid="{4731E13A-5597-42AD-AA06-59130C008A46}"/>
    <cellStyle name="Millares 2 23 9" xfId="2060" xr:uid="{77C6339F-8D0B-4968-99CE-99D6ECE845F5}"/>
    <cellStyle name="Millares 2 24" xfId="1292" xr:uid="{00000000-0005-0000-0000-0000AD040000}"/>
    <cellStyle name="Millares 2 24 2" xfId="3457" xr:uid="{1147AC51-6817-4284-92C6-CAA00764909D}"/>
    <cellStyle name="Millares 2 24 3" xfId="3669" xr:uid="{DAB0D6E3-7ADE-4FDE-9FCC-228F7D4131CD}"/>
    <cellStyle name="Millares 2 25" xfId="1389" xr:uid="{00000000-0005-0000-0000-0000AE040000}"/>
    <cellStyle name="Millares 2 26" xfId="1479" xr:uid="{00000000-0005-0000-0000-0000AF040000}"/>
    <cellStyle name="Millares 2 27" xfId="1569" xr:uid="{00000000-0005-0000-0000-0000B0040000}"/>
    <cellStyle name="Millares 2 28" xfId="1660" xr:uid="{00000000-0005-0000-0000-0000B1040000}"/>
    <cellStyle name="Millares 2 29" xfId="1753" xr:uid="{00000000-0005-0000-0000-0000B2040000}"/>
    <cellStyle name="Millares 2 3" xfId="1195" xr:uid="{00000000-0005-0000-0000-0000B3040000}"/>
    <cellStyle name="Millares 2 3 10" xfId="2061" xr:uid="{C816CC9E-B9C6-4BF8-8D7B-B0632EA2914C}"/>
    <cellStyle name="Millares 2 3 11" xfId="2152" xr:uid="{2EAE2B19-20DD-404F-846F-9D83A8B1BD82}"/>
    <cellStyle name="Millares 2 3 12" xfId="2241" xr:uid="{A65F34F4-0DCE-410D-A3AA-A2FBCD15C6F1}"/>
    <cellStyle name="Millares 2 3 13" xfId="2331" xr:uid="{BBAEDFF4-202C-41B6-B893-BD21D8D158AC}"/>
    <cellStyle name="Millares 2 3 14" xfId="2420" xr:uid="{AA42613B-4A7C-45D8-878A-37F20C201797}"/>
    <cellStyle name="Millares 2 3 15" xfId="2510" xr:uid="{EA49DF9B-0DDD-48D3-83A4-2FFAD3580D72}"/>
    <cellStyle name="Millares 2 3 16" xfId="2599" xr:uid="{9B3B5739-4BE7-4928-BF9B-2FFD8D32BA6D}"/>
    <cellStyle name="Millares 2 3 17" xfId="2689" xr:uid="{C7BB226B-2867-4690-8435-0AAAA9C19D49}"/>
    <cellStyle name="Millares 2 3 18" xfId="2779" xr:uid="{5C596B20-E7A9-4FCB-B3EF-E030D502AB97}"/>
    <cellStyle name="Millares 2 3 19" xfId="2869" xr:uid="{8751FE97-0D61-473F-9CDA-C232F067CC44}"/>
    <cellStyle name="Millares 2 3 2" xfId="1329" xr:uid="{00000000-0005-0000-0000-0000B4040000}"/>
    <cellStyle name="Millares 2 3 2 2" xfId="3494" xr:uid="{909E0139-9012-4135-9ED3-375C5156ED72}"/>
    <cellStyle name="Millares 2 3 2 3" xfId="3706" xr:uid="{2163427F-EE0B-4320-BEFF-AAA202AB9AC7}"/>
    <cellStyle name="Millares 2 3 20" xfId="2962" xr:uid="{42A1131C-2FF9-4969-8C2B-C1DB5AB66F71}"/>
    <cellStyle name="Millares 2 3 21" xfId="3056" xr:uid="{23FBF2FC-BD20-49ED-8354-47331D958854}"/>
    <cellStyle name="Millares 2 3 22" xfId="3616" xr:uid="{5E2B642B-A335-480E-9BFE-DE64FB7A425A}"/>
    <cellStyle name="Millares 2 3 3" xfId="1426" xr:uid="{00000000-0005-0000-0000-0000B5040000}"/>
    <cellStyle name="Millares 2 3 4" xfId="1516" xr:uid="{00000000-0005-0000-0000-0000B6040000}"/>
    <cellStyle name="Millares 2 3 5" xfId="1606" xr:uid="{00000000-0005-0000-0000-0000B7040000}"/>
    <cellStyle name="Millares 2 3 6" xfId="1697" xr:uid="{00000000-0005-0000-0000-0000B8040000}"/>
    <cellStyle name="Millares 2 3 7" xfId="1790" xr:uid="{00000000-0005-0000-0000-0000B9040000}"/>
    <cellStyle name="Millares 2 3 8" xfId="1881" xr:uid="{05336152-08BE-406B-85EF-293F73CD8478}"/>
    <cellStyle name="Millares 2 3 9" xfId="1972" xr:uid="{0B14E419-8A4D-4D65-BF2D-BE3CE77AD9C2}"/>
    <cellStyle name="Millares 2 30" xfId="1844" xr:uid="{0C55257F-E9C0-490F-9BE1-32EEA6533B20}"/>
    <cellStyle name="Millares 2 31" xfId="1935" xr:uid="{02DC58C1-A377-4844-A4DC-BA09BA017113}"/>
    <cellStyle name="Millares 2 32" xfId="2024" xr:uid="{ACB87BCB-FAE9-45D7-BC86-95053262EFE5}"/>
    <cellStyle name="Millares 2 33" xfId="2115" xr:uid="{698ED4D2-847E-4797-806F-ECE1E32CA9FD}"/>
    <cellStyle name="Millares 2 34" xfId="2204" xr:uid="{655461A1-FE13-429D-B1B3-BA567652F677}"/>
    <cellStyle name="Millares 2 35" xfId="2294" xr:uid="{489E7B16-9E94-4897-9EC1-AE1D26F2329E}"/>
    <cellStyle name="Millares 2 36" xfId="2383" xr:uid="{1946E7F0-B5B8-4776-B7C3-8AFA1568F9D0}"/>
    <cellStyle name="Millares 2 37" xfId="2473" xr:uid="{F4A2B82F-12AD-4C35-89E8-82B3A69EC51C}"/>
    <cellStyle name="Millares 2 38" xfId="2562" xr:uid="{B136F68F-D3E8-4911-96AC-C541593E4B88}"/>
    <cellStyle name="Millares 2 39" xfId="2652" xr:uid="{34EEB4A8-90A1-4510-B021-3865CA48CB48}"/>
    <cellStyle name="Millares 2 4" xfId="1200" xr:uid="{00000000-0005-0000-0000-0000BA040000}"/>
    <cellStyle name="Millares 2 4 10" xfId="2062" xr:uid="{4AF25E02-84DE-4364-9564-326E5B498524}"/>
    <cellStyle name="Millares 2 4 11" xfId="2153" xr:uid="{B960BCE3-8957-43A1-981B-CD4A5857BFC9}"/>
    <cellStyle name="Millares 2 4 12" xfId="2242" xr:uid="{E9DBA295-FBF5-4DC9-9813-0B2E60B4BF55}"/>
    <cellStyle name="Millares 2 4 13" xfId="2332" xr:uid="{43BC64FA-2C4D-4AA0-871C-0A29EBB1604B}"/>
    <cellStyle name="Millares 2 4 14" xfId="2421" xr:uid="{3C736E72-E784-4CCC-B71B-4BB2F9C903B2}"/>
    <cellStyle name="Millares 2 4 15" xfId="2511" xr:uid="{B5A42836-EAAB-4182-A5E8-46D4202ADB24}"/>
    <cellStyle name="Millares 2 4 16" xfId="2600" xr:uid="{5B08CEC9-A349-423E-997D-293350EAACAB}"/>
    <cellStyle name="Millares 2 4 17" xfId="2690" xr:uid="{72CCD667-4C73-4218-B31D-9E10C621CCB6}"/>
    <cellStyle name="Millares 2 4 18" xfId="2780" xr:uid="{B2E9DB86-1095-418B-BB5C-FDC9A598581F}"/>
    <cellStyle name="Millares 2 4 19" xfId="2870" xr:uid="{A894DDF0-CE4B-4E1D-9FC1-B74A369A4E1E}"/>
    <cellStyle name="Millares 2 4 2" xfId="1330" xr:uid="{00000000-0005-0000-0000-0000BB040000}"/>
    <cellStyle name="Millares 2 4 2 2" xfId="3495" xr:uid="{1D87C045-E7E4-492B-B936-0E895D6E397B}"/>
    <cellStyle name="Millares 2 4 2 3" xfId="3707" xr:uid="{1CB7E9C0-430F-4E70-9F9A-6DA1F526FB1B}"/>
    <cellStyle name="Millares 2 4 20" xfId="2963" xr:uid="{66E7D674-B8CD-44D0-A853-D8AA6D7E2D9B}"/>
    <cellStyle name="Millares 2 4 21" xfId="3057" xr:uid="{CF26A29E-848D-43C2-9999-136D58B0ABF3}"/>
    <cellStyle name="Millares 2 4 22" xfId="3617" xr:uid="{F48759CD-A186-4709-BC72-5C40919210F3}"/>
    <cellStyle name="Millares 2 4 3" xfId="1427" xr:uid="{00000000-0005-0000-0000-0000BC040000}"/>
    <cellStyle name="Millares 2 4 4" xfId="1517" xr:uid="{00000000-0005-0000-0000-0000BD040000}"/>
    <cellStyle name="Millares 2 4 5" xfId="1607" xr:uid="{00000000-0005-0000-0000-0000BE040000}"/>
    <cellStyle name="Millares 2 4 6" xfId="1698" xr:uid="{00000000-0005-0000-0000-0000BF040000}"/>
    <cellStyle name="Millares 2 4 7" xfId="1791" xr:uid="{00000000-0005-0000-0000-0000C0040000}"/>
    <cellStyle name="Millares 2 4 8" xfId="1882" xr:uid="{66275DB5-C254-4406-806D-035B0CA17065}"/>
    <cellStyle name="Millares 2 4 9" xfId="1973" xr:uid="{F9F04940-1261-4754-B91F-EC41A625791A}"/>
    <cellStyle name="Millares 2 40" xfId="2742" xr:uid="{19A06542-DE40-46BB-B92E-855E1D37F097}"/>
    <cellStyle name="Millares 2 41" xfId="2832" xr:uid="{A86D7CAD-0073-4C4A-AB92-E00B715A5FFE}"/>
    <cellStyle name="Millares 2 42" xfId="2925" xr:uid="{17C90D60-4CDC-47F5-A9A3-C13DF6F17D5D}"/>
    <cellStyle name="Millares 2 43" xfId="3019" xr:uid="{0DB39825-9C64-42ED-BB24-D8EE1C3626F7}"/>
    <cellStyle name="Millares 2 44" xfId="3579" xr:uid="{A5325C17-2B05-4555-8352-6C3B3EA851CA}"/>
    <cellStyle name="Millares 2 5" xfId="1205" xr:uid="{00000000-0005-0000-0000-0000C1040000}"/>
    <cellStyle name="Millares 2 5 10" xfId="2063" xr:uid="{DF54CC7B-6166-4CFE-B196-3B1DEB2C192C}"/>
    <cellStyle name="Millares 2 5 11" xfId="2154" xr:uid="{9C09CCAD-570B-4998-BB65-24C9284AFE10}"/>
    <cellStyle name="Millares 2 5 12" xfId="2243" xr:uid="{EC02A398-BE78-403E-9591-2CD4BF9FE1C3}"/>
    <cellStyle name="Millares 2 5 13" xfId="2333" xr:uid="{49DA9B14-8858-4500-A6DA-5AD20A0E8DE8}"/>
    <cellStyle name="Millares 2 5 14" xfId="2422" xr:uid="{D7AD7BD5-F467-4032-AFA2-DF58F7469BB1}"/>
    <cellStyle name="Millares 2 5 15" xfId="2512" xr:uid="{4D306378-26AD-484B-8EFA-E226DE97BED5}"/>
    <cellStyle name="Millares 2 5 16" xfId="2601" xr:uid="{C3134846-83BE-4FB7-BC25-1B52BE77108B}"/>
    <cellStyle name="Millares 2 5 17" xfId="2691" xr:uid="{9EA074C3-B90C-4B2E-9FA8-AFDC66CCE8FC}"/>
    <cellStyle name="Millares 2 5 18" xfId="2781" xr:uid="{1880A0F4-0577-4116-8BD1-8347769EAA6F}"/>
    <cellStyle name="Millares 2 5 19" xfId="2871" xr:uid="{7089C9C3-351A-4006-BA51-C8757922AA2C}"/>
    <cellStyle name="Millares 2 5 2" xfId="1331" xr:uid="{00000000-0005-0000-0000-0000C2040000}"/>
    <cellStyle name="Millares 2 5 2 2" xfId="3496" xr:uid="{FAECFDBA-7885-4FD0-8EFC-3F9F20B92932}"/>
    <cellStyle name="Millares 2 5 2 3" xfId="3708" xr:uid="{D06204FC-0128-4821-B6AA-4844752BA257}"/>
    <cellStyle name="Millares 2 5 20" xfId="2964" xr:uid="{76F4F122-5255-4631-B368-6B930321FD79}"/>
    <cellStyle name="Millares 2 5 21" xfId="3058" xr:uid="{9E74AB3A-6646-4985-BAF8-8DAADDEFA7DC}"/>
    <cellStyle name="Millares 2 5 22" xfId="3618" xr:uid="{70828C7A-0A4C-4429-9CFD-F0EAE724200F}"/>
    <cellStyle name="Millares 2 5 3" xfId="1428" xr:uid="{00000000-0005-0000-0000-0000C3040000}"/>
    <cellStyle name="Millares 2 5 4" xfId="1518" xr:uid="{00000000-0005-0000-0000-0000C4040000}"/>
    <cellStyle name="Millares 2 5 5" xfId="1608" xr:uid="{00000000-0005-0000-0000-0000C5040000}"/>
    <cellStyle name="Millares 2 5 6" xfId="1699" xr:uid="{00000000-0005-0000-0000-0000C6040000}"/>
    <cellStyle name="Millares 2 5 7" xfId="1792" xr:uid="{00000000-0005-0000-0000-0000C7040000}"/>
    <cellStyle name="Millares 2 5 8" xfId="1883" xr:uid="{CDD04858-8034-4083-AD9E-10D680C6CDA2}"/>
    <cellStyle name="Millares 2 5 9" xfId="1974" xr:uid="{592403F1-4D81-406D-8F25-0A49DD7E7921}"/>
    <cellStyle name="Millares 2 6" xfId="1209" xr:uid="{00000000-0005-0000-0000-0000C8040000}"/>
    <cellStyle name="Millares 2 6 10" xfId="2064" xr:uid="{E3B95FC6-0402-4F15-A2B7-9EAD263CA25A}"/>
    <cellStyle name="Millares 2 6 11" xfId="2155" xr:uid="{C8289CF7-A66B-460B-A481-F1EA6C5C3BFD}"/>
    <cellStyle name="Millares 2 6 12" xfId="2244" xr:uid="{62E15026-4CA0-4C35-84B0-924DAA9871F6}"/>
    <cellStyle name="Millares 2 6 13" xfId="2334" xr:uid="{BA4B985A-F6A5-47B1-AC2F-AEC65289E01B}"/>
    <cellStyle name="Millares 2 6 14" xfId="2423" xr:uid="{79D50ED9-1C81-4BD2-A0A1-A1F2A9044B95}"/>
    <cellStyle name="Millares 2 6 15" xfId="2513" xr:uid="{0612295E-046D-4315-87E0-551F9A05494A}"/>
    <cellStyle name="Millares 2 6 16" xfId="2602" xr:uid="{27AAB578-02A3-4C58-AC2B-858E032C93EB}"/>
    <cellStyle name="Millares 2 6 17" xfId="2692" xr:uid="{5AB459A1-2E27-43BD-AB81-ED549E7DC741}"/>
    <cellStyle name="Millares 2 6 18" xfId="2782" xr:uid="{86D9BD37-1910-4932-8043-E5C83050E3BD}"/>
    <cellStyle name="Millares 2 6 19" xfId="2872" xr:uid="{60B73A90-153C-4DED-A313-5E3E7E1A567B}"/>
    <cellStyle name="Millares 2 6 2" xfId="1332" xr:uid="{00000000-0005-0000-0000-0000C9040000}"/>
    <cellStyle name="Millares 2 6 2 2" xfId="3497" xr:uid="{21503104-F695-4EFC-A205-ABCE99DD1A71}"/>
    <cellStyle name="Millares 2 6 2 3" xfId="3709" xr:uid="{168DD77C-B907-404E-A67F-E68102C1C149}"/>
    <cellStyle name="Millares 2 6 20" xfId="2965" xr:uid="{34AF9851-E597-4959-885D-4B49E2AD5E13}"/>
    <cellStyle name="Millares 2 6 21" xfId="3059" xr:uid="{EAE87C71-A07E-4627-99D6-33DB89E075C8}"/>
    <cellStyle name="Millares 2 6 22" xfId="3619" xr:uid="{186BFF9C-D29E-4366-AA05-F1305C96FEE2}"/>
    <cellStyle name="Millares 2 6 3" xfId="1429" xr:uid="{00000000-0005-0000-0000-0000CA040000}"/>
    <cellStyle name="Millares 2 6 4" xfId="1519" xr:uid="{00000000-0005-0000-0000-0000CB040000}"/>
    <cellStyle name="Millares 2 6 5" xfId="1609" xr:uid="{00000000-0005-0000-0000-0000CC040000}"/>
    <cellStyle name="Millares 2 6 6" xfId="1700" xr:uid="{00000000-0005-0000-0000-0000CD040000}"/>
    <cellStyle name="Millares 2 6 7" xfId="1793" xr:uid="{00000000-0005-0000-0000-0000CE040000}"/>
    <cellStyle name="Millares 2 6 8" xfId="1884" xr:uid="{D1874A21-9DF1-4422-AA87-70C0AB738AFB}"/>
    <cellStyle name="Millares 2 6 9" xfId="1975" xr:uid="{2C09A551-4270-4444-9883-2AF4EEB0B4BE}"/>
    <cellStyle name="Millares 2 7" xfId="1213" xr:uid="{00000000-0005-0000-0000-0000CF040000}"/>
    <cellStyle name="Millares 2 7 10" xfId="2065" xr:uid="{B042E863-BE70-4D90-A681-91958CB1F92C}"/>
    <cellStyle name="Millares 2 7 11" xfId="2156" xr:uid="{35F25ABF-45A9-4215-BE44-CB61EC4B4A7D}"/>
    <cellStyle name="Millares 2 7 12" xfId="2245" xr:uid="{0C17037D-1E18-46AA-BBA3-671778A8C920}"/>
    <cellStyle name="Millares 2 7 13" xfId="2335" xr:uid="{C3504752-8AAC-4C82-A0EC-364F989564A6}"/>
    <cellStyle name="Millares 2 7 14" xfId="2424" xr:uid="{F391C8F9-2718-4936-9078-F3318D538DEA}"/>
    <cellStyle name="Millares 2 7 15" xfId="2514" xr:uid="{89D53919-575F-4A55-BB76-CA29CA61C5EA}"/>
    <cellStyle name="Millares 2 7 16" xfId="2603" xr:uid="{7A4B938F-204A-4563-8AAA-90A6A3BC576E}"/>
    <cellStyle name="Millares 2 7 17" xfId="2693" xr:uid="{67B2B7CC-EF03-468B-B122-A1F0127E422C}"/>
    <cellStyle name="Millares 2 7 18" xfId="2783" xr:uid="{60C61C00-6EBE-4AA7-8181-195FAEADC294}"/>
    <cellStyle name="Millares 2 7 19" xfId="2873" xr:uid="{706133DB-C5DA-4795-9A1C-05860F929E62}"/>
    <cellStyle name="Millares 2 7 2" xfId="1333" xr:uid="{00000000-0005-0000-0000-0000D0040000}"/>
    <cellStyle name="Millares 2 7 2 2" xfId="3498" xr:uid="{3FFAC934-2694-44FC-B581-B27CB7606DCF}"/>
    <cellStyle name="Millares 2 7 2 3" xfId="3710" xr:uid="{A19AFE8A-7DB8-46CF-BD44-5E1101008354}"/>
    <cellStyle name="Millares 2 7 20" xfId="2966" xr:uid="{D4C077FE-B7FE-4331-ADD7-9277212F3651}"/>
    <cellStyle name="Millares 2 7 21" xfId="3060" xr:uid="{99068A5A-7954-457E-AFAA-1A75F41A91BB}"/>
    <cellStyle name="Millares 2 7 22" xfId="3620" xr:uid="{D3A911E4-09D0-4D96-BEC4-D67FE0C1D78D}"/>
    <cellStyle name="Millares 2 7 3" xfId="1430" xr:uid="{00000000-0005-0000-0000-0000D1040000}"/>
    <cellStyle name="Millares 2 7 4" xfId="1520" xr:uid="{00000000-0005-0000-0000-0000D2040000}"/>
    <cellStyle name="Millares 2 7 5" xfId="1610" xr:uid="{00000000-0005-0000-0000-0000D3040000}"/>
    <cellStyle name="Millares 2 7 6" xfId="1701" xr:uid="{00000000-0005-0000-0000-0000D4040000}"/>
    <cellStyle name="Millares 2 7 7" xfId="1794" xr:uid="{00000000-0005-0000-0000-0000D5040000}"/>
    <cellStyle name="Millares 2 7 8" xfId="1885" xr:uid="{A0CFBFBA-DB1C-4868-BD5D-D55C8F4FE41F}"/>
    <cellStyle name="Millares 2 7 9" xfId="1976" xr:uid="{EC7E0160-AE1C-4542-8851-2BEC49A1D71D}"/>
    <cellStyle name="Millares 2 8" xfId="1217" xr:uid="{00000000-0005-0000-0000-0000D6040000}"/>
    <cellStyle name="Millares 2 8 10" xfId="2066" xr:uid="{B976F0E9-E782-405E-9132-271A650B600A}"/>
    <cellStyle name="Millares 2 8 11" xfId="2157" xr:uid="{05AD2762-C5DF-4031-A1C9-A281C60E3AB6}"/>
    <cellStyle name="Millares 2 8 12" xfId="2246" xr:uid="{AD442C96-CC39-4789-98CF-B464E6CE177B}"/>
    <cellStyle name="Millares 2 8 13" xfId="2336" xr:uid="{4DA305B5-6ADB-447A-A2BB-4FC18F50B408}"/>
    <cellStyle name="Millares 2 8 14" xfId="2425" xr:uid="{0243EFEE-5FF1-4658-A855-347F065713A0}"/>
    <cellStyle name="Millares 2 8 15" xfId="2515" xr:uid="{97675343-BADA-4D05-A51F-2F88A7996299}"/>
    <cellStyle name="Millares 2 8 16" xfId="2604" xr:uid="{8CE659D1-7FA1-46BA-9D02-9C467AD043F0}"/>
    <cellStyle name="Millares 2 8 17" xfId="2694" xr:uid="{48C32059-EBD8-446F-A39F-51062DB01A06}"/>
    <cellStyle name="Millares 2 8 18" xfId="2784" xr:uid="{4FC2B58D-684A-4988-8164-35B6CCCA9ECA}"/>
    <cellStyle name="Millares 2 8 19" xfId="2874" xr:uid="{EDEF2783-FC84-4A61-A34D-D01C3E256886}"/>
    <cellStyle name="Millares 2 8 2" xfId="1334" xr:uid="{00000000-0005-0000-0000-0000D7040000}"/>
    <cellStyle name="Millares 2 8 2 2" xfId="3499" xr:uid="{A9173123-964B-479C-A5E7-458FCA1DC751}"/>
    <cellStyle name="Millares 2 8 2 3" xfId="3711" xr:uid="{2EAC03AA-6567-4221-9382-F0E75D15E124}"/>
    <cellStyle name="Millares 2 8 20" xfId="2967" xr:uid="{13700231-2C8B-4C92-832F-7D8CC91ABB69}"/>
    <cellStyle name="Millares 2 8 21" xfId="3061" xr:uid="{D7131E09-3AE2-40B3-AF61-D6AD58C1C815}"/>
    <cellStyle name="Millares 2 8 22" xfId="3621" xr:uid="{16B2D776-BE75-403C-BFE6-E974FE0041AA}"/>
    <cellStyle name="Millares 2 8 3" xfId="1431" xr:uid="{00000000-0005-0000-0000-0000D8040000}"/>
    <cellStyle name="Millares 2 8 4" xfId="1521" xr:uid="{00000000-0005-0000-0000-0000D9040000}"/>
    <cellStyle name="Millares 2 8 5" xfId="1611" xr:uid="{00000000-0005-0000-0000-0000DA040000}"/>
    <cellStyle name="Millares 2 8 6" xfId="1702" xr:uid="{00000000-0005-0000-0000-0000DB040000}"/>
    <cellStyle name="Millares 2 8 7" xfId="1795" xr:uid="{00000000-0005-0000-0000-0000DC040000}"/>
    <cellStyle name="Millares 2 8 8" xfId="1886" xr:uid="{56B41793-7624-43D2-B789-C4B48E621F96}"/>
    <cellStyle name="Millares 2 8 9" xfId="1977" xr:uid="{D2C3BB02-FE0C-456A-BA71-BDAE16A05E93}"/>
    <cellStyle name="Millares 2 9" xfId="1221" xr:uid="{00000000-0005-0000-0000-0000DD040000}"/>
    <cellStyle name="Millares 2 9 10" xfId="2067" xr:uid="{82754A1A-27E3-4663-B947-97D740F1CA85}"/>
    <cellStyle name="Millares 2 9 11" xfId="2158" xr:uid="{167E900A-145F-4B7F-BF0F-0CC2D10608DC}"/>
    <cellStyle name="Millares 2 9 12" xfId="2247" xr:uid="{41760B6C-49C5-496F-B7A1-C1D08B26FC4D}"/>
    <cellStyle name="Millares 2 9 13" xfId="2337" xr:uid="{9B8777D3-66B6-4718-9DBA-1553F8873F86}"/>
    <cellStyle name="Millares 2 9 14" xfId="2426" xr:uid="{EA91BC80-AE39-445B-A4E0-309749355D77}"/>
    <cellStyle name="Millares 2 9 15" xfId="2516" xr:uid="{6E25434A-4694-49A9-9181-85006AFD8C43}"/>
    <cellStyle name="Millares 2 9 16" xfId="2605" xr:uid="{ECDCEE04-FEF4-4928-8384-1700A252C58E}"/>
    <cellStyle name="Millares 2 9 17" xfId="2695" xr:uid="{0EF9D947-7FBF-4FBF-BBCA-393EBAF5EF7F}"/>
    <cellStyle name="Millares 2 9 18" xfId="2785" xr:uid="{ED1C5674-06F2-4C9A-B5AF-974E64B04A58}"/>
    <cellStyle name="Millares 2 9 19" xfId="2875" xr:uid="{EC8ED9AD-B0EF-48FB-8EC7-01347AC1930F}"/>
    <cellStyle name="Millares 2 9 2" xfId="1335" xr:uid="{00000000-0005-0000-0000-0000DE040000}"/>
    <cellStyle name="Millares 2 9 2 2" xfId="3500" xr:uid="{AB3D4A94-AEE7-4457-840D-A16C03510C16}"/>
    <cellStyle name="Millares 2 9 2 3" xfId="3712" xr:uid="{CD12259F-F243-479C-BDF4-398F28AF0DED}"/>
    <cellStyle name="Millares 2 9 20" xfId="2968" xr:uid="{74E95996-75DD-4E96-876B-75E6D1700B09}"/>
    <cellStyle name="Millares 2 9 21" xfId="3062" xr:uid="{B115082E-1F3B-43E9-AD36-6FA3CDA2CC15}"/>
    <cellStyle name="Millares 2 9 22" xfId="3622" xr:uid="{44296A74-9ED1-49C8-8C62-5B1FFC59F90C}"/>
    <cellStyle name="Millares 2 9 3" xfId="1432" xr:uid="{00000000-0005-0000-0000-0000DF040000}"/>
    <cellStyle name="Millares 2 9 4" xfId="1522" xr:uid="{00000000-0005-0000-0000-0000E0040000}"/>
    <cellStyle name="Millares 2 9 5" xfId="1612" xr:uid="{00000000-0005-0000-0000-0000E1040000}"/>
    <cellStyle name="Millares 2 9 6" xfId="1703" xr:uid="{00000000-0005-0000-0000-0000E2040000}"/>
    <cellStyle name="Millares 2 9 7" xfId="1796" xr:uid="{00000000-0005-0000-0000-0000E3040000}"/>
    <cellStyle name="Millares 2 9 8" xfId="1887" xr:uid="{45770F78-1E72-4A04-97BF-F8600559FB60}"/>
    <cellStyle name="Millares 2 9 9" xfId="1978" xr:uid="{661B4BD7-7F50-4262-97D8-CB0922AEAED4}"/>
    <cellStyle name="Millares 20" xfId="1260" xr:uid="{00000000-0005-0000-0000-0000E4040000}"/>
    <cellStyle name="Millares 20 10" xfId="2068" xr:uid="{F7D97139-E861-48C7-857F-D10A8D28B06F}"/>
    <cellStyle name="Millares 20 11" xfId="2159" xr:uid="{B8392DDA-FF72-403A-9CF7-AD95A57267DB}"/>
    <cellStyle name="Millares 20 12" xfId="2248" xr:uid="{B9D0B3D6-9680-44A5-BB36-390EDFB45664}"/>
    <cellStyle name="Millares 20 13" xfId="2338" xr:uid="{F9F5C6ED-E2D3-476D-9AAD-9DD1B09A0F3B}"/>
    <cellStyle name="Millares 20 14" xfId="2427" xr:uid="{D4874382-C66D-4067-A8B0-8802FB8FF2B8}"/>
    <cellStyle name="Millares 20 15" xfId="2517" xr:uid="{8AC4AD20-965F-4145-A9FB-8B3A13B201DD}"/>
    <cellStyle name="Millares 20 16" xfId="2606" xr:uid="{DD396A01-9EA4-4BE5-819C-4330149DF5FB}"/>
    <cellStyle name="Millares 20 17" xfId="2696" xr:uid="{DA2389D0-FA77-4AF5-BAD2-0919F48F9D65}"/>
    <cellStyle name="Millares 20 18" xfId="2786" xr:uid="{A3E3A772-9BDE-4BB4-9AC1-B2E575351CD6}"/>
    <cellStyle name="Millares 20 19" xfId="2876" xr:uid="{832D92D1-0B8B-4917-9C9E-77AA521F868C}"/>
    <cellStyle name="Millares 20 2" xfId="1336" xr:uid="{00000000-0005-0000-0000-0000E5040000}"/>
    <cellStyle name="Millares 20 2 2" xfId="3501" xr:uid="{B5E4BE3E-73B8-4DE8-9F8A-12866242EF27}"/>
    <cellStyle name="Millares 20 2 3" xfId="3713" xr:uid="{D21C5143-16A2-4102-86B1-33B644A85C82}"/>
    <cellStyle name="Millares 20 20" xfId="2969" xr:uid="{B196C91C-2E66-41E6-92AE-7D0C23207BBE}"/>
    <cellStyle name="Millares 20 21" xfId="3063" xr:uid="{55754E6B-F5D4-47F3-B651-96B2F4D149F0}"/>
    <cellStyle name="Millares 20 22" xfId="3623" xr:uid="{F8FB4314-0CDC-4147-A460-26C49F725551}"/>
    <cellStyle name="Millares 20 3" xfId="1433" xr:uid="{00000000-0005-0000-0000-0000E6040000}"/>
    <cellStyle name="Millares 20 4" xfId="1523" xr:uid="{00000000-0005-0000-0000-0000E7040000}"/>
    <cellStyle name="Millares 20 5" xfId="1613" xr:uid="{00000000-0005-0000-0000-0000E8040000}"/>
    <cellStyle name="Millares 20 6" xfId="1704" xr:uid="{00000000-0005-0000-0000-0000E9040000}"/>
    <cellStyle name="Millares 20 7" xfId="1797" xr:uid="{00000000-0005-0000-0000-0000EA040000}"/>
    <cellStyle name="Millares 20 8" xfId="1888" xr:uid="{88247505-1778-4670-88BA-EAC4679DE3F3}"/>
    <cellStyle name="Millares 20 9" xfId="1979" xr:uid="{A670F867-3396-4EEA-973F-5954B84E3635}"/>
    <cellStyle name="Millares 21" xfId="1264" xr:uid="{00000000-0005-0000-0000-0000EB040000}"/>
    <cellStyle name="Millares 21 10" xfId="2069" xr:uid="{A7D2DE42-FBA9-4C0C-A1B0-B0695F9157A3}"/>
    <cellStyle name="Millares 21 11" xfId="2160" xr:uid="{156B7976-CE50-43F7-91BC-DF0CEA8C31F9}"/>
    <cellStyle name="Millares 21 12" xfId="2249" xr:uid="{73AFADB0-26C8-4A2B-8332-2EC25E52353F}"/>
    <cellStyle name="Millares 21 13" xfId="2339" xr:uid="{B1F57ACB-A4B6-4F71-964A-3E7176FE9371}"/>
    <cellStyle name="Millares 21 14" xfId="2428" xr:uid="{75831D1A-FE92-4CC2-AE44-8B9A617D930D}"/>
    <cellStyle name="Millares 21 15" xfId="2518" xr:uid="{94118293-648C-4FCA-87CD-0368D4877217}"/>
    <cellStyle name="Millares 21 16" xfId="2607" xr:uid="{2ACD1289-38FB-4E54-92C2-04166E0FE181}"/>
    <cellStyle name="Millares 21 17" xfId="2697" xr:uid="{B924BDEA-FCBB-4A8F-B352-74310A2C77E2}"/>
    <cellStyle name="Millares 21 18" xfId="2787" xr:uid="{E7932496-B2B0-463C-BA0D-EC349BA1B85A}"/>
    <cellStyle name="Millares 21 19" xfId="2877" xr:uid="{9A677CC4-688C-4EA5-B7D7-57B813CC284D}"/>
    <cellStyle name="Millares 21 2" xfId="1337" xr:uid="{00000000-0005-0000-0000-0000EC040000}"/>
    <cellStyle name="Millares 21 2 2" xfId="3502" xr:uid="{91438BF7-110C-4B90-BB47-B3EE44424795}"/>
    <cellStyle name="Millares 21 2 3" xfId="3714" xr:uid="{67982D9B-2D51-459A-B66F-910B8608FE54}"/>
    <cellStyle name="Millares 21 20" xfId="2970" xr:uid="{4975AABD-3FA1-4518-9624-99335CD67068}"/>
    <cellStyle name="Millares 21 21" xfId="3064" xr:uid="{46F5F98C-50C3-4994-B946-27DBDBC5C12E}"/>
    <cellStyle name="Millares 21 22" xfId="3624" xr:uid="{187787A3-34A9-460D-ACF2-5540DA1A3E52}"/>
    <cellStyle name="Millares 21 3" xfId="1434" xr:uid="{00000000-0005-0000-0000-0000ED040000}"/>
    <cellStyle name="Millares 21 4" xfId="1524" xr:uid="{00000000-0005-0000-0000-0000EE040000}"/>
    <cellStyle name="Millares 21 5" xfId="1614" xr:uid="{00000000-0005-0000-0000-0000EF040000}"/>
    <cellStyle name="Millares 21 6" xfId="1705" xr:uid="{00000000-0005-0000-0000-0000F0040000}"/>
    <cellStyle name="Millares 21 7" xfId="1798" xr:uid="{00000000-0005-0000-0000-0000F1040000}"/>
    <cellStyle name="Millares 21 8" xfId="1889" xr:uid="{7975C405-E0CC-49B2-9A74-CF66DA205EF7}"/>
    <cellStyle name="Millares 21 9" xfId="1980" xr:uid="{34D4D1DC-D029-490C-9F98-84EC6776C5F9}"/>
    <cellStyle name="Millares 22" xfId="1269" xr:uid="{00000000-0005-0000-0000-0000F2040000}"/>
    <cellStyle name="Millares 22 10" xfId="2070" xr:uid="{34FD28A0-D29E-4856-A3D8-030AF53D264F}"/>
    <cellStyle name="Millares 22 11" xfId="2161" xr:uid="{8A0E62B7-4A86-4162-8B4A-5EBCDD2C54B3}"/>
    <cellStyle name="Millares 22 12" xfId="2250" xr:uid="{B8BBCAD0-C091-4004-A680-C0F9E39BDC9A}"/>
    <cellStyle name="Millares 22 13" xfId="2340" xr:uid="{53025C83-24F1-420F-9509-3546BA590B25}"/>
    <cellStyle name="Millares 22 14" xfId="2429" xr:uid="{028E53AC-C580-4722-BE59-E262158CFD04}"/>
    <cellStyle name="Millares 22 15" xfId="2519" xr:uid="{FF09DCCB-C0E8-4B6E-B264-D32C20EA877C}"/>
    <cellStyle name="Millares 22 16" xfId="2608" xr:uid="{0B3F09BA-9E71-4685-AEC0-BAF4A9F3C9B6}"/>
    <cellStyle name="Millares 22 17" xfId="2698" xr:uid="{41F175D5-D9D3-479F-886C-282CA9E66692}"/>
    <cellStyle name="Millares 22 18" xfId="2788" xr:uid="{5C80D760-F8B7-464E-A1AA-A1B93A2A47FE}"/>
    <cellStyle name="Millares 22 19" xfId="2878" xr:uid="{8E35C5BD-66CC-46C7-89DA-DC815A71C531}"/>
    <cellStyle name="Millares 22 2" xfId="1338" xr:uid="{00000000-0005-0000-0000-0000F3040000}"/>
    <cellStyle name="Millares 22 2 2" xfId="3503" xr:uid="{8A76F15E-0F18-4C6C-8084-F3ED374A9FEE}"/>
    <cellStyle name="Millares 22 2 3" xfId="3715" xr:uid="{139E079A-66E4-4C8E-9AEC-7511529301B0}"/>
    <cellStyle name="Millares 22 20" xfId="2971" xr:uid="{CB57D14C-366D-4A57-AE03-8389066DCB03}"/>
    <cellStyle name="Millares 22 21" xfId="3065" xr:uid="{05D80887-56F0-4C83-B5B6-0F2A71D67916}"/>
    <cellStyle name="Millares 22 22" xfId="3625" xr:uid="{D25943C4-D05E-4CAB-BB49-534C9C251253}"/>
    <cellStyle name="Millares 22 3" xfId="1435" xr:uid="{00000000-0005-0000-0000-0000F4040000}"/>
    <cellStyle name="Millares 22 4" xfId="1525" xr:uid="{00000000-0005-0000-0000-0000F5040000}"/>
    <cellStyle name="Millares 22 5" xfId="1615" xr:uid="{00000000-0005-0000-0000-0000F6040000}"/>
    <cellStyle name="Millares 22 6" xfId="1706" xr:uid="{00000000-0005-0000-0000-0000F7040000}"/>
    <cellStyle name="Millares 22 7" xfId="1799" xr:uid="{00000000-0005-0000-0000-0000F8040000}"/>
    <cellStyle name="Millares 22 8" xfId="1890" xr:uid="{D89C4CE7-D7F6-498E-98DA-51D8CA847FF1}"/>
    <cellStyle name="Millares 22 9" xfId="1981" xr:uid="{7F88AB5E-84A9-4EFD-AE7B-57A4E1773D69}"/>
    <cellStyle name="Millares 23" xfId="1273" xr:uid="{00000000-0005-0000-0000-0000F9040000}"/>
    <cellStyle name="Millares 23 10" xfId="2071" xr:uid="{49CAB9BF-CEBD-4987-A13B-252FD10AE51C}"/>
    <cellStyle name="Millares 23 11" xfId="2162" xr:uid="{BFCACE47-C0CA-42CC-80D6-C018D121693B}"/>
    <cellStyle name="Millares 23 12" xfId="2251" xr:uid="{B4968561-EAC0-489A-A1C1-F819505BB61E}"/>
    <cellStyle name="Millares 23 13" xfId="2341" xr:uid="{AF4073D2-760E-4CE2-BB45-3E99710CD7DA}"/>
    <cellStyle name="Millares 23 14" xfId="2430" xr:uid="{0E5DB70A-670E-4CFE-8B50-0D5483F999C0}"/>
    <cellStyle name="Millares 23 15" xfId="2520" xr:uid="{58214A04-95E2-44C4-B45A-459F864DF941}"/>
    <cellStyle name="Millares 23 16" xfId="2609" xr:uid="{263490C5-9F1B-454B-9D34-212713C76AE6}"/>
    <cellStyle name="Millares 23 17" xfId="2699" xr:uid="{3E117659-303F-4328-A8D6-75E3E4FDA2A5}"/>
    <cellStyle name="Millares 23 18" xfId="2789" xr:uid="{F5FBB53F-A2D3-49F3-92BB-D70B9DE798AF}"/>
    <cellStyle name="Millares 23 19" xfId="2879" xr:uid="{B0830957-7067-4301-B692-10224ECEA8D1}"/>
    <cellStyle name="Millares 23 2" xfId="1339" xr:uid="{00000000-0005-0000-0000-0000FA040000}"/>
    <cellStyle name="Millares 23 2 2" xfId="3504" xr:uid="{D20087D1-61E8-48F0-BA93-958CCE6ABF91}"/>
    <cellStyle name="Millares 23 2 3" xfId="3716" xr:uid="{854186E0-C934-4242-8E69-23B5A9864A6A}"/>
    <cellStyle name="Millares 23 20" xfId="2972" xr:uid="{D0A81366-7877-4B89-A341-23443CF668D6}"/>
    <cellStyle name="Millares 23 21" xfId="3066" xr:uid="{EC0150CE-81BC-487C-B738-CBAAE2D6388E}"/>
    <cellStyle name="Millares 23 22" xfId="3626" xr:uid="{707179A1-396D-4FEC-B8E1-CF5B6BA541CF}"/>
    <cellStyle name="Millares 23 3" xfId="1436" xr:uid="{00000000-0005-0000-0000-0000FB040000}"/>
    <cellStyle name="Millares 23 4" xfId="1526" xr:uid="{00000000-0005-0000-0000-0000FC040000}"/>
    <cellStyle name="Millares 23 5" xfId="1616" xr:uid="{00000000-0005-0000-0000-0000FD040000}"/>
    <cellStyle name="Millares 23 6" xfId="1707" xr:uid="{00000000-0005-0000-0000-0000FE040000}"/>
    <cellStyle name="Millares 23 7" xfId="1800" xr:uid="{00000000-0005-0000-0000-0000FF040000}"/>
    <cellStyle name="Millares 23 8" xfId="1891" xr:uid="{9E650ABE-9895-4D70-A729-2F336747ADE1}"/>
    <cellStyle name="Millares 23 9" xfId="1982" xr:uid="{E4A63727-066B-4067-8421-B365D3881F59}"/>
    <cellStyle name="Millares 24" xfId="1277" xr:uid="{00000000-0005-0000-0000-000000050000}"/>
    <cellStyle name="Millares 24 10" xfId="2072" xr:uid="{FCF35D7A-5F01-4653-999F-E7B660E6196C}"/>
    <cellStyle name="Millares 24 11" xfId="2163" xr:uid="{FC9FCFC5-4B9E-4BE2-B07D-438633DB3E95}"/>
    <cellStyle name="Millares 24 12" xfId="2252" xr:uid="{03334E9E-36DE-47AC-A511-59E2F79C7C05}"/>
    <cellStyle name="Millares 24 13" xfId="2342" xr:uid="{6057BAFC-E9C5-4B61-8A63-FD5DEA736950}"/>
    <cellStyle name="Millares 24 14" xfId="2431" xr:uid="{12469396-EACA-4654-B5EC-07A433E4F1BF}"/>
    <cellStyle name="Millares 24 15" xfId="2521" xr:uid="{E380A4E8-BDBB-4B8A-A7DE-0B20BAB2B5E8}"/>
    <cellStyle name="Millares 24 16" xfId="2610" xr:uid="{E30F75E4-BF10-4D70-8130-1F774DF94325}"/>
    <cellStyle name="Millares 24 17" xfId="2700" xr:uid="{CBC1BE3B-C837-4FD6-BCFB-64896EC6D5D9}"/>
    <cellStyle name="Millares 24 18" xfId="2790" xr:uid="{3C07E754-0CB3-4832-9D76-E500AD639551}"/>
    <cellStyle name="Millares 24 19" xfId="2880" xr:uid="{A56B1080-AC6F-4694-8C0D-5DEA72E64EEB}"/>
    <cellStyle name="Millares 24 2" xfId="1340" xr:uid="{00000000-0005-0000-0000-000001050000}"/>
    <cellStyle name="Millares 24 2 2" xfId="3505" xr:uid="{46F59133-4344-4471-8B68-A473FCDDC032}"/>
    <cellStyle name="Millares 24 2 3" xfId="3717" xr:uid="{99C502FE-3764-4091-947D-D0EC0E7CE160}"/>
    <cellStyle name="Millares 24 20" xfId="2973" xr:uid="{18F96114-85E5-4F67-A8F7-3AC53DD89150}"/>
    <cellStyle name="Millares 24 21" xfId="3067" xr:uid="{9878D445-800C-4F5B-8C50-CDB6445B2577}"/>
    <cellStyle name="Millares 24 22" xfId="3627" xr:uid="{7D5FE0F5-8FD2-4E42-AFF5-00F2CBAF715F}"/>
    <cellStyle name="Millares 24 3" xfId="1437" xr:uid="{00000000-0005-0000-0000-000002050000}"/>
    <cellStyle name="Millares 24 4" xfId="1527" xr:uid="{00000000-0005-0000-0000-000003050000}"/>
    <cellStyle name="Millares 24 5" xfId="1617" xr:uid="{00000000-0005-0000-0000-000004050000}"/>
    <cellStyle name="Millares 24 6" xfId="1708" xr:uid="{00000000-0005-0000-0000-000005050000}"/>
    <cellStyle name="Millares 24 7" xfId="1801" xr:uid="{00000000-0005-0000-0000-000006050000}"/>
    <cellStyle name="Millares 24 8" xfId="1892" xr:uid="{D47501C3-6CC3-4ACD-AA96-836D5398BAC7}"/>
    <cellStyle name="Millares 24 9" xfId="1983" xr:uid="{087C8C3B-6B49-4349-B794-01267AFEB48F}"/>
    <cellStyle name="Millares 25" xfId="1341" xr:uid="{00000000-0005-0000-0000-000007050000}"/>
    <cellStyle name="Millares 25 10" xfId="2164" xr:uid="{4AFEB01F-B199-4193-8BE8-4EFCD26D8EC0}"/>
    <cellStyle name="Millares 25 11" xfId="2253" xr:uid="{6640AECD-C134-423C-95DC-DBA3B671B1E1}"/>
    <cellStyle name="Millares 25 12" xfId="2343" xr:uid="{9D426735-8E5A-4DAB-917E-302143F4CD05}"/>
    <cellStyle name="Millares 25 13" xfId="2432" xr:uid="{04358BCE-3331-45EC-9910-27FEB468406B}"/>
    <cellStyle name="Millares 25 14" xfId="2522" xr:uid="{06DFE92B-93E5-4728-BF66-6EB818F65A6D}"/>
    <cellStyle name="Millares 25 15" xfId="2611" xr:uid="{6C4EEBD3-1C5A-4188-B93A-D73067704DC7}"/>
    <cellStyle name="Millares 25 16" xfId="2701" xr:uid="{56FB66C6-7227-4466-9D64-6FA93AF04D71}"/>
    <cellStyle name="Millares 25 17" xfId="2791" xr:uid="{31CB9CC7-EEEC-40B0-927E-CE45CDD2F416}"/>
    <cellStyle name="Millares 25 18" xfId="2881" xr:uid="{7C8805BC-9E3A-47E1-B655-79549F8BAD60}"/>
    <cellStyle name="Millares 25 19" xfId="2974" xr:uid="{AEA1DDAA-68D9-45B4-AD54-25657DC9D3EF}"/>
    <cellStyle name="Millares 25 2" xfId="1438" xr:uid="{00000000-0005-0000-0000-000008050000}"/>
    <cellStyle name="Millares 25 2 2" xfId="3506" xr:uid="{6C76C73C-5FB8-4041-8C34-ACD47BA59049}"/>
    <cellStyle name="Millares 25 2 3" xfId="3718" xr:uid="{6071B712-280B-4823-A45E-A384BC15F50C}"/>
    <cellStyle name="Millares 25 20" xfId="3068" xr:uid="{8083C10E-F105-4477-A750-3979E150AD6F}"/>
    <cellStyle name="Millares 25 21" xfId="3628" xr:uid="{FD6B3741-B8C4-47F4-9DFD-4082F8DF7D5B}"/>
    <cellStyle name="Millares 25 3" xfId="1528" xr:uid="{00000000-0005-0000-0000-000009050000}"/>
    <cellStyle name="Millares 25 4" xfId="1618" xr:uid="{00000000-0005-0000-0000-00000A050000}"/>
    <cellStyle name="Millares 25 5" xfId="1709" xr:uid="{00000000-0005-0000-0000-00000B050000}"/>
    <cellStyle name="Millares 25 6" xfId="1802" xr:uid="{00000000-0005-0000-0000-00000C050000}"/>
    <cellStyle name="Millares 25 7" xfId="1893" xr:uid="{16814079-0294-4480-89CA-55B9A60B0270}"/>
    <cellStyle name="Millares 25 8" xfId="1984" xr:uid="{6D65E1E6-7AB8-42CB-98E1-92371095CDCF}"/>
    <cellStyle name="Millares 25 9" xfId="2073" xr:uid="{9716A169-17B9-483C-A75B-27019CF1B94F}"/>
    <cellStyle name="Millares 26" xfId="1281" xr:uid="{00000000-0005-0000-0000-00000D050000}"/>
    <cellStyle name="Millares 27" xfId="1378" xr:uid="{00000000-0005-0000-0000-00000E050000}"/>
    <cellStyle name="Millares 28" xfId="1468" xr:uid="{00000000-0005-0000-0000-00000F050000}"/>
    <cellStyle name="Millares 3" xfId="881" xr:uid="{00000000-0005-0000-0000-000010050000}"/>
    <cellStyle name="Millares 3 10" xfId="1231" xr:uid="{00000000-0005-0000-0000-000011050000}"/>
    <cellStyle name="Millares 3 10 10" xfId="2075" xr:uid="{EF89A4A1-AFBA-4028-81E2-2DD2A22BF0CC}"/>
    <cellStyle name="Millares 3 10 11" xfId="2166" xr:uid="{F2C706E9-84A7-4882-8D05-099BFED6C180}"/>
    <cellStyle name="Millares 3 10 12" xfId="2255" xr:uid="{DE1D1B28-B81B-4D27-8063-ECA3F9409A64}"/>
    <cellStyle name="Millares 3 10 13" xfId="2345" xr:uid="{F5D9AFDE-0AB7-4937-8230-BDC8F15FC990}"/>
    <cellStyle name="Millares 3 10 14" xfId="2434" xr:uid="{2C76A01B-F225-4BB8-AF31-F8BB28AF617F}"/>
    <cellStyle name="Millares 3 10 15" xfId="2524" xr:uid="{F3D9416B-EA0B-4616-B381-A1AE7F04DD7E}"/>
    <cellStyle name="Millares 3 10 16" xfId="2613" xr:uid="{26611AD6-6C9F-49C4-9CE4-790E6F4C773B}"/>
    <cellStyle name="Millares 3 10 17" xfId="2703" xr:uid="{96FD99F6-89A3-4714-B88C-F7D0F6A6AA5D}"/>
    <cellStyle name="Millares 3 10 18" xfId="2793" xr:uid="{D6D3A8AC-1FA9-48CF-8FD7-27F6694CD37C}"/>
    <cellStyle name="Millares 3 10 19" xfId="2883" xr:uid="{B9EBAD0A-9A1E-45EA-ACCD-E30A07EC64C0}"/>
    <cellStyle name="Millares 3 10 2" xfId="1343" xr:uid="{00000000-0005-0000-0000-000012050000}"/>
    <cellStyle name="Millares 3 10 2 2" xfId="3508" xr:uid="{22232535-9761-454A-9B1C-C6C78A3370C9}"/>
    <cellStyle name="Millares 3 10 2 3" xfId="3720" xr:uid="{A9A3B8F8-3317-4AF3-914B-48A72EE9E848}"/>
    <cellStyle name="Millares 3 10 20" xfId="2976" xr:uid="{92E19CA5-229D-4568-8A6C-CA10625BF5B1}"/>
    <cellStyle name="Millares 3 10 21" xfId="3070" xr:uid="{66D89B50-3EB7-4E2B-9A76-405031862FE7}"/>
    <cellStyle name="Millares 3 10 22" xfId="3630" xr:uid="{6EF1F219-E3E3-400E-9D8E-1FC352865703}"/>
    <cellStyle name="Millares 3 10 3" xfId="1440" xr:uid="{00000000-0005-0000-0000-000013050000}"/>
    <cellStyle name="Millares 3 10 4" xfId="1530" xr:uid="{00000000-0005-0000-0000-000014050000}"/>
    <cellStyle name="Millares 3 10 5" xfId="1620" xr:uid="{00000000-0005-0000-0000-000015050000}"/>
    <cellStyle name="Millares 3 10 6" xfId="1711" xr:uid="{00000000-0005-0000-0000-000016050000}"/>
    <cellStyle name="Millares 3 10 7" xfId="1804" xr:uid="{00000000-0005-0000-0000-000017050000}"/>
    <cellStyle name="Millares 3 10 8" xfId="1895" xr:uid="{07FE7395-74D8-4B8A-8FD3-EF8C8B513408}"/>
    <cellStyle name="Millares 3 10 9" xfId="1986" xr:uid="{C656A113-BF88-495D-B814-7735659F5439}"/>
    <cellStyle name="Millares 3 11" xfId="1235" xr:uid="{00000000-0005-0000-0000-000018050000}"/>
    <cellStyle name="Millares 3 11 10" xfId="2076" xr:uid="{7874EEFD-7A04-4432-818E-6F230FC6D4DE}"/>
    <cellStyle name="Millares 3 11 11" xfId="2167" xr:uid="{653C134E-1449-44A3-97D5-88B0FBCD075A}"/>
    <cellStyle name="Millares 3 11 12" xfId="2256" xr:uid="{B4470A38-8168-43ED-8460-7571AEFFF6C4}"/>
    <cellStyle name="Millares 3 11 13" xfId="2346" xr:uid="{2BB509FD-B968-406E-A482-ED5FD06582B4}"/>
    <cellStyle name="Millares 3 11 14" xfId="2435" xr:uid="{89C40F0E-A13F-4119-91A7-B0EFFB4DACCC}"/>
    <cellStyle name="Millares 3 11 15" xfId="2525" xr:uid="{2A07644D-11C9-4352-A171-0E9CEB0B322B}"/>
    <cellStyle name="Millares 3 11 16" xfId="2614" xr:uid="{F6520673-BD41-457D-B723-6936298EAF9E}"/>
    <cellStyle name="Millares 3 11 17" xfId="2704" xr:uid="{9A0B980E-C4BE-4358-90D7-966B2042B67C}"/>
    <cellStyle name="Millares 3 11 18" xfId="2794" xr:uid="{1A96104F-C85C-447D-9994-19D5CB99DB04}"/>
    <cellStyle name="Millares 3 11 19" xfId="2884" xr:uid="{E599CD3F-4EEA-4033-BFAC-549A6D923E68}"/>
    <cellStyle name="Millares 3 11 2" xfId="1344" xr:uid="{00000000-0005-0000-0000-000019050000}"/>
    <cellStyle name="Millares 3 11 2 2" xfId="3509" xr:uid="{9C169859-1EF7-4B30-B5A1-260EB64E55D4}"/>
    <cellStyle name="Millares 3 11 2 3" xfId="3721" xr:uid="{75015DC6-3E38-48E3-A3C7-6E705FFD36D7}"/>
    <cellStyle name="Millares 3 11 20" xfId="2977" xr:uid="{A0C9AFDA-1CBC-45B1-827A-61D8F9BB468D}"/>
    <cellStyle name="Millares 3 11 21" xfId="3071" xr:uid="{8A4E08BA-81FB-4D86-A167-E198FC22D328}"/>
    <cellStyle name="Millares 3 11 22" xfId="3631" xr:uid="{7C891106-1F3B-44E9-BE4C-5BC591400042}"/>
    <cellStyle name="Millares 3 11 3" xfId="1441" xr:uid="{00000000-0005-0000-0000-00001A050000}"/>
    <cellStyle name="Millares 3 11 4" xfId="1531" xr:uid="{00000000-0005-0000-0000-00001B050000}"/>
    <cellStyle name="Millares 3 11 5" xfId="1621" xr:uid="{00000000-0005-0000-0000-00001C050000}"/>
    <cellStyle name="Millares 3 11 6" xfId="1712" xr:uid="{00000000-0005-0000-0000-00001D050000}"/>
    <cellStyle name="Millares 3 11 7" xfId="1805" xr:uid="{00000000-0005-0000-0000-00001E050000}"/>
    <cellStyle name="Millares 3 11 8" xfId="1896" xr:uid="{49699FC8-5A8B-4E9B-9C7B-17370D9986CE}"/>
    <cellStyle name="Millares 3 11 9" xfId="1987" xr:uid="{358C9A81-C725-43C6-9964-0F9C9B9D54D2}"/>
    <cellStyle name="Millares 3 12" xfId="1239" xr:uid="{00000000-0005-0000-0000-00001F050000}"/>
    <cellStyle name="Millares 3 12 10" xfId="2077" xr:uid="{557B1FA6-E90E-4553-B036-BF1BEA3B809F}"/>
    <cellStyle name="Millares 3 12 11" xfId="2168" xr:uid="{A7222702-0598-4FD4-9EC3-BC9F9C1CBAE3}"/>
    <cellStyle name="Millares 3 12 12" xfId="2257" xr:uid="{4DC60E7A-0A65-42B4-B9D6-D6018DBEC017}"/>
    <cellStyle name="Millares 3 12 13" xfId="2347" xr:uid="{34030344-4EEF-48EC-B170-9C2BEE3FA201}"/>
    <cellStyle name="Millares 3 12 14" xfId="2436" xr:uid="{180A7306-2865-4843-813E-26EDF9A56855}"/>
    <cellStyle name="Millares 3 12 15" xfId="2526" xr:uid="{A05AE33E-9ED4-4EDB-88CA-620E5516FCC5}"/>
    <cellStyle name="Millares 3 12 16" xfId="2615" xr:uid="{1EEC4A2A-5641-46BE-BC7F-138FAA0BC56A}"/>
    <cellStyle name="Millares 3 12 17" xfId="2705" xr:uid="{BC1E52AA-D1F1-492B-AA9B-36D51BE9E97A}"/>
    <cellStyle name="Millares 3 12 18" xfId="2795" xr:uid="{103E297C-2D46-4234-9C02-29429F4AC82C}"/>
    <cellStyle name="Millares 3 12 19" xfId="2885" xr:uid="{0C361457-9D54-4E63-B928-08C8EBB365C4}"/>
    <cellStyle name="Millares 3 12 2" xfId="1345" xr:uid="{00000000-0005-0000-0000-000020050000}"/>
    <cellStyle name="Millares 3 12 2 2" xfId="3510" xr:uid="{F173344D-8A87-40EB-B1BE-6F45C91E12C6}"/>
    <cellStyle name="Millares 3 12 2 3" xfId="3722" xr:uid="{904D6A56-9E0E-4B42-BA58-DE3CD527ADF9}"/>
    <cellStyle name="Millares 3 12 20" xfId="2978" xr:uid="{569541A8-C48B-466B-955A-DF596F006332}"/>
    <cellStyle name="Millares 3 12 21" xfId="3072" xr:uid="{B13BD016-3CBB-4E0C-AD03-FCB79261DB64}"/>
    <cellStyle name="Millares 3 12 22" xfId="3632" xr:uid="{1FB056B2-981A-4EF9-A2C2-21735C68CED4}"/>
    <cellStyle name="Millares 3 12 3" xfId="1442" xr:uid="{00000000-0005-0000-0000-000021050000}"/>
    <cellStyle name="Millares 3 12 4" xfId="1532" xr:uid="{00000000-0005-0000-0000-000022050000}"/>
    <cellStyle name="Millares 3 12 5" xfId="1622" xr:uid="{00000000-0005-0000-0000-000023050000}"/>
    <cellStyle name="Millares 3 12 6" xfId="1713" xr:uid="{00000000-0005-0000-0000-000024050000}"/>
    <cellStyle name="Millares 3 12 7" xfId="1806" xr:uid="{00000000-0005-0000-0000-000025050000}"/>
    <cellStyle name="Millares 3 12 8" xfId="1897" xr:uid="{BB10E47D-1D96-4B26-A395-CFB0E88DAA90}"/>
    <cellStyle name="Millares 3 12 9" xfId="1988" xr:uid="{E418F3E4-B917-4A9A-889D-A680E95D5D34}"/>
    <cellStyle name="Millares 3 13" xfId="1244" xr:uid="{00000000-0005-0000-0000-000026050000}"/>
    <cellStyle name="Millares 3 13 10" xfId="2078" xr:uid="{2775471A-A6F3-4BB5-A6F6-660980C69EE4}"/>
    <cellStyle name="Millares 3 13 11" xfId="2169" xr:uid="{4006BC55-3158-4212-B6C0-0E08E305C04F}"/>
    <cellStyle name="Millares 3 13 12" xfId="2258" xr:uid="{7A75C99F-4E58-4F53-9046-04CC99626B60}"/>
    <cellStyle name="Millares 3 13 13" xfId="2348" xr:uid="{FAD03DEF-338E-4085-BF5E-03272AD86FD2}"/>
    <cellStyle name="Millares 3 13 14" xfId="2437" xr:uid="{A6A3C166-F4BB-4530-A69F-4A86B9A46564}"/>
    <cellStyle name="Millares 3 13 15" xfId="2527" xr:uid="{FFE72087-7C23-4875-BDDE-35D6BC1DA3A5}"/>
    <cellStyle name="Millares 3 13 16" xfId="2616" xr:uid="{549ECE6E-959B-476A-A420-67D25386EE31}"/>
    <cellStyle name="Millares 3 13 17" xfId="2706" xr:uid="{96B3E0B5-BD6C-44A6-852F-43F98DC1705E}"/>
    <cellStyle name="Millares 3 13 18" xfId="2796" xr:uid="{1846C68E-F23A-4DE9-B88D-CD1DE3E43F7E}"/>
    <cellStyle name="Millares 3 13 19" xfId="2886" xr:uid="{12198EAD-4F7C-4AB8-8775-F9CF8C2756FD}"/>
    <cellStyle name="Millares 3 13 2" xfId="1346" xr:uid="{00000000-0005-0000-0000-000027050000}"/>
    <cellStyle name="Millares 3 13 2 2" xfId="3511" xr:uid="{A064E147-5949-4369-B5BB-3594153E7D16}"/>
    <cellStyle name="Millares 3 13 2 3" xfId="3723" xr:uid="{EC28C795-C0EB-47B1-8C11-C89DBF5B0DFD}"/>
    <cellStyle name="Millares 3 13 20" xfId="2979" xr:uid="{45855CAE-FF16-4694-8680-DD204AAC55CE}"/>
    <cellStyle name="Millares 3 13 21" xfId="3073" xr:uid="{B1E27756-98B3-4E48-BB6F-09915BC595AF}"/>
    <cellStyle name="Millares 3 13 22" xfId="3633" xr:uid="{6EAC6E8F-468A-4777-9E2F-719BCC7C9A06}"/>
    <cellStyle name="Millares 3 13 3" xfId="1443" xr:uid="{00000000-0005-0000-0000-000028050000}"/>
    <cellStyle name="Millares 3 13 4" xfId="1533" xr:uid="{00000000-0005-0000-0000-000029050000}"/>
    <cellStyle name="Millares 3 13 5" xfId="1623" xr:uid="{00000000-0005-0000-0000-00002A050000}"/>
    <cellStyle name="Millares 3 13 6" xfId="1714" xr:uid="{00000000-0005-0000-0000-00002B050000}"/>
    <cellStyle name="Millares 3 13 7" xfId="1807" xr:uid="{00000000-0005-0000-0000-00002C050000}"/>
    <cellStyle name="Millares 3 13 8" xfId="1898" xr:uid="{6B064132-2151-4107-8735-7D5AAB04756C}"/>
    <cellStyle name="Millares 3 13 9" xfId="1989" xr:uid="{8F0ED0CD-3F5C-443B-A3F7-8CA6548A5C2F}"/>
    <cellStyle name="Millares 3 14" xfId="1249" xr:uid="{00000000-0005-0000-0000-00002D050000}"/>
    <cellStyle name="Millares 3 14 10" xfId="2079" xr:uid="{B7837B38-A3D3-41E3-A9FB-FF10CE65329D}"/>
    <cellStyle name="Millares 3 14 11" xfId="2170" xr:uid="{4FF4AE18-DE98-4C63-816A-0F1C8C7FEF3D}"/>
    <cellStyle name="Millares 3 14 12" xfId="2259" xr:uid="{F2ED4B93-CFD3-476F-9279-EAC9429FE7DD}"/>
    <cellStyle name="Millares 3 14 13" xfId="2349" xr:uid="{6C3F69DD-27BC-4F93-B860-224AA4C9E208}"/>
    <cellStyle name="Millares 3 14 14" xfId="2438" xr:uid="{DC314B86-5C65-4C59-9370-1640CCC26D20}"/>
    <cellStyle name="Millares 3 14 15" xfId="2528" xr:uid="{FE0A3708-0BB2-44D0-9786-21AC9F1DFFEF}"/>
    <cellStyle name="Millares 3 14 16" xfId="2617" xr:uid="{75429B1F-DA91-4600-881A-D6BEDB2E6B3D}"/>
    <cellStyle name="Millares 3 14 17" xfId="2707" xr:uid="{659C5BA0-70DC-4916-BBC7-443DCB4EFFD4}"/>
    <cellStyle name="Millares 3 14 18" xfId="2797" xr:uid="{340E8FF9-52FC-4021-BADA-E89C383C5897}"/>
    <cellStyle name="Millares 3 14 19" xfId="2887" xr:uid="{D9B61BB8-2345-4BD4-B9F2-4E152E71B7AD}"/>
    <cellStyle name="Millares 3 14 2" xfId="1347" xr:uid="{00000000-0005-0000-0000-00002E050000}"/>
    <cellStyle name="Millares 3 14 2 2" xfId="3512" xr:uid="{FAAF14B2-1775-45A3-8526-67598EFBB32F}"/>
    <cellStyle name="Millares 3 14 2 3" xfId="3724" xr:uid="{46D2A5ED-CE66-4934-BE1D-658307C8B13E}"/>
    <cellStyle name="Millares 3 14 20" xfId="2980" xr:uid="{27A9735F-E3A0-4C17-BC17-139529CE818F}"/>
    <cellStyle name="Millares 3 14 21" xfId="3074" xr:uid="{15255AE3-BABC-4BB8-94B1-F0876FE023E2}"/>
    <cellStyle name="Millares 3 14 22" xfId="3634" xr:uid="{83F6FFBF-CF2B-4899-B3DA-4FEBE0683A7B}"/>
    <cellStyle name="Millares 3 14 3" xfId="1444" xr:uid="{00000000-0005-0000-0000-00002F050000}"/>
    <cellStyle name="Millares 3 14 4" xfId="1534" xr:uid="{00000000-0005-0000-0000-000030050000}"/>
    <cellStyle name="Millares 3 14 5" xfId="1624" xr:uid="{00000000-0005-0000-0000-000031050000}"/>
    <cellStyle name="Millares 3 14 6" xfId="1715" xr:uid="{00000000-0005-0000-0000-000032050000}"/>
    <cellStyle name="Millares 3 14 7" xfId="1808" xr:uid="{00000000-0005-0000-0000-000033050000}"/>
    <cellStyle name="Millares 3 14 8" xfId="1899" xr:uid="{00D44AEF-2E43-4629-A33E-BD9792388089}"/>
    <cellStyle name="Millares 3 14 9" xfId="1990" xr:uid="{CEC74E9D-2B0E-4012-8069-3A0F3156AE54}"/>
    <cellStyle name="Millares 3 15" xfId="1254" xr:uid="{00000000-0005-0000-0000-000034050000}"/>
    <cellStyle name="Millares 3 15 10" xfId="2080" xr:uid="{47AB296C-EAE6-4B59-A672-755465BE8D75}"/>
    <cellStyle name="Millares 3 15 11" xfId="2171" xr:uid="{0FAE85E3-0BC9-4283-8390-A4076DF03C46}"/>
    <cellStyle name="Millares 3 15 12" xfId="2260" xr:uid="{68C788B8-68EC-4518-8407-A414BF32F2BB}"/>
    <cellStyle name="Millares 3 15 13" xfId="2350" xr:uid="{EB2B0D4D-1E93-4909-BF1E-F8113D0335EB}"/>
    <cellStyle name="Millares 3 15 14" xfId="2439" xr:uid="{1DC88457-8B1B-4814-A6B7-CA2D95338D1B}"/>
    <cellStyle name="Millares 3 15 15" xfId="2529" xr:uid="{F4BEBA89-0B27-40F5-888F-4311FCA4D7AF}"/>
    <cellStyle name="Millares 3 15 16" xfId="2618" xr:uid="{37EAD68C-2A36-4A3A-A54E-4CE1D38C5ECF}"/>
    <cellStyle name="Millares 3 15 17" xfId="2708" xr:uid="{B8424F40-C580-4B5C-9CFE-C024B00487D3}"/>
    <cellStyle name="Millares 3 15 18" xfId="2798" xr:uid="{159FD95F-411E-4C39-9D80-6AA4A463DE9B}"/>
    <cellStyle name="Millares 3 15 19" xfId="2888" xr:uid="{F1AA8FF4-2B0C-4E7E-9AFB-81C253997F67}"/>
    <cellStyle name="Millares 3 15 2" xfId="1348" xr:uid="{00000000-0005-0000-0000-000035050000}"/>
    <cellStyle name="Millares 3 15 2 2" xfId="3513" xr:uid="{DE355F8C-D5C6-4BA2-B75D-F806825E49F6}"/>
    <cellStyle name="Millares 3 15 2 3" xfId="3725" xr:uid="{BAEBAF1E-BFC2-4F78-A6C7-DA1047760284}"/>
    <cellStyle name="Millares 3 15 20" xfId="2981" xr:uid="{FB43AAE6-2ADC-4805-A9DD-192841B30A94}"/>
    <cellStyle name="Millares 3 15 21" xfId="3075" xr:uid="{F5AF6467-335E-4131-934F-D00F081F9F48}"/>
    <cellStyle name="Millares 3 15 22" xfId="3635" xr:uid="{3F8F4F9D-B300-432B-A894-381AEEFD1891}"/>
    <cellStyle name="Millares 3 15 3" xfId="1445" xr:uid="{00000000-0005-0000-0000-000036050000}"/>
    <cellStyle name="Millares 3 15 4" xfId="1535" xr:uid="{00000000-0005-0000-0000-000037050000}"/>
    <cellStyle name="Millares 3 15 5" xfId="1625" xr:uid="{00000000-0005-0000-0000-000038050000}"/>
    <cellStyle name="Millares 3 15 6" xfId="1716" xr:uid="{00000000-0005-0000-0000-000039050000}"/>
    <cellStyle name="Millares 3 15 7" xfId="1809" xr:uid="{00000000-0005-0000-0000-00003A050000}"/>
    <cellStyle name="Millares 3 15 8" xfId="1900" xr:uid="{5FAC3D2D-BA78-46A1-BE1A-9305CAD00322}"/>
    <cellStyle name="Millares 3 15 9" xfId="1991" xr:uid="{F6616309-2E6B-4431-A532-55339990C181}"/>
    <cellStyle name="Millares 3 16" xfId="1259" xr:uid="{00000000-0005-0000-0000-00003B050000}"/>
    <cellStyle name="Millares 3 16 10" xfId="2081" xr:uid="{288CA801-6E20-41B2-AE26-CE36727651BC}"/>
    <cellStyle name="Millares 3 16 11" xfId="2172" xr:uid="{75425737-45C2-4F2B-8D2D-49FE0944FB6D}"/>
    <cellStyle name="Millares 3 16 12" xfId="2261" xr:uid="{333BE876-CDD4-4322-80F5-88F819E4A497}"/>
    <cellStyle name="Millares 3 16 13" xfId="2351" xr:uid="{60100602-091A-48FC-BAED-3786E8B85803}"/>
    <cellStyle name="Millares 3 16 14" xfId="2440" xr:uid="{AE3A173B-83EA-4344-8277-2F53E8DA896E}"/>
    <cellStyle name="Millares 3 16 15" xfId="2530" xr:uid="{2E05443C-4D3E-4A84-8443-E26496199742}"/>
    <cellStyle name="Millares 3 16 16" xfId="2619" xr:uid="{56DC6B3B-8BD3-48AA-9CB3-B8FC202393CC}"/>
    <cellStyle name="Millares 3 16 17" xfId="2709" xr:uid="{D1766655-6348-42F7-BFB2-8954A257C4C6}"/>
    <cellStyle name="Millares 3 16 18" xfId="2799" xr:uid="{03D9AFFC-BEEB-45F9-B4FE-5C1DA88D54D1}"/>
    <cellStyle name="Millares 3 16 19" xfId="2889" xr:uid="{5D855D7B-7916-4C92-835F-9A1A298D6EC7}"/>
    <cellStyle name="Millares 3 16 2" xfId="1349" xr:uid="{00000000-0005-0000-0000-00003C050000}"/>
    <cellStyle name="Millares 3 16 2 2" xfId="3514" xr:uid="{D81900A7-8BCE-4502-9439-5F094C73D389}"/>
    <cellStyle name="Millares 3 16 2 3" xfId="3726" xr:uid="{2E998099-C773-46BF-A983-EDDC6A33B9EA}"/>
    <cellStyle name="Millares 3 16 20" xfId="2982" xr:uid="{415F23F6-A453-42FF-B392-9D49A0AB73CA}"/>
    <cellStyle name="Millares 3 16 21" xfId="3076" xr:uid="{80886D41-9754-4E9C-8F0C-E322BE0BE9B1}"/>
    <cellStyle name="Millares 3 16 22" xfId="3636" xr:uid="{16AD6B5D-CA09-41B3-BACC-2ADBE6299049}"/>
    <cellStyle name="Millares 3 16 3" xfId="1446" xr:uid="{00000000-0005-0000-0000-00003D050000}"/>
    <cellStyle name="Millares 3 16 4" xfId="1536" xr:uid="{00000000-0005-0000-0000-00003E050000}"/>
    <cellStyle name="Millares 3 16 5" xfId="1626" xr:uid="{00000000-0005-0000-0000-00003F050000}"/>
    <cellStyle name="Millares 3 16 6" xfId="1717" xr:uid="{00000000-0005-0000-0000-000040050000}"/>
    <cellStyle name="Millares 3 16 7" xfId="1810" xr:uid="{00000000-0005-0000-0000-000041050000}"/>
    <cellStyle name="Millares 3 16 8" xfId="1901" xr:uid="{30E84C90-2719-4A4F-88E2-C3EF236CAB48}"/>
    <cellStyle name="Millares 3 16 9" xfId="1992" xr:uid="{03463E37-8D8A-4262-9F8B-C0E396F26DA8}"/>
    <cellStyle name="Millares 3 17" xfId="1263" xr:uid="{00000000-0005-0000-0000-000042050000}"/>
    <cellStyle name="Millares 3 17 10" xfId="2082" xr:uid="{7AF38563-2E2B-46F5-ADBC-0ED8ECA92ABE}"/>
    <cellStyle name="Millares 3 17 11" xfId="2173" xr:uid="{3DFDE720-E399-4DF0-B163-D4A6C4053A9C}"/>
    <cellStyle name="Millares 3 17 12" xfId="2262" xr:uid="{7F2B8D5E-D907-4F3E-857D-E7063D749101}"/>
    <cellStyle name="Millares 3 17 13" xfId="2352" xr:uid="{01C8B7EC-8271-4723-8656-2F4DC48AC761}"/>
    <cellStyle name="Millares 3 17 14" xfId="2441" xr:uid="{CB4FAB68-0B61-4CB8-8BA2-EFCC4F84E5A8}"/>
    <cellStyle name="Millares 3 17 15" xfId="2531" xr:uid="{EC9770B6-00DE-43BA-987C-A3F89AC7A4D0}"/>
    <cellStyle name="Millares 3 17 16" xfId="2620" xr:uid="{F4365116-479B-4A06-B4CF-0C55519AF5D6}"/>
    <cellStyle name="Millares 3 17 17" xfId="2710" xr:uid="{A07A3237-CD2B-45FB-BE6F-49C9DE6F063C}"/>
    <cellStyle name="Millares 3 17 18" xfId="2800" xr:uid="{B43A41A8-4EE0-4F9A-929D-D9C21B02644B}"/>
    <cellStyle name="Millares 3 17 19" xfId="2890" xr:uid="{B47C192D-BCDF-4146-8F52-D6786CE30702}"/>
    <cellStyle name="Millares 3 17 2" xfId="1350" xr:uid="{00000000-0005-0000-0000-000043050000}"/>
    <cellStyle name="Millares 3 17 2 2" xfId="3515" xr:uid="{6490123B-E0DB-4263-805F-FCC2535EBEFD}"/>
    <cellStyle name="Millares 3 17 2 3" xfId="3727" xr:uid="{8C77156C-B615-4B78-A112-50B631F50DEA}"/>
    <cellStyle name="Millares 3 17 20" xfId="2983" xr:uid="{92414C84-74CC-4B48-8801-FC86D0FA31C0}"/>
    <cellStyle name="Millares 3 17 21" xfId="3077" xr:uid="{CD6E70BB-ACE6-4895-BB01-AC805CA58419}"/>
    <cellStyle name="Millares 3 17 22" xfId="3637" xr:uid="{2F607201-CE41-4994-9ABF-D0B24D41A70C}"/>
    <cellStyle name="Millares 3 17 3" xfId="1447" xr:uid="{00000000-0005-0000-0000-000044050000}"/>
    <cellStyle name="Millares 3 17 4" xfId="1537" xr:uid="{00000000-0005-0000-0000-000045050000}"/>
    <cellStyle name="Millares 3 17 5" xfId="1627" xr:uid="{00000000-0005-0000-0000-000046050000}"/>
    <cellStyle name="Millares 3 17 6" xfId="1718" xr:uid="{00000000-0005-0000-0000-000047050000}"/>
    <cellStyle name="Millares 3 17 7" xfId="1811" xr:uid="{00000000-0005-0000-0000-000048050000}"/>
    <cellStyle name="Millares 3 17 8" xfId="1902" xr:uid="{9F3A57C1-15C8-4AA7-AB20-40C02956E4A6}"/>
    <cellStyle name="Millares 3 17 9" xfId="1993" xr:uid="{1891EAB3-1916-4345-98E2-B6C5BCDD8D0E}"/>
    <cellStyle name="Millares 3 18" xfId="1267" xr:uid="{00000000-0005-0000-0000-000049050000}"/>
    <cellStyle name="Millares 3 18 10" xfId="2083" xr:uid="{991EF981-B94A-406E-A847-1D4B3D7CCAA6}"/>
    <cellStyle name="Millares 3 18 11" xfId="2174" xr:uid="{D6B4373A-F6F4-4F10-AE39-5E75D6129BD8}"/>
    <cellStyle name="Millares 3 18 12" xfId="2263" xr:uid="{6767A313-DC32-41EC-BCEC-A458C461C50E}"/>
    <cellStyle name="Millares 3 18 13" xfId="2353" xr:uid="{7A74E11C-374D-4D4D-8628-6F4B647096C3}"/>
    <cellStyle name="Millares 3 18 14" xfId="2442" xr:uid="{792B98DD-A971-476A-B480-EFD8A5A242E4}"/>
    <cellStyle name="Millares 3 18 15" xfId="2532" xr:uid="{C72E2517-7746-4090-8C64-8E689CEE7C8C}"/>
    <cellStyle name="Millares 3 18 16" xfId="2621" xr:uid="{7232306C-6856-49F1-B17A-EE87C1C8E1A8}"/>
    <cellStyle name="Millares 3 18 17" xfId="2711" xr:uid="{0C1A64FF-24E3-48FE-B0D4-17F9B878D241}"/>
    <cellStyle name="Millares 3 18 18" xfId="2801" xr:uid="{B5B57AA6-FCD4-499E-A858-EDA240BD75AE}"/>
    <cellStyle name="Millares 3 18 19" xfId="2891" xr:uid="{214FB609-42C3-4DBD-B9F4-1E77F35A27EB}"/>
    <cellStyle name="Millares 3 18 2" xfId="1351" xr:uid="{00000000-0005-0000-0000-00004A050000}"/>
    <cellStyle name="Millares 3 18 2 2" xfId="3516" xr:uid="{52D60B27-4DB5-4E59-B363-BAD4A6DD3BF1}"/>
    <cellStyle name="Millares 3 18 2 3" xfId="3728" xr:uid="{6162F03F-3EF5-47F7-9B48-AC1F97BE2F1A}"/>
    <cellStyle name="Millares 3 18 20" xfId="2984" xr:uid="{93B63145-DDD2-46E9-921B-7853B575CAD6}"/>
    <cellStyle name="Millares 3 18 21" xfId="3078" xr:uid="{1BED0CA0-04E2-4640-8888-D94EBBA39877}"/>
    <cellStyle name="Millares 3 18 22" xfId="3638" xr:uid="{0C1F00E4-FB7D-4A43-B545-D2854F7303D5}"/>
    <cellStyle name="Millares 3 18 3" xfId="1448" xr:uid="{00000000-0005-0000-0000-00004B050000}"/>
    <cellStyle name="Millares 3 18 4" xfId="1538" xr:uid="{00000000-0005-0000-0000-00004C050000}"/>
    <cellStyle name="Millares 3 18 5" xfId="1628" xr:uid="{00000000-0005-0000-0000-00004D050000}"/>
    <cellStyle name="Millares 3 18 6" xfId="1719" xr:uid="{00000000-0005-0000-0000-00004E050000}"/>
    <cellStyle name="Millares 3 18 7" xfId="1812" xr:uid="{00000000-0005-0000-0000-00004F050000}"/>
    <cellStyle name="Millares 3 18 8" xfId="1903" xr:uid="{35AEC411-9121-4E46-A0D7-F24DF50F6C09}"/>
    <cellStyle name="Millares 3 18 9" xfId="1994" xr:uid="{1798F76E-A0C8-4861-9CF1-5D07721FC7E2}"/>
    <cellStyle name="Millares 3 19" xfId="1272" xr:uid="{00000000-0005-0000-0000-000050050000}"/>
    <cellStyle name="Millares 3 19 10" xfId="2084" xr:uid="{20D7FAD8-07A6-4CF8-8660-BFF47F21D495}"/>
    <cellStyle name="Millares 3 19 11" xfId="2175" xr:uid="{2D5F3FD8-C5BD-4FE5-9174-189E73E33C0B}"/>
    <cellStyle name="Millares 3 19 12" xfId="2264" xr:uid="{8230536E-0093-4B0A-B6DE-DC744C48A0FE}"/>
    <cellStyle name="Millares 3 19 13" xfId="2354" xr:uid="{005301A8-F39A-4970-B03E-4EC2145C280A}"/>
    <cellStyle name="Millares 3 19 14" xfId="2443" xr:uid="{45831AA3-AC0D-42D2-900A-D4783873217A}"/>
    <cellStyle name="Millares 3 19 15" xfId="2533" xr:uid="{9F2B9824-A390-4092-A363-351C12B10172}"/>
    <cellStyle name="Millares 3 19 16" xfId="2622" xr:uid="{FFAF245E-6DE0-4985-800E-FE3623AA11AF}"/>
    <cellStyle name="Millares 3 19 17" xfId="2712" xr:uid="{88C91C3E-5244-4405-A920-AB73F36D820E}"/>
    <cellStyle name="Millares 3 19 18" xfId="2802" xr:uid="{D71FDE61-5D97-4EE9-9BE0-5AC988515613}"/>
    <cellStyle name="Millares 3 19 19" xfId="2892" xr:uid="{46499F04-0917-44B0-979B-13C957522BAF}"/>
    <cellStyle name="Millares 3 19 2" xfId="1352" xr:uid="{00000000-0005-0000-0000-000051050000}"/>
    <cellStyle name="Millares 3 19 2 2" xfId="3517" xr:uid="{7B718C92-DD74-4001-B64E-5503EB9B19CA}"/>
    <cellStyle name="Millares 3 19 2 3" xfId="3729" xr:uid="{14CE5F80-0D7B-40BA-B304-B8A7439213C8}"/>
    <cellStyle name="Millares 3 19 20" xfId="2985" xr:uid="{017E6116-F715-4FE4-94FD-1612F7B5B05E}"/>
    <cellStyle name="Millares 3 19 21" xfId="3079" xr:uid="{D27A8664-7FDE-40D6-959C-EA89472D4CBC}"/>
    <cellStyle name="Millares 3 19 22" xfId="3639" xr:uid="{3D134122-D221-4D9F-B1A0-09BC8D963C01}"/>
    <cellStyle name="Millares 3 19 3" xfId="1449" xr:uid="{00000000-0005-0000-0000-000052050000}"/>
    <cellStyle name="Millares 3 19 4" xfId="1539" xr:uid="{00000000-0005-0000-0000-000053050000}"/>
    <cellStyle name="Millares 3 19 5" xfId="1629" xr:uid="{00000000-0005-0000-0000-000054050000}"/>
    <cellStyle name="Millares 3 19 6" xfId="1720" xr:uid="{00000000-0005-0000-0000-000055050000}"/>
    <cellStyle name="Millares 3 19 7" xfId="1813" xr:uid="{00000000-0005-0000-0000-000056050000}"/>
    <cellStyle name="Millares 3 19 8" xfId="1904" xr:uid="{2A8693BA-485A-476C-A6FC-1E147DAC7307}"/>
    <cellStyle name="Millares 3 19 9" xfId="1995" xr:uid="{7144C1D8-3B12-4D6B-8B86-AA15490D246B}"/>
    <cellStyle name="Millares 3 2" xfId="1197" xr:uid="{00000000-0005-0000-0000-000057050000}"/>
    <cellStyle name="Millares 3 2 10" xfId="2085" xr:uid="{420F974C-5364-4B2B-B2AE-5D5098F0BB71}"/>
    <cellStyle name="Millares 3 2 11" xfId="2176" xr:uid="{1A96D685-35F0-472C-9F98-EFE43CA1C51E}"/>
    <cellStyle name="Millares 3 2 12" xfId="2265" xr:uid="{8B2DE320-527C-450F-8C63-E949663FA1B2}"/>
    <cellStyle name="Millares 3 2 13" xfId="2355" xr:uid="{5A598599-8738-4B56-9299-10B3CF8A6EA3}"/>
    <cellStyle name="Millares 3 2 14" xfId="2444" xr:uid="{E7A5EC13-247A-4757-8DDE-27E5ACF8E3D6}"/>
    <cellStyle name="Millares 3 2 15" xfId="2534" xr:uid="{86E55A3A-58A5-4C9C-8F0D-5951F35DAA75}"/>
    <cellStyle name="Millares 3 2 16" xfId="2623" xr:uid="{5E61E079-FDF1-475A-8BB4-2DBDE154758E}"/>
    <cellStyle name="Millares 3 2 17" xfId="2713" xr:uid="{CC41A9EF-100F-4670-8FF9-362FCBBA92F2}"/>
    <cellStyle name="Millares 3 2 18" xfId="2803" xr:uid="{32E5FC80-08A2-44B3-9FF5-7E6AC5EA8E1F}"/>
    <cellStyle name="Millares 3 2 19" xfId="2893" xr:uid="{C67E9AC0-7DCB-41C1-8B3E-FE517AB2F4F1}"/>
    <cellStyle name="Millares 3 2 2" xfId="1353" xr:uid="{00000000-0005-0000-0000-000058050000}"/>
    <cellStyle name="Millares 3 2 2 2" xfId="3518" xr:uid="{5F5ECEC0-0022-498E-AB8F-65C7A5BFBD47}"/>
    <cellStyle name="Millares 3 2 2 3" xfId="3730" xr:uid="{BE0DE892-E737-4404-ADFF-2C1F6D3C1E4C}"/>
    <cellStyle name="Millares 3 2 20" xfId="2986" xr:uid="{4C5A376A-3234-4B3E-BE52-54361200E9DC}"/>
    <cellStyle name="Millares 3 2 21" xfId="3080" xr:uid="{7E986732-AA46-4E37-9F04-4F93FEA9CCD5}"/>
    <cellStyle name="Millares 3 2 22" xfId="3640" xr:uid="{2C85D67D-45B6-4BCC-99F2-F63432814FFB}"/>
    <cellStyle name="Millares 3 2 3" xfId="1450" xr:uid="{00000000-0005-0000-0000-000059050000}"/>
    <cellStyle name="Millares 3 2 4" xfId="1540" xr:uid="{00000000-0005-0000-0000-00005A050000}"/>
    <cellStyle name="Millares 3 2 5" xfId="1630" xr:uid="{00000000-0005-0000-0000-00005B050000}"/>
    <cellStyle name="Millares 3 2 6" xfId="1721" xr:uid="{00000000-0005-0000-0000-00005C050000}"/>
    <cellStyle name="Millares 3 2 7" xfId="1814" xr:uid="{00000000-0005-0000-0000-00005D050000}"/>
    <cellStyle name="Millares 3 2 8" xfId="1905" xr:uid="{E505335F-157D-4768-9A01-3210521A7621}"/>
    <cellStyle name="Millares 3 2 9" xfId="1996" xr:uid="{63B32AB3-B2EE-4D34-A8F4-B90A1AF08C6F}"/>
    <cellStyle name="Millares 3 20" xfId="1276" xr:uid="{00000000-0005-0000-0000-00005E050000}"/>
    <cellStyle name="Millares 3 20 10" xfId="2086" xr:uid="{DE233CCD-66E9-43E3-8FD8-A5D7A71336EF}"/>
    <cellStyle name="Millares 3 20 11" xfId="2177" xr:uid="{CE96D8E9-2771-41B6-BE51-E30C8328BE98}"/>
    <cellStyle name="Millares 3 20 12" xfId="2266" xr:uid="{011A8581-4342-4C1F-AE17-B2D8E13585A8}"/>
    <cellStyle name="Millares 3 20 13" xfId="2356" xr:uid="{FCB5A801-A50E-4B99-9AD7-3C9E03812B7F}"/>
    <cellStyle name="Millares 3 20 14" xfId="2445" xr:uid="{99F37D62-9F03-4813-A721-5D086F77BEEF}"/>
    <cellStyle name="Millares 3 20 15" xfId="2535" xr:uid="{C6569F0A-B7D9-4D79-B723-C3BD80EDFA28}"/>
    <cellStyle name="Millares 3 20 16" xfId="2624" xr:uid="{84C74B38-AEC7-4450-9EBE-08601CE9E1C8}"/>
    <cellStyle name="Millares 3 20 17" xfId="2714" xr:uid="{E718B76E-AA11-4AAD-8865-5D99CAEBEB43}"/>
    <cellStyle name="Millares 3 20 18" xfId="2804" xr:uid="{DE670356-4C54-4E6B-BCAE-9E1023FD48AF}"/>
    <cellStyle name="Millares 3 20 19" xfId="2894" xr:uid="{885D8474-9A3D-4F72-8965-7BA1EC050C4C}"/>
    <cellStyle name="Millares 3 20 2" xfId="1354" xr:uid="{00000000-0005-0000-0000-00005F050000}"/>
    <cellStyle name="Millares 3 20 2 2" xfId="3519" xr:uid="{733E0CA4-4A3D-4445-A1D3-C95140D6D867}"/>
    <cellStyle name="Millares 3 20 2 3" xfId="3731" xr:uid="{076710C4-5D74-4DC3-B08F-05CBC38856F6}"/>
    <cellStyle name="Millares 3 20 20" xfId="2987" xr:uid="{A64169F6-180C-4D03-9C96-FA9A5851F77A}"/>
    <cellStyle name="Millares 3 20 21" xfId="3081" xr:uid="{04D04CA1-0A54-4E74-AFF8-A6838F0BC95F}"/>
    <cellStyle name="Millares 3 20 22" xfId="3641" xr:uid="{AB8EE38A-EBDE-4304-8EF7-68DB7C4899DF}"/>
    <cellStyle name="Millares 3 20 3" xfId="1451" xr:uid="{00000000-0005-0000-0000-000060050000}"/>
    <cellStyle name="Millares 3 20 4" xfId="1541" xr:uid="{00000000-0005-0000-0000-000061050000}"/>
    <cellStyle name="Millares 3 20 5" xfId="1631" xr:uid="{00000000-0005-0000-0000-000062050000}"/>
    <cellStyle name="Millares 3 20 6" xfId="1722" xr:uid="{00000000-0005-0000-0000-000063050000}"/>
    <cellStyle name="Millares 3 20 7" xfId="1815" xr:uid="{00000000-0005-0000-0000-000064050000}"/>
    <cellStyle name="Millares 3 20 8" xfId="1906" xr:uid="{BBCD30C6-7869-404C-82F4-BCC42614F8E9}"/>
    <cellStyle name="Millares 3 20 9" xfId="1997" xr:uid="{1E05B35D-AA15-4428-873E-AA35E3056578}"/>
    <cellStyle name="Millares 3 21" xfId="1280" xr:uid="{00000000-0005-0000-0000-000065050000}"/>
    <cellStyle name="Millares 3 21 10" xfId="2087" xr:uid="{9DBB186B-56B4-4D53-908E-7CBABBDE567D}"/>
    <cellStyle name="Millares 3 21 11" xfId="2178" xr:uid="{84A0C8F3-92F8-4C4B-BA7D-5EF71B93DEEC}"/>
    <cellStyle name="Millares 3 21 12" xfId="2267" xr:uid="{5C617DD2-F4BF-46BC-AEC0-ACF805E2D4DC}"/>
    <cellStyle name="Millares 3 21 13" xfId="2357" xr:uid="{53752816-B3E8-487D-86DC-7E3120E7EEA4}"/>
    <cellStyle name="Millares 3 21 14" xfId="2446" xr:uid="{46EEE750-7C7B-4A49-AC9D-42FA721DC000}"/>
    <cellStyle name="Millares 3 21 15" xfId="2536" xr:uid="{822A891D-17D8-4841-ADEE-3ACCDD5B444F}"/>
    <cellStyle name="Millares 3 21 16" xfId="2625" xr:uid="{C6A6F9A8-3636-4433-80B6-0BC9C961D440}"/>
    <cellStyle name="Millares 3 21 17" xfId="2715" xr:uid="{AD84E7E0-800C-4949-B05C-6906F03A1A47}"/>
    <cellStyle name="Millares 3 21 18" xfId="2805" xr:uid="{B545DF53-9DBE-4B7D-9BFD-79372BBE924A}"/>
    <cellStyle name="Millares 3 21 19" xfId="2895" xr:uid="{83CAE4C3-CBE8-4E5B-B0B0-C09A26DEE582}"/>
    <cellStyle name="Millares 3 21 2" xfId="1355" xr:uid="{00000000-0005-0000-0000-000066050000}"/>
    <cellStyle name="Millares 3 21 2 2" xfId="3520" xr:uid="{5F8E9B16-FDE8-4FB5-87CE-DBD3E2EAD464}"/>
    <cellStyle name="Millares 3 21 2 3" xfId="3732" xr:uid="{71FBAB84-11B2-43DC-9E42-445C3D0F0FDB}"/>
    <cellStyle name="Millares 3 21 20" xfId="2988" xr:uid="{A5813799-DCD6-4A6C-862E-56A901E29957}"/>
    <cellStyle name="Millares 3 21 21" xfId="3082" xr:uid="{65FCAF33-5595-46B3-8778-AA817B1748AF}"/>
    <cellStyle name="Millares 3 21 22" xfId="3642" xr:uid="{7690B4D2-12B0-47DB-B738-E82982853FAB}"/>
    <cellStyle name="Millares 3 21 3" xfId="1452" xr:uid="{00000000-0005-0000-0000-000067050000}"/>
    <cellStyle name="Millares 3 21 4" xfId="1542" xr:uid="{00000000-0005-0000-0000-000068050000}"/>
    <cellStyle name="Millares 3 21 5" xfId="1632" xr:uid="{00000000-0005-0000-0000-000069050000}"/>
    <cellStyle name="Millares 3 21 6" xfId="1723" xr:uid="{00000000-0005-0000-0000-00006A050000}"/>
    <cellStyle name="Millares 3 21 7" xfId="1816" xr:uid="{00000000-0005-0000-0000-00006B050000}"/>
    <cellStyle name="Millares 3 21 8" xfId="1907" xr:uid="{B728ACAA-1D1C-456E-A00A-202FE4C74ACE}"/>
    <cellStyle name="Millares 3 21 9" xfId="1998" xr:uid="{D070909A-2C3F-480D-A78F-6283376A1CCC}"/>
    <cellStyle name="Millares 3 22" xfId="1356" xr:uid="{00000000-0005-0000-0000-00006C050000}"/>
    <cellStyle name="Millares 3 22 10" xfId="2179" xr:uid="{355D7150-DD6F-4762-AF77-3042336853EF}"/>
    <cellStyle name="Millares 3 22 11" xfId="2268" xr:uid="{D1D110F2-6E92-4F3F-B8C6-1C16BB9C0BDD}"/>
    <cellStyle name="Millares 3 22 12" xfId="2358" xr:uid="{732FD240-6A25-4ACF-9A2D-F27DC54A86CF}"/>
    <cellStyle name="Millares 3 22 13" xfId="2447" xr:uid="{DC6FB0E4-D20A-4FEB-86FA-09EF23EB7082}"/>
    <cellStyle name="Millares 3 22 14" xfId="2537" xr:uid="{102BD26E-01ED-47F7-B073-02EF1DB131AE}"/>
    <cellStyle name="Millares 3 22 15" xfId="2626" xr:uid="{0085F593-D53A-422D-A5F5-BE9B5DF1C83D}"/>
    <cellStyle name="Millares 3 22 16" xfId="2716" xr:uid="{4ED24322-5DD8-4D8D-9B57-9C0F801D11F0}"/>
    <cellStyle name="Millares 3 22 17" xfId="2806" xr:uid="{46726615-95B4-4D3A-BB50-E029B391B491}"/>
    <cellStyle name="Millares 3 22 18" xfId="2896" xr:uid="{40103FEE-6728-4C79-9CE7-0800494D281B}"/>
    <cellStyle name="Millares 3 22 19" xfId="2989" xr:uid="{DAF50E97-D860-4A4E-9A10-2D73C0566BDB}"/>
    <cellStyle name="Millares 3 22 2" xfId="1453" xr:uid="{00000000-0005-0000-0000-00006D050000}"/>
    <cellStyle name="Millares 3 22 2 2" xfId="3521" xr:uid="{977C2289-70D9-470B-94C0-32B183860DCD}"/>
    <cellStyle name="Millares 3 22 2 3" xfId="3733" xr:uid="{293E03D8-5E51-451C-A924-63A3C0FB4FC6}"/>
    <cellStyle name="Millares 3 22 20" xfId="3083" xr:uid="{53E9EC77-40B9-4A16-BA44-BA89815D098C}"/>
    <cellStyle name="Millares 3 22 21" xfId="3643" xr:uid="{1DC6F57B-46E3-4FAA-B510-D1FD70CA60F1}"/>
    <cellStyle name="Millares 3 22 3" xfId="1543" xr:uid="{00000000-0005-0000-0000-00006E050000}"/>
    <cellStyle name="Millares 3 22 4" xfId="1633" xr:uid="{00000000-0005-0000-0000-00006F050000}"/>
    <cellStyle name="Millares 3 22 5" xfId="1724" xr:uid="{00000000-0005-0000-0000-000070050000}"/>
    <cellStyle name="Millares 3 22 6" xfId="1817" xr:uid="{00000000-0005-0000-0000-000071050000}"/>
    <cellStyle name="Millares 3 22 7" xfId="1908" xr:uid="{2F8A67FF-9F85-4B80-A892-BD53417F3B07}"/>
    <cellStyle name="Millares 3 22 8" xfId="1999" xr:uid="{EB09353C-D978-4510-8464-D29A2D22A3DF}"/>
    <cellStyle name="Millares 3 22 9" xfId="2088" xr:uid="{E5E49327-F1F0-4EE2-A5A4-B3160E8E2036}"/>
    <cellStyle name="Millares 3 23" xfId="1342" xr:uid="{00000000-0005-0000-0000-000072050000}"/>
    <cellStyle name="Millares 3 23 2" xfId="3507" xr:uid="{F79DEF01-DDCC-4750-A9D8-7AA490B34999}"/>
    <cellStyle name="Millares 3 23 3" xfId="3719" xr:uid="{68A855B3-BDF6-4F35-B555-0FE15ECBB7F5}"/>
    <cellStyle name="Millares 3 24" xfId="1439" xr:uid="{00000000-0005-0000-0000-000073050000}"/>
    <cellStyle name="Millares 3 25" xfId="1529" xr:uid="{00000000-0005-0000-0000-000074050000}"/>
    <cellStyle name="Millares 3 26" xfId="1619" xr:uid="{00000000-0005-0000-0000-000075050000}"/>
    <cellStyle name="Millares 3 27" xfId="1710" xr:uid="{00000000-0005-0000-0000-000076050000}"/>
    <cellStyle name="Millares 3 28" xfId="1803" xr:uid="{00000000-0005-0000-0000-000077050000}"/>
    <cellStyle name="Millares 3 29" xfId="1894" xr:uid="{4CEA6988-6844-4DB9-B947-4CE1D77B1187}"/>
    <cellStyle name="Millares 3 3" xfId="1202" xr:uid="{00000000-0005-0000-0000-000078050000}"/>
    <cellStyle name="Millares 3 3 10" xfId="2089" xr:uid="{81EA8C15-A9F0-477C-B8BD-7A189F72BADF}"/>
    <cellStyle name="Millares 3 3 11" xfId="2180" xr:uid="{65B19E6C-63F5-4376-8815-227BE6DFF83C}"/>
    <cellStyle name="Millares 3 3 12" xfId="2269" xr:uid="{F65F3D5F-0B75-4FF0-9616-AEDB08757F14}"/>
    <cellStyle name="Millares 3 3 13" xfId="2359" xr:uid="{18CD27A6-5152-415A-B92D-C136C27827E8}"/>
    <cellStyle name="Millares 3 3 14" xfId="2448" xr:uid="{6FB772A1-4072-437B-AE2C-A49298B0DAA2}"/>
    <cellStyle name="Millares 3 3 15" xfId="2538" xr:uid="{EF43F6A7-297D-434B-A738-3A2EA93191A1}"/>
    <cellStyle name="Millares 3 3 16" xfId="2627" xr:uid="{F4A8E57C-C53E-4F0E-84DA-F2341ED2036C}"/>
    <cellStyle name="Millares 3 3 17" xfId="2717" xr:uid="{06DB3823-92A1-4461-903F-67D64D59D1C9}"/>
    <cellStyle name="Millares 3 3 18" xfId="2807" xr:uid="{B7E549D8-B5F9-4B14-8A32-326BF1AA9033}"/>
    <cellStyle name="Millares 3 3 19" xfId="2897" xr:uid="{CFDF9E08-EA58-4BD2-BC91-AC109EAF451E}"/>
    <cellStyle name="Millares 3 3 2" xfId="1357" xr:uid="{00000000-0005-0000-0000-000079050000}"/>
    <cellStyle name="Millares 3 3 2 2" xfId="3522" xr:uid="{2D205318-D928-4FBC-BF9B-36C4EF10F482}"/>
    <cellStyle name="Millares 3 3 2 3" xfId="3734" xr:uid="{ABF6C6DB-1851-4AF2-AFB2-52AFE72E5BF8}"/>
    <cellStyle name="Millares 3 3 20" xfId="2990" xr:uid="{5041C413-28BF-4E47-BB7D-8AB11404D54B}"/>
    <cellStyle name="Millares 3 3 21" xfId="3084" xr:uid="{9DF50DC0-3CD1-4598-9321-ED140D60BEB3}"/>
    <cellStyle name="Millares 3 3 22" xfId="3644" xr:uid="{95F5DFF7-C7FC-445E-AE70-80332FD855D9}"/>
    <cellStyle name="Millares 3 3 3" xfId="1454" xr:uid="{00000000-0005-0000-0000-00007A050000}"/>
    <cellStyle name="Millares 3 3 4" xfId="1544" xr:uid="{00000000-0005-0000-0000-00007B050000}"/>
    <cellStyle name="Millares 3 3 5" xfId="1634" xr:uid="{00000000-0005-0000-0000-00007C050000}"/>
    <cellStyle name="Millares 3 3 6" xfId="1725" xr:uid="{00000000-0005-0000-0000-00007D050000}"/>
    <cellStyle name="Millares 3 3 7" xfId="1818" xr:uid="{00000000-0005-0000-0000-00007E050000}"/>
    <cellStyle name="Millares 3 3 8" xfId="1909" xr:uid="{547D8CF0-4DF3-4186-A657-E475DEB4750D}"/>
    <cellStyle name="Millares 3 3 9" xfId="2000" xr:uid="{1FD77CA2-6B1F-4732-8019-62CCAFC71494}"/>
    <cellStyle name="Millares 3 30" xfId="1985" xr:uid="{C185E042-1613-4F16-9853-061410D4CE34}"/>
    <cellStyle name="Millares 3 31" xfId="2074" xr:uid="{E81C5E15-52A9-47A4-8042-A6B0961E72CD}"/>
    <cellStyle name="Millares 3 32" xfId="2165" xr:uid="{D27BEBBF-1F58-47E3-B7DC-EAEAB3885AE8}"/>
    <cellStyle name="Millares 3 33" xfId="2254" xr:uid="{7B73BA45-2329-42C7-86A3-56A207CF0437}"/>
    <cellStyle name="Millares 3 34" xfId="2344" xr:uid="{8FDAD471-50F9-4278-A25D-8D309CE229FF}"/>
    <cellStyle name="Millares 3 35" xfId="2433" xr:uid="{2AF319C3-FFED-4473-97BC-A2A58124CE29}"/>
    <cellStyle name="Millares 3 36" xfId="2523" xr:uid="{D1AD3199-8E1B-418D-8480-5CD0FCAE5EC3}"/>
    <cellStyle name="Millares 3 37" xfId="2612" xr:uid="{26CA0E42-98AE-4C57-9454-6AA74B0857B0}"/>
    <cellStyle name="Millares 3 38" xfId="2702" xr:uid="{D1A62CD0-599B-4F10-817C-022CFEBCDC4B}"/>
    <cellStyle name="Millares 3 39" xfId="2792" xr:uid="{66BC8E77-F728-40F9-85E1-65BB03DF5868}"/>
    <cellStyle name="Millares 3 4" xfId="1207" xr:uid="{00000000-0005-0000-0000-00007F050000}"/>
    <cellStyle name="Millares 3 4 10" xfId="2090" xr:uid="{0412F955-6100-40A0-90D7-7D8BF6AE197B}"/>
    <cellStyle name="Millares 3 4 11" xfId="2181" xr:uid="{04C0C258-1DA7-4035-A702-79AE05DD4AE4}"/>
    <cellStyle name="Millares 3 4 12" xfId="2270" xr:uid="{D58B6AFB-F6FC-4B68-82E6-DEA4AAB501CE}"/>
    <cellStyle name="Millares 3 4 13" xfId="2360" xr:uid="{9F878852-D505-46A9-AD96-BDA8D529BBDB}"/>
    <cellStyle name="Millares 3 4 14" xfId="2449" xr:uid="{17DE524E-E0D6-48AF-AD8F-9892A79C8832}"/>
    <cellStyle name="Millares 3 4 15" xfId="2539" xr:uid="{6DDCAC48-A216-4679-A359-56C49BD9EBBB}"/>
    <cellStyle name="Millares 3 4 16" xfId="2628" xr:uid="{C7370308-43A2-47FE-B50B-B74D189F5F35}"/>
    <cellStyle name="Millares 3 4 17" xfId="2718" xr:uid="{2908C877-23CF-49D3-9EF9-A7B90395F8F5}"/>
    <cellStyle name="Millares 3 4 18" xfId="2808" xr:uid="{C561E5E1-4BC3-4847-BBAA-5D324535F236}"/>
    <cellStyle name="Millares 3 4 19" xfId="2898" xr:uid="{7F67C996-5E1D-47F0-9E50-43C00C711E53}"/>
    <cellStyle name="Millares 3 4 2" xfId="1358" xr:uid="{00000000-0005-0000-0000-000080050000}"/>
    <cellStyle name="Millares 3 4 2 2" xfId="3523" xr:uid="{0ADD1531-520E-46E2-A064-A8F194F26DB2}"/>
    <cellStyle name="Millares 3 4 2 3" xfId="3735" xr:uid="{E4DCD62B-FA0A-4F87-806E-A4C16A7D6A43}"/>
    <cellStyle name="Millares 3 4 20" xfId="2991" xr:uid="{C1AE1039-E755-4C2D-83E1-D945AD0DFFE8}"/>
    <cellStyle name="Millares 3 4 21" xfId="3085" xr:uid="{5141CC0B-BA2F-4D3C-BDAF-DC31D471AB50}"/>
    <cellStyle name="Millares 3 4 22" xfId="3645" xr:uid="{DAA86A79-F542-4B1A-937B-6910D22FD97D}"/>
    <cellStyle name="Millares 3 4 3" xfId="1455" xr:uid="{00000000-0005-0000-0000-000081050000}"/>
    <cellStyle name="Millares 3 4 4" xfId="1545" xr:uid="{00000000-0005-0000-0000-000082050000}"/>
    <cellStyle name="Millares 3 4 5" xfId="1635" xr:uid="{00000000-0005-0000-0000-000083050000}"/>
    <cellStyle name="Millares 3 4 6" xfId="1726" xr:uid="{00000000-0005-0000-0000-000084050000}"/>
    <cellStyle name="Millares 3 4 7" xfId="1819" xr:uid="{00000000-0005-0000-0000-000085050000}"/>
    <cellStyle name="Millares 3 4 8" xfId="1910" xr:uid="{30D3A51F-E35E-49F6-8E0B-EDA224D5D554}"/>
    <cellStyle name="Millares 3 4 9" xfId="2001" xr:uid="{8BB55011-C21E-460B-BDA2-0BA0BA7817ED}"/>
    <cellStyle name="Millares 3 40" xfId="2882" xr:uid="{8C0C6763-ADB1-4166-987E-245DD44048D6}"/>
    <cellStyle name="Millares 3 41" xfId="2975" xr:uid="{340622D9-F165-4DC2-B7D7-7393D19824F0}"/>
    <cellStyle name="Millares 3 42" xfId="3069" xr:uid="{FA4134AF-9F54-44AD-998B-780BACB85E8F}"/>
    <cellStyle name="Millares 3 43" xfId="3629" xr:uid="{3A6C344A-1D14-46BC-8E57-A4E1445BBC33}"/>
    <cellStyle name="Millares 3 5" xfId="1211" xr:uid="{00000000-0005-0000-0000-000086050000}"/>
    <cellStyle name="Millares 3 5 10" xfId="2091" xr:uid="{84A02537-DF7E-4844-A99F-0639EE4B4B66}"/>
    <cellStyle name="Millares 3 5 11" xfId="2182" xr:uid="{4032463C-7B8D-4D33-9A0C-ECD8C137E210}"/>
    <cellStyle name="Millares 3 5 12" xfId="2271" xr:uid="{4E1C59A9-55FB-4807-8554-2C3E5A601EF1}"/>
    <cellStyle name="Millares 3 5 13" xfId="2361" xr:uid="{C37C9074-1548-4A00-9F6A-34449C8A317C}"/>
    <cellStyle name="Millares 3 5 14" xfId="2450" xr:uid="{FB9405A8-D173-4542-94CF-CDC67C1C3230}"/>
    <cellStyle name="Millares 3 5 15" xfId="2540" xr:uid="{6E7585A6-8450-4A9E-A193-B1C5C3B4A50A}"/>
    <cellStyle name="Millares 3 5 16" xfId="2629" xr:uid="{A3F75FEF-FF37-4E6D-9DC3-DEC83848DCCC}"/>
    <cellStyle name="Millares 3 5 17" xfId="2719" xr:uid="{788BC59A-8E9A-4722-B799-B6BEC097C84C}"/>
    <cellStyle name="Millares 3 5 18" xfId="2809" xr:uid="{6003EA1A-41DB-45FF-B745-3B6F062DB078}"/>
    <cellStyle name="Millares 3 5 19" xfId="2899" xr:uid="{F6B1D531-6584-4B9B-A481-B920E12108A4}"/>
    <cellStyle name="Millares 3 5 2" xfId="1359" xr:uid="{00000000-0005-0000-0000-000087050000}"/>
    <cellStyle name="Millares 3 5 2 2" xfId="3524" xr:uid="{151AC96A-A727-4539-AD5D-A6C26EB91FE4}"/>
    <cellStyle name="Millares 3 5 2 3" xfId="3736" xr:uid="{9C00D947-661B-4C2B-B8FB-A08AB71CE1AB}"/>
    <cellStyle name="Millares 3 5 20" xfId="2992" xr:uid="{4A24EFB4-E0CE-4C6E-96B6-570398427B0C}"/>
    <cellStyle name="Millares 3 5 21" xfId="3086" xr:uid="{7494F474-E0A3-4DB9-8919-E00E38CB3B5B}"/>
    <cellStyle name="Millares 3 5 22" xfId="3646" xr:uid="{168AD132-02AB-4B24-85B4-B175E9E23D53}"/>
    <cellStyle name="Millares 3 5 3" xfId="1456" xr:uid="{00000000-0005-0000-0000-000088050000}"/>
    <cellStyle name="Millares 3 5 4" xfId="1546" xr:uid="{00000000-0005-0000-0000-000089050000}"/>
    <cellStyle name="Millares 3 5 5" xfId="1636" xr:uid="{00000000-0005-0000-0000-00008A050000}"/>
    <cellStyle name="Millares 3 5 6" xfId="1727" xr:uid="{00000000-0005-0000-0000-00008B050000}"/>
    <cellStyle name="Millares 3 5 7" xfId="1820" xr:uid="{00000000-0005-0000-0000-00008C050000}"/>
    <cellStyle name="Millares 3 5 8" xfId="1911" xr:uid="{6C527B31-35FD-4FC3-96F5-76164855CB5B}"/>
    <cellStyle name="Millares 3 5 9" xfId="2002" xr:uid="{E2B3119B-2A74-4277-9890-E36F284AC323}"/>
    <cellStyle name="Millares 3 6" xfId="1215" xr:uid="{00000000-0005-0000-0000-00008D050000}"/>
    <cellStyle name="Millares 3 6 10" xfId="2092" xr:uid="{8494F522-1BCB-4D2C-A44A-F6913CC52608}"/>
    <cellStyle name="Millares 3 6 11" xfId="2183" xr:uid="{E8D22BA2-0146-40DD-BC60-96E2DF3414C7}"/>
    <cellStyle name="Millares 3 6 12" xfId="2272" xr:uid="{7F2636DB-DA84-4C4F-8C9E-753675720562}"/>
    <cellStyle name="Millares 3 6 13" xfId="2362" xr:uid="{7B8323E2-D48D-48DE-ABDE-EBED639E948D}"/>
    <cellStyle name="Millares 3 6 14" xfId="2451" xr:uid="{A3982968-AE90-4B21-9ECB-7319EA62A54F}"/>
    <cellStyle name="Millares 3 6 15" xfId="2541" xr:uid="{24B662E8-A100-4196-9CF4-6D5ACF8BEE75}"/>
    <cellStyle name="Millares 3 6 16" xfId="2630" xr:uid="{33CFD0F3-8A5E-4BBD-93C3-CCEE644C847A}"/>
    <cellStyle name="Millares 3 6 17" xfId="2720" xr:uid="{864A17F2-A506-406B-8B26-C2E249115EA7}"/>
    <cellStyle name="Millares 3 6 18" xfId="2810" xr:uid="{EB932016-2F78-4F94-91C2-AB2A2C57C351}"/>
    <cellStyle name="Millares 3 6 19" xfId="2900" xr:uid="{07DF1442-2CA3-4FB0-8F98-CBEC420C99A5}"/>
    <cellStyle name="Millares 3 6 2" xfId="1360" xr:uid="{00000000-0005-0000-0000-00008E050000}"/>
    <cellStyle name="Millares 3 6 2 2" xfId="3525" xr:uid="{513CDC09-9363-4E61-912D-8ED0D4064144}"/>
    <cellStyle name="Millares 3 6 2 3" xfId="3737" xr:uid="{B660A1CB-B075-4CEB-8287-C8096967DFD3}"/>
    <cellStyle name="Millares 3 6 20" xfId="2993" xr:uid="{860D7CBD-5E64-444D-868F-F79E626B8F28}"/>
    <cellStyle name="Millares 3 6 21" xfId="3087" xr:uid="{C1E70E4A-1A4F-465B-BADD-F0FFC2022C47}"/>
    <cellStyle name="Millares 3 6 22" xfId="3647" xr:uid="{DD34B6C0-14F4-48AE-BF42-C74B23401561}"/>
    <cellStyle name="Millares 3 6 3" xfId="1457" xr:uid="{00000000-0005-0000-0000-00008F050000}"/>
    <cellStyle name="Millares 3 6 4" xfId="1547" xr:uid="{00000000-0005-0000-0000-000090050000}"/>
    <cellStyle name="Millares 3 6 5" xfId="1637" xr:uid="{00000000-0005-0000-0000-000091050000}"/>
    <cellStyle name="Millares 3 6 6" xfId="1728" xr:uid="{00000000-0005-0000-0000-000092050000}"/>
    <cellStyle name="Millares 3 6 7" xfId="1821" xr:uid="{00000000-0005-0000-0000-000093050000}"/>
    <cellStyle name="Millares 3 6 8" xfId="1912" xr:uid="{C41848CB-9837-4107-AF73-A9FC0D6B70DB}"/>
    <cellStyle name="Millares 3 6 9" xfId="2003" xr:uid="{31EE3513-9279-4DDD-B54A-3E9527F87536}"/>
    <cellStyle name="Millares 3 7" xfId="1219" xr:uid="{00000000-0005-0000-0000-000094050000}"/>
    <cellStyle name="Millares 3 7 10" xfId="2093" xr:uid="{7F53B373-D73E-4CC4-9F43-B8C806EB39AD}"/>
    <cellStyle name="Millares 3 7 11" xfId="2184" xr:uid="{8ADCFE2A-D20B-4ACB-8F95-E6233581D61A}"/>
    <cellStyle name="Millares 3 7 12" xfId="2273" xr:uid="{992ADD42-DABE-4794-9263-552EED761F98}"/>
    <cellStyle name="Millares 3 7 13" xfId="2363" xr:uid="{24633DB2-4B92-44C3-9EC2-213F0C5C0A25}"/>
    <cellStyle name="Millares 3 7 14" xfId="2452" xr:uid="{265A75E6-5805-4402-A326-58ACAFCA2A58}"/>
    <cellStyle name="Millares 3 7 15" xfId="2542" xr:uid="{E3A7713E-3930-4683-98BE-53219FF920F4}"/>
    <cellStyle name="Millares 3 7 16" xfId="2631" xr:uid="{4040D8CC-EAA6-4F51-AC4E-ADB125843E6C}"/>
    <cellStyle name="Millares 3 7 17" xfId="2721" xr:uid="{BC0E7AB9-2764-4453-9582-D0353F4180DA}"/>
    <cellStyle name="Millares 3 7 18" xfId="2811" xr:uid="{9C14FF83-3CAB-4048-B90E-48805E6BC33E}"/>
    <cellStyle name="Millares 3 7 19" xfId="2901" xr:uid="{0FF1C2A5-ABC4-4621-80DB-5ECE658B38DF}"/>
    <cellStyle name="Millares 3 7 2" xfId="1361" xr:uid="{00000000-0005-0000-0000-000095050000}"/>
    <cellStyle name="Millares 3 7 2 2" xfId="3526" xr:uid="{7851D65D-00D8-4222-9C6D-63F7EC76567D}"/>
    <cellStyle name="Millares 3 7 2 3" xfId="3738" xr:uid="{B046ABAE-F465-4557-AB64-84D2C98B5019}"/>
    <cellStyle name="Millares 3 7 20" xfId="2994" xr:uid="{AF2C094B-EC88-43E8-9B8F-13307D0727CC}"/>
    <cellStyle name="Millares 3 7 21" xfId="3088" xr:uid="{540EB0D0-A76A-4215-975E-E6CBD10C109E}"/>
    <cellStyle name="Millares 3 7 22" xfId="3648" xr:uid="{BBDC13C3-A6D9-40BA-A5FF-DF4305D8CA70}"/>
    <cellStyle name="Millares 3 7 3" xfId="1458" xr:uid="{00000000-0005-0000-0000-000096050000}"/>
    <cellStyle name="Millares 3 7 4" xfId="1548" xr:uid="{00000000-0005-0000-0000-000097050000}"/>
    <cellStyle name="Millares 3 7 5" xfId="1638" xr:uid="{00000000-0005-0000-0000-000098050000}"/>
    <cellStyle name="Millares 3 7 6" xfId="1729" xr:uid="{00000000-0005-0000-0000-000099050000}"/>
    <cellStyle name="Millares 3 7 7" xfId="1822" xr:uid="{00000000-0005-0000-0000-00009A050000}"/>
    <cellStyle name="Millares 3 7 8" xfId="1913" xr:uid="{7023A7FD-5EA3-4CA1-ABC7-1FA55AA44A11}"/>
    <cellStyle name="Millares 3 7 9" xfId="2004" xr:uid="{CEFA593D-A406-4101-B14D-C4591228F7C8}"/>
    <cellStyle name="Millares 3 8" xfId="1223" xr:uid="{00000000-0005-0000-0000-00009B050000}"/>
    <cellStyle name="Millares 3 8 10" xfId="2094" xr:uid="{1E710747-1DF8-4EBD-93A7-1EAEE58C7F26}"/>
    <cellStyle name="Millares 3 8 11" xfId="2185" xr:uid="{F937A8A1-19DC-472A-B5EB-7FF1EE8C1FB6}"/>
    <cellStyle name="Millares 3 8 12" xfId="2274" xr:uid="{0332FD30-179F-40E8-9AC6-E7ED517EF505}"/>
    <cellStyle name="Millares 3 8 13" xfId="2364" xr:uid="{559F1581-8B81-4CE9-81E0-AC236B05616E}"/>
    <cellStyle name="Millares 3 8 14" xfId="2453" xr:uid="{28D28630-E443-4324-8F46-78F315D500EF}"/>
    <cellStyle name="Millares 3 8 15" xfId="2543" xr:uid="{124E2BBF-59FB-48F7-BA52-CE1DD41DF945}"/>
    <cellStyle name="Millares 3 8 16" xfId="2632" xr:uid="{6325C03D-AB21-4E6A-8777-9A6C62D558C9}"/>
    <cellStyle name="Millares 3 8 17" xfId="2722" xr:uid="{2128E77B-FC0B-4999-92A6-846883EBF744}"/>
    <cellStyle name="Millares 3 8 18" xfId="2812" xr:uid="{60A5D751-F84A-40F1-9E92-E9B44F55F9A3}"/>
    <cellStyle name="Millares 3 8 19" xfId="2902" xr:uid="{D648EFC4-2DED-4248-8A6E-787EFFB9DD0F}"/>
    <cellStyle name="Millares 3 8 2" xfId="1362" xr:uid="{00000000-0005-0000-0000-00009C050000}"/>
    <cellStyle name="Millares 3 8 2 2" xfId="3527" xr:uid="{7EC92FD5-D543-4682-9FFD-5844E0F30FB7}"/>
    <cellStyle name="Millares 3 8 2 3" xfId="3739" xr:uid="{1D40CB9B-BC08-431D-98A1-3F39229A41B3}"/>
    <cellStyle name="Millares 3 8 20" xfId="2995" xr:uid="{64D130F4-C361-4B54-868A-FF3270292BAC}"/>
    <cellStyle name="Millares 3 8 21" xfId="3089" xr:uid="{9C309C41-4E08-4C47-AEBF-555A4E089255}"/>
    <cellStyle name="Millares 3 8 22" xfId="3649" xr:uid="{2161C691-91ED-484C-A0C1-097DCC550574}"/>
    <cellStyle name="Millares 3 8 3" xfId="1459" xr:uid="{00000000-0005-0000-0000-00009D050000}"/>
    <cellStyle name="Millares 3 8 4" xfId="1549" xr:uid="{00000000-0005-0000-0000-00009E050000}"/>
    <cellStyle name="Millares 3 8 5" xfId="1639" xr:uid="{00000000-0005-0000-0000-00009F050000}"/>
    <cellStyle name="Millares 3 8 6" xfId="1730" xr:uid="{00000000-0005-0000-0000-0000A0050000}"/>
    <cellStyle name="Millares 3 8 7" xfId="1823" xr:uid="{00000000-0005-0000-0000-0000A1050000}"/>
    <cellStyle name="Millares 3 8 8" xfId="1914" xr:uid="{70BBE836-E9DF-48FB-89FD-0CDB2DB1A29B}"/>
    <cellStyle name="Millares 3 8 9" xfId="2005" xr:uid="{B578AB80-7F4A-484A-BD2C-395DDE963AFE}"/>
    <cellStyle name="Millares 3 9" xfId="1227" xr:uid="{00000000-0005-0000-0000-0000A2050000}"/>
    <cellStyle name="Millares 3 9 10" xfId="2095" xr:uid="{C07834B0-9712-4249-8A88-FD161D3C6048}"/>
    <cellStyle name="Millares 3 9 11" xfId="2186" xr:uid="{68849543-6E09-4C14-9691-1FBC9DE0341F}"/>
    <cellStyle name="Millares 3 9 12" xfId="2275" xr:uid="{45393149-8A05-450F-A0F8-F54E36FD362B}"/>
    <cellStyle name="Millares 3 9 13" xfId="2365" xr:uid="{58770AA8-CEE5-4D7B-B679-4553D1DCD7C3}"/>
    <cellStyle name="Millares 3 9 14" xfId="2454" xr:uid="{CA632E44-DC27-450D-A664-D16E2FE1E125}"/>
    <cellStyle name="Millares 3 9 15" xfId="2544" xr:uid="{C8153829-F7F3-461E-B5D4-17B8ADEA3B0E}"/>
    <cellStyle name="Millares 3 9 16" xfId="2633" xr:uid="{2BBF47DF-1F49-45A0-9F60-326688D3CB9B}"/>
    <cellStyle name="Millares 3 9 17" xfId="2723" xr:uid="{0ED03457-54E9-4E72-BF79-7193E8ECAB96}"/>
    <cellStyle name="Millares 3 9 18" xfId="2813" xr:uid="{0C479598-1732-45B2-ACC2-9CCCE464B094}"/>
    <cellStyle name="Millares 3 9 19" xfId="2903" xr:uid="{EA111454-9DB0-436E-B953-7AE50A9B369D}"/>
    <cellStyle name="Millares 3 9 2" xfId="1363" xr:uid="{00000000-0005-0000-0000-0000A3050000}"/>
    <cellStyle name="Millares 3 9 2 2" xfId="3528" xr:uid="{6A22E414-64BF-4FCB-9454-0E5D606C1F64}"/>
    <cellStyle name="Millares 3 9 2 3" xfId="3740" xr:uid="{07C01EE3-12D6-4DF4-9D6B-4A81676E09EA}"/>
    <cellStyle name="Millares 3 9 20" xfId="2996" xr:uid="{CC57D707-4C10-4568-9790-DD0A8BD57351}"/>
    <cellStyle name="Millares 3 9 21" xfId="3090" xr:uid="{8248BD12-E133-4F4E-BDAD-9AB71C299E4F}"/>
    <cellStyle name="Millares 3 9 22" xfId="3650" xr:uid="{1A661BE1-C639-4D6D-BE27-F0117CA13636}"/>
    <cellStyle name="Millares 3 9 3" xfId="1460" xr:uid="{00000000-0005-0000-0000-0000A4050000}"/>
    <cellStyle name="Millares 3 9 4" xfId="1550" xr:uid="{00000000-0005-0000-0000-0000A5050000}"/>
    <cellStyle name="Millares 3 9 5" xfId="1640" xr:uid="{00000000-0005-0000-0000-0000A6050000}"/>
    <cellStyle name="Millares 3 9 6" xfId="1731" xr:uid="{00000000-0005-0000-0000-0000A7050000}"/>
    <cellStyle name="Millares 3 9 7" xfId="1824" xr:uid="{00000000-0005-0000-0000-0000A8050000}"/>
    <cellStyle name="Millares 3 9 8" xfId="1915" xr:uid="{5FFF1373-0F1B-45EC-93F8-419FC9437E01}"/>
    <cellStyle name="Millares 3 9 9" xfId="2006" xr:uid="{A2372DC1-12FF-4133-A812-A420E9C10E9A}"/>
    <cellStyle name="Millares 4" xfId="878" xr:uid="{00000000-0005-0000-0000-0000A9050000}"/>
    <cellStyle name="Millares 4 10" xfId="2096" xr:uid="{19F55990-4342-4883-8D14-D75B4F091810}"/>
    <cellStyle name="Millares 4 11" xfId="2187" xr:uid="{232BFF55-63C2-44EA-B898-A2EBB2CED8DD}"/>
    <cellStyle name="Millares 4 12" xfId="2276" xr:uid="{7092A943-4758-42EA-A09B-1C4744D6483B}"/>
    <cellStyle name="Millares 4 13" xfId="2366" xr:uid="{4BE1D9B3-FFD5-405A-81FE-5925C0BDD0AD}"/>
    <cellStyle name="Millares 4 14" xfId="2455" xr:uid="{C3CA4399-7E1A-468F-8CEF-9D21EB5E0990}"/>
    <cellStyle name="Millares 4 15" xfId="2545" xr:uid="{4B53D56B-2C76-4223-885B-316145D954FF}"/>
    <cellStyle name="Millares 4 16" xfId="2634" xr:uid="{92EDC5B1-825B-438C-9C60-8932954353C1}"/>
    <cellStyle name="Millares 4 17" xfId="2724" xr:uid="{38D012C0-9997-47B8-ADFB-D4FF152D61E9}"/>
    <cellStyle name="Millares 4 18" xfId="2814" xr:uid="{1634636D-2A0B-4FDA-A65A-BD38C3474264}"/>
    <cellStyle name="Millares 4 19" xfId="2904" xr:uid="{5893A9E0-CCA7-4E73-840B-8EF801C70687}"/>
    <cellStyle name="Millares 4 2" xfId="1364" xr:uid="{00000000-0005-0000-0000-0000AA050000}"/>
    <cellStyle name="Millares 4 2 2" xfId="3529" xr:uid="{639BBC00-CCB3-4F97-B3F5-E3F3F5B40B24}"/>
    <cellStyle name="Millares 4 2 3" xfId="3741" xr:uid="{349F56DF-62C2-4BB9-B6B2-80B35B147116}"/>
    <cellStyle name="Millares 4 20" xfId="2997" xr:uid="{390C1A6C-67B8-442B-85E5-80234E2CD45C}"/>
    <cellStyle name="Millares 4 21" xfId="3091" xr:uid="{36A783B1-6EB9-4CA1-8F7D-9A185BC45656}"/>
    <cellStyle name="Millares 4 22" xfId="3651" xr:uid="{A2427B4A-297B-4F29-9FEA-829C37091909}"/>
    <cellStyle name="Millares 4 3" xfId="1461" xr:uid="{00000000-0005-0000-0000-0000AB050000}"/>
    <cellStyle name="Millares 4 4" xfId="1551" xr:uid="{00000000-0005-0000-0000-0000AC050000}"/>
    <cellStyle name="Millares 4 5" xfId="1641" xr:uid="{00000000-0005-0000-0000-0000AD050000}"/>
    <cellStyle name="Millares 4 6" xfId="1732" xr:uid="{00000000-0005-0000-0000-0000AE050000}"/>
    <cellStyle name="Millares 4 7" xfId="1825" xr:uid="{00000000-0005-0000-0000-0000AF050000}"/>
    <cellStyle name="Millares 4 8" xfId="1916" xr:uid="{13174BF1-E437-453D-8DA1-9C145DC06CE8}"/>
    <cellStyle name="Millares 4 9" xfId="2007" xr:uid="{A43608CD-0416-4575-BCA1-3D2108BDFA5E}"/>
    <cellStyle name="Millares 5" xfId="1194" xr:uid="{00000000-0005-0000-0000-0000B0050000}"/>
    <cellStyle name="Millares 5 10" xfId="2097" xr:uid="{14C33394-26CA-4BF7-B0D9-F2DE6CD70C9C}"/>
    <cellStyle name="Millares 5 11" xfId="2188" xr:uid="{3565CA42-A99A-44DA-B919-DFD184555350}"/>
    <cellStyle name="Millares 5 12" xfId="2277" xr:uid="{764B829B-521E-423A-8E97-051D3AAA6A13}"/>
    <cellStyle name="Millares 5 13" xfId="2367" xr:uid="{4F8E1A77-96B3-46DD-8CA5-DE616AB8FAD8}"/>
    <cellStyle name="Millares 5 14" xfId="2456" xr:uid="{410B3C94-E125-48EC-932D-CD319F056211}"/>
    <cellStyle name="Millares 5 15" xfId="2546" xr:uid="{58B301C1-0BDE-45CB-8E70-9017BEE55851}"/>
    <cellStyle name="Millares 5 16" xfId="2635" xr:uid="{AB551BA1-AE63-4A2D-B0B9-0D174B0CF711}"/>
    <cellStyle name="Millares 5 17" xfId="2725" xr:uid="{5110FFB2-611B-4504-B82F-78B838E18954}"/>
    <cellStyle name="Millares 5 18" xfId="2815" xr:uid="{3ED84C92-EC2C-4573-BB9F-45C515EDAF5B}"/>
    <cellStyle name="Millares 5 19" xfId="2905" xr:uid="{287248B7-0C93-4499-A7C2-812E25B4C29C}"/>
    <cellStyle name="Millares 5 2" xfId="1365" xr:uid="{00000000-0005-0000-0000-0000B1050000}"/>
    <cellStyle name="Millares 5 2 2" xfId="3530" xr:uid="{2485C3F4-B3EE-4797-96CD-AF37C85CDD0F}"/>
    <cellStyle name="Millares 5 2 3" xfId="3742" xr:uid="{B2C85D53-8367-40BC-A67C-E94745EAF4A5}"/>
    <cellStyle name="Millares 5 20" xfId="2998" xr:uid="{3BF33856-C68E-40F5-90A0-45CC8C50F40C}"/>
    <cellStyle name="Millares 5 21" xfId="3092" xr:uid="{43DE5FBF-2005-4216-81E4-E9D44E054E0F}"/>
    <cellStyle name="Millares 5 22" xfId="3652" xr:uid="{1767624A-0A08-4A9E-AE66-D879D42B6F7D}"/>
    <cellStyle name="Millares 5 3" xfId="1462" xr:uid="{00000000-0005-0000-0000-0000B2050000}"/>
    <cellStyle name="Millares 5 4" xfId="1552" xr:uid="{00000000-0005-0000-0000-0000B3050000}"/>
    <cellStyle name="Millares 5 5" xfId="1642" xr:uid="{00000000-0005-0000-0000-0000B4050000}"/>
    <cellStyle name="Millares 5 6" xfId="1733" xr:uid="{00000000-0005-0000-0000-0000B5050000}"/>
    <cellStyle name="Millares 5 7" xfId="1826" xr:uid="{00000000-0005-0000-0000-0000B6050000}"/>
    <cellStyle name="Millares 5 8" xfId="1917" xr:uid="{62F63A66-E2D7-496B-BEC6-795C851DE290}"/>
    <cellStyle name="Millares 5 9" xfId="2008" xr:uid="{E02CA77A-6EDF-47DE-A73D-D79902D1D519}"/>
    <cellStyle name="Millares 6" xfId="1199" xr:uid="{00000000-0005-0000-0000-0000B7050000}"/>
    <cellStyle name="Millares 6 10" xfId="2098" xr:uid="{9FCDFEB1-A208-4F37-82D9-2C27E4D57F24}"/>
    <cellStyle name="Millares 6 11" xfId="2189" xr:uid="{E56E6826-9684-4E97-9E67-3F58158330F2}"/>
    <cellStyle name="Millares 6 12" xfId="2278" xr:uid="{286242F8-361F-4A2A-B7DE-30210EEBCD35}"/>
    <cellStyle name="Millares 6 13" xfId="2368" xr:uid="{5B9DB665-B504-4DEA-9834-1CBB65E58340}"/>
    <cellStyle name="Millares 6 14" xfId="2457" xr:uid="{3E91BD90-E710-48EB-AF9C-69F23816C9A8}"/>
    <cellStyle name="Millares 6 15" xfId="2547" xr:uid="{5DA032D9-C3D8-4735-8E53-EB668AC71782}"/>
    <cellStyle name="Millares 6 16" xfId="2636" xr:uid="{CFBDE139-4EF5-4A4E-875B-10957CD32108}"/>
    <cellStyle name="Millares 6 17" xfId="2726" xr:uid="{4870E0CD-AECA-4B90-B803-380B172D29AE}"/>
    <cellStyle name="Millares 6 18" xfId="2816" xr:uid="{2C38C46F-C7AD-4A32-BC99-5239495451F6}"/>
    <cellStyle name="Millares 6 19" xfId="2906" xr:uid="{DF5A0290-6321-463D-AD81-4A99579F82AE}"/>
    <cellStyle name="Millares 6 2" xfId="1366" xr:uid="{00000000-0005-0000-0000-0000B8050000}"/>
    <cellStyle name="Millares 6 2 2" xfId="3531" xr:uid="{148EFC33-6FAB-4F60-9A4D-426C4E248366}"/>
    <cellStyle name="Millares 6 2 3" xfId="3743" xr:uid="{3537ABC0-1C29-4E6D-8958-B826955EDBCD}"/>
    <cellStyle name="Millares 6 20" xfId="2999" xr:uid="{9793C4E9-2985-40E8-80B2-366D81F51CFC}"/>
    <cellStyle name="Millares 6 21" xfId="3093" xr:uid="{0C172576-124A-4C82-82F7-2277C4168000}"/>
    <cellStyle name="Millares 6 22" xfId="3653" xr:uid="{4FDAA9E2-A43D-4D38-97BF-5887282AD6ED}"/>
    <cellStyle name="Millares 6 3" xfId="1463" xr:uid="{00000000-0005-0000-0000-0000B9050000}"/>
    <cellStyle name="Millares 6 4" xfId="1553" xr:uid="{00000000-0005-0000-0000-0000BA050000}"/>
    <cellStyle name="Millares 6 5" xfId="1643" xr:uid="{00000000-0005-0000-0000-0000BB050000}"/>
    <cellStyle name="Millares 6 6" xfId="1734" xr:uid="{00000000-0005-0000-0000-0000BC050000}"/>
    <cellStyle name="Millares 6 7" xfId="1827" xr:uid="{00000000-0005-0000-0000-0000BD050000}"/>
    <cellStyle name="Millares 6 8" xfId="1918" xr:uid="{367A28CF-214D-4120-893B-C84B894ABA5F}"/>
    <cellStyle name="Millares 6 9" xfId="2009" xr:uid="{D7ADD1A8-C48C-4BA1-8C49-053732DC9198}"/>
    <cellStyle name="Millares 7" xfId="1204" xr:uid="{00000000-0005-0000-0000-0000BE050000}"/>
    <cellStyle name="Millares 7 10" xfId="2099" xr:uid="{D788760C-98BE-4E3B-8D8E-FBB8A069DCB0}"/>
    <cellStyle name="Millares 7 11" xfId="2190" xr:uid="{C200E2BD-B131-4B49-85C3-B6C7BB8DE811}"/>
    <cellStyle name="Millares 7 12" xfId="2279" xr:uid="{19367BB9-9C4E-4387-86A5-CF40FA1CD45C}"/>
    <cellStyle name="Millares 7 13" xfId="2369" xr:uid="{0F99C34D-DDA1-47C3-BE17-923C45EDE725}"/>
    <cellStyle name="Millares 7 14" xfId="2458" xr:uid="{1814FD1C-E88C-4B6F-8D0A-2FF49AF34D5C}"/>
    <cellStyle name="Millares 7 15" xfId="2548" xr:uid="{24566063-F104-4205-9D0B-5538FD274E67}"/>
    <cellStyle name="Millares 7 16" xfId="2637" xr:uid="{A4C30F2C-D106-4282-ADD5-41C2698D8A60}"/>
    <cellStyle name="Millares 7 17" xfId="2727" xr:uid="{4D46433B-EACA-4157-97F9-B01EC2DB9ED5}"/>
    <cellStyle name="Millares 7 18" xfId="2817" xr:uid="{374B3645-FF7B-4775-B9A3-C5B81C6EED1E}"/>
    <cellStyle name="Millares 7 19" xfId="2907" xr:uid="{703334C1-DF04-4D53-8D10-7CD3E20C95C0}"/>
    <cellStyle name="Millares 7 2" xfId="1367" xr:uid="{00000000-0005-0000-0000-0000BF050000}"/>
    <cellStyle name="Millares 7 2 2" xfId="3532" xr:uid="{DDFC64EA-B02F-4A70-8300-1A3D6E93A09A}"/>
    <cellStyle name="Millares 7 2 3" xfId="3744" xr:uid="{EEB7D130-0D2E-4A75-8CDB-03AEC07BE314}"/>
    <cellStyle name="Millares 7 20" xfId="3000" xr:uid="{21EF15AB-E387-4BDB-8811-C338130E290C}"/>
    <cellStyle name="Millares 7 21" xfId="3094" xr:uid="{209B019B-530C-4EE2-93F2-AF44CE4E24D7}"/>
    <cellStyle name="Millares 7 22" xfId="3654" xr:uid="{9ECA02FF-857E-4B72-8674-AAD82F94F581}"/>
    <cellStyle name="Millares 7 3" xfId="1464" xr:uid="{00000000-0005-0000-0000-0000C0050000}"/>
    <cellStyle name="Millares 7 4" xfId="1554" xr:uid="{00000000-0005-0000-0000-0000C1050000}"/>
    <cellStyle name="Millares 7 5" xfId="1644" xr:uid="{00000000-0005-0000-0000-0000C2050000}"/>
    <cellStyle name="Millares 7 6" xfId="1735" xr:uid="{00000000-0005-0000-0000-0000C3050000}"/>
    <cellStyle name="Millares 7 7" xfId="1828" xr:uid="{00000000-0005-0000-0000-0000C4050000}"/>
    <cellStyle name="Millares 7 8" xfId="1919" xr:uid="{F06BFA9F-D9A1-47EB-A1D0-BA03F0052A7D}"/>
    <cellStyle name="Millares 7 9" xfId="2010" xr:uid="{877BF8D2-608C-4182-8763-256B8ED541D2}"/>
    <cellStyle name="Millares 8" xfId="1208" xr:uid="{00000000-0005-0000-0000-0000C5050000}"/>
    <cellStyle name="Millares 8 10" xfId="2100" xr:uid="{A3787717-D020-423A-860C-278CD568CEA4}"/>
    <cellStyle name="Millares 8 11" xfId="2191" xr:uid="{3DD0500C-6167-4317-9F31-E93859A1FD8C}"/>
    <cellStyle name="Millares 8 12" xfId="2280" xr:uid="{2FC69495-5A39-4DF4-BF42-24DA0DCD547E}"/>
    <cellStyle name="Millares 8 13" xfId="2370" xr:uid="{CB63B768-BEB4-4A9D-AA9C-D6BA9900F189}"/>
    <cellStyle name="Millares 8 14" xfId="2459" xr:uid="{79940447-B6CA-4D2C-B9F6-9D90421B8944}"/>
    <cellStyle name="Millares 8 15" xfId="2549" xr:uid="{E2E1D5B7-25A5-4E90-A712-ACAAA2DDF7C2}"/>
    <cellStyle name="Millares 8 16" xfId="2638" xr:uid="{7EB3BBD8-207D-42C7-9093-CCC0B550A486}"/>
    <cellStyle name="Millares 8 17" xfId="2728" xr:uid="{B8FED7B9-FAB2-4C3B-A580-CACD15DDA565}"/>
    <cellStyle name="Millares 8 18" xfId="2818" xr:uid="{0F55F30A-AF1B-4857-BEA8-2F05D57484BD}"/>
    <cellStyle name="Millares 8 19" xfId="2908" xr:uid="{EA0D4C88-85FD-4932-A49E-B0BA869A1DC6}"/>
    <cellStyle name="Millares 8 2" xfId="1368" xr:uid="{00000000-0005-0000-0000-0000C6050000}"/>
    <cellStyle name="Millares 8 2 2" xfId="3533" xr:uid="{DB90F395-1D09-4663-B32F-BF68ECE28BB7}"/>
    <cellStyle name="Millares 8 2 3" xfId="3745" xr:uid="{B1192C44-E0EA-462E-AE0C-3DD56FAAAF9B}"/>
    <cellStyle name="Millares 8 20" xfId="3001" xr:uid="{0BADF3FD-CFC8-4641-89A6-14959D759F9E}"/>
    <cellStyle name="Millares 8 21" xfId="3095" xr:uid="{EAA58C33-54B7-4BD4-88F7-C46B6789B38E}"/>
    <cellStyle name="Millares 8 22" xfId="3655" xr:uid="{7728E8B1-A424-4C9A-ABFB-482ECC75D07D}"/>
    <cellStyle name="Millares 8 3" xfId="1465" xr:uid="{00000000-0005-0000-0000-0000C7050000}"/>
    <cellStyle name="Millares 8 4" xfId="1555" xr:uid="{00000000-0005-0000-0000-0000C8050000}"/>
    <cellStyle name="Millares 8 5" xfId="1645" xr:uid="{00000000-0005-0000-0000-0000C9050000}"/>
    <cellStyle name="Millares 8 6" xfId="1736" xr:uid="{00000000-0005-0000-0000-0000CA050000}"/>
    <cellStyle name="Millares 8 7" xfId="1829" xr:uid="{00000000-0005-0000-0000-0000CB050000}"/>
    <cellStyle name="Millares 8 8" xfId="1920" xr:uid="{85F889B2-E677-47C1-A9FE-C8E516EFFABA}"/>
    <cellStyle name="Millares 8 9" xfId="2011" xr:uid="{6754D345-2083-434B-8D8B-F93A96031BDE}"/>
    <cellStyle name="Millares 9" xfId="1212" xr:uid="{00000000-0005-0000-0000-0000CC050000}"/>
    <cellStyle name="Millares 9 10" xfId="2101" xr:uid="{84B369B9-74C3-4EE0-8BE2-418EB297D3B5}"/>
    <cellStyle name="Millares 9 11" xfId="2192" xr:uid="{6F2D4DF2-0AA6-4AE7-879A-F39B65AE2A41}"/>
    <cellStyle name="Millares 9 12" xfId="2281" xr:uid="{255262F3-E562-425F-BFCF-231186F19AAC}"/>
    <cellStyle name="Millares 9 13" xfId="2371" xr:uid="{8FFCE44B-278B-47F1-9413-8B7742839890}"/>
    <cellStyle name="Millares 9 14" xfId="2460" xr:uid="{4C4CFC4F-622D-424C-8F22-9D89FDFCEAA2}"/>
    <cellStyle name="Millares 9 15" xfId="2550" xr:uid="{EEE3A29D-E6A2-4837-93B7-773B5EAC8B0E}"/>
    <cellStyle name="Millares 9 16" xfId="2639" xr:uid="{8B08A7ED-2B2E-4520-8762-548D482C7FA7}"/>
    <cellStyle name="Millares 9 17" xfId="2729" xr:uid="{C930FE36-4B71-4759-842F-31E4D8918414}"/>
    <cellStyle name="Millares 9 18" xfId="2819" xr:uid="{E3649B8E-087F-4736-93EF-3BFE4F1FF6D3}"/>
    <cellStyle name="Millares 9 19" xfId="2909" xr:uid="{F3234ED8-857A-47DF-82EF-08DFBB99B672}"/>
    <cellStyle name="Millares 9 2" xfId="1369" xr:uid="{00000000-0005-0000-0000-0000CD050000}"/>
    <cellStyle name="Millares 9 2 2" xfId="3534" xr:uid="{1E6B5788-B18B-4377-A9D6-D1E608678C48}"/>
    <cellStyle name="Millares 9 2 3" xfId="3746" xr:uid="{280C5B3C-F9FC-4C0B-AC57-AEB22EF5BA4E}"/>
    <cellStyle name="Millares 9 20" xfId="3002" xr:uid="{C9D01823-ADA0-4B9A-9B24-DAEB2CC2AB3F}"/>
    <cellStyle name="Millares 9 21" xfId="3096" xr:uid="{EF6F6E0F-ABC8-425E-9573-AF255249A644}"/>
    <cellStyle name="Millares 9 22" xfId="3656" xr:uid="{280FC670-DD07-4624-9E96-458D5BF589C1}"/>
    <cellStyle name="Millares 9 3" xfId="1466" xr:uid="{00000000-0005-0000-0000-0000CE050000}"/>
    <cellStyle name="Millares 9 4" xfId="1556" xr:uid="{00000000-0005-0000-0000-0000CF050000}"/>
    <cellStyle name="Millares 9 5" xfId="1646" xr:uid="{00000000-0005-0000-0000-0000D0050000}"/>
    <cellStyle name="Millares 9 6" xfId="1737" xr:uid="{00000000-0005-0000-0000-0000D1050000}"/>
    <cellStyle name="Millares 9 7" xfId="1830" xr:uid="{00000000-0005-0000-0000-0000D2050000}"/>
    <cellStyle name="Millares 9 8" xfId="1921" xr:uid="{0BE696EC-4291-4DE3-9E11-C56D2EC4F2E8}"/>
    <cellStyle name="Millares 9 9" xfId="2012" xr:uid="{006511CA-9697-4BF6-B3F0-26B18EEF40E7}"/>
    <cellStyle name="Moneda" xfId="4" builtinId="4"/>
    <cellStyle name="Moneda 2" xfId="1370" xr:uid="{00000000-0005-0000-0000-0000D4050000}"/>
    <cellStyle name="Moneda 2 10" xfId="2193" xr:uid="{837C81F7-498A-4A3E-B43D-06DD2AC15505}"/>
    <cellStyle name="Moneda 2 11" xfId="2282" xr:uid="{AC4B352C-FE3B-4EA4-97A1-008ECAC107B8}"/>
    <cellStyle name="Moneda 2 12" xfId="2372" xr:uid="{0D590D3D-96BD-4BCB-AF9B-A13259645A8D}"/>
    <cellStyle name="Moneda 2 13" xfId="2461" xr:uid="{EA31FB07-B07E-4B76-991A-39E0E146DD34}"/>
    <cellStyle name="Moneda 2 14" xfId="2551" xr:uid="{6E3A87B8-BF9F-4619-BA85-9999F96D4FB0}"/>
    <cellStyle name="Moneda 2 15" xfId="2640" xr:uid="{D6C3D35D-EDC2-4886-A663-1DB5343D17D7}"/>
    <cellStyle name="Moneda 2 16" xfId="2730" xr:uid="{8EDFE6E7-7D1B-4F10-9B59-84638F52D483}"/>
    <cellStyle name="Moneda 2 17" xfId="2820" xr:uid="{1886282E-6B2C-405A-B248-443C19D559DD}"/>
    <cellStyle name="Moneda 2 18" xfId="2910" xr:uid="{4A64CF10-FDC4-4AFC-8676-AB8B6070F34B}"/>
    <cellStyle name="Moneda 2 19" xfId="3003" xr:uid="{E53E5A11-B9C0-4FD9-BA81-A1149C65A79C}"/>
    <cellStyle name="Moneda 2 2" xfId="1467" xr:uid="{00000000-0005-0000-0000-0000D5050000}"/>
    <cellStyle name="Moneda 2 2 2" xfId="3535" xr:uid="{F26EFCAE-73AE-4E56-8889-585983FA3060}"/>
    <cellStyle name="Moneda 2 2 3" xfId="3747" xr:uid="{829EAA64-0F64-49CE-A19F-39709D83D47C}"/>
    <cellStyle name="Moneda 2 20" xfId="3097" xr:uid="{B0F54F6E-48FB-402F-9067-C1BA56A03D7A}"/>
    <cellStyle name="Moneda 2 21" xfId="3657" xr:uid="{AA290CC4-E80B-4D7B-A091-A4AAA5C51A30}"/>
    <cellStyle name="Moneda 2 3" xfId="1557" xr:uid="{00000000-0005-0000-0000-0000D6050000}"/>
    <cellStyle name="Moneda 2 4" xfId="1647" xr:uid="{00000000-0005-0000-0000-0000D7050000}"/>
    <cellStyle name="Moneda 2 5" xfId="1738" xr:uid="{00000000-0005-0000-0000-0000D8050000}"/>
    <cellStyle name="Moneda 2 6" xfId="1831" xr:uid="{00000000-0005-0000-0000-0000D9050000}"/>
    <cellStyle name="Moneda 2 7" xfId="1922" xr:uid="{A54E562D-E9DE-4922-8228-4826F91A8612}"/>
    <cellStyle name="Moneda 2 8" xfId="2013" xr:uid="{7EC712B2-1D32-467D-858A-D98D8074DC70}"/>
    <cellStyle name="Moneda 2 9" xfId="2102" xr:uid="{BD5DF590-5272-474D-979A-F493650B26F5}"/>
    <cellStyle name="Moneda 3" xfId="3540" xr:uid="{2BE454F5-4C13-46B8-B3C4-8A37526C344F}"/>
    <cellStyle name="Moneda 3 2" xfId="3748" xr:uid="{48EBF27E-FCEC-48CA-A154-6B662D7C08F9}"/>
    <cellStyle name="Moneda 4" xfId="3099" xr:uid="{B2C2F02F-2672-4592-8BF1-3CA1B894E5EC}"/>
    <cellStyle name="Moneda 5" xfId="3658" xr:uid="{A957594A-DAB2-4787-9E3D-4C88FF6473A2}"/>
    <cellStyle name="Neutral 10" xfId="883" xr:uid="{00000000-0005-0000-0000-0000DA050000}"/>
    <cellStyle name="Neutral 10 2" xfId="884" xr:uid="{00000000-0005-0000-0000-0000DB050000}"/>
    <cellStyle name="Neutral 11" xfId="885" xr:uid="{00000000-0005-0000-0000-0000DC050000}"/>
    <cellStyle name="Neutral 11 2" xfId="886" xr:uid="{00000000-0005-0000-0000-0000DD050000}"/>
    <cellStyle name="Neutral 12" xfId="887" xr:uid="{00000000-0005-0000-0000-0000DE050000}"/>
    <cellStyle name="Neutral 12 2" xfId="888" xr:uid="{00000000-0005-0000-0000-0000DF050000}"/>
    <cellStyle name="Neutral 13" xfId="889" xr:uid="{00000000-0005-0000-0000-0000E0050000}"/>
    <cellStyle name="Neutral 13 2" xfId="890" xr:uid="{00000000-0005-0000-0000-0000E1050000}"/>
    <cellStyle name="Neutral 14" xfId="891" xr:uid="{00000000-0005-0000-0000-0000E2050000}"/>
    <cellStyle name="Neutral 14 2" xfId="892" xr:uid="{00000000-0005-0000-0000-0000E3050000}"/>
    <cellStyle name="Neutral 15" xfId="882" xr:uid="{00000000-0005-0000-0000-0000E4050000}"/>
    <cellStyle name="Neutral 16" xfId="3103" xr:uid="{489B8846-DFD7-4082-BAE7-1670DF7620A0}"/>
    <cellStyle name="Neutral 2" xfId="893" xr:uid="{00000000-0005-0000-0000-0000E5050000}"/>
    <cellStyle name="Neutral 2 2" xfId="894" xr:uid="{00000000-0005-0000-0000-0000E6050000}"/>
    <cellStyle name="Neutral 3" xfId="895" xr:uid="{00000000-0005-0000-0000-0000E7050000}"/>
    <cellStyle name="Neutral 3 2" xfId="896" xr:uid="{00000000-0005-0000-0000-0000E8050000}"/>
    <cellStyle name="Neutral 4" xfId="897" xr:uid="{00000000-0005-0000-0000-0000E9050000}"/>
    <cellStyle name="Neutral 4 2" xfId="898" xr:uid="{00000000-0005-0000-0000-0000EA050000}"/>
    <cellStyle name="Neutral 5" xfId="899" xr:uid="{00000000-0005-0000-0000-0000EB050000}"/>
    <cellStyle name="Neutral 5 2" xfId="900" xr:uid="{00000000-0005-0000-0000-0000EC050000}"/>
    <cellStyle name="Neutral 6" xfId="901" xr:uid="{00000000-0005-0000-0000-0000ED050000}"/>
    <cellStyle name="Neutral 6 2" xfId="902" xr:uid="{00000000-0005-0000-0000-0000EE050000}"/>
    <cellStyle name="Neutral 7" xfId="903" xr:uid="{00000000-0005-0000-0000-0000EF050000}"/>
    <cellStyle name="Neutral 7 2" xfId="904" xr:uid="{00000000-0005-0000-0000-0000F0050000}"/>
    <cellStyle name="Neutral 8" xfId="905" xr:uid="{00000000-0005-0000-0000-0000F1050000}"/>
    <cellStyle name="Neutral 8 2" xfId="906" xr:uid="{00000000-0005-0000-0000-0000F2050000}"/>
    <cellStyle name="Neutral 9" xfId="907" xr:uid="{00000000-0005-0000-0000-0000F3050000}"/>
    <cellStyle name="Neutral 9 2" xfId="908" xr:uid="{00000000-0005-0000-0000-0000F4050000}"/>
    <cellStyle name="Normal" xfId="0" builtinId="0"/>
    <cellStyle name="Normal 10" xfId="1558" xr:uid="{00000000-0005-0000-0000-0000F6050000}"/>
    <cellStyle name="Normal 11" xfId="1649" xr:uid="{00000000-0005-0000-0000-0000F7050000}"/>
    <cellStyle name="Normal 12" xfId="1740" xr:uid="{00000000-0005-0000-0000-0000F8050000}"/>
    <cellStyle name="Normal 13" xfId="1833" xr:uid="{708560ED-6E65-47B4-B7D6-9B14CE272DD9}"/>
    <cellStyle name="Normal 14" xfId="1924" xr:uid="{DF64BFA6-EFDD-48CE-B7AF-A48608B7E6A2}"/>
    <cellStyle name="Normal 15" xfId="2103" xr:uid="{8D8569EE-0EE5-4A38-AE44-C24FDA015ED9}"/>
    <cellStyle name="Normal 16" xfId="2104" xr:uid="{E8F7BBBA-D34E-45F2-A714-3161460A0421}"/>
    <cellStyle name="Normal 17" xfId="2283" xr:uid="{50E68B97-DC8E-4FEF-B9BA-7C10560BA14A}"/>
    <cellStyle name="Normal 18" xfId="2462" xr:uid="{8F532373-4999-444D-9DDD-74569E1B83B4}"/>
    <cellStyle name="Normal 19" xfId="2641" xr:uid="{256B0D4E-A858-4B36-B94C-061E152C6642}"/>
    <cellStyle name="Normal 2" xfId="2" xr:uid="{00000000-0005-0000-0000-0000F9050000}"/>
    <cellStyle name="Normal 2 10" xfId="909" xr:uid="{00000000-0005-0000-0000-0000FA050000}"/>
    <cellStyle name="Normal 2 10 2" xfId="910" xr:uid="{00000000-0005-0000-0000-0000FB050000}"/>
    <cellStyle name="Normal 2 11" xfId="911" xr:uid="{00000000-0005-0000-0000-0000FC050000}"/>
    <cellStyle name="Normal 2 11 2" xfId="912" xr:uid="{00000000-0005-0000-0000-0000FD050000}"/>
    <cellStyle name="Normal 2 12" xfId="913" xr:uid="{00000000-0005-0000-0000-0000FE050000}"/>
    <cellStyle name="Normal 2 12 2" xfId="914" xr:uid="{00000000-0005-0000-0000-0000FF050000}"/>
    <cellStyle name="Normal 2 13" xfId="915" xr:uid="{00000000-0005-0000-0000-000000060000}"/>
    <cellStyle name="Normal 2 13 2" xfId="916" xr:uid="{00000000-0005-0000-0000-000001060000}"/>
    <cellStyle name="Normal 2 14" xfId="917" xr:uid="{00000000-0005-0000-0000-000002060000}"/>
    <cellStyle name="Normal 2 14 2" xfId="918" xr:uid="{00000000-0005-0000-0000-000003060000}"/>
    <cellStyle name="Normal 2 15" xfId="919" xr:uid="{00000000-0005-0000-0000-000004060000}"/>
    <cellStyle name="Normal 2 15 2" xfId="920" xr:uid="{00000000-0005-0000-0000-000005060000}"/>
    <cellStyle name="Normal 2 16" xfId="921" xr:uid="{00000000-0005-0000-0000-000006060000}"/>
    <cellStyle name="Normal 2 16 2" xfId="922" xr:uid="{00000000-0005-0000-0000-000007060000}"/>
    <cellStyle name="Normal 2 17" xfId="923" xr:uid="{00000000-0005-0000-0000-000008060000}"/>
    <cellStyle name="Normal 2 17 2" xfId="924" xr:uid="{00000000-0005-0000-0000-000009060000}"/>
    <cellStyle name="Normal 2 18" xfId="925" xr:uid="{00000000-0005-0000-0000-00000A060000}"/>
    <cellStyle name="Normal 2 18 2" xfId="926" xr:uid="{00000000-0005-0000-0000-00000B060000}"/>
    <cellStyle name="Normal 2 19" xfId="927" xr:uid="{00000000-0005-0000-0000-00000C060000}"/>
    <cellStyle name="Normal 2 19 2" xfId="928" xr:uid="{00000000-0005-0000-0000-00000D060000}"/>
    <cellStyle name="Normal 2 2" xfId="929" xr:uid="{00000000-0005-0000-0000-00000E060000}"/>
    <cellStyle name="Normal 2 2 2" xfId="930" xr:uid="{00000000-0005-0000-0000-00000F060000}"/>
    <cellStyle name="Normal 2 20" xfId="931" xr:uid="{00000000-0005-0000-0000-000010060000}"/>
    <cellStyle name="Normal 2 20 2" xfId="932" xr:uid="{00000000-0005-0000-0000-000011060000}"/>
    <cellStyle name="Normal 2 21" xfId="933" xr:uid="{00000000-0005-0000-0000-000012060000}"/>
    <cellStyle name="Normal 2 21 2" xfId="934" xr:uid="{00000000-0005-0000-0000-000013060000}"/>
    <cellStyle name="Normal 2 22" xfId="935" xr:uid="{00000000-0005-0000-0000-000014060000}"/>
    <cellStyle name="Normal 2 22 2" xfId="936" xr:uid="{00000000-0005-0000-0000-000015060000}"/>
    <cellStyle name="Normal 2 23" xfId="937" xr:uid="{00000000-0005-0000-0000-000016060000}"/>
    <cellStyle name="Normal 2 23 2" xfId="938" xr:uid="{00000000-0005-0000-0000-000017060000}"/>
    <cellStyle name="Normal 2 24" xfId="1832" xr:uid="{00000000-0005-0000-0000-000018060000}"/>
    <cellStyle name="Normal 2 25" xfId="3752" xr:uid="{26D2DC13-2EBD-4814-895C-95CB4E67CDF7}"/>
    <cellStyle name="Normal 2 3" xfId="939" xr:uid="{00000000-0005-0000-0000-000019060000}"/>
    <cellStyle name="Normal 2 3 2" xfId="940" xr:uid="{00000000-0005-0000-0000-00001A060000}"/>
    <cellStyle name="Normal 2 4" xfId="941" xr:uid="{00000000-0005-0000-0000-00001B060000}"/>
    <cellStyle name="Normal 2 4 2" xfId="942" xr:uid="{00000000-0005-0000-0000-00001C060000}"/>
    <cellStyle name="Normal 2 5" xfId="943" xr:uid="{00000000-0005-0000-0000-00001D060000}"/>
    <cellStyle name="Normal 2 5 2" xfId="944" xr:uid="{00000000-0005-0000-0000-00001E060000}"/>
    <cellStyle name="Normal 2 6" xfId="945" xr:uid="{00000000-0005-0000-0000-00001F060000}"/>
    <cellStyle name="Normal 2 6 2" xfId="946" xr:uid="{00000000-0005-0000-0000-000020060000}"/>
    <cellStyle name="Normal 2 7" xfId="947" xr:uid="{00000000-0005-0000-0000-000021060000}"/>
    <cellStyle name="Normal 2 8" xfId="948" xr:uid="{00000000-0005-0000-0000-000022060000}"/>
    <cellStyle name="Normal 2 8 2" xfId="949" xr:uid="{00000000-0005-0000-0000-000023060000}"/>
    <cellStyle name="Normal 2 9" xfId="950" xr:uid="{00000000-0005-0000-0000-000024060000}"/>
    <cellStyle name="Normal 2 9 2" xfId="951" xr:uid="{00000000-0005-0000-0000-000025060000}"/>
    <cellStyle name="Normal 20" xfId="2731" xr:uid="{041D80D6-E7A1-43D0-9275-FE5F5B1FC9C9}"/>
    <cellStyle name="Normal 21" xfId="2821" xr:uid="{0D03F717-ABE8-4B69-86B8-A54BC41E9DBC}"/>
    <cellStyle name="Normal 216" xfId="952" xr:uid="{00000000-0005-0000-0000-000026060000}"/>
    <cellStyle name="Normal 22" xfId="2911" xr:uid="{2CDF3A26-2CA2-4A9A-A946-DEA41E06D953}"/>
    <cellStyle name="Normal 23" xfId="2912" xr:uid="{9B335817-7DB3-4395-B928-5D2D150949A3}"/>
    <cellStyle name="Normal 234" xfId="953" xr:uid="{00000000-0005-0000-0000-000027060000}"/>
    <cellStyle name="Normal 235" xfId="954" xr:uid="{00000000-0005-0000-0000-000028060000}"/>
    <cellStyle name="Normal 235 2" xfId="3536" xr:uid="{66CFF6D9-1B4D-455D-B49D-6B41D9A4036F}"/>
    <cellStyle name="Normal 236" xfId="955" xr:uid="{00000000-0005-0000-0000-000029060000}"/>
    <cellStyle name="Normal 236 2" xfId="956" xr:uid="{00000000-0005-0000-0000-00002A060000}"/>
    <cellStyle name="Normal 237" xfId="957" xr:uid="{00000000-0005-0000-0000-00002B060000}"/>
    <cellStyle name="Normal 237 2" xfId="958" xr:uid="{00000000-0005-0000-0000-00002C060000}"/>
    <cellStyle name="Normal 238" xfId="959" xr:uid="{00000000-0005-0000-0000-00002D060000}"/>
    <cellStyle name="Normal 238 2" xfId="960" xr:uid="{00000000-0005-0000-0000-00002E060000}"/>
    <cellStyle name="Normal 239" xfId="1250" xr:uid="{00000000-0005-0000-0000-00002F060000}"/>
    <cellStyle name="Normal 239 2" xfId="1371" xr:uid="{00000000-0005-0000-0000-000030060000}"/>
    <cellStyle name="Normal 24" xfId="2913" xr:uid="{B9848671-9793-4C1B-A731-1E98DE41756E}"/>
    <cellStyle name="Normal 240" xfId="1255" xr:uid="{00000000-0005-0000-0000-000031060000}"/>
    <cellStyle name="Normal 240 2" xfId="1372" xr:uid="{00000000-0005-0000-0000-000032060000}"/>
    <cellStyle name="Normal 241" xfId="1648" xr:uid="{00000000-0005-0000-0000-000033060000}"/>
    <cellStyle name="Normal 241 2" xfId="3537" xr:uid="{BAD68423-8A10-401E-B787-590472699503}"/>
    <cellStyle name="Normal 25" xfId="2914" xr:uid="{505BD84F-AFBE-4043-AF9C-CD29D693DFA1}"/>
    <cellStyle name="Normal 26" xfId="3004" xr:uid="{F627B976-AF45-4CBF-A546-6632760EAB3C}"/>
    <cellStyle name="Normal 27" xfId="3005" xr:uid="{98D25402-C71A-453E-A773-69A0BD752C73}"/>
    <cellStyle name="Normal 28" xfId="3006" xr:uid="{58B97980-ED20-4464-BD9D-444FE070FBE3}"/>
    <cellStyle name="Normal 29" xfId="3007" xr:uid="{892ED031-081D-4CEE-BD4B-0655830DD0BC}"/>
    <cellStyle name="Normal 3" xfId="3" xr:uid="{00000000-0005-0000-0000-000034060000}"/>
    <cellStyle name="Normal 3 2" xfId="961" xr:uid="{00000000-0005-0000-0000-000035060000}"/>
    <cellStyle name="Normal 3 3" xfId="1923" xr:uid="{BC1290A3-9367-47C1-B8A1-BB94DEC2990D}"/>
    <cellStyle name="Normal 30" xfId="3561" xr:uid="{9AFFDD43-9655-40F7-A867-48BB58821C56}"/>
    <cellStyle name="Normal 31" xfId="3562" xr:uid="{8BAFAE03-C9B9-47AA-BB7A-5A9810A06C52}"/>
    <cellStyle name="Normal 32" xfId="3563" xr:uid="{EDDA4FD1-81CC-412B-9A1D-CA6B7B3162E7}"/>
    <cellStyle name="Normal 33" xfId="3564" xr:uid="{DEBC1828-D21C-49DB-A082-3A407BCABE58}"/>
    <cellStyle name="Normal 34" xfId="3565" xr:uid="{A26B0BBE-99BA-4567-819F-3AC63D2D8559}"/>
    <cellStyle name="Normal 35" xfId="3566" xr:uid="{FA7EFB04-BBCE-46E1-AAE8-A783F8F49E14}"/>
    <cellStyle name="Normal 36" xfId="3567" xr:uid="{52ACB948-D605-44AC-A756-CAD69778D5D7}"/>
    <cellStyle name="Normal 37" xfId="3568" xr:uid="{23E27A07-8397-45BF-A4B1-21C6AAD6F04B}"/>
    <cellStyle name="Normal 4" xfId="5" xr:uid="{00000000-0005-0000-0000-000036060000}"/>
    <cellStyle name="Normal 4 2" xfId="962" xr:uid="{00000000-0005-0000-0000-000037060000}"/>
    <cellStyle name="Normal 4 3" xfId="963" xr:uid="{00000000-0005-0000-0000-000038060000}"/>
    <cellStyle name="Normal 4 3 2" xfId="964" xr:uid="{00000000-0005-0000-0000-000039060000}"/>
    <cellStyle name="Normal 4 4" xfId="3539" xr:uid="{878D934D-4AB0-4E03-A405-C6000925977C}"/>
    <cellStyle name="Normal 4 5" xfId="3098" xr:uid="{47FB15FB-1F79-417C-94BB-F5A5F233B86F}"/>
    <cellStyle name="Normal 5" xfId="1198" xr:uid="{00000000-0005-0000-0000-00003A060000}"/>
    <cellStyle name="Normal 5 2" xfId="1373" xr:uid="{00000000-0005-0000-0000-00003B060000}"/>
    <cellStyle name="Normal 5 3" xfId="3541" xr:uid="{A9C13EC2-1D90-420A-B8D2-091E347B0C0A}"/>
    <cellStyle name="Normal 5 4" xfId="3100" xr:uid="{D3EEE393-7FBC-42BA-854A-59D5011F6357}"/>
    <cellStyle name="Normal 6" xfId="1203" xr:uid="{00000000-0005-0000-0000-00003C060000}"/>
    <cellStyle name="Normal 6 2" xfId="1374" xr:uid="{00000000-0005-0000-0000-00003D060000}"/>
    <cellStyle name="Normal 6 3" xfId="3749" xr:uid="{732CB6A9-135B-43A1-B170-8C953C4544F3}"/>
    <cellStyle name="Normal 7" xfId="1240" xr:uid="{00000000-0005-0000-0000-00003E060000}"/>
    <cellStyle name="Normal 7 2" xfId="1375" xr:uid="{00000000-0005-0000-0000-00003F060000}"/>
    <cellStyle name="Normal 7 3" xfId="3750" xr:uid="{5BB1150E-F0F4-4B89-8F2B-556F9579C2F8}"/>
    <cellStyle name="Normal 8" xfId="1245" xr:uid="{00000000-0005-0000-0000-000040060000}"/>
    <cellStyle name="Normal 8 2" xfId="1376" xr:uid="{00000000-0005-0000-0000-000041060000}"/>
    <cellStyle name="Normal 8 3" xfId="3751" xr:uid="{38483525-923C-4ADB-9CA1-EFD03C9DA85F}"/>
    <cellStyle name="Normal 9" xfId="1268" xr:uid="{00000000-0005-0000-0000-000042060000}"/>
    <cellStyle name="Normal 9 2" xfId="1377" xr:uid="{00000000-0005-0000-0000-000043060000}"/>
    <cellStyle name="Normal 9 2 2" xfId="3538" xr:uid="{FD2318BE-4D24-4B8C-91C1-22A3C4E4F81F}"/>
    <cellStyle name="Normal 9 3" xfId="3753" xr:uid="{3BCB2A60-B0AD-4974-B542-88F6BE4291E4}"/>
    <cellStyle name="Notas 10" xfId="965" xr:uid="{00000000-0005-0000-0000-000044060000}"/>
    <cellStyle name="Notas 10 2" xfId="966" xr:uid="{00000000-0005-0000-0000-000045060000}"/>
    <cellStyle name="Notas 11" xfId="967" xr:uid="{00000000-0005-0000-0000-000046060000}"/>
    <cellStyle name="Notas 11 2" xfId="968" xr:uid="{00000000-0005-0000-0000-000047060000}"/>
    <cellStyle name="Notas 12" xfId="969" xr:uid="{00000000-0005-0000-0000-000048060000}"/>
    <cellStyle name="Notas 12 2" xfId="970" xr:uid="{00000000-0005-0000-0000-000049060000}"/>
    <cellStyle name="Notas 13" xfId="971" xr:uid="{00000000-0005-0000-0000-00004A060000}"/>
    <cellStyle name="Notas 13 2" xfId="972" xr:uid="{00000000-0005-0000-0000-00004B060000}"/>
    <cellStyle name="Notas 14" xfId="973" xr:uid="{00000000-0005-0000-0000-00004C060000}"/>
    <cellStyle name="Notas 14 2" xfId="974" xr:uid="{00000000-0005-0000-0000-00004D060000}"/>
    <cellStyle name="Notas 15" xfId="975" xr:uid="{00000000-0005-0000-0000-00004E060000}"/>
    <cellStyle name="Notas 15 2" xfId="976" xr:uid="{00000000-0005-0000-0000-00004F060000}"/>
    <cellStyle name="Notas 16" xfId="977" xr:uid="{00000000-0005-0000-0000-000050060000}"/>
    <cellStyle name="Notas 16 2" xfId="978" xr:uid="{00000000-0005-0000-0000-000051060000}"/>
    <cellStyle name="Notas 17" xfId="979" xr:uid="{00000000-0005-0000-0000-000052060000}"/>
    <cellStyle name="Notas 17 2" xfId="980" xr:uid="{00000000-0005-0000-0000-000053060000}"/>
    <cellStyle name="Notas 18" xfId="981" xr:uid="{00000000-0005-0000-0000-000054060000}"/>
    <cellStyle name="Notas 18 2" xfId="982" xr:uid="{00000000-0005-0000-0000-000055060000}"/>
    <cellStyle name="Notas 19" xfId="983" xr:uid="{00000000-0005-0000-0000-000056060000}"/>
    <cellStyle name="Notas 19 2" xfId="984" xr:uid="{00000000-0005-0000-0000-000057060000}"/>
    <cellStyle name="Notas 2" xfId="985" xr:uid="{00000000-0005-0000-0000-000058060000}"/>
    <cellStyle name="Notas 2 2" xfId="986" xr:uid="{00000000-0005-0000-0000-000059060000}"/>
    <cellStyle name="Notas 20" xfId="3104" xr:uid="{FFCA1CB1-3418-4FC6-89BB-C428038E0DA6}"/>
    <cellStyle name="Notas 20 2" xfId="3542" xr:uid="{D4CFFCE2-7EFB-4C30-80A0-1D0DB76582D3}"/>
    <cellStyle name="Notas 3" xfId="987" xr:uid="{00000000-0005-0000-0000-00005A060000}"/>
    <cellStyle name="Notas 3 2" xfId="988" xr:uid="{00000000-0005-0000-0000-00005B060000}"/>
    <cellStyle name="Notas 4" xfId="989" xr:uid="{00000000-0005-0000-0000-00005C060000}"/>
    <cellStyle name="Notas 4 2" xfId="990" xr:uid="{00000000-0005-0000-0000-00005D060000}"/>
    <cellStyle name="Notas 5" xfId="991" xr:uid="{00000000-0005-0000-0000-00005E060000}"/>
    <cellStyle name="Notas 5 2" xfId="992" xr:uid="{00000000-0005-0000-0000-00005F060000}"/>
    <cellStyle name="Notas 6" xfId="993" xr:uid="{00000000-0005-0000-0000-000060060000}"/>
    <cellStyle name="Notas 6 2" xfId="994" xr:uid="{00000000-0005-0000-0000-000061060000}"/>
    <cellStyle name="Notas 7" xfId="995" xr:uid="{00000000-0005-0000-0000-000062060000}"/>
    <cellStyle name="Notas 7 2" xfId="996" xr:uid="{00000000-0005-0000-0000-000063060000}"/>
    <cellStyle name="Notas 8" xfId="997" xr:uid="{00000000-0005-0000-0000-000064060000}"/>
    <cellStyle name="Notas 8 2" xfId="998" xr:uid="{00000000-0005-0000-0000-000065060000}"/>
    <cellStyle name="Notas 9" xfId="999" xr:uid="{00000000-0005-0000-0000-000066060000}"/>
    <cellStyle name="Notas 9 2" xfId="1000" xr:uid="{00000000-0005-0000-0000-000067060000}"/>
    <cellStyle name="Note" xfId="1001" xr:uid="{00000000-0005-0000-0000-000068060000}"/>
    <cellStyle name="Output" xfId="1002" xr:uid="{00000000-0005-0000-0000-000069060000}"/>
    <cellStyle name="Salida 10" xfId="1004" xr:uid="{00000000-0005-0000-0000-00006A060000}"/>
    <cellStyle name="Salida 10 2" xfId="1005" xr:uid="{00000000-0005-0000-0000-00006B060000}"/>
    <cellStyle name="Salida 11" xfId="1006" xr:uid="{00000000-0005-0000-0000-00006C060000}"/>
    <cellStyle name="Salida 11 2" xfId="1007" xr:uid="{00000000-0005-0000-0000-00006D060000}"/>
    <cellStyle name="Salida 12" xfId="1008" xr:uid="{00000000-0005-0000-0000-00006E060000}"/>
    <cellStyle name="Salida 12 2" xfId="1009" xr:uid="{00000000-0005-0000-0000-00006F060000}"/>
    <cellStyle name="Salida 13" xfId="1010" xr:uid="{00000000-0005-0000-0000-000070060000}"/>
    <cellStyle name="Salida 13 2" xfId="1011" xr:uid="{00000000-0005-0000-0000-000071060000}"/>
    <cellStyle name="Salida 14" xfId="1012" xr:uid="{00000000-0005-0000-0000-000072060000}"/>
    <cellStyle name="Salida 14 2" xfId="1013" xr:uid="{00000000-0005-0000-0000-000073060000}"/>
    <cellStyle name="Salida 15" xfId="1003" xr:uid="{00000000-0005-0000-0000-000074060000}"/>
    <cellStyle name="Salida 2" xfId="1014" xr:uid="{00000000-0005-0000-0000-000075060000}"/>
    <cellStyle name="Salida 2 2" xfId="1015" xr:uid="{00000000-0005-0000-0000-000076060000}"/>
    <cellStyle name="Salida 3" xfId="1016" xr:uid="{00000000-0005-0000-0000-000077060000}"/>
    <cellStyle name="Salida 3 2" xfId="1017" xr:uid="{00000000-0005-0000-0000-000078060000}"/>
    <cellStyle name="Salida 4" xfId="1018" xr:uid="{00000000-0005-0000-0000-000079060000}"/>
    <cellStyle name="Salida 4 2" xfId="1019" xr:uid="{00000000-0005-0000-0000-00007A060000}"/>
    <cellStyle name="Salida 5" xfId="1020" xr:uid="{00000000-0005-0000-0000-00007B060000}"/>
    <cellStyle name="Salida 5 2" xfId="1021" xr:uid="{00000000-0005-0000-0000-00007C060000}"/>
    <cellStyle name="Salida 6" xfId="1022" xr:uid="{00000000-0005-0000-0000-00007D060000}"/>
    <cellStyle name="Salida 6 2" xfId="1023" xr:uid="{00000000-0005-0000-0000-00007E060000}"/>
    <cellStyle name="Salida 7" xfId="1024" xr:uid="{00000000-0005-0000-0000-00007F060000}"/>
    <cellStyle name="Salida 7 2" xfId="1025" xr:uid="{00000000-0005-0000-0000-000080060000}"/>
    <cellStyle name="Salida 8" xfId="1026" xr:uid="{00000000-0005-0000-0000-000081060000}"/>
    <cellStyle name="Salida 8 2" xfId="1027" xr:uid="{00000000-0005-0000-0000-000082060000}"/>
    <cellStyle name="Salida 9" xfId="1028" xr:uid="{00000000-0005-0000-0000-000083060000}"/>
    <cellStyle name="Salida 9 2" xfId="1029" xr:uid="{00000000-0005-0000-0000-000084060000}"/>
    <cellStyle name="Texto de advertencia 10" xfId="1031" xr:uid="{00000000-0005-0000-0000-000085060000}"/>
    <cellStyle name="Texto de advertencia 10 2" xfId="1032" xr:uid="{00000000-0005-0000-0000-000086060000}"/>
    <cellStyle name="Texto de advertencia 11" xfId="1033" xr:uid="{00000000-0005-0000-0000-000087060000}"/>
    <cellStyle name="Texto de advertencia 11 2" xfId="1034" xr:uid="{00000000-0005-0000-0000-000088060000}"/>
    <cellStyle name="Texto de advertencia 12" xfId="1035" xr:uid="{00000000-0005-0000-0000-000089060000}"/>
    <cellStyle name="Texto de advertencia 12 2" xfId="1036" xr:uid="{00000000-0005-0000-0000-00008A060000}"/>
    <cellStyle name="Texto de advertencia 13" xfId="1037" xr:uid="{00000000-0005-0000-0000-00008B060000}"/>
    <cellStyle name="Texto de advertencia 13 2" xfId="1038" xr:uid="{00000000-0005-0000-0000-00008C060000}"/>
    <cellStyle name="Texto de advertencia 14" xfId="1039" xr:uid="{00000000-0005-0000-0000-00008D060000}"/>
    <cellStyle name="Texto de advertencia 14 2" xfId="1040" xr:uid="{00000000-0005-0000-0000-00008E060000}"/>
    <cellStyle name="Texto de advertencia 15" xfId="1030" xr:uid="{00000000-0005-0000-0000-00008F060000}"/>
    <cellStyle name="Texto de advertencia 2" xfId="1041" xr:uid="{00000000-0005-0000-0000-000090060000}"/>
    <cellStyle name="Texto de advertencia 2 2" xfId="1042" xr:uid="{00000000-0005-0000-0000-000091060000}"/>
    <cellStyle name="Texto de advertencia 3" xfId="1043" xr:uid="{00000000-0005-0000-0000-000092060000}"/>
    <cellStyle name="Texto de advertencia 3 2" xfId="1044" xr:uid="{00000000-0005-0000-0000-000093060000}"/>
    <cellStyle name="Texto de advertencia 4" xfId="1045" xr:uid="{00000000-0005-0000-0000-000094060000}"/>
    <cellStyle name="Texto de advertencia 4 2" xfId="1046" xr:uid="{00000000-0005-0000-0000-000095060000}"/>
    <cellStyle name="Texto de advertencia 5" xfId="1047" xr:uid="{00000000-0005-0000-0000-000096060000}"/>
    <cellStyle name="Texto de advertencia 5 2" xfId="1048" xr:uid="{00000000-0005-0000-0000-000097060000}"/>
    <cellStyle name="Texto de advertencia 6" xfId="1049" xr:uid="{00000000-0005-0000-0000-000098060000}"/>
    <cellStyle name="Texto de advertencia 6 2" xfId="1050" xr:uid="{00000000-0005-0000-0000-000099060000}"/>
    <cellStyle name="Texto de advertencia 7" xfId="1051" xr:uid="{00000000-0005-0000-0000-00009A060000}"/>
    <cellStyle name="Texto de advertencia 7 2" xfId="1052" xr:uid="{00000000-0005-0000-0000-00009B060000}"/>
    <cellStyle name="Texto de advertencia 8" xfId="1053" xr:uid="{00000000-0005-0000-0000-00009C060000}"/>
    <cellStyle name="Texto de advertencia 8 2" xfId="1054" xr:uid="{00000000-0005-0000-0000-00009D060000}"/>
    <cellStyle name="Texto de advertencia 9" xfId="1055" xr:uid="{00000000-0005-0000-0000-00009E060000}"/>
    <cellStyle name="Texto de advertencia 9 2" xfId="1056" xr:uid="{00000000-0005-0000-0000-00009F060000}"/>
    <cellStyle name="Texto explicativo 10" xfId="1058" xr:uid="{00000000-0005-0000-0000-0000A0060000}"/>
    <cellStyle name="Texto explicativo 10 2" xfId="1059" xr:uid="{00000000-0005-0000-0000-0000A1060000}"/>
    <cellStyle name="Texto explicativo 11" xfId="1060" xr:uid="{00000000-0005-0000-0000-0000A2060000}"/>
    <cellStyle name="Texto explicativo 11 2" xfId="1061" xr:uid="{00000000-0005-0000-0000-0000A3060000}"/>
    <cellStyle name="Texto explicativo 12" xfId="1062" xr:uid="{00000000-0005-0000-0000-0000A4060000}"/>
    <cellStyle name="Texto explicativo 12 2" xfId="1063" xr:uid="{00000000-0005-0000-0000-0000A5060000}"/>
    <cellStyle name="Texto explicativo 13" xfId="1064" xr:uid="{00000000-0005-0000-0000-0000A6060000}"/>
    <cellStyle name="Texto explicativo 13 2" xfId="1065" xr:uid="{00000000-0005-0000-0000-0000A7060000}"/>
    <cellStyle name="Texto explicativo 14" xfId="1066" xr:uid="{00000000-0005-0000-0000-0000A8060000}"/>
    <cellStyle name="Texto explicativo 14 2" xfId="1067" xr:uid="{00000000-0005-0000-0000-0000A9060000}"/>
    <cellStyle name="Texto explicativo 15" xfId="1057" xr:uid="{00000000-0005-0000-0000-0000AA060000}"/>
    <cellStyle name="Texto explicativo 2" xfId="1068" xr:uid="{00000000-0005-0000-0000-0000AB060000}"/>
    <cellStyle name="Texto explicativo 2 2" xfId="1069" xr:uid="{00000000-0005-0000-0000-0000AC060000}"/>
    <cellStyle name="Texto explicativo 3" xfId="1070" xr:uid="{00000000-0005-0000-0000-0000AD060000}"/>
    <cellStyle name="Texto explicativo 3 2" xfId="1071" xr:uid="{00000000-0005-0000-0000-0000AE060000}"/>
    <cellStyle name="Texto explicativo 4" xfId="1072" xr:uid="{00000000-0005-0000-0000-0000AF060000}"/>
    <cellStyle name="Texto explicativo 4 2" xfId="1073" xr:uid="{00000000-0005-0000-0000-0000B0060000}"/>
    <cellStyle name="Texto explicativo 5" xfId="1074" xr:uid="{00000000-0005-0000-0000-0000B1060000}"/>
    <cellStyle name="Texto explicativo 5 2" xfId="1075" xr:uid="{00000000-0005-0000-0000-0000B2060000}"/>
    <cellStyle name="Texto explicativo 6" xfId="1076" xr:uid="{00000000-0005-0000-0000-0000B3060000}"/>
    <cellStyle name="Texto explicativo 6 2" xfId="1077" xr:uid="{00000000-0005-0000-0000-0000B4060000}"/>
    <cellStyle name="Texto explicativo 7" xfId="1078" xr:uid="{00000000-0005-0000-0000-0000B5060000}"/>
    <cellStyle name="Texto explicativo 7 2" xfId="1079" xr:uid="{00000000-0005-0000-0000-0000B6060000}"/>
    <cellStyle name="Texto explicativo 8" xfId="1080" xr:uid="{00000000-0005-0000-0000-0000B7060000}"/>
    <cellStyle name="Texto explicativo 8 2" xfId="1081" xr:uid="{00000000-0005-0000-0000-0000B8060000}"/>
    <cellStyle name="Texto explicativo 9" xfId="1082" xr:uid="{00000000-0005-0000-0000-0000B9060000}"/>
    <cellStyle name="Texto explicativo 9 2" xfId="1083" xr:uid="{00000000-0005-0000-0000-0000BA060000}"/>
    <cellStyle name="Title" xfId="1084" xr:uid="{00000000-0005-0000-0000-0000BB060000}"/>
    <cellStyle name="Título 1 10" xfId="1086" xr:uid="{00000000-0005-0000-0000-0000BC060000}"/>
    <cellStyle name="Título 1 10 2" xfId="1087" xr:uid="{00000000-0005-0000-0000-0000BD060000}"/>
    <cellStyle name="Título 1 11" xfId="1088" xr:uid="{00000000-0005-0000-0000-0000BE060000}"/>
    <cellStyle name="Título 1 11 2" xfId="1089" xr:uid="{00000000-0005-0000-0000-0000BF060000}"/>
    <cellStyle name="Título 1 12" xfId="1090" xr:uid="{00000000-0005-0000-0000-0000C0060000}"/>
    <cellStyle name="Título 1 12 2" xfId="1091" xr:uid="{00000000-0005-0000-0000-0000C1060000}"/>
    <cellStyle name="Título 1 13" xfId="1092" xr:uid="{00000000-0005-0000-0000-0000C2060000}"/>
    <cellStyle name="Título 1 13 2" xfId="1093" xr:uid="{00000000-0005-0000-0000-0000C3060000}"/>
    <cellStyle name="Título 1 14" xfId="1094" xr:uid="{00000000-0005-0000-0000-0000C4060000}"/>
    <cellStyle name="Título 1 14 2" xfId="1095" xr:uid="{00000000-0005-0000-0000-0000C5060000}"/>
    <cellStyle name="Título 1 2" xfId="1096" xr:uid="{00000000-0005-0000-0000-0000C6060000}"/>
    <cellStyle name="Título 1 2 2" xfId="1097" xr:uid="{00000000-0005-0000-0000-0000C7060000}"/>
    <cellStyle name="Título 1 3" xfId="1098" xr:uid="{00000000-0005-0000-0000-0000C8060000}"/>
    <cellStyle name="Título 1 3 2" xfId="1099" xr:uid="{00000000-0005-0000-0000-0000C9060000}"/>
    <cellStyle name="Título 1 4" xfId="1100" xr:uid="{00000000-0005-0000-0000-0000CA060000}"/>
    <cellStyle name="Título 1 4 2" xfId="1101" xr:uid="{00000000-0005-0000-0000-0000CB060000}"/>
    <cellStyle name="Título 1 5" xfId="1102" xr:uid="{00000000-0005-0000-0000-0000CC060000}"/>
    <cellStyle name="Título 1 5 2" xfId="1103" xr:uid="{00000000-0005-0000-0000-0000CD060000}"/>
    <cellStyle name="Título 1 6" xfId="1104" xr:uid="{00000000-0005-0000-0000-0000CE060000}"/>
    <cellStyle name="Título 1 6 2" xfId="1105" xr:uid="{00000000-0005-0000-0000-0000CF060000}"/>
    <cellStyle name="Título 1 7" xfId="1106" xr:uid="{00000000-0005-0000-0000-0000D0060000}"/>
    <cellStyle name="Título 1 7 2" xfId="1107" xr:uid="{00000000-0005-0000-0000-0000D1060000}"/>
    <cellStyle name="Título 1 8" xfId="1108" xr:uid="{00000000-0005-0000-0000-0000D2060000}"/>
    <cellStyle name="Título 1 8 2" xfId="1109" xr:uid="{00000000-0005-0000-0000-0000D3060000}"/>
    <cellStyle name="Título 1 9" xfId="1110" xr:uid="{00000000-0005-0000-0000-0000D4060000}"/>
    <cellStyle name="Título 1 9 2" xfId="1111" xr:uid="{00000000-0005-0000-0000-0000D5060000}"/>
    <cellStyle name="Título 2 10" xfId="1113" xr:uid="{00000000-0005-0000-0000-0000D6060000}"/>
    <cellStyle name="Título 2 10 2" xfId="1114" xr:uid="{00000000-0005-0000-0000-0000D7060000}"/>
    <cellStyle name="Título 2 11" xfId="1115" xr:uid="{00000000-0005-0000-0000-0000D8060000}"/>
    <cellStyle name="Título 2 11 2" xfId="1116" xr:uid="{00000000-0005-0000-0000-0000D9060000}"/>
    <cellStyle name="Título 2 12" xfId="1117" xr:uid="{00000000-0005-0000-0000-0000DA060000}"/>
    <cellStyle name="Título 2 12 2" xfId="1118" xr:uid="{00000000-0005-0000-0000-0000DB060000}"/>
    <cellStyle name="Título 2 13" xfId="1119" xr:uid="{00000000-0005-0000-0000-0000DC060000}"/>
    <cellStyle name="Título 2 13 2" xfId="1120" xr:uid="{00000000-0005-0000-0000-0000DD060000}"/>
    <cellStyle name="Título 2 14" xfId="1121" xr:uid="{00000000-0005-0000-0000-0000DE060000}"/>
    <cellStyle name="Título 2 14 2" xfId="1122" xr:uid="{00000000-0005-0000-0000-0000DF060000}"/>
    <cellStyle name="Título 2 15" xfId="1112" xr:uid="{00000000-0005-0000-0000-0000E0060000}"/>
    <cellStyle name="Título 2 2" xfId="1123" xr:uid="{00000000-0005-0000-0000-0000E1060000}"/>
    <cellStyle name="Título 2 2 2" xfId="1124" xr:uid="{00000000-0005-0000-0000-0000E2060000}"/>
    <cellStyle name="Título 2 3" xfId="1125" xr:uid="{00000000-0005-0000-0000-0000E3060000}"/>
    <cellStyle name="Título 2 3 2" xfId="1126" xr:uid="{00000000-0005-0000-0000-0000E4060000}"/>
    <cellStyle name="Título 2 4" xfId="1127" xr:uid="{00000000-0005-0000-0000-0000E5060000}"/>
    <cellStyle name="Título 2 4 2" xfId="1128" xr:uid="{00000000-0005-0000-0000-0000E6060000}"/>
    <cellStyle name="Título 2 5" xfId="1129" xr:uid="{00000000-0005-0000-0000-0000E7060000}"/>
    <cellStyle name="Título 2 5 2" xfId="1130" xr:uid="{00000000-0005-0000-0000-0000E8060000}"/>
    <cellStyle name="Título 2 6" xfId="1131" xr:uid="{00000000-0005-0000-0000-0000E9060000}"/>
    <cellStyle name="Título 2 6 2" xfId="1132" xr:uid="{00000000-0005-0000-0000-0000EA060000}"/>
    <cellStyle name="Título 2 7" xfId="1133" xr:uid="{00000000-0005-0000-0000-0000EB060000}"/>
    <cellStyle name="Título 2 7 2" xfId="1134" xr:uid="{00000000-0005-0000-0000-0000EC060000}"/>
    <cellStyle name="Título 2 8" xfId="1135" xr:uid="{00000000-0005-0000-0000-0000ED060000}"/>
    <cellStyle name="Título 2 8 2" xfId="1136" xr:uid="{00000000-0005-0000-0000-0000EE060000}"/>
    <cellStyle name="Título 2 9" xfId="1137" xr:uid="{00000000-0005-0000-0000-0000EF060000}"/>
    <cellStyle name="Título 2 9 2" xfId="1138" xr:uid="{00000000-0005-0000-0000-0000F0060000}"/>
    <cellStyle name="Título 3 10" xfId="1140" xr:uid="{00000000-0005-0000-0000-0000F1060000}"/>
    <cellStyle name="Título 3 10 2" xfId="1141" xr:uid="{00000000-0005-0000-0000-0000F2060000}"/>
    <cellStyle name="Título 3 11" xfId="1142" xr:uid="{00000000-0005-0000-0000-0000F3060000}"/>
    <cellStyle name="Título 3 11 2" xfId="1143" xr:uid="{00000000-0005-0000-0000-0000F4060000}"/>
    <cellStyle name="Título 3 12" xfId="1144" xr:uid="{00000000-0005-0000-0000-0000F5060000}"/>
    <cellStyle name="Título 3 12 2" xfId="1145" xr:uid="{00000000-0005-0000-0000-0000F6060000}"/>
    <cellStyle name="Título 3 13" xfId="1146" xr:uid="{00000000-0005-0000-0000-0000F7060000}"/>
    <cellStyle name="Título 3 13 2" xfId="1147" xr:uid="{00000000-0005-0000-0000-0000F8060000}"/>
    <cellStyle name="Título 3 14" xfId="1148" xr:uid="{00000000-0005-0000-0000-0000F9060000}"/>
    <cellStyle name="Título 3 14 2" xfId="1149" xr:uid="{00000000-0005-0000-0000-0000FA060000}"/>
    <cellStyle name="Título 3 15" xfId="1139" xr:uid="{00000000-0005-0000-0000-0000FB060000}"/>
    <cellStyle name="Título 3 2" xfId="1150" xr:uid="{00000000-0005-0000-0000-0000FC060000}"/>
    <cellStyle name="Título 3 2 2" xfId="1151" xr:uid="{00000000-0005-0000-0000-0000FD060000}"/>
    <cellStyle name="Título 3 3" xfId="1152" xr:uid="{00000000-0005-0000-0000-0000FE060000}"/>
    <cellStyle name="Título 3 3 2" xfId="1153" xr:uid="{00000000-0005-0000-0000-0000FF060000}"/>
    <cellStyle name="Título 3 4" xfId="1154" xr:uid="{00000000-0005-0000-0000-000000070000}"/>
    <cellStyle name="Título 3 4 2" xfId="1155" xr:uid="{00000000-0005-0000-0000-000001070000}"/>
    <cellStyle name="Título 3 5" xfId="1156" xr:uid="{00000000-0005-0000-0000-000002070000}"/>
    <cellStyle name="Título 3 5 2" xfId="1157" xr:uid="{00000000-0005-0000-0000-000003070000}"/>
    <cellStyle name="Título 3 6" xfId="1158" xr:uid="{00000000-0005-0000-0000-000004070000}"/>
    <cellStyle name="Título 3 6 2" xfId="1159" xr:uid="{00000000-0005-0000-0000-000005070000}"/>
    <cellStyle name="Título 3 7" xfId="1160" xr:uid="{00000000-0005-0000-0000-000006070000}"/>
    <cellStyle name="Título 3 7 2" xfId="1161" xr:uid="{00000000-0005-0000-0000-000007070000}"/>
    <cellStyle name="Título 3 8" xfId="1162" xr:uid="{00000000-0005-0000-0000-000008070000}"/>
    <cellStyle name="Título 3 8 2" xfId="1163" xr:uid="{00000000-0005-0000-0000-000009070000}"/>
    <cellStyle name="Título 3 9" xfId="1164" xr:uid="{00000000-0005-0000-0000-00000A070000}"/>
    <cellStyle name="Título 3 9 2" xfId="1165" xr:uid="{00000000-0005-0000-0000-00000B070000}"/>
    <cellStyle name="Título 4" xfId="1085" xr:uid="{00000000-0005-0000-0000-00000C070000}"/>
    <cellStyle name="Título 5" xfId="3101" xr:uid="{CC064C32-3D1B-4103-BA0D-5A1E4569B53A}"/>
    <cellStyle name="Total 10" xfId="1167" xr:uid="{00000000-0005-0000-0000-00000D070000}"/>
    <cellStyle name="Total 10 2" xfId="1168" xr:uid="{00000000-0005-0000-0000-00000E070000}"/>
    <cellStyle name="Total 11" xfId="1169" xr:uid="{00000000-0005-0000-0000-00000F070000}"/>
    <cellStyle name="Total 11 2" xfId="1170" xr:uid="{00000000-0005-0000-0000-000010070000}"/>
    <cellStyle name="Total 12" xfId="1171" xr:uid="{00000000-0005-0000-0000-000011070000}"/>
    <cellStyle name="Total 12 2" xfId="1172" xr:uid="{00000000-0005-0000-0000-000012070000}"/>
    <cellStyle name="Total 13" xfId="1173" xr:uid="{00000000-0005-0000-0000-000013070000}"/>
    <cellStyle name="Total 13 2" xfId="1174" xr:uid="{00000000-0005-0000-0000-000014070000}"/>
    <cellStyle name="Total 14" xfId="1175" xr:uid="{00000000-0005-0000-0000-000015070000}"/>
    <cellStyle name="Total 14 2" xfId="1176" xr:uid="{00000000-0005-0000-0000-000016070000}"/>
    <cellStyle name="Total 15" xfId="1166" xr:uid="{00000000-0005-0000-0000-000017070000}"/>
    <cellStyle name="Total 2" xfId="1177" xr:uid="{00000000-0005-0000-0000-000018070000}"/>
    <cellStyle name="Total 2 2" xfId="1178" xr:uid="{00000000-0005-0000-0000-000019070000}"/>
    <cellStyle name="Total 3" xfId="1179" xr:uid="{00000000-0005-0000-0000-00001A070000}"/>
    <cellStyle name="Total 3 2" xfId="1180" xr:uid="{00000000-0005-0000-0000-00001B070000}"/>
    <cellStyle name="Total 4" xfId="1181" xr:uid="{00000000-0005-0000-0000-00001C070000}"/>
    <cellStyle name="Total 4 2" xfId="1182" xr:uid="{00000000-0005-0000-0000-00001D070000}"/>
    <cellStyle name="Total 5" xfId="1183" xr:uid="{00000000-0005-0000-0000-00001E070000}"/>
    <cellStyle name="Total 5 2" xfId="1184" xr:uid="{00000000-0005-0000-0000-00001F070000}"/>
    <cellStyle name="Total 6" xfId="1185" xr:uid="{00000000-0005-0000-0000-000020070000}"/>
    <cellStyle name="Total 6 2" xfId="1186" xr:uid="{00000000-0005-0000-0000-000021070000}"/>
    <cellStyle name="Total 7" xfId="1187" xr:uid="{00000000-0005-0000-0000-000022070000}"/>
    <cellStyle name="Total 7 2" xfId="1188" xr:uid="{00000000-0005-0000-0000-000023070000}"/>
    <cellStyle name="Total 8" xfId="1189" xr:uid="{00000000-0005-0000-0000-000024070000}"/>
    <cellStyle name="Total 8 2" xfId="1190" xr:uid="{00000000-0005-0000-0000-000025070000}"/>
    <cellStyle name="Total 9" xfId="1191" xr:uid="{00000000-0005-0000-0000-000026070000}"/>
    <cellStyle name="Total 9 2" xfId="1192" xr:uid="{00000000-0005-0000-0000-000027070000}"/>
    <cellStyle name="Warning Text" xfId="1193" xr:uid="{00000000-0005-0000-0000-000028070000}"/>
  </cellStyles>
  <dxfs count="10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28015</xdr:colOff>
      <xdr:row>0</xdr:row>
      <xdr:rowOff>180975</xdr:rowOff>
    </xdr:from>
    <xdr:to>
      <xdr:col>2</xdr:col>
      <xdr:colOff>102534</xdr:colOff>
      <xdr:row>2</xdr:row>
      <xdr:rowOff>159975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6103" y="180975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4</xdr:col>
      <xdr:colOff>1002927</xdr:colOff>
      <xdr:row>0</xdr:row>
      <xdr:rowOff>176492</xdr:rowOff>
    </xdr:from>
    <xdr:to>
      <xdr:col>4</xdr:col>
      <xdr:colOff>2231652</xdr:colOff>
      <xdr:row>2</xdr:row>
      <xdr:rowOff>155492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05986" y="176492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3</xdr:col>
      <xdr:colOff>739587</xdr:colOff>
      <xdr:row>0</xdr:row>
      <xdr:rowOff>179294</xdr:rowOff>
    </xdr:from>
    <xdr:to>
      <xdr:col>4</xdr:col>
      <xdr:colOff>493058</xdr:colOff>
      <xdr:row>2</xdr:row>
      <xdr:rowOff>158294</xdr:rowOff>
    </xdr:to>
    <xdr:sp macro="[0]!Contratos" textlink="">
      <xdr:nvSpPr>
        <xdr:cNvPr id="4" name="2 Rectángulo redondeado">
          <a:extLst>
            <a:ext uri="{FF2B5EF4-FFF2-40B4-BE49-F238E27FC236}">
              <a16:creationId xmlns:a16="http://schemas.microsoft.com/office/drawing/2014/main" id="{07359E2C-EA48-4E6B-9F13-A2D928828B2F}"/>
            </a:ext>
          </a:extLst>
        </xdr:cNvPr>
        <xdr:cNvSpPr/>
      </xdr:nvSpPr>
      <xdr:spPr>
        <a:xfrm>
          <a:off x="3496234" y="179294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  <xdr:twoCellAnchor>
    <xdr:from>
      <xdr:col>2</xdr:col>
      <xdr:colOff>432547</xdr:colOff>
      <xdr:row>0</xdr:row>
      <xdr:rowOff>186017</xdr:rowOff>
    </xdr:from>
    <xdr:to>
      <xdr:col>3</xdr:col>
      <xdr:colOff>298077</xdr:colOff>
      <xdr:row>2</xdr:row>
      <xdr:rowOff>165017</xdr:rowOff>
    </xdr:to>
    <xdr:sp macro="[0]!Contratos" textlink="">
      <xdr:nvSpPr>
        <xdr:cNvPr id="5" name="2 Rectángulo redondeado">
          <a:extLst>
            <a:ext uri="{FF2B5EF4-FFF2-40B4-BE49-F238E27FC236}">
              <a16:creationId xmlns:a16="http://schemas.microsoft.com/office/drawing/2014/main" id="{BAD40DB8-6DE5-42C7-BC19-876D8FC2040E}"/>
            </a:ext>
          </a:extLst>
        </xdr:cNvPr>
        <xdr:cNvSpPr/>
      </xdr:nvSpPr>
      <xdr:spPr>
        <a:xfrm>
          <a:off x="1754841" y="186017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MANUAL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7.33860451389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7.338605555553" createdVersion="4" refreshedVersion="8" minRefreshableVersion="3" recordCount="3427" xr:uid="{00000000-000A-0000-FFFF-FFFF85000000}">
  <cacheSource type="worksheet">
    <worksheetSource ref="B5:S3432" sheet="FONT"/>
  </cacheSource>
  <cacheFields count="18">
    <cacheField name="Contrato" numFmtId="0">
      <sharedItems containsString="0" containsBlank="1" containsNumber="1" containsInteger="1" minValue="3373" maxValue="65509890276" count="434">
        <n v="1000001249"/>
        <n v="1000001573"/>
        <n v="1000001940"/>
        <n v="1000002191"/>
        <n v="1000002677"/>
        <n v="1000002861"/>
        <n v="1000003291"/>
        <n v="1000003292"/>
        <n v="1000003293"/>
        <n v="1000003294"/>
        <n v="1000003295"/>
        <n v="1000003296"/>
        <n v="1000003297"/>
        <n v="1000003298"/>
        <n v="1000003299"/>
        <n v="1000003300"/>
        <n v="1000003301"/>
        <n v="1000003302"/>
        <n v="1000003305"/>
        <n v="1000003307"/>
        <n v="1000003315"/>
        <n v="1000003633"/>
        <n v="1005849"/>
        <n v="1006090"/>
        <n v="1008774"/>
        <n v="1008775"/>
        <n v="1008776"/>
        <n v="1010322"/>
        <n v="1010401"/>
        <n v="1012259"/>
        <n v="1012260"/>
        <n v="1013187"/>
        <n v="1013407"/>
        <n v="1014057"/>
        <n v="1015460"/>
        <n v="1015473"/>
        <n v="1015474"/>
        <n v="1018694"/>
        <n v="1018695"/>
        <n v="1018867"/>
        <n v="1018997"/>
        <n v="1020027"/>
        <n v="1020029"/>
        <n v="1020040"/>
        <n v="1021018"/>
        <n v="1021427"/>
        <n v="1024556"/>
        <n v="1024836"/>
        <n v="1028703"/>
        <n v="1031340"/>
        <n v="1031341"/>
        <n v="1031627"/>
        <n v="1031629"/>
        <n v="1032436"/>
        <n v="1032437"/>
        <n v="1032438"/>
        <n v="1032439"/>
        <n v="1032440"/>
        <n v="1032441"/>
        <n v="1032442"/>
        <n v="1032443"/>
        <n v="1032445"/>
        <n v="1032446"/>
        <n v="1032746"/>
        <n v="1032747"/>
        <n v="1032902"/>
        <n v="1033543"/>
        <n v="1033544"/>
        <n v="1033545"/>
        <n v="1033546"/>
        <n v="1033795"/>
        <n v="1033796"/>
        <n v="1033811"/>
        <n v="1034042"/>
        <n v="1034700"/>
        <n v="1036525"/>
        <n v="1036526"/>
        <n v="1036527"/>
        <n v="1036528"/>
        <n v="1036529"/>
        <n v="1036530"/>
        <n v="1036613"/>
        <n v="1036691"/>
        <n v="1036723"/>
        <n v="1036724"/>
        <n v="1036731"/>
        <n v="1037085"/>
        <n v="1037086"/>
        <n v="1037087"/>
        <n v="1037090"/>
        <n v="1037097"/>
        <n v="1037109"/>
        <n v="1037113"/>
        <n v="1037115"/>
        <n v="1037117"/>
        <n v="1037118"/>
        <n v="1037124"/>
        <n v="1037125"/>
        <n v="1037540"/>
        <n v="1037923"/>
        <n v="1037925"/>
        <n v="1038853"/>
        <n v="143510"/>
        <n v="147309"/>
        <n v="147310"/>
        <n v="147311"/>
        <n v="147312"/>
        <n v="147313"/>
        <n v="147314"/>
        <n v="147491"/>
        <n v="147492"/>
        <n v="152965"/>
        <n v="152971"/>
        <n v="152974"/>
        <n v="152976"/>
        <n v="152979"/>
        <n v="152981"/>
        <n v="152983"/>
        <n v="153030"/>
        <n v="156622"/>
        <n v="159246"/>
        <n v="3373"/>
        <n v="65500498081"/>
        <n v="65501285111"/>
        <n v="65501372909"/>
        <n v="65501387259"/>
        <n v="65501902345"/>
        <n v="65502128155"/>
        <n v="65502262917"/>
        <n v="65502313952"/>
        <n v="65502334887"/>
        <n v="65502397418"/>
        <n v="65502425394"/>
        <n v="65502898380"/>
        <n v="65502898437"/>
        <n v="65503040718"/>
        <n v="65503071575"/>
        <n v="65503523505"/>
        <n v="65503525966"/>
        <n v="65503691935"/>
        <n v="65503867094"/>
        <n v="65504832250"/>
        <n v="65505285253"/>
        <n v="65505597846"/>
        <n v="65506131264"/>
        <n v="65507052215"/>
        <n v="65507052277"/>
        <n v="65507052294"/>
        <n v="65507142173"/>
        <n v="65507143699"/>
        <n v="65507143745"/>
        <n v="65507298252"/>
        <n v="65507430562"/>
        <n v="65507504761"/>
        <n v="65507528155"/>
        <n v="65507528400"/>
        <n v="65507671187"/>
        <n v="65507684270"/>
        <n v="65507684389"/>
        <n v="65507747706"/>
        <n v="65507895505"/>
        <n v="65508702490"/>
        <n v="65508881201"/>
        <n v="65508886089"/>
        <n v="65508888184"/>
        <n v="65508989338"/>
        <n v="65509560409"/>
        <n v="65509560426"/>
        <n v="65509560443"/>
        <n v="65509560457"/>
        <n v="65509889998"/>
        <n v="65509890080"/>
        <n v="65509890154"/>
        <n v="65509890276"/>
        <n v="1002455"/>
        <n v="1008777"/>
        <n v="1008778"/>
        <n v="1018014"/>
        <n v="1018122"/>
        <n v="1018302"/>
        <n v="142481"/>
        <n v="142482"/>
        <n v="2000123"/>
        <n v="2000146"/>
        <n v="2000182"/>
        <n v="2000183"/>
        <n v="2000216"/>
        <n v="2000217"/>
        <n v="2000218"/>
        <n v="2000219"/>
        <n v="2000220"/>
        <n v="2000221"/>
        <n v="2000301"/>
        <n v="2000302"/>
        <n v="2000402"/>
        <n v="2000423"/>
        <n v="2000424"/>
        <n v="2000465"/>
        <n v="2000467"/>
        <n v="2000513"/>
        <n v="2000534"/>
        <n v="2000554"/>
        <n v="2000569"/>
        <n v="2000574"/>
        <n v="2000575"/>
        <n v="2000576"/>
        <n v="2000577"/>
        <n v="2000579"/>
        <n v="2000581"/>
        <n v="2000597"/>
        <n v="2000722"/>
        <n v="2000724"/>
        <n v="2000725"/>
        <n v="2000730"/>
        <n v="2000739"/>
        <n v="2000776"/>
        <n v="2000777"/>
        <n v="2000778"/>
        <n v="2000791"/>
        <n v="2000795"/>
        <n v="2000905"/>
        <n v="2000926"/>
        <n v="2000927"/>
        <n v="2000928"/>
        <n v="2000941"/>
        <n v="2000942"/>
        <n v="2000947"/>
        <n v="2001046"/>
        <n v="2001047"/>
        <n v="2001049"/>
        <n v="2001050"/>
        <n v="2001140"/>
        <n v="2001141"/>
        <n v="2001142"/>
        <n v="2111039"/>
        <n v="2111047"/>
        <n v="2141256"/>
        <n v="2141264"/>
        <n v="420310"/>
        <n v="536741"/>
        <n v="541079"/>
        <n v="59181"/>
        <n v="64518"/>
        <n v="65723"/>
        <n v="71358"/>
        <n v="71610"/>
        <n v="72636"/>
        <n v="72637"/>
        <n v="75016"/>
        <n v="75017"/>
        <n v="75218"/>
        <n v="75219"/>
        <n v="75220"/>
        <n v="75221"/>
        <n v="75222"/>
        <n v="75223"/>
        <n v="75224"/>
        <n v="75225"/>
        <n v="75226"/>
        <n v="75227"/>
        <n v="75228"/>
        <n v="77704"/>
        <n v="78665"/>
        <n v="78666"/>
        <n v="78669"/>
        <n v="79041"/>
        <n v="79042"/>
        <n v="79043"/>
        <n v="79044"/>
        <n v="79045"/>
        <n v="79046"/>
        <n v="80862"/>
        <m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 containsBlank="1"/>
    </cacheField>
    <cacheField name="Emisora" numFmtId="0">
      <sharedItems containsBlank="1" count="684">
        <s v="STERGOB ED          "/>
        <s v="SVIVE20 ED          "/>
        <s v="SVIVE35 ED          "/>
        <s v="SVIVE50 ED          "/>
        <s v="AC *                "/>
        <s v="ACWI *              "/>
        <s v="ALFA A              "/>
        <s v="ALSEA *             "/>
        <s v="AMX 0129            "/>
        <s v="AMX 0131X           "/>
        <s v="AMX B               "/>
        <s v="ASUR B              "/>
        <s v="BIMBO A             "/>
        <s v="BLADEX 24           "/>
        <s v="CEMEX CPO           "/>
        <s v="CETES 250123        "/>
        <s v="CETES 260219        "/>
        <s v="EEM *               "/>
        <s v="EPP *               "/>
        <s v="EWJ *               "/>
        <s v="FEMSA UBD           "/>
        <s v="GAP B               "/>
        <s v="GCC *               "/>
        <s v="GENTERA *           "/>
        <s v="GFNORTE O           "/>
        <s v="GMEXICO B           "/>
        <s v="GOBFED 240905       "/>
        <s v="GOBFED 250306       "/>
        <s v="GOBFED 260305       "/>
        <s v="GOBFED 260903       "/>
        <s v="GOBFED 270304       "/>
        <s v="GOBFED 270603       "/>
        <s v="GOBFED 290301       "/>
        <s v="GOBFED 290531       "/>
        <s v="GOBFED 310529       "/>
        <s v="GOBFED 330526       "/>
        <s v="GOBFED 341123       "/>
        <s v="GOBFED 421113       "/>
        <s v="GOBFED 471107       "/>
        <s v="GOBFED 530731       "/>
        <s v="GRUMA B             "/>
        <s v="HERDEZ *            "/>
        <s v="IVV *               "/>
        <s v="KOF UBL             "/>
        <s v="LACOMER UBC         "/>
        <s v="LIVEPOL C-1         "/>
        <s v="MEGA 24X            "/>
        <s v="NEMAK A             "/>
        <s v="R A                 "/>
        <s v="SPSM *              "/>
        <s v="TRAXION A           "/>
        <s v="UDIBONO 251204      "/>
        <s v="UDIBONO 261203      "/>
        <s v="UDIBONO 281130      "/>
        <s v="UDIBONO 311127      "/>
        <s v="UDIBONO 351122      "/>
        <s v="UDIBONO 401115      "/>
        <s v="UDIBONO 431112      "/>
        <s v="UDIBONO 461108      "/>
        <s v="UDIBONO 501103      "/>
        <s v="VESTA *             "/>
        <s v="VGK *               "/>
        <s v="VOO *               "/>
        <s v="WALMEX *            "/>
        <s v="SVIVE60 ED          "/>
        <s v="CETES 250306        "/>
        <s v="EFECTIVO"/>
        <s v="GOBFED 241205       "/>
        <s v="GOBFED 381118       "/>
        <s v="BONDESF 240815      "/>
        <s v="CETES 250403        "/>
        <s v="CETES 251224        "/>
        <s v="CETES 241128        "/>
        <s v="UDIBONO 231116      "/>
        <s v="STERGOB B3          "/>
        <s v="STERGOB B4          "/>
        <s v="SVIVE20 S           "/>
        <s v="SVIVE35 S           "/>
        <s v="SVIVE50 S           "/>
        <s v="SVIVE60 S           "/>
        <s v="STRGOB2 ED          "/>
        <s v="GOBFED 361120       "/>
        <s v="IENOVA *            "/>
        <s v="SVIVE50 C3          "/>
        <s v="STRGOB2 B4          "/>
        <s v="CETELEM 22          "/>
        <s v="CETES 241003        "/>
        <s v="LIVEPOL 19          "/>
        <s v="PEMEX 13-2          "/>
        <s v="ST&amp;ER-C ED          "/>
        <s v="STERGOB B1          "/>
        <s v="SANMEX B            "/>
        <s v="BBVAMX 22X          "/>
        <s v="BONDESF 241107      "/>
        <s v="BPA182 270121       "/>
        <s v="BPA182 301010       "/>
        <s v="BPAG91 270107       "/>
        <s v="CETELEM 21-4        "/>
        <s v="CFE 14-2            "/>
        <s v="FEFA 24             "/>
        <s v="FNCOT 22S           "/>
        <s v="GAP 22L             "/>
        <s v="PEMEX 19            "/>
        <s v="VWLEASE 22-2        "/>
        <s v="CETES 151015        "/>
        <s v="CETES 160414        "/>
        <s v="CETES 160428        "/>
        <s v="GOBFED 170615       "/>
        <s v="GOBFED 180614       "/>
        <s v="GOBFED 191211       "/>
        <s v="GOBFED 200611       "/>
        <s v="GOBFED 210610       "/>
        <s v="GOBFED 220609       "/>
        <s v="GOBFED 231207       "/>
        <s v="UDIBONO 160616      "/>
        <s v="UDIBONO 171214      "/>
        <s v="UDIBONO 190613      "/>
        <s v="UDIBONO 201210      "/>
        <s v="UDIBONO 220609      "/>
        <s v="BONDESD 251211      "/>
        <s v="CETELEM 22-4        "/>
        <s v="CETES 240530        "/>
        <s v="CETES 251030        "/>
        <s v="CFE 21U             "/>
        <s v="CHIACB 07           "/>
        <s v="EDUCA 23L           "/>
        <s v="FOVISCB 17U         "/>
        <s v="LALA 19-2           "/>
        <s v="TFOVICB 16U         "/>
        <s v="STERGOB B0          "/>
        <s v="STER-OP ED          "/>
        <s v="CETES 250206        "/>
        <s v="FERROMX 14          "/>
        <s v="GICSA 17            "/>
        <s v="MOLYMET 21-2        "/>
        <s v="NM 15               "/>
        <s v="PEMEX 14U           "/>
        <s v="RSP *               "/>
        <s v="SAM-RVG E           "/>
        <s v="STER-OP E3          "/>
        <s v="USA-EQ ED           "/>
        <s v="TFOVICB 15U         "/>
        <s v="CETES 250320        "/>
        <s v="STER-OP MD          "/>
        <s v="BPA182 130919       "/>
        <s v="BPA182 140327       "/>
        <s v="CETES 131017        "/>
        <s v="CETES 230601        "/>
        <s v="STER-OP E2          "/>
        <s v="CASITA *            "/>
        <s v="STRGOB2 B2          "/>
        <s v="STERGOB C2          "/>
        <s v="CETES 160107        "/>
        <s v="SVIVE35 C3          "/>
        <s v="STERGOB B2          "/>
        <s v="STERGOB B5          "/>
        <s v="SVIVE60 C1          "/>
        <s v="SVIVE60 C3          "/>
        <s v="ACBE 17             "/>
        <s v="ALSEA 17-2          "/>
        <s v="BINBUR 14-7         "/>
        <s v="CFE 17              "/>
        <s v="DANHOS 17           "/>
        <s v="FUNO 17             "/>
        <s v="GMXT 17             "/>
        <s v="HSBC 17-2           "/>
        <s v="LALA 18             "/>
        <s v="TELMEX 07           "/>
        <s v="METROCB 07          "/>
        <s v="SVIVE20 C2          "/>
        <s v="SVIVE35 C2          "/>
        <s v="SVIVE50 C2          "/>
        <s v="SVIVE60 C2          "/>
        <s v="BANOA64 999999      "/>
        <s v="POSAS95 271230      "/>
        <s v="AMX 10-2            "/>
        <s v="CBIC003 210128      "/>
        <s v="CBIC007 221208      "/>
        <s v="CBIC008 231207      "/>
        <s v="CETES 140821        "/>
        <s v="CETES 141211        "/>
        <s v="GOBFED 181213       "/>
        <s v="UDIBONO 141218      "/>
        <s v="STERGOB M2          "/>
        <s v="SVIVE20 C3          "/>
        <s v="ST&amp;ER-7 ED          "/>
        <s v="STEREAL ED          "/>
        <s v="ALPEK A             "/>
        <s v="CETES 240822        "/>
        <s v="BBPEN 21            "/>
        <s v="BONDESF 250227      "/>
        <s v="BONDESF 250424      "/>
        <s v="BONDESF 250619      "/>
        <s v="CETELEM 21-3        "/>
        <s v="FIBRAMQ 12          "/>
        <s v="FIBRAPL 14          "/>
        <s v="JAVER *             "/>
        <s v="KIMBER 22           "/>
        <s v="KIMBER A            "/>
        <s v="KOF 21-2L           "/>
        <s v="TERRA 13            "/>
        <s v="GFINBUR O           "/>
        <s v="CETES 211118        "/>
        <s v="CFE 21-5            "/>
        <s v="MPGOBFED 290531     "/>
        <s v="SHV *               "/>
        <s v="TFOVICB 20U         "/>
        <s v="UDIBONO 340824      "/>
        <s v="ELEKTRA *           "/>
        <s v="FINAMEX O           "/>
        <s v="GFREGIO O           "/>
        <s v="OHLMEX *            "/>
        <s v="ABACOGF A           "/>
        <s v="CABLE CPO           "/>
        <s v="FEMSA UB            "/>
        <s v="VIDEO *             "/>
        <s v="COVARRA *           "/>
        <s v="STRGOB2 B0          "/>
        <s v="CREYCB 07-2         "/>
        <s v="FOVISCB 19-2U       "/>
        <s v="CHDRAUI B           "/>
        <s v="DANHOS 13           "/>
        <s v="EDUCA 18            "/>
        <s v="FEZ *               "/>
        <s v="FHIPOCB 17U         "/>
        <s v="FORION 20           "/>
        <s v="FUNO 11             "/>
        <s v="FVIA 16             "/>
        <s v="HICKOK 90           "/>
        <s v="IBANOBRA 13171      "/>
        <s v="LASITE B-1          "/>
        <s v="RCOCB 09            "/>
        <s v="SPY *               "/>
        <s v="TFOVICB 15-2U       "/>
        <s v="VOLAR A             "/>
        <m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 containsBlank="1"/>
    </cacheField>
    <cacheField name="Moneda" numFmtId="0">
      <sharedItems containsBlank="1"/>
    </cacheField>
    <cacheField name="Títulos" numFmtId="0">
      <sharedItems containsString="0" containsBlank="1" containsNumber="1" containsInteger="1" minValue="0" maxValue="651583020"/>
    </cacheField>
    <cacheField name="Prec Ult Hecho" numFmtId="0">
      <sharedItems containsString="0" containsBlank="1" containsNumber="1" minValue="0" maxValue="16601.967289"/>
    </cacheField>
    <cacheField name="Monto" numFmtId="0">
      <sharedItems containsString="0" containsBlank="1" containsNumber="1" minValue="-4494.99" maxValue="2369479045.8979201"/>
    </cacheField>
    <cacheField name="Costo Unitario" numFmtId="0">
      <sharedItems containsString="0" containsBlank="1" containsNumber="1" minValue="0" maxValue="21701.96"/>
    </cacheField>
    <cacheField name="Plusvalia o Minusvalia" numFmtId="0">
      <sharedItems containsString="0" containsBlank="1" containsNumber="1" minValue="-79887387.25" maxValue="971244351.52792001"/>
    </cacheField>
    <cacheField name="Títulos Operados" numFmtId="0">
      <sharedItems containsString="0" containsBlank="1" containsNumber="1" containsInteger="1" minValue="-11339728" maxValue="17000000"/>
    </cacheField>
    <cacheField name="Monto Operado" numFmtId="0">
      <sharedItems containsString="0" containsBlank="1" containsNumber="1" minValue="-40007841.770000003" maxValue="163460947.00999999"/>
    </cacheField>
    <cacheField name="Títulos Pendientes" numFmtId="0">
      <sharedItems containsString="0" containsBlank="1" containsNumber="1" containsInteger="1" minValue="0" maxValue="0"/>
    </cacheField>
    <cacheField name="Monto Pendiente" numFmtId="0">
      <sharedItems containsString="0" containsBlank="1" containsNumber="1" containsInteger="1" minValue="0" maxValue="0"/>
    </cacheField>
    <cacheField name="Títulos Totales" numFmtId="0">
      <sharedItems containsString="0" containsBlank="1" containsNumber="1" containsInteger="1" minValue="-21725" maxValue="651583020"/>
    </cacheField>
    <cacheField name="Monto Total" numFmtId="0">
      <sharedItems containsString="0" containsBlank="1" containsNumber="1" minValue="-39978562.25" maxValue="2369479045.8979201"/>
    </cacheField>
    <cacheField name="Promotor" numFmtId="0">
      <sharedItems containsBlank="1"/>
    </cacheField>
    <cacheField name="Centro de Costos" numFmtId="0">
      <sharedItems containsString="0" containsBlank="1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7">
  <r>
    <x v="0"/>
    <s v="PEGASO PCS SA DE CV"/>
    <x v="0"/>
    <s v="NORMAL"/>
    <s v="MXN"/>
    <n v="1155643"/>
    <n v="3.3967719999999999"/>
    <n v="3925455.7843960002"/>
    <n v="3.3770057708133048"/>
    <n v="22842.704396000001"/>
    <n v="0"/>
    <n v="0"/>
    <n v="0"/>
    <n v="0"/>
    <n v="1155643"/>
    <n v="3925455.7843960002"/>
    <s v="EPER"/>
    <n v="7414000005"/>
  </r>
  <r>
    <x v="0"/>
    <s v="PEGASO PCS SA DE CV"/>
    <x v="1"/>
    <s v="NORMAL"/>
    <s v="MXN"/>
    <n v="460"/>
    <n v="137.94899000000001"/>
    <n v="63456.535400000001"/>
    <n v="139.5491304347826"/>
    <n v="-736.06460000000004"/>
    <n v="0"/>
    <n v="0"/>
    <n v="0"/>
    <n v="0"/>
    <n v="460"/>
    <n v="63456.535400000001"/>
    <s v="EPER"/>
    <n v="7414000005"/>
  </r>
  <r>
    <x v="0"/>
    <s v="PEGASO PCS SA DE CV"/>
    <x v="2"/>
    <s v="NORMAL"/>
    <s v="MXN"/>
    <n v="100570"/>
    <n v="3.6096119999999998"/>
    <n v="363018.67884000001"/>
    <n v="3.6610171025156606"/>
    <n v="-5169.8111600000002"/>
    <n v="0"/>
    <n v="0"/>
    <n v="0"/>
    <n v="0"/>
    <n v="100570"/>
    <n v="363018.67884000001"/>
    <s v="EPER"/>
    <n v="7414000005"/>
  </r>
  <r>
    <x v="0"/>
    <s v="PEGASO PCS SA DE CV"/>
    <x v="3"/>
    <s v="NORMAL"/>
    <s v="MXN"/>
    <n v="33104"/>
    <n v="2.1897980000000001"/>
    <n v="72491.072992000001"/>
    <n v="2.232305763653939"/>
    <n v="-1407.1770079999999"/>
    <n v="0"/>
    <n v="0"/>
    <n v="0"/>
    <n v="0"/>
    <n v="33104"/>
    <n v="72491.072992000001"/>
    <s v="EPER"/>
    <n v="7414000005"/>
  </r>
  <r>
    <x v="1"/>
    <s v="CONTROLADORA MABE SA DE CV"/>
    <x v="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8"/>
    <s v="NORMAL"/>
    <s v="MXN"/>
    <n v="450"/>
    <n v="9802.1143969999994"/>
    <n v="4410951.4786499999"/>
    <n v="9982.2999999999993"/>
    <n v="-81083.521349999995"/>
    <n v="0"/>
    <n v="0"/>
    <n v="0"/>
    <n v="0"/>
    <n v="450"/>
    <n v="4410951.4786499999"/>
    <s v="EPER"/>
    <n v="7414000005"/>
  </r>
  <r>
    <x v="1"/>
    <s v="CONTROLADORA MABE SA DE CV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1"/>
    <s v="CONTROLADORA MABE SA DE CV"/>
    <x v="1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3"/>
    <s v="NORMAL"/>
    <s v="MXN"/>
    <n v="62970"/>
    <n v="100.000484"/>
    <n v="6297030.4774799999"/>
    <n v="100"/>
    <n v="30.47748"/>
    <n v="0"/>
    <n v="0"/>
    <n v="0"/>
    <n v="0"/>
    <n v="62970"/>
    <n v="6297030.4774799999"/>
    <s v="EPER"/>
    <n v="7414000005"/>
  </r>
  <r>
    <x v="1"/>
    <s v="CONTROLADORA MABE SA DE CV"/>
    <x v="1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5"/>
    <s v="NORMAL"/>
    <s v="MXN"/>
    <n v="6325880"/>
    <n v="9.190137"/>
    <n v="58135703.845559999"/>
    <n v="8.211578032240574"/>
    <n v="6190246.6029700004"/>
    <n v="0"/>
    <n v="0"/>
    <n v="0"/>
    <n v="0"/>
    <n v="6325880"/>
    <n v="58135703.845559999"/>
    <s v="EPER"/>
    <n v="7414000005"/>
  </r>
  <r>
    <x v="1"/>
    <s v="CONTROLADORA MABE SA DE CV"/>
    <x v="16"/>
    <s v="NORMAL"/>
    <s v="MXN"/>
    <n v="914440"/>
    <n v="8.2580650000000002"/>
    <n v="7551504.9585999995"/>
    <n v="8.2501711100000001"/>
    <n v="7218.4887716000003"/>
    <n v="0"/>
    <n v="0"/>
    <n v="0"/>
    <n v="0"/>
    <n v="914440"/>
    <n v="7551504.9585999995"/>
    <s v="EPER"/>
    <n v="7414000005"/>
  </r>
  <r>
    <x v="1"/>
    <s v="CONTROLADORA MABE SA DE CV"/>
    <x v="1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6"/>
    <s v="NORMAL"/>
    <s v="MXN"/>
    <n v="50300"/>
    <n v="98.730349000000004"/>
    <n v="4966136.5547000002"/>
    <n v="95.551114380000001"/>
    <n v="159915.50138599999"/>
    <n v="0"/>
    <n v="0"/>
    <n v="0"/>
    <n v="0"/>
    <n v="50300"/>
    <n v="4966136.5547000002"/>
    <s v="EPER"/>
    <n v="7414000005"/>
  </r>
  <r>
    <x v="1"/>
    <s v="CONTROLADORA MABE SA DE CV"/>
    <x v="27"/>
    <s v="NORMAL"/>
    <s v="MXN"/>
    <n v="130000"/>
    <n v="94.973146999999997"/>
    <n v="12346509.109999999"/>
    <n v="90.737203046153851"/>
    <n v="550672.71400000004"/>
    <n v="0"/>
    <n v="0"/>
    <n v="0"/>
    <n v="0"/>
    <n v="130000"/>
    <n v="12346509.109999999"/>
    <s v="EPER"/>
    <n v="7414000005"/>
  </r>
  <r>
    <x v="1"/>
    <s v="CONTROLADORA MABE SA DE CV"/>
    <x v="28"/>
    <s v="NORMAL"/>
    <s v="MXN"/>
    <n v="100000"/>
    <n v="91.911821000000003"/>
    <n v="9191182.0999999996"/>
    <n v="89.152324980000003"/>
    <n v="275949.60200000001"/>
    <n v="0"/>
    <n v="0"/>
    <n v="0"/>
    <n v="0"/>
    <n v="100000"/>
    <n v="9191182.0999999996"/>
    <s v="EPER"/>
    <n v="7414000005"/>
  </r>
  <r>
    <x v="1"/>
    <s v="CONTROLADORA MABE SA DE CV"/>
    <x v="29"/>
    <s v="NORMAL"/>
    <s v="MXN"/>
    <n v="22560"/>
    <n v="92.954503000000003"/>
    <n v="2097053.5876800001"/>
    <n v="93.280131854822699"/>
    <n v="-7346.1869648000002"/>
    <n v="0"/>
    <n v="0"/>
    <n v="0"/>
    <n v="0"/>
    <n v="22560"/>
    <n v="2097053.5876800001"/>
    <s v="EPER"/>
    <n v="7414000005"/>
  </r>
  <r>
    <x v="1"/>
    <s v="CONTROLADORA MABE SA DE CV"/>
    <x v="30"/>
    <s v="NORMAL"/>
    <s v="MXN"/>
    <n v="30000"/>
    <n v="88.698122999999995"/>
    <n v="2660943.69"/>
    <n v="87.674765210000004"/>
    <n v="30700.733700000001"/>
    <n v="0"/>
    <n v="0"/>
    <n v="0"/>
    <n v="0"/>
    <n v="30000"/>
    <n v="2660943.69"/>
    <s v="EPER"/>
    <n v="7414000005"/>
  </r>
  <r>
    <x v="1"/>
    <s v="CONTROLADORA MABE SA DE CV"/>
    <x v="31"/>
    <s v="NORMAL"/>
    <s v="MXN"/>
    <n v="127260"/>
    <n v="93.314192000000006"/>
    <n v="11875164.07392"/>
    <n v="93.692293291034105"/>
    <n v="-48117.170296999997"/>
    <n v="0"/>
    <n v="0"/>
    <n v="0"/>
    <n v="0"/>
    <n v="127260"/>
    <n v="11875164.07392"/>
    <s v="EPER"/>
    <n v="7414000005"/>
  </r>
  <r>
    <x v="1"/>
    <s v="CONTROLADORA MABE SA DE CV"/>
    <x v="32"/>
    <s v="NORMAL"/>
    <s v="MXN"/>
    <n v="76690"/>
    <n v="94.864168000000006"/>
    <n v="7275133.0439200001"/>
    <n v="96.404140225417919"/>
    <n v="-118100.4699673"/>
    <n v="0"/>
    <n v="0"/>
    <n v="0"/>
    <n v="0"/>
    <n v="76690"/>
    <n v="7275133.0439200001"/>
    <s v="EPER"/>
    <n v="7414000005"/>
  </r>
  <r>
    <x v="1"/>
    <s v="CONTROLADORA MABE SA DE CV"/>
    <x v="33"/>
    <s v="NORMAL"/>
    <s v="MXN"/>
    <n v="297490"/>
    <n v="94.870157000000006"/>
    <n v="28222923.005929999"/>
    <n v="97.509016819287709"/>
    <n v="-785034.40763989999"/>
    <n v="0"/>
    <n v="0"/>
    <n v="0"/>
    <n v="0"/>
    <n v="297490"/>
    <n v="28222923.005929999"/>
    <s v="EPER"/>
    <n v="7414000005"/>
  </r>
  <r>
    <x v="1"/>
    <s v="CONTROLADORA MABE SA DE CV"/>
    <x v="34"/>
    <s v="NORMAL"/>
    <s v="MXN"/>
    <n v="51006"/>
    <n v="89.489464999999996"/>
    <n v="4564499.6517899996"/>
    <n v="91.081365976159276"/>
    <n v="-81196.501189980001"/>
    <n v="0"/>
    <n v="0"/>
    <n v="0"/>
    <n v="0"/>
    <n v="51006"/>
    <n v="4564499.6517899996"/>
    <s v="EPER"/>
    <n v="7414000005"/>
  </r>
  <r>
    <x v="1"/>
    <s v="CONTROLADORA MABE SA DE CV"/>
    <x v="35"/>
    <s v="NORMAL"/>
    <s v="MXN"/>
    <n v="199640"/>
    <n v="86.197128000000006"/>
    <n v="17208394.633919999"/>
    <n v="89.833009196265778"/>
    <n v="-725867.32202249998"/>
    <n v="0"/>
    <n v="0"/>
    <n v="0"/>
    <n v="0"/>
    <n v="199640"/>
    <n v="17208394.633919999"/>
    <s v="EPER"/>
    <n v="7414000005"/>
  </r>
  <r>
    <x v="1"/>
    <s v="CONTROLADORA MABE SA DE CV"/>
    <x v="36"/>
    <s v="NORMAL"/>
    <s v="MXN"/>
    <n v="195699"/>
    <n v="86.469353999999996"/>
    <n v="16921966.108445998"/>
    <n v="89.838096089999993"/>
    <n v="-659259.45827090996"/>
    <n v="0"/>
    <n v="0"/>
    <n v="0"/>
    <n v="0"/>
    <n v="195699"/>
    <n v="16921966.108445998"/>
    <s v="EPER"/>
    <n v="7414000005"/>
  </r>
  <r>
    <x v="1"/>
    <s v="CONTROLADORA MABE SA DE CV"/>
    <x v="37"/>
    <s v="NORMAL"/>
    <s v="MXN"/>
    <n v="137652"/>
    <n v="81.738860000000003"/>
    <n v="11251517.55672"/>
    <n v="86.051241614074627"/>
    <n v="-593607.95394060004"/>
    <n v="0"/>
    <n v="0"/>
    <n v="0"/>
    <n v="0"/>
    <n v="137652"/>
    <n v="11251517.55672"/>
    <s v="EPER"/>
    <n v="7414000005"/>
  </r>
  <r>
    <x v="1"/>
    <s v="CONTROLADORA MABE SA DE CV"/>
    <x v="38"/>
    <s v="NORMAL"/>
    <s v="MXN"/>
    <n v="48434"/>
    <n v="83.200761"/>
    <n v="4029745.658274"/>
    <n v="91.282563010000004"/>
    <n v="-391433.99855234002"/>
    <n v="0"/>
    <n v="0"/>
    <n v="0"/>
    <n v="0"/>
    <n v="48434"/>
    <n v="4029745.658274"/>
    <s v="EPER"/>
    <n v="7414000005"/>
  </r>
  <r>
    <x v="1"/>
    <s v="CONTROLADORA MABE SA DE CV"/>
    <x v="39"/>
    <s v="NORMAL"/>
    <s v="MXN"/>
    <n v="133615"/>
    <n v="82.159907000000004"/>
    <n v="10977795.973804999"/>
    <n v="84.040670625018151"/>
    <n v="-251298.2317568"/>
    <n v="0"/>
    <n v="0"/>
    <n v="0"/>
    <n v="0"/>
    <n v="133615"/>
    <n v="10977795.973804999"/>
    <s v="EPER"/>
    <n v="7414000005"/>
  </r>
  <r>
    <x v="1"/>
    <s v="CONTROLADORA MABE SA DE CV"/>
    <x v="4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6"/>
    <s v="NORMAL"/>
    <s v="MXN"/>
    <n v="60000"/>
    <n v="99.999184999999997"/>
    <n v="5999951.0999999996"/>
    <n v="100"/>
    <n v="-48.9"/>
    <n v="0"/>
    <n v="0"/>
    <n v="0"/>
    <n v="0"/>
    <n v="60000"/>
    <n v="5999951.0999999996"/>
    <s v="EPER"/>
    <n v="7414000005"/>
  </r>
  <r>
    <x v="1"/>
    <s v="CONTROLADORA MABE SA DE C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0"/>
    <s v="NORMAL"/>
    <s v="MXN"/>
    <n v="1539540"/>
    <n v="3.3967719999999999"/>
    <n v="5229466.3648800002"/>
    <n v="3.345312008781844"/>
    <n v="79224.71488"/>
    <n v="0"/>
    <n v="0"/>
    <n v="0"/>
    <n v="0"/>
    <n v="1539540"/>
    <n v="5229466.3648800002"/>
    <s v="EPER"/>
    <n v="7414000005"/>
  </r>
  <r>
    <x v="1"/>
    <s v="CONTROLADORA MABE SA DE CV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1"/>
    <s v="NORMAL"/>
    <s v="MXN"/>
    <n v="16836"/>
    <n v="775.69178699999998"/>
    <n v="13059546.925931999"/>
    <n v="763.85295237784271"/>
    <n v="199318.61969863999"/>
    <n v="0"/>
    <n v="0"/>
    <n v="0"/>
    <n v="0"/>
    <n v="16836"/>
    <n v="13059546.925931999"/>
    <s v="EPER"/>
    <n v="7414000005"/>
  </r>
  <r>
    <x v="1"/>
    <s v="CONTROLADORA MABE SA DE CV"/>
    <x v="52"/>
    <s v="NORMAL"/>
    <s v="MXN"/>
    <n v="11953"/>
    <n v="747.17843200000004"/>
    <n v="8931023.797696"/>
    <n v="721.08853855769598"/>
    <n v="311852.49631586001"/>
    <n v="0"/>
    <n v="0"/>
    <n v="0"/>
    <n v="0"/>
    <n v="11953"/>
    <n v="8931023.797696"/>
    <s v="EPER"/>
    <n v="7414000005"/>
  </r>
  <r>
    <x v="1"/>
    <s v="CONTROLADORA MABE SA DE CV"/>
    <x v="53"/>
    <s v="NORMAL"/>
    <s v="MXN"/>
    <n v="7339"/>
    <n v="765.92388300000005"/>
    <n v="5621115.3773370003"/>
    <n v="763.17169451999996"/>
    <n v="20198.31125472"/>
    <n v="0"/>
    <n v="0"/>
    <n v="0"/>
    <n v="0"/>
    <n v="7339"/>
    <n v="5621115.3773370003"/>
    <s v="EPER"/>
    <n v="7414000005"/>
  </r>
  <r>
    <x v="1"/>
    <s v="CONTROLADORA MABE SA DE CV"/>
    <x v="54"/>
    <s v="NORMAL"/>
    <s v="MXN"/>
    <n v="9785"/>
    <n v="684.88915799999995"/>
    <n v="6701640.4110300001"/>
    <n v="684.87030049223301"/>
    <n v="184.5207135"/>
    <n v="0"/>
    <n v="0"/>
    <n v="0"/>
    <n v="0"/>
    <n v="9785"/>
    <n v="6701640.4110300001"/>
    <s v="EPER"/>
    <n v="7414000005"/>
  </r>
  <r>
    <x v="1"/>
    <s v="CONTROLADORA MABE SA DE CV"/>
    <x v="55"/>
    <s v="NORMAL"/>
    <s v="MXN"/>
    <n v="9988"/>
    <n v="772.926965"/>
    <n v="7719994.52642"/>
    <n v="803.0700557177563"/>
    <n v="-301069.19008894998"/>
    <n v="0"/>
    <n v="0"/>
    <n v="0"/>
    <n v="0"/>
    <n v="9988"/>
    <n v="7719994.52642"/>
    <s v="EPER"/>
    <n v="7414000005"/>
  </r>
  <r>
    <x v="1"/>
    <s v="CONTROLADORA MABE SA DE CV"/>
    <x v="56"/>
    <s v="NORMAL"/>
    <s v="MXN"/>
    <n v="10025"/>
    <n v="721.59464000000003"/>
    <n v="7233986.2659999998"/>
    <n v="764.96141248000004"/>
    <n v="-434751.89411200001"/>
    <n v="0"/>
    <n v="0"/>
    <n v="0"/>
    <n v="0"/>
    <n v="10025"/>
    <n v="7233986.2659999998"/>
    <s v="EPER"/>
    <n v="7414000005"/>
  </r>
  <r>
    <x v="1"/>
    <s v="CONTROLADORA MABE SA DE CV"/>
    <x v="57"/>
    <s v="NORMAL"/>
    <s v="MXN"/>
    <n v="2547"/>
    <n v="635.96311900000001"/>
    <n v="1619798.064093"/>
    <n v="647.93802047999998"/>
    <n v="-30500.07406956"/>
    <n v="0"/>
    <n v="0"/>
    <n v="0"/>
    <n v="0"/>
    <n v="2547"/>
    <n v="1619798.064093"/>
    <s v="EPER"/>
    <n v="7414000005"/>
  </r>
  <r>
    <x v="1"/>
    <s v="CONTROLADORA MABE SA DE CV"/>
    <x v="58"/>
    <s v="NORMAL"/>
    <s v="MXN"/>
    <n v="10420"/>
    <n v="709.36974099999998"/>
    <n v="7391632.7012200002"/>
    <n v="768.26333123999996"/>
    <n v="-613671.21030080004"/>
    <n v="0"/>
    <n v="0"/>
    <n v="0"/>
    <n v="0"/>
    <n v="10420"/>
    <n v="7391632.7012200002"/>
    <s v="EPER"/>
    <n v="7414000005"/>
  </r>
  <r>
    <x v="1"/>
    <s v="CONTROLADORA MABE SA DE CV"/>
    <x v="59"/>
    <s v="NORMAL"/>
    <s v="MXN"/>
    <n v="17073"/>
    <n v="694.41118700000004"/>
    <n v="11855682.195651"/>
    <n v="724.24373434549693"/>
    <n v="-509331.08082967001"/>
    <n v="0"/>
    <n v="0"/>
    <n v="0"/>
    <n v="0"/>
    <n v="17073"/>
    <n v="11855682.195651"/>
    <s v="EPER"/>
    <n v="7414000005"/>
  </r>
  <r>
    <x v="1"/>
    <s v="CONTROLADORA MABE SA DE C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3"/>
    <s v="NORMAL"/>
    <s v="MXN"/>
    <n v="0"/>
    <n v="0"/>
    <n v="0"/>
    <n v="0"/>
    <n v="0"/>
    <n v="0"/>
    <n v="0"/>
    <n v="0"/>
    <n v="0"/>
    <n v="0"/>
    <n v="0"/>
    <s v="EPER"/>
    <n v="7414000005"/>
  </r>
  <r>
    <x v="2"/>
    <s v="CONTROLADORA MABE SA DE CV"/>
    <x v="0"/>
    <s v="NORMAL"/>
    <s v="MXN"/>
    <n v="40609029"/>
    <n v="3.3967719999999999"/>
    <n v="137939612.65438801"/>
    <n v="3.1614010871818681"/>
    <n v="9558184.2243879996"/>
    <n v="0"/>
    <n v="0"/>
    <n v="0"/>
    <n v="0"/>
    <n v="40609029"/>
    <n v="137939612.65438801"/>
    <s v="EPER"/>
    <n v="7414000005"/>
  </r>
  <r>
    <x v="3"/>
    <s v="BANCO SANTANDER MEXICO SA FIDEICOMISO F  24606130"/>
    <x v="0"/>
    <s v="NORMAL"/>
    <s v="MXN"/>
    <n v="4364510"/>
    <n v="3.3967719999999999"/>
    <n v="14825245.361719999"/>
    <n v="3.2390575116106963"/>
    <n v="688346.46172000002"/>
    <n v="0"/>
    <n v="0"/>
    <n v="0"/>
    <n v="0"/>
    <n v="4364510"/>
    <n v="14825245.361719999"/>
    <s v="EPER"/>
    <n v="7414000005"/>
  </r>
  <r>
    <x v="3"/>
    <s v="BANCO SANTANDER MEXICO SA FIDEICOMISO F  24606130"/>
    <x v="1"/>
    <s v="NORMAL"/>
    <s v="MXN"/>
    <n v="70008"/>
    <n v="137.94899000000001"/>
    <n v="9657532.8919200003"/>
    <n v="125.89539438349902"/>
    <n v="843848.12191999995"/>
    <n v="0"/>
    <n v="0"/>
    <n v="0"/>
    <n v="0"/>
    <n v="70008"/>
    <n v="9657532.8919200003"/>
    <s v="EPER"/>
    <n v="7414000005"/>
  </r>
  <r>
    <x v="3"/>
    <s v="BANCO SANTANDER MEXICO SA FIDEICOMISO F  24606130"/>
    <x v="2"/>
    <s v="NORMAL"/>
    <s v="MXN"/>
    <n v="26635745"/>
    <n v="3.6096119999999998"/>
    <n v="96144704.780939996"/>
    <n v="3.3352528247285744"/>
    <n v="7307761.03094"/>
    <n v="0"/>
    <n v="0"/>
    <n v="0"/>
    <n v="0"/>
    <n v="26635745"/>
    <n v="96144704.780939996"/>
    <s v="EPER"/>
    <n v="7414000005"/>
  </r>
  <r>
    <x v="3"/>
    <s v="BANCO SANTANDER MEXICO SA FIDEICOMISO F  24606130"/>
    <x v="3"/>
    <s v="NORMAL"/>
    <s v="MXN"/>
    <n v="51055134"/>
    <n v="2.1897980000000001"/>
    <n v="111800430.322932"/>
    <n v="2.0729244216654097"/>
    <n v="5966996.2029320002"/>
    <n v="0"/>
    <n v="0"/>
    <n v="0"/>
    <n v="0"/>
    <n v="51055134"/>
    <n v="111800430.322932"/>
    <s v="EPER"/>
    <n v="7414000005"/>
  </r>
  <r>
    <x v="3"/>
    <s v="BANCO SANTANDER MEXICO SA FIDEICOMISO F  24606130"/>
    <x v="64"/>
    <s v="NORMAL"/>
    <s v="MXN"/>
    <n v="31505157"/>
    <n v="2.7668819999999998"/>
    <n v="87171051.810473993"/>
    <n v="2.6324677039381204"/>
    <n v="4234743.5004740003"/>
    <n v="0"/>
    <n v="0"/>
    <n v="0"/>
    <n v="0"/>
    <n v="31505157"/>
    <n v="87171051.810473993"/>
    <s v="EPER"/>
    <n v="7414000005"/>
  </r>
  <r>
    <x v="4"/>
    <s v="FUNDACION TELEFONICA MEXICO AC"/>
    <x v="0"/>
    <s v="NORMAL"/>
    <s v="MXN"/>
    <n v="445"/>
    <n v="3.3967719999999999"/>
    <n v="1511.5635400000001"/>
    <n v="3.3845393258426966"/>
    <n v="5.4435399999999996"/>
    <n v="0"/>
    <n v="0"/>
    <n v="0"/>
    <n v="0"/>
    <n v="445"/>
    <n v="1511.5635400000001"/>
    <s v="EPER"/>
    <n v="7414000005"/>
  </r>
  <r>
    <x v="4"/>
    <s v="FUNDACION TELEFONICA MEXICO AC"/>
    <x v="2"/>
    <s v="NORMAL"/>
    <s v="MXN"/>
    <n v="93003"/>
    <n v="3.6096119999999998"/>
    <n v="335704.74483600003"/>
    <n v="3.6553297205466491"/>
    <n v="-4251.8851640000003"/>
    <n v="0"/>
    <n v="0"/>
    <n v="0"/>
    <n v="0"/>
    <n v="93003"/>
    <n v="335704.74483600003"/>
    <s v="EPER"/>
    <n v="7414000005"/>
  </r>
  <r>
    <x v="4"/>
    <s v="FUNDACION TELEFONICA MEXICO AC"/>
    <x v="3"/>
    <s v="NORMAL"/>
    <s v="MXN"/>
    <n v="319629"/>
    <n v="2.1897980000000001"/>
    <n v="699922.94494199997"/>
    <n v="2.2349533365245331"/>
    <n v="-14432.955058"/>
    <n v="0"/>
    <n v="0"/>
    <n v="0"/>
    <n v="0"/>
    <n v="319629"/>
    <n v="699922.94494199997"/>
    <s v="EPER"/>
    <n v="7414000005"/>
  </r>
  <r>
    <x v="5"/>
    <s v="CFENERGIA SA DE CV"/>
    <x v="0"/>
    <s v="NORMAL"/>
    <s v="MXN"/>
    <n v="3855790"/>
    <n v="3.3967719999999999"/>
    <n v="13097239.509880001"/>
    <n v="3.2850225193799454"/>
    <n v="430882.52987999999"/>
    <n v="0"/>
    <n v="0"/>
    <n v="0"/>
    <n v="0"/>
    <n v="3855790"/>
    <n v="13097239.509880001"/>
    <s v="EPER"/>
    <n v="7414000005"/>
  </r>
  <r>
    <x v="6"/>
    <s v="ROBERT BOSCH MEXICO SISTEMAS AUTOMOTRICES, S.A. DE C.V. (FONDO DE AHOR"/>
    <x v="0"/>
    <s v="NORMAL"/>
    <s v="MXN"/>
    <n v="17893261"/>
    <n v="3.3967719999999999"/>
    <n v="60779327.953492001"/>
    <n v="3.318134624538255"/>
    <n v="1407079.0834919999"/>
    <n v="0"/>
    <n v="0"/>
    <n v="0"/>
    <n v="0"/>
    <n v="17893261"/>
    <n v="60779327.953492001"/>
    <s v="EPER"/>
    <n v="7414000005"/>
  </r>
  <r>
    <x v="7"/>
    <s v="ROBERT BOSCH MEXICO SISTEMAS AUTOMOTRICES, S.A. DE C.V. (FONDO DE AHOR"/>
    <x v="0"/>
    <s v="NORMAL"/>
    <s v="MXN"/>
    <n v="2526514"/>
    <n v="3.3967719999999999"/>
    <n v="8581992.0128080007"/>
    <n v="3.3173018791900617"/>
    <n v="200782.37280799999"/>
    <n v="0"/>
    <n v="0"/>
    <n v="0"/>
    <n v="0"/>
    <n v="2526514"/>
    <n v="8581992.0128080007"/>
    <s v="EPER"/>
    <n v="7414000005"/>
  </r>
  <r>
    <x v="8"/>
    <s v="ROBERT BOSCH MEXICO SISTEMAS AUTOMOTRICES, S.A. DE C.V. (FONDO DE AHOR"/>
    <x v="0"/>
    <s v="NORMAL"/>
    <s v="MXN"/>
    <n v="9226443"/>
    <n v="3.3967719999999999"/>
    <n v="31340123.241996001"/>
    <n v="3.3192465417062675"/>
    <n v="715284.22199600004"/>
    <n v="0"/>
    <n v="0"/>
    <n v="0"/>
    <n v="0"/>
    <n v="9226443"/>
    <n v="31340123.241996001"/>
    <s v="EPER"/>
    <n v="7414000005"/>
  </r>
  <r>
    <x v="9"/>
    <s v="ROBERT BOSCH MEXICO SISTEMAS DE SEGURIDAD, S.A. DE C.V. (FONDO DE AHOR"/>
    <x v="0"/>
    <s v="NORMAL"/>
    <s v="MXN"/>
    <n v="810288"/>
    <n v="3.3967719999999999"/>
    <n v="2752363.5903360001"/>
    <n v="3.3192582513871609"/>
    <n v="62808.460335999996"/>
    <n v="0"/>
    <n v="0"/>
    <n v="0"/>
    <n v="0"/>
    <n v="810288"/>
    <n v="2752363.5903360001"/>
    <s v="EPER"/>
    <n v="7414000005"/>
  </r>
  <r>
    <x v="10"/>
    <s v="ROBERT BOSCH MEXICO, S.A. DE C.V. (FONDO DE AHORRO 25D0)"/>
    <x v="0"/>
    <s v="NORMAL"/>
    <s v="MXN"/>
    <n v="24337589"/>
    <n v="3.3967719999999999"/>
    <n v="82669240.862708002"/>
    <n v="3.3250573809920119"/>
    <n v="1745360.9227080001"/>
    <n v="0"/>
    <n v="0"/>
    <n v="0"/>
    <n v="0"/>
    <n v="24337589"/>
    <n v="82669240.862708002"/>
    <s v="EPER"/>
    <n v="7414000005"/>
  </r>
  <r>
    <x v="11"/>
    <s v="ROBERT BOSCH MEXICO, S.A. DE C.V. (FONDO DE AHORRO 25D1)"/>
    <x v="0"/>
    <s v="NORMAL"/>
    <s v="MXN"/>
    <n v="8821206"/>
    <n v="3.3967719999999999"/>
    <n v="29963625.547031999"/>
    <n v="3.3152446411522414"/>
    <n v="719169.62703199999"/>
    <n v="0"/>
    <n v="0"/>
    <n v="0"/>
    <n v="0"/>
    <n v="8821206"/>
    <n v="29963625.547031999"/>
    <s v="EPER"/>
    <n v="7414000005"/>
  </r>
  <r>
    <x v="12"/>
    <s v="ROBERT BOSCH TOOL DE MÉXICO, S.A DE C.V. (FONDO DE AHORRO 41D0)"/>
    <x v="0"/>
    <s v="NORMAL"/>
    <s v="MXN"/>
    <n v="3179966"/>
    <n v="3.3967719999999999"/>
    <n v="10801619.469752001"/>
    <n v="3.3127502621097205"/>
    <n v="267186.26975199999"/>
    <n v="0"/>
    <n v="0"/>
    <n v="0"/>
    <n v="0"/>
    <n v="3179966"/>
    <n v="10801619.469752001"/>
    <s v="EPER"/>
    <n v="7414000005"/>
  </r>
  <r>
    <x v="13"/>
    <s v="ROBERT BOSCH MÉXICO SISTEMAS DE FRENOS, S. DE R.L. DE C.V. (FONDO DE A"/>
    <x v="0"/>
    <s v="NORMAL"/>
    <s v="MXN"/>
    <n v="7796087"/>
    <n v="3.3967719999999999"/>
    <n v="26481530.031164002"/>
    <n v="3.322790358804359"/>
    <n v="576767.31116399996"/>
    <n v="0"/>
    <n v="0"/>
    <n v="0"/>
    <n v="0"/>
    <n v="7796087"/>
    <n v="26481530.031164002"/>
    <s v="EPER"/>
    <n v="7414000005"/>
  </r>
  <r>
    <x v="14"/>
    <s v="ROBERT BOSCH SISTEMAS AUTOMOTRICES S.A DE C.V"/>
    <x v="0"/>
    <s v="NORMAL"/>
    <s v="MXN"/>
    <n v="28469656"/>
    <n v="3.3967719999999999"/>
    <n v="96704930.350431994"/>
    <n v="3.3137096229754235"/>
    <n v="2364757.3004319998"/>
    <n v="0"/>
    <n v="0"/>
    <n v="0"/>
    <n v="0"/>
    <n v="28469656"/>
    <n v="96704930.350431994"/>
    <s v="EPER"/>
    <n v="7414000005"/>
  </r>
  <r>
    <x v="15"/>
    <s v="ROBERT BOSCH SISTEMAS AUTOMOTRICES S.A. DE C.V."/>
    <x v="0"/>
    <s v="NORMAL"/>
    <s v="MXN"/>
    <n v="3169188"/>
    <n v="3.3967719999999999"/>
    <n v="10765009.061136"/>
    <n v="3.3152605651668505"/>
    <n v="258325.061136"/>
    <n v="0"/>
    <n v="0"/>
    <n v="0"/>
    <n v="0"/>
    <n v="3169188"/>
    <n v="10765009.061136"/>
    <s v="EPER"/>
    <n v="7414000005"/>
  </r>
  <r>
    <x v="16"/>
    <s v="FRENADOS MEXICANOS, S.A. DE C.V. (FONDO DE AHORRO 86F0)"/>
    <x v="0"/>
    <s v="NORMAL"/>
    <s v="MXN"/>
    <n v="6320761"/>
    <n v="3.3967719999999999"/>
    <n v="21470183.983491998"/>
    <n v="3.3152966929140337"/>
    <n v="514985.94349199999"/>
    <n v="0"/>
    <n v="0"/>
    <n v="0"/>
    <n v="0"/>
    <n v="6320761"/>
    <n v="21470183.983491998"/>
    <s v="EPER"/>
    <n v="7414000005"/>
  </r>
  <r>
    <x v="17"/>
    <s v="ROBERT BOSCH S DE RL DE CV (FONDO DE AHORRO 904W)"/>
    <x v="0"/>
    <s v="NORMAL"/>
    <s v="MXN"/>
    <n v="4114455"/>
    <n v="3.3967719999999999"/>
    <n v="13975865.53926"/>
    <n v="3.3142978207320288"/>
    <n v="339336.29926"/>
    <n v="0"/>
    <n v="0"/>
    <n v="0"/>
    <n v="0"/>
    <n v="4114455"/>
    <n v="13975865.53926"/>
    <s v="EPER"/>
    <n v="7414000005"/>
  </r>
  <r>
    <x v="18"/>
    <s v="BOSCH REXROTH S.A. DE C.V. (FONDO DE AHORRO MX10)"/>
    <x v="0"/>
    <s v="NORMAL"/>
    <s v="MXN"/>
    <n v="3098938"/>
    <n v="3.3967719999999999"/>
    <n v="10526385.828136001"/>
    <n v="3.3176955879723957"/>
    <n v="245052.898136"/>
    <n v="0"/>
    <n v="0"/>
    <n v="0"/>
    <n v="0"/>
    <n v="3098938"/>
    <n v="10526385.828136001"/>
    <s v="EPER"/>
    <n v="7414000005"/>
  </r>
  <r>
    <x v="19"/>
    <s v="BSH HOME APPLIANCES  S.A DE C.V (FONDO DE AHORRO)"/>
    <x v="0"/>
    <s v="NORMAL"/>
    <s v="MXN"/>
    <n v="2113"/>
    <n v="3.3967719999999999"/>
    <n v="7177.3792359999998"/>
    <n v="3.3172314245149077"/>
    <n v="168.06923599999999"/>
    <n v="0"/>
    <n v="0"/>
    <n v="0"/>
    <n v="0"/>
    <n v="2113"/>
    <n v="7177.3792359999998"/>
    <s v="EPER"/>
    <n v="7414000005"/>
  </r>
  <r>
    <x v="20"/>
    <s v="UNIVERSIDAD AUTONOMA DE BAJA C ALIFORNIA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0"/>
    <s v="UNIVERSIDAD AUTONOMA DE BAJA C ALIFORNIA"/>
    <x v="66"/>
    <s v="NORMAL"/>
    <s v="MXN"/>
    <n v="0"/>
    <n v="0"/>
    <n v="13205115.26"/>
    <n v="0"/>
    <n v="0"/>
    <n v="0"/>
    <n v="0"/>
    <n v="0"/>
    <n v="0"/>
    <n v="0"/>
    <n v="13205115.26"/>
    <s v="EPER"/>
    <n v="7414000005"/>
  </r>
  <r>
    <x v="21"/>
    <s v="BANCO SANTANDER MEXICO FID F/2003141-0"/>
    <x v="0"/>
    <s v="NORMAL"/>
    <s v="MXN"/>
    <n v="6684001"/>
    <n v="3.3967719999999999"/>
    <n v="22704027.444772001"/>
    <n v="3.3649632742424784"/>
    <n v="212609.554772"/>
    <n v="0"/>
    <n v="0"/>
    <n v="0"/>
    <n v="0"/>
    <n v="6684001"/>
    <n v="22704027.444772001"/>
    <s v="EPER"/>
    <n v="7414000005"/>
  </r>
  <r>
    <x v="21"/>
    <s v="BANCO SANTANDER MEXICO FID F/2003141-0"/>
    <x v="1"/>
    <s v="NORMAL"/>
    <s v="MXN"/>
    <n v="559952"/>
    <n v="137.94899000000001"/>
    <n v="77244812.848480001"/>
    <n v="140.51184022916249"/>
    <n v="-742431.23273000005"/>
    <n v="5021"/>
    <n v="692641.88"/>
    <n v="0"/>
    <n v="0"/>
    <n v="564973"/>
    <n v="77937454.728479996"/>
    <s v="EPER"/>
    <n v="7414000005"/>
  </r>
  <r>
    <x v="21"/>
    <s v="BANCO SANTANDER MEXICO FID F/2003141-0"/>
    <x v="2"/>
    <s v="NORMAL"/>
    <s v="MXN"/>
    <n v="67503934"/>
    <n v="3.6096119999999998"/>
    <n v="243663010.213608"/>
    <n v="3.6791899858754897"/>
    <n v="-2988264.55688"/>
    <n v="473326"/>
    <n v="1708523.21"/>
    <n v="0"/>
    <n v="0"/>
    <n v="67977260"/>
    <n v="245371533.42360801"/>
    <s v="EPER"/>
    <n v="7414000005"/>
  </r>
  <r>
    <x v="21"/>
    <s v="BANCO SANTANDER MEXICO FID F/2003141-0"/>
    <x v="3"/>
    <s v="NORMAL"/>
    <s v="MXN"/>
    <n v="31592596"/>
    <n v="2.1897980000000001"/>
    <n v="69181403.535607994"/>
    <n v="2.2407874993875145"/>
    <n v="-1211876.611822"/>
    <n v="182215"/>
    <n v="399014.04"/>
    <n v="0"/>
    <n v="0"/>
    <n v="31774811"/>
    <n v="69580417.575608"/>
    <s v="EPER"/>
    <n v="7414000005"/>
  </r>
  <r>
    <x v="21"/>
    <s v="BANCO SANTANDER MEXICO FID F/2003141-0"/>
    <x v="64"/>
    <s v="NORMAL"/>
    <s v="MXN"/>
    <n v="1644547"/>
    <n v="2.7668819999999998"/>
    <n v="4550267.4924539998"/>
    <n v="2.7954019495946301"/>
    <n v="-32240.689827999999"/>
    <n v="5299"/>
    <n v="14661.71"/>
    <n v="0"/>
    <n v="0"/>
    <n v="1649846"/>
    <n v="4564929.2024539998"/>
    <s v="EPER"/>
    <n v="7414000005"/>
  </r>
  <r>
    <x v="22"/>
    <s v="BCO.SANTANDER MEXICO S.A FID.2001672-1"/>
    <x v="0"/>
    <s v="NORMAL"/>
    <s v="MXN"/>
    <n v="7712290"/>
    <n v="3.3967719999999999"/>
    <n v="26196890.727880001"/>
    <n v="3.0015595069687473"/>
    <n v="3047993.35788"/>
    <n v="0"/>
    <n v="0"/>
    <n v="0"/>
    <n v="0"/>
    <n v="7712290"/>
    <n v="26196890.727880001"/>
    <s v="EPER"/>
    <n v="7414000005"/>
  </r>
  <r>
    <x v="23"/>
    <s v="BANCO MERCANTIL DE NORTE SA X CTA DEL FID/30203-7 DEUDA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"/>
    <s v="BANCO SANTANDER MEXICO FIDEICOMISO F/2001815 2"/>
    <x v="69"/>
    <s v="NORMAL"/>
    <s v="MXN"/>
    <n v="2442610"/>
    <n v="99.968271000000001"/>
    <n v="244183498.42730999"/>
    <n v="99.903049999999993"/>
    <n v="159309.46681000001"/>
    <n v="0"/>
    <n v="0"/>
    <n v="0"/>
    <n v="0"/>
    <n v="2442610"/>
    <n v="244183498.42730999"/>
    <s v="EPER"/>
    <n v="7414000005"/>
  </r>
  <r>
    <x v="24"/>
    <s v="BANCO SANTANDER MEXICO FIDEICOMISO F/2001815 2"/>
    <x v="15"/>
    <s v="NORMAL"/>
    <s v="MXN"/>
    <n v="2892930"/>
    <n v="9.190137"/>
    <n v="26586423.031410001"/>
    <n v="8.1527577010188637"/>
    <n v="3001065.6954015"/>
    <n v="0"/>
    <n v="0"/>
    <n v="0"/>
    <n v="0"/>
    <n v="2892930"/>
    <n v="26586423.031410001"/>
    <s v="EPER"/>
    <n v="7414000005"/>
  </r>
  <r>
    <x v="24"/>
    <s v="BANCO SANTANDER MEXICO FIDEICOMISO F/2001815 2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4"/>
    <s v="BANCO SANTANDER MEXICO FIDEICOMISO F/2001815 2"/>
    <x v="70"/>
    <s v="NORMAL"/>
    <s v="MXN"/>
    <n v="1618860"/>
    <n v="9.0112480000000001"/>
    <n v="14587948.937279999"/>
    <n v="8.9969798000000001"/>
    <n v="23098.218251999999"/>
    <n v="0"/>
    <n v="0"/>
    <n v="0"/>
    <n v="0"/>
    <n v="1618860"/>
    <n v="14587948.937279999"/>
    <s v="EPER"/>
    <n v="7414000005"/>
  </r>
  <r>
    <x v="24"/>
    <s v="BANCO SANTANDER MEXICO FIDEICOMISO F/2001815 2"/>
    <x v="71"/>
    <s v="NORMAL"/>
    <s v="MXN"/>
    <n v="16258930"/>
    <n v="8.3813510000000004"/>
    <n v="136271799.21443"/>
    <n v="8.2786636708894559"/>
    <n v="1669586.0958952999"/>
    <n v="0"/>
    <n v="0"/>
    <n v="0"/>
    <n v="0"/>
    <n v="16258930"/>
    <n v="136271799.21443"/>
    <s v="EPER"/>
    <n v="7414000005"/>
  </r>
  <r>
    <x v="24"/>
    <s v="BANCO SANTANDER MEXICO FIDEICOMISO F/2001815 2"/>
    <x v="16"/>
    <s v="NORMAL"/>
    <s v="MXN"/>
    <n v="13614860"/>
    <n v="8.2580650000000002"/>
    <n v="112432398.8459"/>
    <n v="8.2251008006336157"/>
    <n v="448802.9593854"/>
    <n v="0"/>
    <n v="0"/>
    <n v="0"/>
    <n v="0"/>
    <n v="13614860"/>
    <n v="112432398.8459"/>
    <s v="EPER"/>
    <n v="7414000005"/>
  </r>
  <r>
    <x v="24"/>
    <s v="BANCO SANTANDER MEXICO FIDEICOMISO F/2001815 2"/>
    <x v="26"/>
    <s v="NORMAL"/>
    <s v="MXN"/>
    <n v="14326"/>
    <n v="98.730349000000004"/>
    <n v="1414410.9797739999"/>
    <n v="104.81191507"/>
    <n v="-87124.515518820001"/>
    <n v="0"/>
    <n v="0"/>
    <n v="0"/>
    <n v="0"/>
    <n v="14326"/>
    <n v="1414410.9797739999"/>
    <s v="EPER"/>
    <n v="7414000005"/>
  </r>
  <r>
    <x v="24"/>
    <s v="BANCO SANTANDER MEXICO FIDEICOMISO F/2001815 2"/>
    <x v="67"/>
    <s v="NORMAL"/>
    <s v="MXN"/>
    <n v="66800"/>
    <n v="99.247497999999993"/>
    <n v="6629732.8663999997"/>
    <n v="101.04285588"/>
    <n v="-119929.906384"/>
    <n v="0"/>
    <n v="0"/>
    <n v="0"/>
    <n v="0"/>
    <n v="66800"/>
    <n v="6629732.8663999997"/>
    <s v="EPER"/>
    <n v="7414000005"/>
  </r>
  <r>
    <x v="24"/>
    <s v="BANCO SANTANDER MEXICO FIDEICOMISO F/2001815 2"/>
    <x v="30"/>
    <s v="NORMAL"/>
    <s v="MXN"/>
    <n v="255470"/>
    <n v="88.698122999999995"/>
    <n v="22659709.482810002"/>
    <n v="88.469977723711978"/>
    <n v="58284.273733299997"/>
    <n v="0"/>
    <n v="0"/>
    <n v="0"/>
    <n v="0"/>
    <n v="255470"/>
    <n v="22659709.482810002"/>
    <s v="EPER"/>
    <n v="7414000005"/>
  </r>
  <r>
    <x v="24"/>
    <s v="BANCO SANTANDER MEXICO FIDEICOMISO F/2001815 2"/>
    <x v="31"/>
    <s v="NORMAL"/>
    <s v="MXN"/>
    <n v="172930"/>
    <n v="93.314192000000006"/>
    <n v="16136823.22256"/>
    <n v="93.409382949999994"/>
    <n v="-16461.370983500001"/>
    <n v="0"/>
    <n v="0"/>
    <n v="0"/>
    <n v="0"/>
    <n v="172930"/>
    <n v="16136823.22256"/>
    <s v="EPER"/>
    <n v="7414000005"/>
  </r>
  <r>
    <x v="24"/>
    <s v="BANCO SANTANDER MEXICO FIDEICOMISO F/2001815 2"/>
    <x v="0"/>
    <s v="NORMAL"/>
    <s v="MXN"/>
    <n v="248346950"/>
    <n v="3.3967719999999999"/>
    <n v="843577966.04540002"/>
    <n v="3.3847077393944236"/>
    <n v="2996122.3254"/>
    <n v="0"/>
    <n v="0"/>
    <n v="0"/>
    <n v="0"/>
    <n v="248346950"/>
    <n v="843577966.04540002"/>
    <s v="EPER"/>
    <n v="7414000005"/>
  </r>
  <r>
    <x v="24"/>
    <s v="BANCO SANTANDER MEXICO FIDEICOMISO F/2001815 2"/>
    <x v="51"/>
    <s v="NORMAL"/>
    <s v="MXN"/>
    <n v="161854"/>
    <n v="775.69178699999998"/>
    <n v="125548818.49309801"/>
    <n v="756.45876883000005"/>
    <n v="3112940.92288718"/>
    <n v="0"/>
    <n v="0"/>
    <n v="0"/>
    <n v="0"/>
    <n v="161854"/>
    <n v="125548818.49309801"/>
    <s v="EPER"/>
    <n v="7414000005"/>
  </r>
  <r>
    <x v="25"/>
    <s v="BANCO SANTANDER MEXICO FIDEICOMISO F/2001815 3"/>
    <x v="69"/>
    <s v="NORMAL"/>
    <s v="MXN"/>
    <n v="0"/>
    <n v="0"/>
    <n v="0"/>
    <n v="0"/>
    <n v="0"/>
    <n v="0"/>
    <n v="0"/>
    <n v="0"/>
    <n v="0"/>
    <n v="0"/>
    <n v="0"/>
    <s v="EPER"/>
    <n v="7414000005"/>
  </r>
  <r>
    <x v="25"/>
    <s v="BANCO SANTANDER MEXICO FIDEICOMISO F/2001815 3"/>
    <x v="70"/>
    <s v="NORMAL"/>
    <s v="MXN"/>
    <n v="19990"/>
    <n v="9.0112480000000001"/>
    <n v="180134.84752000001"/>
    <n v="8.9969798000000001"/>
    <n v="285.221318"/>
    <n v="0"/>
    <n v="0"/>
    <n v="0"/>
    <n v="0"/>
    <n v="19990"/>
    <n v="180134.84752000001"/>
    <s v="EPER"/>
    <n v="7414000005"/>
  </r>
  <r>
    <x v="25"/>
    <s v="BANCO SANTANDER MEXICO FIDEICOMISO F/2001815 3"/>
    <x v="71"/>
    <s v="NORMAL"/>
    <s v="MXN"/>
    <n v="521630"/>
    <n v="8.3813510000000004"/>
    <n v="4371964.12213"/>
    <n v="8.2920811269821524"/>
    <n v="46565.843862299997"/>
    <n v="0"/>
    <n v="0"/>
    <n v="0"/>
    <n v="0"/>
    <n v="521630"/>
    <n v="4371964.12213"/>
    <s v="EPER"/>
    <n v="7414000005"/>
  </r>
  <r>
    <x v="25"/>
    <s v="BANCO SANTANDER MEXICO FIDEICOMISO F/2001815 3"/>
    <x v="16"/>
    <s v="NORMAL"/>
    <s v="MXN"/>
    <n v="36960"/>
    <n v="8.2580650000000002"/>
    <n v="305218.08240000001"/>
    <n v="8.2501711100000001"/>
    <n v="291.75817439999997"/>
    <n v="0"/>
    <n v="0"/>
    <n v="0"/>
    <n v="0"/>
    <n v="36960"/>
    <n v="305218.08240000001"/>
    <s v="EPER"/>
    <n v="7414000005"/>
  </r>
  <r>
    <x v="25"/>
    <s v="BANCO SANTANDER MEXICO FIDEICOMISO F/2001815 3"/>
    <x v="0"/>
    <s v="NORMAL"/>
    <s v="MXN"/>
    <n v="2807448"/>
    <n v="3.3967719999999999"/>
    <n v="9536260.7578560002"/>
    <n v="3.3352992361746328"/>
    <n v="172581.587856"/>
    <n v="0"/>
    <n v="0"/>
    <n v="0"/>
    <n v="0"/>
    <n v="2807448"/>
    <n v="9536260.7578560002"/>
    <s v="EPER"/>
    <n v="7414000005"/>
  </r>
  <r>
    <x v="26"/>
    <s v="BANCO SANTANDER MEXICO FIDEICOMISO F/2001815 4"/>
    <x v="69"/>
    <s v="NORMAL"/>
    <s v="MXN"/>
    <n v="143950"/>
    <n v="99.968271000000001"/>
    <n v="14390432.61045"/>
    <n v="99.903049999999993"/>
    <n v="9388.5629499999995"/>
    <n v="0"/>
    <n v="0"/>
    <n v="0"/>
    <n v="0"/>
    <n v="143950"/>
    <n v="14390432.61045"/>
    <s v="EPER"/>
    <n v="7414000005"/>
  </r>
  <r>
    <x v="26"/>
    <s v="BANCO SANTANDER MEXICO FIDEICOMISO F/2001815 4"/>
    <x v="72"/>
    <s v="NORMAL"/>
    <s v="MXN"/>
    <n v="801955"/>
    <n v="9.3381629999999998"/>
    <n v="7488786.5086650001"/>
    <n v="8.3235147061734889"/>
    <n v="813702.27247564006"/>
    <n v="0"/>
    <n v="0"/>
    <n v="0"/>
    <n v="0"/>
    <n v="801955"/>
    <n v="7488786.5086650001"/>
    <s v="EPER"/>
    <n v="7414000005"/>
  </r>
  <r>
    <x v="26"/>
    <s v="BANCO SANTANDER MEXICO FIDEICOMISO F/2001815 4"/>
    <x v="15"/>
    <s v="NORMAL"/>
    <s v="MXN"/>
    <n v="472120"/>
    <n v="9.190137"/>
    <n v="4338847.4804400001"/>
    <n v="8.2038586961442004"/>
    <n v="465641.71281639999"/>
    <n v="0"/>
    <n v="0"/>
    <n v="0"/>
    <n v="0"/>
    <n v="472120"/>
    <n v="4338847.4804400001"/>
    <s v="EPER"/>
    <n v="7414000005"/>
  </r>
  <r>
    <x v="26"/>
    <s v="BANCO SANTANDER MEXICO FIDEICOMISO F/2001815 4"/>
    <x v="70"/>
    <s v="NORMAL"/>
    <s v="MXN"/>
    <n v="131150"/>
    <n v="9.0112480000000001"/>
    <n v="1181825.1751999999"/>
    <n v="8.9969798000000001"/>
    <n v="1871.2744299999999"/>
    <n v="0"/>
    <n v="0"/>
    <n v="0"/>
    <n v="0"/>
    <n v="131150"/>
    <n v="1181825.1751999999"/>
    <s v="EPER"/>
    <n v="7414000005"/>
  </r>
  <r>
    <x v="26"/>
    <s v="BANCO SANTANDER MEXICO FIDEICOMISO F/2001815 4"/>
    <x v="71"/>
    <s v="NORMAL"/>
    <s v="MXN"/>
    <n v="653750"/>
    <n v="8.3813510000000004"/>
    <n v="5479308.2162499996"/>
    <n v="8.2905059257552587"/>
    <n v="59389.967287500003"/>
    <n v="0"/>
    <n v="0"/>
    <n v="0"/>
    <n v="0"/>
    <n v="653750"/>
    <n v="5479308.2162499996"/>
    <s v="EPER"/>
    <n v="7414000005"/>
  </r>
  <r>
    <x v="26"/>
    <s v="BANCO SANTANDER MEXICO FIDEICOMISO F/2001815 4"/>
    <x v="16"/>
    <s v="NORMAL"/>
    <s v="MXN"/>
    <n v="2051710"/>
    <n v="8.2580650000000002"/>
    <n v="16943154.54115"/>
    <n v="8.2227828533750387"/>
    <n v="72388.733051899995"/>
    <n v="0"/>
    <n v="0"/>
    <n v="0"/>
    <n v="0"/>
    <n v="2051710"/>
    <n v="16943154.54115"/>
    <s v="EPER"/>
    <n v="7414000005"/>
  </r>
  <r>
    <x v="26"/>
    <s v="BANCO SANTANDER MEXICO FIDEICOMISO F/2001815 4"/>
    <x v="26"/>
    <s v="NORMAL"/>
    <s v="MXN"/>
    <n v="2729"/>
    <n v="98.730349000000004"/>
    <n v="269435.12242099998"/>
    <n v="102.23717001"/>
    <n v="-9570.1145362900006"/>
    <n v="0"/>
    <n v="0"/>
    <n v="0"/>
    <n v="0"/>
    <n v="2729"/>
    <n v="269435.12242099998"/>
    <s v="EPER"/>
    <n v="7414000005"/>
  </r>
  <r>
    <x v="26"/>
    <s v="BANCO SANTANDER MEXICO FIDEICOMISO F/2001815 4"/>
    <x v="67"/>
    <s v="NORMAL"/>
    <s v="MXN"/>
    <n v="30"/>
    <n v="99.247497999999993"/>
    <n v="2977.4249399999999"/>
    <n v="101.04285588"/>
    <n v="-53.8607364"/>
    <n v="0"/>
    <n v="0"/>
    <n v="0"/>
    <n v="0"/>
    <n v="30"/>
    <n v="2977.4249399999999"/>
    <s v="EPER"/>
    <n v="7414000005"/>
  </r>
  <r>
    <x v="26"/>
    <s v="BANCO SANTANDER MEXICO FIDEICOMISO F/2001815 4"/>
    <x v="30"/>
    <s v="NORMAL"/>
    <s v="MXN"/>
    <n v="45561"/>
    <n v="88.698122999999995"/>
    <n v="4041175.1820029998"/>
    <n v="88.216911397561731"/>
    <n v="21924.481818690001"/>
    <n v="0"/>
    <n v="0"/>
    <n v="0"/>
    <n v="0"/>
    <n v="45561"/>
    <n v="4041175.1820029998"/>
    <s v="EPER"/>
    <n v="7414000005"/>
  </r>
  <r>
    <x v="26"/>
    <s v="BANCO SANTANDER MEXICO FIDEICOMISO F/2001815 4"/>
    <x v="31"/>
    <s v="NORMAL"/>
    <s v="MXN"/>
    <n v="10550"/>
    <n v="93.314192000000006"/>
    <n v="984464.72560000001"/>
    <n v="93.409382949999994"/>
    <n v="-1004.2645225"/>
    <n v="0"/>
    <n v="0"/>
    <n v="0"/>
    <n v="0"/>
    <n v="10550"/>
    <n v="984464.72560000001"/>
    <s v="EPER"/>
    <n v="7414000005"/>
  </r>
  <r>
    <x v="26"/>
    <s v="BANCO SANTANDER MEXICO FIDEICOMISO F/2001815 4"/>
    <x v="0"/>
    <s v="NORMAL"/>
    <s v="MXN"/>
    <n v="8085105"/>
    <n v="3.3967719999999999"/>
    <n v="27463258.281059999"/>
    <n v="3.3456055808799019"/>
    <n v="413685.87105999998"/>
    <n v="0"/>
    <n v="0"/>
    <n v="0"/>
    <n v="0"/>
    <n v="8085105"/>
    <n v="27463258.281059999"/>
    <s v="EPER"/>
    <n v="7414000005"/>
  </r>
  <r>
    <x v="26"/>
    <s v="BANCO SANTANDER MEXICO FIDEICOMISO F/2001815 4"/>
    <x v="73"/>
    <s v="NORMAL"/>
    <s v="MXN"/>
    <n v="0"/>
    <n v="0"/>
    <n v="0"/>
    <n v="0"/>
    <n v="0"/>
    <n v="0"/>
    <n v="0"/>
    <n v="0"/>
    <n v="0"/>
    <n v="0"/>
    <n v="0"/>
    <s v="EPER"/>
    <n v="7414000005"/>
  </r>
  <r>
    <x v="26"/>
    <s v="BANCO SANTANDER MEXICO FIDEICOMISO F/2001815 4"/>
    <x v="51"/>
    <s v="NORMAL"/>
    <s v="MXN"/>
    <n v="9642"/>
    <n v="775.69178699999998"/>
    <n v="7479220.2102539996"/>
    <n v="753.50427907000005"/>
    <n v="213931.95146106"/>
    <n v="0"/>
    <n v="0"/>
    <n v="0"/>
    <n v="0"/>
    <n v="9642"/>
    <n v="7479220.2102539996"/>
    <s v="EPER"/>
    <n v="7414000005"/>
  </r>
  <r>
    <x v="27"/>
    <s v="BANCO SANTANDER MEXICO FIDEICOMISO F/2001213 4"/>
    <x v="66"/>
    <s v="NORMAL"/>
    <s v="MXN"/>
    <n v="0"/>
    <n v="0"/>
    <n v="27265.21"/>
    <n v="0"/>
    <n v="0"/>
    <n v="0"/>
    <n v="0"/>
    <n v="0"/>
    <n v="0"/>
    <n v="0"/>
    <n v="27265.21"/>
    <s v="EPER"/>
    <n v="7414000005"/>
  </r>
  <r>
    <x v="28"/>
    <s v="BCO SANT MEX, SA CTA CONC PLANES PERS DE RET DEDUC CONSERVADOR"/>
    <x v="74"/>
    <s v="NORMAL"/>
    <s v="MXN"/>
    <n v="14805927"/>
    <n v="3.568238"/>
    <n v="52831071.346625999"/>
    <n v="3.4960300695795676"/>
    <n v="1069105.346626"/>
    <n v="0"/>
    <n v="0"/>
    <n v="0"/>
    <n v="0"/>
    <n v="14805927"/>
    <n v="52831071.346625999"/>
    <s v="EPER"/>
    <n v="7414000005"/>
  </r>
  <r>
    <x v="29"/>
    <s v="GESTION SANTANDER SA DE CV SO DE SICH CAJA AHORRO EMPLEADOS"/>
    <x v="75"/>
    <s v="NORMAL"/>
    <s v="MXN"/>
    <n v="13866"/>
    <n v="3.612981"/>
    <n v="50097.594546"/>
    <n v="3.6023748737920092"/>
    <n v="147.06454600000001"/>
    <n v="0"/>
    <n v="0"/>
    <n v="0"/>
    <n v="0"/>
    <n v="13866"/>
    <n v="50097.594546"/>
    <s v="EPER"/>
    <n v="7414000005"/>
  </r>
  <r>
    <x v="29"/>
    <s v="GESTION SANTANDER SA DE CV SO DE SICH CAJA AHORRO EMPLEADOS"/>
    <x v="76"/>
    <s v="NORMAL"/>
    <s v="MXN"/>
    <n v="68123"/>
    <n v="137.04691399999999"/>
    <n v="9336046.9224219993"/>
    <n v="128.63567223991896"/>
    <n v="572999.02242199995"/>
    <n v="0"/>
    <n v="0"/>
    <n v="0"/>
    <n v="0"/>
    <n v="68123"/>
    <n v="9336046.9224219993"/>
    <s v="EPER"/>
    <n v="7414000005"/>
  </r>
  <r>
    <x v="29"/>
    <s v="GESTION SANTANDER SA DE CV SO DE SICH CAJA AHORRO EMPLEADOS"/>
    <x v="77"/>
    <s v="NORMAL"/>
    <s v="MXN"/>
    <n v="1931031"/>
    <n v="3.6364960000000002"/>
    <n v="7022186.5073760003"/>
    <n v="3.4142295540568743"/>
    <n v="429203.39737600001"/>
    <n v="0"/>
    <n v="0"/>
    <n v="0"/>
    <n v="0"/>
    <n v="1931031"/>
    <n v="7022186.5073760003"/>
    <s v="EPER"/>
    <n v="7414000005"/>
  </r>
  <r>
    <x v="29"/>
    <s v="GESTION SANTANDER SA DE CV SO DE SICH CAJA AHORRO EMPLEADOS"/>
    <x v="78"/>
    <s v="NORMAL"/>
    <s v="MXN"/>
    <n v="3951965"/>
    <n v="2.1315040000000001"/>
    <n v="8423629.2053599991"/>
    <n v="1.9841541410412289"/>
    <n v="582321.48536000005"/>
    <n v="0"/>
    <n v="0"/>
    <n v="0"/>
    <n v="0"/>
    <n v="3951965"/>
    <n v="8423629.2053599991"/>
    <s v="EPER"/>
    <n v="7414000005"/>
  </r>
  <r>
    <x v="29"/>
    <s v="GESTION SANTANDER SA DE CV SO DE SICH CAJA AHORRO EMPLEADOS"/>
    <x v="79"/>
    <s v="NORMAL"/>
    <s v="MXN"/>
    <n v="90365"/>
    <n v="2.8149250000000001"/>
    <n v="254370.697625"/>
    <n v="2.6894211254357328"/>
    <n v="11341.157625"/>
    <n v="0"/>
    <n v="0"/>
    <n v="0"/>
    <n v="0"/>
    <n v="90365"/>
    <n v="254370.697625"/>
    <s v="EPER"/>
    <n v="7414000005"/>
  </r>
  <r>
    <x v="30"/>
    <s v="GESTION SANTANDER SA DE CV SOP SIPP"/>
    <x v="75"/>
    <s v="NORMAL"/>
    <s v="MXN"/>
    <n v="21987"/>
    <n v="3.612981"/>
    <n v="79438.613247000001"/>
    <n v="3.6023750397962431"/>
    <n v="233.19324700000001"/>
    <n v="0"/>
    <n v="0"/>
    <n v="0"/>
    <n v="0"/>
    <n v="21987"/>
    <n v="79438.613247000001"/>
    <s v="EPER"/>
    <n v="7414000005"/>
  </r>
  <r>
    <x v="30"/>
    <s v="GESTION SANTANDER SA DE CV SOP SIPP"/>
    <x v="76"/>
    <s v="NORMAL"/>
    <s v="MXN"/>
    <n v="158128"/>
    <n v="137.04691399999999"/>
    <n v="21670954.416992001"/>
    <n v="128.66331408732165"/>
    <n v="1325681.886992"/>
    <n v="0"/>
    <n v="0"/>
    <n v="0"/>
    <n v="0"/>
    <n v="158128"/>
    <n v="21670954.416992001"/>
    <s v="EPER"/>
    <n v="7414000005"/>
  </r>
  <r>
    <x v="30"/>
    <s v="GESTION SANTANDER SA DE CV SOP SIPP"/>
    <x v="77"/>
    <s v="NORMAL"/>
    <s v="MXN"/>
    <n v="4705909"/>
    <n v="3.6364960000000002"/>
    <n v="17113019.254864"/>
    <n v="3.4139943356320743"/>
    <n v="1047072.584864"/>
    <n v="0"/>
    <n v="0"/>
    <n v="0"/>
    <n v="0"/>
    <n v="4705909"/>
    <n v="17113019.254864"/>
    <s v="EPER"/>
    <n v="7414000005"/>
  </r>
  <r>
    <x v="30"/>
    <s v="GESTION SANTANDER SA DE CV SOP SIPP"/>
    <x v="78"/>
    <s v="NORMAL"/>
    <s v="MXN"/>
    <n v="8549913"/>
    <n v="2.1315040000000001"/>
    <n v="18224173.759151999"/>
    <n v="1.9836977861646077"/>
    <n v="1263730.2691520001"/>
    <n v="0"/>
    <n v="0"/>
    <n v="0"/>
    <n v="0"/>
    <n v="8549913"/>
    <n v="18224173.759151999"/>
    <s v="EPER"/>
    <n v="7414000005"/>
  </r>
  <r>
    <x v="30"/>
    <s v="GESTION SANTANDER SA DE CV SOP SIPP"/>
    <x v="79"/>
    <s v="NORMAL"/>
    <s v="MXN"/>
    <n v="197157"/>
    <n v="2.8149250000000001"/>
    <n v="554982.16822500003"/>
    <n v="2.6974165259158944"/>
    <n v="23167.618224999998"/>
    <n v="0"/>
    <n v="0"/>
    <n v="0"/>
    <n v="0"/>
    <n v="197157"/>
    <n v="554982.16822500003"/>
    <s v="EPER"/>
    <n v="7414000005"/>
  </r>
  <r>
    <x v="31"/>
    <s v="BANCO SANTANDER MEXICO SA FIDEICOMISO 20018231"/>
    <x v="0"/>
    <s v="NORMAL"/>
    <s v="MXN"/>
    <n v="9555686"/>
    <n v="3.3967719999999999"/>
    <n v="32458486.645592"/>
    <n v="2.7105275079151827"/>
    <n v="6557536.8855919996"/>
    <n v="0"/>
    <n v="0"/>
    <n v="0"/>
    <n v="0"/>
    <n v="9555686"/>
    <n v="32458486.645592"/>
    <s v="EPER"/>
    <n v="7414000005"/>
  </r>
  <r>
    <x v="31"/>
    <s v="BANCO SANTANDER MEXICO SA FIDEICOMISO 20018231"/>
    <x v="80"/>
    <s v="NORMAL"/>
    <s v="MXN"/>
    <n v="15625451"/>
    <n v="3.8832339999999999"/>
    <n v="60677282.588533998"/>
    <n v="2.6049145851854134"/>
    <n v="19974317.378534"/>
    <n v="0"/>
    <n v="0"/>
    <n v="0"/>
    <n v="0"/>
    <n v="15625451"/>
    <n v="60677282.588533998"/>
    <s v="EPER"/>
    <n v="7414000005"/>
  </r>
  <r>
    <x v="32"/>
    <s v="BANCO SANTANDER MEXICO SA FID 2000352-1"/>
    <x v="66"/>
    <s v="NORMAL"/>
    <s v="MXN"/>
    <n v="0"/>
    <n v="0"/>
    <n v="55443949.5"/>
    <n v="0"/>
    <n v="0"/>
    <n v="0"/>
    <n v="0"/>
    <n v="0"/>
    <n v="0"/>
    <n v="0"/>
    <n v="55443949.5"/>
    <s v="EPER"/>
    <n v="7414000005"/>
  </r>
  <r>
    <x v="32"/>
    <s v="BANCO SANTANDER MEXICO SA FID 2000352-1"/>
    <x v="67"/>
    <s v="NORMAL"/>
    <s v="MXN"/>
    <n v="7629"/>
    <n v="99.247497999999993"/>
    <n v="757159.16224199999"/>
    <n v="92.957888330563634"/>
    <n v="47983.432168129999"/>
    <n v="0"/>
    <n v="0"/>
    <n v="0"/>
    <n v="0"/>
    <n v="7629"/>
    <n v="757159.16224199999"/>
    <s v="EPER"/>
    <n v="7414000005"/>
  </r>
  <r>
    <x v="32"/>
    <s v="BANCO SANTANDER MEXICO SA FID 2000352-1"/>
    <x v="28"/>
    <s v="NORMAL"/>
    <s v="MXN"/>
    <n v="160"/>
    <n v="91.911821000000003"/>
    <n v="14705.89136"/>
    <n v="97.378761589999996"/>
    <n v="-874.71049440000002"/>
    <n v="0"/>
    <n v="0"/>
    <n v="0"/>
    <n v="0"/>
    <n v="160"/>
    <n v="14705.89136"/>
    <s v="EPER"/>
    <n v="7414000005"/>
  </r>
  <r>
    <x v="32"/>
    <s v="BANCO SANTANDER MEXICO SA FID 2000352-1"/>
    <x v="31"/>
    <s v="NORMAL"/>
    <s v="MXN"/>
    <n v="4160"/>
    <n v="93.314192000000006"/>
    <n v="388187.03872000001"/>
    <n v="107.81026574000001"/>
    <n v="-60303.666758400002"/>
    <n v="0"/>
    <n v="0"/>
    <n v="0"/>
    <n v="0"/>
    <n v="4160"/>
    <n v="388187.03872000001"/>
    <s v="EPER"/>
    <n v="7414000005"/>
  </r>
  <r>
    <x v="32"/>
    <s v="BANCO SANTANDER MEXICO SA FID 2000352-1"/>
    <x v="33"/>
    <s v="NORMAL"/>
    <s v="MXN"/>
    <n v="10190"/>
    <n v="94.870157000000006"/>
    <n v="966726.89983000001"/>
    <n v="118.51528435772326"/>
    <n v="-240943.8477752"/>
    <n v="0"/>
    <n v="0"/>
    <n v="0"/>
    <n v="0"/>
    <n v="10190"/>
    <n v="966726.89983000001"/>
    <s v="EPER"/>
    <n v="7414000005"/>
  </r>
  <r>
    <x v="32"/>
    <s v="BANCO SANTANDER MEXICO SA FID 2000352-1"/>
    <x v="34"/>
    <s v="NORMAL"/>
    <s v="MXN"/>
    <n v="4540"/>
    <n v="89.489464999999996"/>
    <n v="406282.17109999998"/>
    <n v="82.9037140776652"/>
    <n v="29899.309187399998"/>
    <n v="0"/>
    <n v="0"/>
    <n v="0"/>
    <n v="0"/>
    <n v="4540"/>
    <n v="406282.17109999998"/>
    <s v="EPER"/>
    <n v="7414000005"/>
  </r>
  <r>
    <x v="32"/>
    <s v="BANCO SANTANDER MEXICO SA FID 2000352-1"/>
    <x v="81"/>
    <s v="NORMAL"/>
    <s v="MXN"/>
    <n v="15768"/>
    <n v="101.45096599999999"/>
    <n v="1599678.831888"/>
    <n v="113.94762556988331"/>
    <n v="-197047.32809791999"/>
    <n v="0"/>
    <n v="0"/>
    <n v="0"/>
    <n v="0"/>
    <n v="15768"/>
    <n v="1599678.831888"/>
    <s v="EPER"/>
    <n v="7414000005"/>
  </r>
  <r>
    <x v="32"/>
    <s v="BANCO SANTANDER MEXICO SA FID 2000352-1"/>
    <x v="68"/>
    <s v="NORMAL"/>
    <s v="MXN"/>
    <n v="1866"/>
    <n v="89.643172000000007"/>
    <n v="167274.158952"/>
    <n v="117.68286983"/>
    <n v="-52322.076150779998"/>
    <n v="0"/>
    <n v="0"/>
    <n v="0"/>
    <n v="0"/>
    <n v="1866"/>
    <n v="167274.158952"/>
    <s v="EPER"/>
    <n v="7414000005"/>
  </r>
  <r>
    <x v="32"/>
    <s v="BANCO SANTANDER MEXICO SA FID 2000352-1"/>
    <x v="37"/>
    <s v="NORMAL"/>
    <s v="MXN"/>
    <n v="985"/>
    <n v="81.738860000000003"/>
    <n v="80512.777100000007"/>
    <n v="101.5451082"/>
    <n v="-19509.154477"/>
    <n v="0"/>
    <n v="0"/>
    <n v="0"/>
    <n v="0"/>
    <n v="985"/>
    <n v="80512.777100000007"/>
    <s v="EPER"/>
    <n v="7414000005"/>
  </r>
  <r>
    <x v="32"/>
    <s v="BANCO SANTANDER MEXICO SA FID 2000352-1"/>
    <x v="38"/>
    <s v="NORMAL"/>
    <s v="MXN"/>
    <n v="9218"/>
    <n v="83.200761"/>
    <n v="766944.61489800003"/>
    <n v="96.799409990000001"/>
    <n v="-125352.34638982"/>
    <n v="0"/>
    <n v="0"/>
    <n v="0"/>
    <n v="0"/>
    <n v="9218"/>
    <n v="766944.61489800003"/>
    <s v="EPER"/>
    <n v="7414000005"/>
  </r>
  <r>
    <x v="32"/>
    <s v="BANCO SANTANDER MEXICO SA FID 2000352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2"/>
    <s v="BANCO SANTANDER MEXICO SA FID 2000352-1"/>
    <x v="51"/>
    <s v="NORMAL"/>
    <s v="MXN"/>
    <n v="137609"/>
    <n v="775.69178699999998"/>
    <n v="106742171.117283"/>
    <n v="766.84932879343341"/>
    <n v="1216801.8313474201"/>
    <n v="0"/>
    <n v="0"/>
    <n v="0"/>
    <n v="0"/>
    <n v="137609"/>
    <n v="106742171.117283"/>
    <s v="EPER"/>
    <n v="7414000005"/>
  </r>
  <r>
    <x v="32"/>
    <s v="BANCO SANTANDER MEXICO SA FID 2000352-1"/>
    <x v="52"/>
    <s v="NORMAL"/>
    <s v="MXN"/>
    <n v="30479"/>
    <n v="747.17843200000004"/>
    <n v="22773251.428927999"/>
    <n v="741.74077517000001"/>
    <n v="165734.34252157001"/>
    <n v="0"/>
    <n v="0"/>
    <n v="0"/>
    <n v="0"/>
    <n v="30479"/>
    <n v="22773251.428927999"/>
    <s v="EPER"/>
    <n v="7414000005"/>
  </r>
  <r>
    <x v="32"/>
    <s v="BANCO SANTANDER MEXICO SA FID 2000352-1"/>
    <x v="53"/>
    <s v="NORMAL"/>
    <s v="MXN"/>
    <n v="65"/>
    <n v="765.92388300000005"/>
    <n v="49785.052394999999"/>
    <n v="781.86509464999995"/>
    <n v="-1036.17875725"/>
    <n v="0"/>
    <n v="0"/>
    <n v="0"/>
    <n v="0"/>
    <n v="65"/>
    <n v="49785.052394999999"/>
    <s v="EPER"/>
    <n v="7414000005"/>
  </r>
  <r>
    <x v="32"/>
    <s v="BANCO SANTANDER MEXICO SA FID 2000352-1"/>
    <x v="54"/>
    <s v="NORMAL"/>
    <s v="MXN"/>
    <n v="57"/>
    <n v="684.88915799999995"/>
    <n v="39038.682006000003"/>
    <n v="674.82119490000002"/>
    <n v="573.87389670000005"/>
    <n v="0"/>
    <n v="0"/>
    <n v="0"/>
    <n v="0"/>
    <n v="57"/>
    <n v="39038.682006000003"/>
    <s v="EPER"/>
    <n v="7414000005"/>
  </r>
  <r>
    <x v="32"/>
    <s v="BANCO SANTANDER MEXICO SA FID 2000352-1"/>
    <x v="55"/>
    <s v="NORMAL"/>
    <s v="MXN"/>
    <n v="26"/>
    <n v="772.926965"/>
    <n v="20096.10109"/>
    <n v="578.72789299999999"/>
    <n v="5049.1758719999998"/>
    <n v="0"/>
    <n v="0"/>
    <n v="0"/>
    <n v="0"/>
    <n v="26"/>
    <n v="20096.10109"/>
    <s v="EPER"/>
    <n v="7414000005"/>
  </r>
  <r>
    <x v="32"/>
    <s v="BANCO SANTANDER MEXICO SA FID 2000352-1"/>
    <x v="56"/>
    <s v="NORMAL"/>
    <s v="MXN"/>
    <n v="3"/>
    <n v="721.59464000000003"/>
    <n v="2164.7839199999999"/>
    <n v="10188.966527833334"/>
    <n v="-28402.115663500001"/>
    <n v="0"/>
    <n v="0"/>
    <n v="0"/>
    <n v="0"/>
    <n v="3"/>
    <n v="2164.7839199999999"/>
    <s v="EPER"/>
    <n v="7414000005"/>
  </r>
  <r>
    <x v="32"/>
    <s v="BANCO SANTANDER MEXICO SA FID 2000352-1"/>
    <x v="57"/>
    <s v="NORMAL"/>
    <s v="MXN"/>
    <n v="44"/>
    <n v="635.96311900000001"/>
    <n v="27982.377236"/>
    <n v="647.93802047999998"/>
    <n v="-526.89566511999999"/>
    <n v="0"/>
    <n v="0"/>
    <n v="0"/>
    <n v="0"/>
    <n v="44"/>
    <n v="27982.377236"/>
    <s v="EPER"/>
    <n v="7414000005"/>
  </r>
  <r>
    <x v="32"/>
    <s v="BANCO SANTANDER MEXICO SA FID 2000352-1"/>
    <x v="58"/>
    <s v="NORMAL"/>
    <s v="MXN"/>
    <n v="42"/>
    <n v="709.36974099999998"/>
    <n v="29793.529122"/>
    <n v="771.09918236999999"/>
    <n v="-2592.6365375400001"/>
    <n v="0"/>
    <n v="0"/>
    <n v="0"/>
    <n v="0"/>
    <n v="42"/>
    <n v="29793.529122"/>
    <s v="EPER"/>
    <n v="7414000005"/>
  </r>
  <r>
    <x v="32"/>
    <s v="BANCO SANTANDER MEXICO SA FID 2000352-1"/>
    <x v="59"/>
    <s v="NORMAL"/>
    <s v="MXN"/>
    <n v="14"/>
    <n v="694.41118700000004"/>
    <n v="9721.7566179999994"/>
    <n v="707.93932878999999"/>
    <n v="-189.39398506000001"/>
    <n v="0"/>
    <n v="0"/>
    <n v="0"/>
    <n v="0"/>
    <n v="14"/>
    <n v="9721.7566179999994"/>
    <s v="EPER"/>
    <n v="7414000005"/>
  </r>
  <r>
    <x v="33"/>
    <s v="BANCO SANTANDER MEXICO SA FIDEICOMISO F/2110597-1"/>
    <x v="0"/>
    <s v="NORMAL"/>
    <s v="MXN"/>
    <n v="4018547"/>
    <n v="3.3967719999999999"/>
    <n v="13650087.930283999"/>
    <n v="2.3201114930346716"/>
    <n v="4326610.8502839999"/>
    <n v="0"/>
    <n v="0"/>
    <n v="0"/>
    <n v="0"/>
    <n v="4018547"/>
    <n v="13650087.930283999"/>
    <s v="EPER"/>
    <n v="7414000005"/>
  </r>
  <r>
    <x v="33"/>
    <s v="BANCO SANTANDER MEXICO SA FIDEICOMISO F/2110597-1"/>
    <x v="83"/>
    <s v="NORMAL"/>
    <s v="MXN"/>
    <n v="338000000"/>
    <n v="2.106938"/>
    <n v="712145044"/>
    <n v="1.2627020459171598"/>
    <n v="285351752.48000002"/>
    <n v="0"/>
    <n v="0"/>
    <n v="0"/>
    <n v="0"/>
    <n v="338000000"/>
    <n v="712145044"/>
    <s v="EPER"/>
    <n v="7414000005"/>
  </r>
  <r>
    <x v="34"/>
    <s v="NAFINSA COMO FID.DEL FISO ART.16 LEY ADUANERA (CON MANDATO)"/>
    <x v="84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5"/>
    <s v="NORMAL"/>
    <s v="MXN"/>
    <n v="610"/>
    <n v="97.654420999999999"/>
    <n v="59569.196810000001"/>
    <n v="98.224185000000006"/>
    <n v="-347.55604"/>
    <n v="0"/>
    <n v="0"/>
    <n v="0"/>
    <n v="0"/>
    <n v="610"/>
    <n v="59569.196810000001"/>
    <s v="EPER"/>
    <n v="7414000005"/>
  </r>
  <r>
    <x v="35"/>
    <s v="BANCO SANTANDER MEXICO SA FIDEICOMISO  F/35740-0"/>
    <x v="86"/>
    <s v="NORMAL"/>
    <s v="MXN"/>
    <n v="129882"/>
    <n v="9.4935880000000008"/>
    <n v="1233046.196616"/>
    <n v="8.4405498100000003"/>
    <n v="136770.70619358"/>
    <n v="0"/>
    <n v="0"/>
    <n v="0"/>
    <n v="0"/>
    <n v="129882"/>
    <n v="1233046.196616"/>
    <s v="EPER"/>
    <n v="7414000005"/>
  </r>
  <r>
    <x v="35"/>
    <s v="BANCO SANTANDER MEXICO SA FIDEICOMISO  F/35740-0"/>
    <x v="72"/>
    <s v="NORMAL"/>
    <s v="MXN"/>
    <n v="176890"/>
    <n v="9.3381629999999998"/>
    <n v="1651827.65307"/>
    <n v="8.3307969100000001"/>
    <n v="178192.98766010001"/>
    <n v="0"/>
    <n v="0"/>
    <n v="0"/>
    <n v="0"/>
    <n v="176890"/>
    <n v="1651827.65307"/>
    <s v="EPER"/>
    <n v="7414000005"/>
  </r>
  <r>
    <x v="35"/>
    <s v="BANCO SANTANDER MEXICO SA FIDEICOMISO  F/35740-0"/>
    <x v="26"/>
    <s v="NORMAL"/>
    <s v="MXN"/>
    <n v="7559"/>
    <n v="98.730349000000004"/>
    <n v="746302.70809099998"/>
    <n v="104.28077916390264"/>
    <n v="-41955.701608939999"/>
    <n v="0"/>
    <n v="0"/>
    <n v="0"/>
    <n v="0"/>
    <n v="7559"/>
    <n v="746302.70809099998"/>
    <s v="EPER"/>
    <n v="7414000005"/>
  </r>
  <r>
    <x v="35"/>
    <s v="BANCO SANTANDER MEXICO SA FIDEICOMISO  F/35740-0"/>
    <x v="67"/>
    <s v="NORMAL"/>
    <s v="MXN"/>
    <n v="9263"/>
    <n v="99.247497999999993"/>
    <n v="919329.57397400006"/>
    <n v="112.254154175536"/>
    <n v="-120480.65615399"/>
    <n v="0"/>
    <n v="0"/>
    <n v="0"/>
    <n v="0"/>
    <n v="9263"/>
    <n v="919329.57397400006"/>
    <s v="EPER"/>
    <n v="7414000005"/>
  </r>
  <r>
    <x v="35"/>
    <s v="BANCO SANTANDER MEXICO SA FIDEICOMISO  F/35740-0"/>
    <x v="27"/>
    <s v="NORMAL"/>
    <s v="MXN"/>
    <n v="3060"/>
    <n v="94.973146999999997"/>
    <n v="290617.82981999998"/>
    <n v="89.778084726895429"/>
    <n v="15896.8905557"/>
    <n v="0"/>
    <n v="0"/>
    <n v="0"/>
    <n v="0"/>
    <n v="3060"/>
    <n v="290617.82981999998"/>
    <s v="EPER"/>
    <n v="7414000005"/>
  </r>
  <r>
    <x v="35"/>
    <s v="BANCO SANTANDER MEXICO SA FIDEICOMISO  F/35740-0"/>
    <x v="28"/>
    <s v="NORMAL"/>
    <s v="MXN"/>
    <n v="10331"/>
    <n v="91.911821000000003"/>
    <n v="949541.02275100001"/>
    <n v="93.2088459"/>
    <n v="-13399.5642419"/>
    <n v="0"/>
    <n v="0"/>
    <n v="0"/>
    <n v="0"/>
    <n v="10331"/>
    <n v="949541.02275100001"/>
    <s v="EPER"/>
    <n v="7414000005"/>
  </r>
  <r>
    <x v="35"/>
    <s v="BANCO SANTANDER MEXICO SA FIDEICOMISO  F/35740-0"/>
    <x v="29"/>
    <s v="NORMAL"/>
    <s v="MXN"/>
    <n v="5390"/>
    <n v="92.954503000000003"/>
    <n v="501024.77117000002"/>
    <n v="93.326693087847872"/>
    <n v="-2006.1045735"/>
    <n v="0"/>
    <n v="0"/>
    <n v="0"/>
    <n v="0"/>
    <n v="5390"/>
    <n v="501024.77117000002"/>
    <s v="EPER"/>
    <n v="7414000005"/>
  </r>
  <r>
    <x v="35"/>
    <s v="BANCO SANTANDER MEXICO SA FIDEICOMISO  F/35740-0"/>
    <x v="30"/>
    <s v="NORMAL"/>
    <s v="MXN"/>
    <n v="5354"/>
    <n v="88.698122999999995"/>
    <n v="474889.75054199999"/>
    <n v="85.585677442756818"/>
    <n v="16664.033513480001"/>
    <n v="0"/>
    <n v="0"/>
    <n v="0"/>
    <n v="0"/>
    <n v="5354"/>
    <n v="474889.75054199999"/>
    <s v="EPER"/>
    <n v="7414000005"/>
  </r>
  <r>
    <x v="35"/>
    <s v="BANCO SANTANDER MEXICO SA FIDEICOMISO  F/35740-0"/>
    <x v="31"/>
    <s v="NORMAL"/>
    <s v="MXN"/>
    <n v="10230"/>
    <n v="93.314192000000006"/>
    <n v="954604.18415999995"/>
    <n v="98.836472145376348"/>
    <n v="-56492.925887199999"/>
    <n v="0"/>
    <n v="0"/>
    <n v="0"/>
    <n v="0"/>
    <n v="10230"/>
    <n v="954604.18415999995"/>
    <s v="EPER"/>
    <n v="7414000005"/>
  </r>
  <r>
    <x v="35"/>
    <s v="BANCO SANTANDER MEXICO SA FIDEICOMISO  F/35740-0"/>
    <x v="32"/>
    <s v="NORMAL"/>
    <s v="MXN"/>
    <n v="9410"/>
    <n v="94.864168000000006"/>
    <n v="892671.82088000001"/>
    <n v="96.406295566673748"/>
    <n v="-14511.420402399999"/>
    <n v="0"/>
    <n v="0"/>
    <n v="0"/>
    <n v="0"/>
    <n v="9410"/>
    <n v="892671.82088000001"/>
    <s v="EPER"/>
    <n v="7414000005"/>
  </r>
  <r>
    <x v="35"/>
    <s v="BANCO SANTANDER MEXICO SA FIDEICOMISO  F/35740-0"/>
    <x v="33"/>
    <s v="NORMAL"/>
    <s v="MXN"/>
    <n v="46161"/>
    <n v="94.870157000000006"/>
    <n v="4379301.3172770003"/>
    <n v="97.073413020367624"/>
    <n v="-101704.50115619"/>
    <n v="0"/>
    <n v="0"/>
    <n v="0"/>
    <n v="0"/>
    <n v="46161"/>
    <n v="4379301.3172770003"/>
    <s v="EPER"/>
    <n v="7414000005"/>
  </r>
  <r>
    <x v="35"/>
    <s v="BANCO SANTANDER MEXICO SA FIDEICOMISO  F/35740-0"/>
    <x v="34"/>
    <s v="NORMAL"/>
    <s v="MXN"/>
    <n v="12537"/>
    <n v="89.489464999999996"/>
    <n v="1121929.422705"/>
    <n v="91.602808392334694"/>
    <n v="-26494.986109699999"/>
    <n v="0"/>
    <n v="0"/>
    <n v="0"/>
    <n v="0"/>
    <n v="12537"/>
    <n v="1121929.422705"/>
    <s v="EPER"/>
    <n v="7414000005"/>
  </r>
  <r>
    <x v="35"/>
    <s v="BANCO SANTANDER MEXICO SA FIDEICOMISO  F/35740-0"/>
    <x v="35"/>
    <s v="NORMAL"/>
    <s v="MXN"/>
    <n v="24530"/>
    <n v="86.197128000000006"/>
    <n v="2114415.54984"/>
    <n v="89.62414919991032"/>
    <n v="-84064.830033799997"/>
    <n v="0"/>
    <n v="0"/>
    <n v="0"/>
    <n v="0"/>
    <n v="24530"/>
    <n v="2114415.54984"/>
    <s v="EPER"/>
    <n v="7414000005"/>
  </r>
  <r>
    <x v="35"/>
    <s v="BANCO SANTANDER MEXICO SA FIDEICOMISO  F/35740-0"/>
    <x v="36"/>
    <s v="NORMAL"/>
    <s v="MXN"/>
    <n v="14897"/>
    <n v="86.469353999999996"/>
    <n v="1288133.9665379999"/>
    <n v="90.762857651495608"/>
    <n v="-63960.323896330003"/>
    <n v="0"/>
    <n v="0"/>
    <n v="0"/>
    <n v="0"/>
    <n v="14897"/>
    <n v="1288133.9665379999"/>
    <s v="EPER"/>
    <n v="7414000005"/>
  </r>
  <r>
    <x v="35"/>
    <s v="BANCO SANTANDER MEXICO SA FIDEICOMISO  F/35740-0"/>
    <x v="81"/>
    <s v="NORMAL"/>
    <s v="MXN"/>
    <n v="863"/>
    <n v="101.45096599999999"/>
    <n v="87552.183657999994"/>
    <n v="114.11447106"/>
    <n v="-10928.604866780001"/>
    <n v="0"/>
    <n v="0"/>
    <n v="0"/>
    <n v="0"/>
    <n v="863"/>
    <n v="87552.183657999994"/>
    <s v="EPER"/>
    <n v="7414000005"/>
  </r>
  <r>
    <x v="35"/>
    <s v="BANCO SANTANDER MEXICO SA FIDEICOMISO  F/35740-0"/>
    <x v="68"/>
    <s v="NORMAL"/>
    <s v="MXN"/>
    <n v="735"/>
    <n v="89.643172000000007"/>
    <n v="65887.731419999996"/>
    <n v="108.47711812999999"/>
    <n v="-13842.95040555"/>
    <n v="0"/>
    <n v="0"/>
    <n v="0"/>
    <n v="0"/>
    <n v="735"/>
    <n v="65887.731419999996"/>
    <s v="EPER"/>
    <n v="7414000005"/>
  </r>
  <r>
    <x v="35"/>
    <s v="BANCO SANTANDER MEXICO SA FIDEICOMISO  F/35740-0"/>
    <x v="37"/>
    <s v="NORMAL"/>
    <s v="MXN"/>
    <n v="16762"/>
    <n v="81.738860000000003"/>
    <n v="1370106.7713200001"/>
    <n v="86.366601686218829"/>
    <n v="-77570.206144399999"/>
    <n v="0"/>
    <n v="0"/>
    <n v="0"/>
    <n v="0"/>
    <n v="16762"/>
    <n v="1370106.7713200001"/>
    <s v="EPER"/>
    <n v="7414000005"/>
  </r>
  <r>
    <x v="35"/>
    <s v="BANCO SANTANDER MEXICO SA FIDEICOMISO  F/35740-0"/>
    <x v="38"/>
    <s v="NORMAL"/>
    <s v="MXN"/>
    <n v="3135"/>
    <n v="83.200761"/>
    <n v="260834.38573499999"/>
    <n v="94.401034177942577"/>
    <n v="-35112.85641285"/>
    <n v="0"/>
    <n v="0"/>
    <n v="0"/>
    <n v="0"/>
    <n v="3135"/>
    <n v="260834.38573499999"/>
    <s v="EPER"/>
    <n v="7414000005"/>
  </r>
  <r>
    <x v="35"/>
    <s v="BANCO SANTANDER MEXICO SA FIDEICOMISO  F/35740-0"/>
    <x v="39"/>
    <s v="NORMAL"/>
    <s v="MXN"/>
    <n v="28277"/>
    <n v="82.159907000000004"/>
    <n v="2323235.6902390001"/>
    <n v="84.062520635517913"/>
    <n v="-53800.205771540001"/>
    <n v="0"/>
    <n v="0"/>
    <n v="0"/>
    <n v="0"/>
    <n v="28277"/>
    <n v="2323235.6902390001"/>
    <s v="EPER"/>
    <n v="7414000005"/>
  </r>
  <r>
    <x v="35"/>
    <s v="BANCO SANTANDER MEXICO SA FIDEICOMISO  F/35740-0"/>
    <x v="87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8"/>
    <s v="NORMAL"/>
    <s v="MXN"/>
    <n v="21690"/>
    <n v="98.007834000000003"/>
    <n v="2125789.91946"/>
    <n v="89.821179151327797"/>
    <n v="177568.5436677"/>
    <n v="0"/>
    <n v="0"/>
    <n v="0"/>
    <n v="0"/>
    <n v="21690"/>
    <n v="2125789.91946"/>
    <s v="EPER"/>
    <n v="7414000005"/>
  </r>
  <r>
    <x v="35"/>
    <s v="BANCO SANTANDER MEXICO SA FIDEICOMISO  F/35740-0"/>
    <x v="89"/>
    <s v="NORMAL"/>
    <s v="MXN"/>
    <n v="4188210"/>
    <n v="3.1390400000000001"/>
    <n v="13146958.7184"/>
    <n v="2.374308757201764"/>
    <n v="3202855.0384"/>
    <n v="0"/>
    <n v="0"/>
    <n v="0"/>
    <n v="0"/>
    <n v="4188210"/>
    <n v="13146958.7184"/>
    <s v="EPER"/>
    <n v="7414000005"/>
  </r>
  <r>
    <x v="35"/>
    <s v="BANCO SANTANDER MEXICO SA FIDEICOMISO  F/35740-0"/>
    <x v="0"/>
    <s v="NORMAL"/>
    <s v="MXN"/>
    <n v="847437"/>
    <n v="3.3967719999999999"/>
    <n v="2878550.273364"/>
    <n v="3.3030302075552518"/>
    <n v="79440.263363999999"/>
    <n v="0"/>
    <n v="0"/>
    <n v="0"/>
    <n v="0"/>
    <n v="847437"/>
    <n v="2878550.273364"/>
    <s v="EPER"/>
    <n v="7414000005"/>
  </r>
  <r>
    <x v="35"/>
    <s v="BANCO SANTANDER MEXICO SA FIDEICOMISO  F/35740-0"/>
    <x v="51"/>
    <s v="NORMAL"/>
    <s v="MXN"/>
    <n v="2308"/>
    <n v="775.69178699999998"/>
    <n v="1790296.6443960001"/>
    <n v="766.69784126000002"/>
    <n v="20758.026767920001"/>
    <n v="0"/>
    <n v="0"/>
    <n v="0"/>
    <n v="0"/>
    <n v="2308"/>
    <n v="1790296.6443960001"/>
    <s v="EPER"/>
    <n v="7414000005"/>
  </r>
  <r>
    <x v="35"/>
    <s v="BANCO SANTANDER MEXICO SA FIDEICOMISO  F/35740-0"/>
    <x v="52"/>
    <s v="NORMAL"/>
    <s v="MXN"/>
    <n v="3687"/>
    <n v="747.17843200000004"/>
    <n v="2754846.8787839999"/>
    <n v="723.89957231611061"/>
    <n v="85829.155654500006"/>
    <n v="0"/>
    <n v="0"/>
    <n v="0"/>
    <n v="0"/>
    <n v="3687"/>
    <n v="2754846.8787839999"/>
    <s v="EPER"/>
    <n v="7414000005"/>
  </r>
  <r>
    <x v="35"/>
    <s v="BANCO SANTANDER MEXICO SA FIDEICOMISO  F/35740-0"/>
    <x v="53"/>
    <s v="NORMAL"/>
    <s v="MXN"/>
    <n v="1155"/>
    <n v="765.92388300000005"/>
    <n v="884642.08486499998"/>
    <n v="752.73890871038964"/>
    <n v="15228.6453045"/>
    <n v="0"/>
    <n v="0"/>
    <n v="0"/>
    <n v="0"/>
    <n v="1155"/>
    <n v="884642.08486499998"/>
    <s v="EPER"/>
    <n v="7414000005"/>
  </r>
  <r>
    <x v="35"/>
    <s v="BANCO SANTANDER MEXICO SA FIDEICOMISO  F/35740-0"/>
    <x v="54"/>
    <s v="NORMAL"/>
    <s v="MXN"/>
    <n v="2111"/>
    <n v="684.88915799999995"/>
    <n v="1445801.012538"/>
    <n v="680.64370190023681"/>
    <n v="8962.1578265999997"/>
    <n v="0"/>
    <n v="0"/>
    <n v="0"/>
    <n v="0"/>
    <n v="2111"/>
    <n v="1445801.012538"/>
    <s v="EPER"/>
    <n v="7414000005"/>
  </r>
  <r>
    <x v="35"/>
    <s v="BANCO SANTANDER MEXICO SA FIDEICOMISO  F/35740-0"/>
    <x v="55"/>
    <s v="NORMAL"/>
    <s v="MXN"/>
    <n v="1208"/>
    <n v="772.926965"/>
    <n v="933695.77372000006"/>
    <n v="801.70523519389076"/>
    <n v="-34764.15039422"/>
    <n v="0"/>
    <n v="0"/>
    <n v="0"/>
    <n v="0"/>
    <n v="1208"/>
    <n v="933695.77372000006"/>
    <s v="EPER"/>
    <n v="7414000005"/>
  </r>
  <r>
    <x v="35"/>
    <s v="BANCO SANTANDER MEXICO SA FIDEICOMISO  F/35740-0"/>
    <x v="56"/>
    <s v="NORMAL"/>
    <s v="MXN"/>
    <n v="1315"/>
    <n v="721.59464000000003"/>
    <n v="948896.95160000003"/>
    <n v="757.25098799905709"/>
    <n v="-46888.097618760003"/>
    <n v="0"/>
    <n v="0"/>
    <n v="0"/>
    <n v="0"/>
    <n v="1315"/>
    <n v="948896.95160000003"/>
    <s v="EPER"/>
    <n v="7414000005"/>
  </r>
  <r>
    <x v="35"/>
    <s v="BANCO SANTANDER MEXICO SA FIDEICOMISO  F/35740-0"/>
    <x v="57"/>
    <s v="NORMAL"/>
    <s v="MXN"/>
    <n v="703"/>
    <n v="635.96311900000001"/>
    <n v="447082.07265699998"/>
    <n v="647.93802047999998"/>
    <n v="-8418.3557404399999"/>
    <n v="0"/>
    <n v="0"/>
    <n v="0"/>
    <n v="0"/>
    <n v="703"/>
    <n v="447082.07265699998"/>
    <s v="EPER"/>
    <n v="7414000005"/>
  </r>
  <r>
    <x v="35"/>
    <s v="BANCO SANTANDER MEXICO SA FIDEICOMISO  F/35740-0"/>
    <x v="58"/>
    <s v="NORMAL"/>
    <s v="MXN"/>
    <n v="1585"/>
    <n v="709.36974099999998"/>
    <n v="1124351.0394850001"/>
    <n v="724.70531170327445"/>
    <n v="-24306.87956469"/>
    <n v="0"/>
    <n v="0"/>
    <n v="0"/>
    <n v="0"/>
    <n v="1585"/>
    <n v="1124351.0394850001"/>
    <s v="EPER"/>
    <n v="7414000005"/>
  </r>
  <r>
    <x v="35"/>
    <s v="BANCO SANTANDER MEXICO SA FIDEICOMISO  F/35740-0"/>
    <x v="59"/>
    <s v="NORMAL"/>
    <s v="MXN"/>
    <n v="2848"/>
    <n v="694.41118700000004"/>
    <n v="1977683.060576"/>
    <n v="725.77152153504915"/>
    <n v="-89314.232755820005"/>
    <n v="0"/>
    <n v="0"/>
    <n v="0"/>
    <n v="0"/>
    <n v="2848"/>
    <n v="1977683.060576"/>
    <s v="EPER"/>
    <n v="7414000005"/>
  </r>
  <r>
    <x v="36"/>
    <s v="BANCO SANTANDER MEXICO SA FIDEICOMISO  F/35740-0"/>
    <x v="85"/>
    <s v="NORMAL"/>
    <s v="MXN"/>
    <n v="517"/>
    <n v="97.654420999999999"/>
    <n v="50487.335657000003"/>
    <n v="98.224185000000006"/>
    <n v="-294.56798800000001"/>
    <n v="0"/>
    <n v="0"/>
    <n v="0"/>
    <n v="0"/>
    <n v="517"/>
    <n v="50487.335657000003"/>
    <s v="EPER"/>
    <n v="7414000005"/>
  </r>
  <r>
    <x v="36"/>
    <s v="BANCO SANTANDER MEXICO SA FIDEICOMISO  F/35740-0"/>
    <x v="86"/>
    <s v="NORMAL"/>
    <s v="MXN"/>
    <n v="111169"/>
    <n v="9.4935880000000008"/>
    <n v="1055392.6843719999"/>
    <n v="8.4405498100000003"/>
    <n v="117065.20254411"/>
    <n v="0"/>
    <n v="0"/>
    <n v="0"/>
    <n v="0"/>
    <n v="111169"/>
    <n v="1055392.6843719999"/>
    <s v="EPER"/>
    <n v="7414000005"/>
  </r>
  <r>
    <x v="36"/>
    <s v="BANCO SANTANDER MEXICO SA FIDEICOMISO  F/35740-0"/>
    <x v="72"/>
    <s v="NORMAL"/>
    <s v="MXN"/>
    <n v="151380"/>
    <n v="9.3381629999999998"/>
    <n v="1413611.11494"/>
    <n v="8.3307969100000001"/>
    <n v="152495.07870419999"/>
    <n v="0"/>
    <n v="0"/>
    <n v="0"/>
    <n v="0"/>
    <n v="151380"/>
    <n v="1413611.11494"/>
    <s v="EPER"/>
    <n v="7414000005"/>
  </r>
  <r>
    <x v="36"/>
    <s v="BANCO SANTANDER MEXICO SA FIDEICOMISO  F/35740-0"/>
    <x v="26"/>
    <s v="NORMAL"/>
    <s v="MXN"/>
    <n v="6408"/>
    <n v="98.730349000000004"/>
    <n v="632664.07639199996"/>
    <n v="104.31018780918852"/>
    <n v="-35755.607089279998"/>
    <n v="0"/>
    <n v="0"/>
    <n v="0"/>
    <n v="0"/>
    <n v="6408"/>
    <n v="632664.07639199996"/>
    <s v="EPER"/>
    <n v="7414000005"/>
  </r>
  <r>
    <x v="36"/>
    <s v="BANCO SANTANDER MEXICO SA FIDEICOMISO  F/35740-0"/>
    <x v="67"/>
    <s v="NORMAL"/>
    <s v="MXN"/>
    <n v="7929"/>
    <n v="99.247497999999993"/>
    <n v="786933.41164199996"/>
    <n v="112.2401488518817"/>
    <n v="-103018.72860457"/>
    <n v="0"/>
    <n v="0"/>
    <n v="0"/>
    <n v="0"/>
    <n v="7929"/>
    <n v="786933.41164199996"/>
    <s v="EPER"/>
    <n v="7414000005"/>
  </r>
  <r>
    <x v="36"/>
    <s v="BANCO SANTANDER MEXICO SA FIDEICOMISO  F/35740-0"/>
    <x v="27"/>
    <s v="NORMAL"/>
    <s v="MXN"/>
    <n v="2610"/>
    <n v="94.973146999999997"/>
    <n v="247879.91367000001"/>
    <n v="89.776975398927206"/>
    <n v="13562.007878799999"/>
    <n v="0"/>
    <n v="0"/>
    <n v="0"/>
    <n v="0"/>
    <n v="2610"/>
    <n v="247879.91367000001"/>
    <s v="EPER"/>
    <n v="7414000005"/>
  </r>
  <r>
    <x v="36"/>
    <s v="BANCO SANTANDER MEXICO SA FIDEICOMISO  F/35740-0"/>
    <x v="28"/>
    <s v="NORMAL"/>
    <s v="MXN"/>
    <n v="8849"/>
    <n v="91.911821000000003"/>
    <n v="813327.70402900001"/>
    <n v="93.2088459"/>
    <n v="-11477.373340100001"/>
    <n v="0"/>
    <n v="0"/>
    <n v="0"/>
    <n v="0"/>
    <n v="8849"/>
    <n v="813327.70402900001"/>
    <s v="EPER"/>
    <n v="7414000005"/>
  </r>
  <r>
    <x v="36"/>
    <s v="BANCO SANTANDER MEXICO SA FIDEICOMISO  F/35740-0"/>
    <x v="29"/>
    <s v="NORMAL"/>
    <s v="MXN"/>
    <n v="4630"/>
    <n v="92.954503000000003"/>
    <n v="430379.34889000002"/>
    <n v="93.325851670388772"/>
    <n v="-1719.3443439"/>
    <n v="0"/>
    <n v="0"/>
    <n v="0"/>
    <n v="0"/>
    <n v="4630"/>
    <n v="430379.34889000002"/>
    <s v="EPER"/>
    <n v="7414000005"/>
  </r>
  <r>
    <x v="36"/>
    <s v="BANCO SANTANDER MEXICO SA FIDEICOMISO  F/35740-0"/>
    <x v="30"/>
    <s v="NORMAL"/>
    <s v="MXN"/>
    <n v="4584"/>
    <n v="88.698122999999995"/>
    <n v="406592.195832"/>
    <n v="85.585976865994766"/>
    <n v="14266.077878280001"/>
    <n v="0"/>
    <n v="0"/>
    <n v="0"/>
    <n v="0"/>
    <n v="4584"/>
    <n v="406592.195832"/>
    <s v="EPER"/>
    <n v="7414000005"/>
  </r>
  <r>
    <x v="36"/>
    <s v="BANCO SANTANDER MEXICO SA FIDEICOMISO  F/35740-0"/>
    <x v="31"/>
    <s v="NORMAL"/>
    <s v="MXN"/>
    <n v="8740"/>
    <n v="93.314192000000006"/>
    <n v="815566.03807999997"/>
    <n v="98.652228244038895"/>
    <n v="-46654.436772900001"/>
    <n v="0"/>
    <n v="0"/>
    <n v="0"/>
    <n v="0"/>
    <n v="8740"/>
    <n v="815566.03807999997"/>
    <s v="EPER"/>
    <n v="7414000005"/>
  </r>
  <r>
    <x v="36"/>
    <s v="BANCO SANTANDER MEXICO SA FIDEICOMISO  F/35740-0"/>
    <x v="32"/>
    <s v="NORMAL"/>
    <s v="MXN"/>
    <n v="8050"/>
    <n v="94.864168000000006"/>
    <n v="763656.55240000004"/>
    <n v="96.406456791875783"/>
    <n v="-12415.4247746"/>
    <n v="0"/>
    <n v="0"/>
    <n v="0"/>
    <n v="0"/>
    <n v="8050"/>
    <n v="763656.55240000004"/>
    <s v="EPER"/>
    <n v="7414000005"/>
  </r>
  <r>
    <x v="36"/>
    <s v="BANCO SANTANDER MEXICO SA FIDEICOMISO  F/35740-0"/>
    <x v="33"/>
    <s v="NORMAL"/>
    <s v="MXN"/>
    <n v="22164"/>
    <n v="94.870157000000006"/>
    <n v="2102702.1597480001"/>
    <n v="96.826569857579855"/>
    <n v="-43361.934575400002"/>
    <n v="0"/>
    <n v="0"/>
    <n v="0"/>
    <n v="0"/>
    <n v="22164"/>
    <n v="2102702.1597480001"/>
    <s v="EPER"/>
    <n v="7414000005"/>
  </r>
  <r>
    <x v="36"/>
    <s v="BANCO SANTANDER MEXICO SA FIDEICOMISO  F/35740-0"/>
    <x v="34"/>
    <s v="NORMAL"/>
    <s v="MXN"/>
    <n v="8482"/>
    <n v="89.489464999999996"/>
    <n v="759049.64213000005"/>
    <n v="90.484544077868421"/>
    <n v="-8440.2607384799994"/>
    <n v="0"/>
    <n v="0"/>
    <n v="0"/>
    <n v="0"/>
    <n v="8482"/>
    <n v="759049.64213000005"/>
    <s v="EPER"/>
    <n v="7414000005"/>
  </r>
  <r>
    <x v="36"/>
    <s v="BANCO SANTANDER MEXICO SA FIDEICOMISO  F/35740-0"/>
    <x v="35"/>
    <s v="NORMAL"/>
    <s v="MXN"/>
    <n v="18360"/>
    <n v="86.197128000000006"/>
    <n v="1582579.2700799999"/>
    <n v="89.64878798292483"/>
    <n v="-63372.477286499998"/>
    <n v="0"/>
    <n v="0"/>
    <n v="0"/>
    <n v="0"/>
    <n v="18360"/>
    <n v="1582579.2700799999"/>
    <s v="EPER"/>
    <n v="7414000005"/>
  </r>
  <r>
    <x v="36"/>
    <s v="BANCO SANTANDER MEXICO SA FIDEICOMISO  F/35740-0"/>
    <x v="36"/>
    <s v="NORMAL"/>
    <s v="MXN"/>
    <n v="20994"/>
    <n v="86.469353999999996"/>
    <n v="1815337.617876"/>
    <n v="90.893867012348764"/>
    <n v="-92888.226181249993"/>
    <n v="0"/>
    <n v="0"/>
    <n v="0"/>
    <n v="0"/>
    <n v="20994"/>
    <n v="1815337.617876"/>
    <s v="EPER"/>
    <n v="7414000005"/>
  </r>
  <r>
    <x v="36"/>
    <s v="BANCO SANTANDER MEXICO SA FIDEICOMISO  F/35740-0"/>
    <x v="81"/>
    <s v="NORMAL"/>
    <s v="MXN"/>
    <n v="739"/>
    <n v="101.45096599999999"/>
    <n v="74972.263873999997"/>
    <n v="114.11447106"/>
    <n v="-9358.3302393400008"/>
    <n v="0"/>
    <n v="0"/>
    <n v="0"/>
    <n v="0"/>
    <n v="739"/>
    <n v="74972.263873999997"/>
    <s v="EPER"/>
    <n v="7414000005"/>
  </r>
  <r>
    <x v="36"/>
    <s v="BANCO SANTANDER MEXICO SA FIDEICOMISO  F/35740-0"/>
    <x v="68"/>
    <s v="NORMAL"/>
    <s v="MXN"/>
    <n v="634"/>
    <n v="89.643172000000007"/>
    <n v="56833.771048000002"/>
    <n v="108.47711812999999"/>
    <n v="-11940.72184642"/>
    <n v="0"/>
    <n v="0"/>
    <n v="0"/>
    <n v="0"/>
    <n v="634"/>
    <n v="56833.771048000002"/>
    <s v="EPER"/>
    <n v="7414000005"/>
  </r>
  <r>
    <x v="36"/>
    <s v="BANCO SANTANDER MEXICO SA FIDEICOMISO  F/35740-0"/>
    <x v="37"/>
    <s v="NORMAL"/>
    <s v="MXN"/>
    <n v="15271"/>
    <n v="81.738860000000003"/>
    <n v="1248234.13106"/>
    <n v="86.434963932790254"/>
    <n v="-71714.203157640004"/>
    <n v="0"/>
    <n v="0"/>
    <n v="0"/>
    <n v="0"/>
    <n v="15271"/>
    <n v="1248234.13106"/>
    <s v="EPER"/>
    <n v="7414000005"/>
  </r>
  <r>
    <x v="36"/>
    <s v="BANCO SANTANDER MEXICO SA FIDEICOMISO  F/35740-0"/>
    <x v="38"/>
    <s v="NORMAL"/>
    <s v="MXN"/>
    <n v="3549"/>
    <n v="83.200761"/>
    <n v="295279.50078900001"/>
    <n v="93.143183912344327"/>
    <n v="-35285.658915909997"/>
    <n v="0"/>
    <n v="0"/>
    <n v="0"/>
    <n v="0"/>
    <n v="3549"/>
    <n v="295279.50078900001"/>
    <s v="EPER"/>
    <n v="7414000005"/>
  </r>
  <r>
    <x v="36"/>
    <s v="BANCO SANTANDER MEXICO SA FIDEICOMISO  F/35740-0"/>
    <x v="39"/>
    <s v="NORMAL"/>
    <s v="MXN"/>
    <n v="25610"/>
    <n v="82.159907000000004"/>
    <n v="2104115.2182700001"/>
    <n v="83.989124130640377"/>
    <n v="-46846.2507157"/>
    <n v="0"/>
    <n v="0"/>
    <n v="0"/>
    <n v="0"/>
    <n v="25610"/>
    <n v="2104115.2182700001"/>
    <s v="EPER"/>
    <n v="7414000005"/>
  </r>
  <r>
    <x v="36"/>
    <s v="BANCO SANTANDER MEXICO SA FIDEICOMISO  F/35740-0"/>
    <x v="88"/>
    <s v="NORMAL"/>
    <s v="MXN"/>
    <n v="18558"/>
    <n v="98.007834000000003"/>
    <n v="1818829.383372"/>
    <n v="89.820929565081371"/>
    <n v="151932.57250322"/>
    <n v="0"/>
    <n v="0"/>
    <n v="0"/>
    <n v="0"/>
    <n v="18558"/>
    <n v="1818829.383372"/>
    <s v="EPER"/>
    <n v="7414000005"/>
  </r>
  <r>
    <x v="36"/>
    <s v="BANCO SANTANDER MEXICO SA FIDEICOMISO  F/35740-0"/>
    <x v="89"/>
    <s v="NORMAL"/>
    <s v="MXN"/>
    <n v="3582960"/>
    <n v="3.1390400000000001"/>
    <n v="11247054.758400001"/>
    <n v="2.3738999123629623"/>
    <n v="2741466.3284"/>
    <n v="0"/>
    <n v="0"/>
    <n v="0"/>
    <n v="0"/>
    <n v="3582960"/>
    <n v="11247054.758400001"/>
    <s v="EPER"/>
    <n v="7414000005"/>
  </r>
  <r>
    <x v="36"/>
    <s v="BANCO SANTANDER MEXICO SA FIDEICOMISO  F/35740-0"/>
    <x v="0"/>
    <s v="NORMAL"/>
    <s v="MXN"/>
    <n v="1026763"/>
    <n v="3.3967719999999999"/>
    <n v="3487679.8090360002"/>
    <n v="3.2938378087250904"/>
    <n v="105689.019036"/>
    <n v="0"/>
    <n v="0"/>
    <n v="0"/>
    <n v="0"/>
    <n v="1026763"/>
    <n v="3487679.8090360002"/>
    <s v="EPER"/>
    <n v="7414000005"/>
  </r>
  <r>
    <x v="36"/>
    <s v="BANCO SANTANDER MEXICO SA FIDEICOMISO  F/35740-0"/>
    <x v="51"/>
    <s v="NORMAL"/>
    <s v="MXN"/>
    <n v="1979"/>
    <n v="775.69178699999998"/>
    <n v="1535094.046473"/>
    <n v="766.69784126000002"/>
    <n v="17799.018619459999"/>
    <n v="0"/>
    <n v="0"/>
    <n v="0"/>
    <n v="0"/>
    <n v="1979"/>
    <n v="1535094.046473"/>
    <s v="EPER"/>
    <n v="7414000005"/>
  </r>
  <r>
    <x v="36"/>
    <s v="BANCO SANTANDER MEXICO SA FIDEICOMISO  F/35740-0"/>
    <x v="52"/>
    <s v="NORMAL"/>
    <s v="MXN"/>
    <n v="3163"/>
    <n v="747.17843200000004"/>
    <n v="2363325.3804159998"/>
    <n v="723.86476962782172"/>
    <n v="73741.114083199995"/>
    <n v="0"/>
    <n v="0"/>
    <n v="0"/>
    <n v="0"/>
    <n v="3163"/>
    <n v="2363325.3804159998"/>
    <s v="EPER"/>
    <n v="7414000005"/>
  </r>
  <r>
    <x v="36"/>
    <s v="BANCO SANTANDER MEXICO SA FIDEICOMISO  F/35740-0"/>
    <x v="53"/>
    <s v="NORMAL"/>
    <s v="MXN"/>
    <n v="1006"/>
    <n v="765.92388300000005"/>
    <n v="770519.42629800003"/>
    <n v="752.47319028974152"/>
    <n v="13531.396866519999"/>
    <n v="0"/>
    <n v="0"/>
    <n v="0"/>
    <n v="0"/>
    <n v="1006"/>
    <n v="770519.42629800003"/>
    <s v="EPER"/>
    <n v="7414000005"/>
  </r>
  <r>
    <x v="36"/>
    <s v="BANCO SANTANDER MEXICO SA FIDEICOMISO  F/35740-0"/>
    <x v="54"/>
    <s v="NORMAL"/>
    <s v="MXN"/>
    <n v="1813"/>
    <n v="684.88915799999995"/>
    <n v="1241704.043454"/>
    <n v="680.5910191140099"/>
    <n v="7792.5258002999999"/>
    <n v="0"/>
    <n v="0"/>
    <n v="0"/>
    <n v="0"/>
    <n v="1813"/>
    <n v="1241704.043454"/>
    <s v="EPER"/>
    <n v="7414000005"/>
  </r>
  <r>
    <x v="36"/>
    <s v="BANCO SANTANDER MEXICO SA FIDEICOMISO  F/35740-0"/>
    <x v="55"/>
    <s v="NORMAL"/>
    <s v="MXN"/>
    <n v="1035"/>
    <n v="772.926965"/>
    <n v="799979.40877500002"/>
    <n v="801.69943516787441"/>
    <n v="-29779.50662375"/>
    <n v="0"/>
    <n v="0"/>
    <n v="0"/>
    <n v="0"/>
    <n v="1035"/>
    <n v="799979.40877500002"/>
    <s v="EPER"/>
    <n v="7414000005"/>
  </r>
  <r>
    <x v="36"/>
    <s v="BANCO SANTANDER MEXICO SA FIDEICOMISO  F/35740-0"/>
    <x v="56"/>
    <s v="NORMAL"/>
    <s v="MXN"/>
    <n v="1123"/>
    <n v="721.59464000000003"/>
    <n v="810350.78072000004"/>
    <n v="757.24852496216386"/>
    <n v="-40039.312812509997"/>
    <n v="0"/>
    <n v="0"/>
    <n v="0"/>
    <n v="0"/>
    <n v="1123"/>
    <n v="810350.78072000004"/>
    <s v="EPER"/>
    <n v="7414000005"/>
  </r>
  <r>
    <x v="36"/>
    <s v="BANCO SANTANDER MEXICO SA FIDEICOMISO  F/35740-0"/>
    <x v="57"/>
    <s v="NORMAL"/>
    <s v="MXN"/>
    <n v="597"/>
    <n v="635.96311900000001"/>
    <n v="379669.982043"/>
    <n v="647.93802047999998"/>
    <n v="-7149.0161835600002"/>
    <n v="0"/>
    <n v="0"/>
    <n v="0"/>
    <n v="0"/>
    <n v="597"/>
    <n v="379669.982043"/>
    <s v="EPER"/>
    <n v="7414000005"/>
  </r>
  <r>
    <x v="36"/>
    <s v="BANCO SANTANDER MEXICO SA FIDEICOMISO  F/35740-0"/>
    <x v="58"/>
    <s v="NORMAL"/>
    <s v="MXN"/>
    <n v="1496"/>
    <n v="709.36974099999998"/>
    <n v="1061217.1325360001"/>
    <n v="728.64687149318854"/>
    <n v="-28838.58721781"/>
    <n v="0"/>
    <n v="0"/>
    <n v="0"/>
    <n v="0"/>
    <n v="1496"/>
    <n v="1061217.1325360001"/>
    <s v="EPER"/>
    <n v="7414000005"/>
  </r>
  <r>
    <x v="36"/>
    <s v="BANCO SANTANDER MEXICO SA FIDEICOMISO  F/35740-0"/>
    <x v="59"/>
    <s v="NORMAL"/>
    <s v="MXN"/>
    <n v="2427"/>
    <n v="694.41118700000004"/>
    <n v="1685335.9508489999"/>
    <n v="725.92860517697568"/>
    <n v="-76492.773915519996"/>
    <n v="0"/>
    <n v="0"/>
    <n v="0"/>
    <n v="0"/>
    <n v="2427"/>
    <n v="1685335.9508489999"/>
    <s v="EPER"/>
    <n v="7414000005"/>
  </r>
  <r>
    <x v="37"/>
    <s v="BANCO SANTANDER MEXICO SA FIDEICOMISO  F/2002506-1"/>
    <x v="85"/>
    <s v="NORMAL"/>
    <s v="MXN"/>
    <n v="1971"/>
    <n v="97.654420999999999"/>
    <n v="192476.86379100001"/>
    <n v="98.224185000000006"/>
    <n v="-1123.004844"/>
    <n v="0"/>
    <n v="0"/>
    <n v="0"/>
    <n v="0"/>
    <n v="1971"/>
    <n v="192476.86379100001"/>
    <s v="EPER"/>
    <n v="7414000005"/>
  </r>
  <r>
    <x v="37"/>
    <s v="BANCO SANTANDER MEXICO SA FIDEICOMISO  F/2002506-1"/>
    <x v="86"/>
    <s v="NORMAL"/>
    <s v="MXN"/>
    <n v="422686"/>
    <n v="9.4935880000000008"/>
    <n v="4012806.7373680002"/>
    <n v="8.4405498100000003"/>
    <n v="445104.50037834002"/>
    <n v="0"/>
    <n v="0"/>
    <n v="0"/>
    <n v="0"/>
    <n v="422686"/>
    <n v="4012806.7373680002"/>
    <s v="EPER"/>
    <n v="7414000005"/>
  </r>
  <r>
    <x v="37"/>
    <s v="BANCO SANTANDER MEXICO SA FIDEICOMISO  F/2002506-1"/>
    <x v="72"/>
    <s v="NORMAL"/>
    <s v="MXN"/>
    <n v="575690"/>
    <n v="9.3381629999999998"/>
    <n v="5375887.0574700003"/>
    <n v="8.3307969100000001"/>
    <n v="579930.58435210004"/>
    <n v="0"/>
    <n v="0"/>
    <n v="0"/>
    <n v="0"/>
    <n v="575690"/>
    <n v="5375887.0574700003"/>
    <s v="EPER"/>
    <n v="7414000005"/>
  </r>
  <r>
    <x v="37"/>
    <s v="BANCO SANTANDER MEXICO SA FIDEICOMISO  F/2002506-1"/>
    <x v="26"/>
    <s v="NORMAL"/>
    <s v="MXN"/>
    <n v="23232"/>
    <n v="98.730349000000004"/>
    <n v="2293703.4679680001"/>
    <n v="104.65571289378099"/>
    <n v="-137658.05398031999"/>
    <n v="0"/>
    <n v="0"/>
    <n v="0"/>
    <n v="0"/>
    <n v="23232"/>
    <n v="2293703.4679680001"/>
    <s v="EPER"/>
    <n v="7414000005"/>
  </r>
  <r>
    <x v="37"/>
    <s v="BANCO SANTANDER MEXICO SA FIDEICOMISO  F/2002506-1"/>
    <x v="67"/>
    <s v="NORMAL"/>
    <s v="MXN"/>
    <n v="31335"/>
    <n v="99.247497999999993"/>
    <n v="3109920.3498300002"/>
    <n v="112.37579195702409"/>
    <n v="-411375.09114335"/>
    <n v="0"/>
    <n v="0"/>
    <n v="0"/>
    <n v="0"/>
    <n v="31335"/>
    <n v="3109920.3498300002"/>
    <s v="EPER"/>
    <n v="7414000005"/>
  </r>
  <r>
    <x v="37"/>
    <s v="BANCO SANTANDER MEXICO SA FIDEICOMISO  F/2002506-1"/>
    <x v="27"/>
    <s v="NORMAL"/>
    <s v="MXN"/>
    <n v="9920"/>
    <n v="94.973146999999997"/>
    <n v="942133.61823999998"/>
    <n v="89.778146203931456"/>
    <n v="51534.407896999997"/>
    <n v="0"/>
    <n v="0"/>
    <n v="0"/>
    <n v="0"/>
    <n v="9920"/>
    <n v="942133.61823999998"/>
    <s v="EPER"/>
    <n v="7414000005"/>
  </r>
  <r>
    <x v="37"/>
    <s v="BANCO SANTANDER MEXICO SA FIDEICOMISO  F/2002506-1"/>
    <x v="28"/>
    <s v="NORMAL"/>
    <s v="MXN"/>
    <n v="33911"/>
    <n v="91.911821000000003"/>
    <n v="3116821.7619309998"/>
    <n v="93.2088459"/>
    <n v="-43983.411383899998"/>
    <n v="0"/>
    <n v="0"/>
    <n v="0"/>
    <n v="0"/>
    <n v="33911"/>
    <n v="3116821.7619309998"/>
    <s v="EPER"/>
    <n v="7414000005"/>
  </r>
  <r>
    <x v="37"/>
    <s v="BANCO SANTANDER MEXICO SA FIDEICOMISO  F/2002506-1"/>
    <x v="29"/>
    <s v="NORMAL"/>
    <s v="MXN"/>
    <n v="17490"/>
    <n v="92.954503000000003"/>
    <n v="1625774.2574700001"/>
    <n v="93.326299851440822"/>
    <n v="-6502.7269317"/>
    <n v="0"/>
    <n v="0"/>
    <n v="0"/>
    <n v="0"/>
    <n v="17490"/>
    <n v="1625774.2574700001"/>
    <s v="EPER"/>
    <n v="7414000005"/>
  </r>
  <r>
    <x v="37"/>
    <s v="BANCO SANTANDER MEXICO SA FIDEICOMISO  F/2002506-1"/>
    <x v="30"/>
    <s v="NORMAL"/>
    <s v="MXN"/>
    <n v="17357"/>
    <n v="88.698122999999995"/>
    <n v="1539533.320911"/>
    <n v="85.583216460166497"/>
    <n v="54065.432811890001"/>
    <n v="0"/>
    <n v="0"/>
    <n v="0"/>
    <n v="0"/>
    <n v="17357"/>
    <n v="1539533.320911"/>
    <s v="EPER"/>
    <n v="7414000005"/>
  </r>
  <r>
    <x v="37"/>
    <s v="BANCO SANTANDER MEXICO SA FIDEICOMISO  F/2002506-1"/>
    <x v="31"/>
    <s v="NORMAL"/>
    <s v="MXN"/>
    <n v="33880"/>
    <n v="93.314192000000006"/>
    <n v="3161484.8249599999"/>
    <n v="98.894973383435655"/>
    <n v="-189076.87327079999"/>
    <n v="0"/>
    <n v="0"/>
    <n v="0"/>
    <n v="0"/>
    <n v="33880"/>
    <n v="3161484.8249599999"/>
    <s v="EPER"/>
    <n v="7414000005"/>
  </r>
  <r>
    <x v="37"/>
    <s v="BANCO SANTANDER MEXICO SA FIDEICOMISO  F/2002506-1"/>
    <x v="32"/>
    <s v="NORMAL"/>
    <s v="MXN"/>
    <n v="30730"/>
    <n v="94.864168000000006"/>
    <n v="2915175.88264"/>
    <n v="96.403544792235607"/>
    <n v="-47305.048825400001"/>
    <n v="0"/>
    <n v="0"/>
    <n v="0"/>
    <n v="0"/>
    <n v="30730"/>
    <n v="2915175.88264"/>
    <s v="EPER"/>
    <n v="7414000005"/>
  </r>
  <r>
    <x v="37"/>
    <s v="BANCO SANTANDER MEXICO SA FIDEICOMISO  F/2002506-1"/>
    <x v="33"/>
    <s v="NORMAL"/>
    <s v="MXN"/>
    <n v="89129"/>
    <n v="94.870157000000006"/>
    <n v="8455682.2232530005"/>
    <n v="96.750571777887103"/>
    <n v="-167599.48873829999"/>
    <n v="0"/>
    <n v="0"/>
    <n v="0"/>
    <n v="0"/>
    <n v="89129"/>
    <n v="8455682.2232530005"/>
    <s v="EPER"/>
    <n v="7414000005"/>
  </r>
  <r>
    <x v="37"/>
    <s v="BANCO SANTANDER MEXICO SA FIDEICOMISO  F/2002506-1"/>
    <x v="34"/>
    <s v="NORMAL"/>
    <s v="MXN"/>
    <n v="41710"/>
    <n v="89.489464999999996"/>
    <n v="3732605.5851500002"/>
    <n v="90.958526981819702"/>
    <n v="-61274.575261700003"/>
    <n v="0"/>
    <n v="0"/>
    <n v="0"/>
    <n v="0"/>
    <n v="41710"/>
    <n v="3732605.5851500002"/>
    <s v="EPER"/>
    <n v="7414000005"/>
  </r>
  <r>
    <x v="37"/>
    <s v="BANCO SANTANDER MEXICO SA FIDEICOMISO  F/2002506-1"/>
    <x v="35"/>
    <s v="NORMAL"/>
    <s v="MXN"/>
    <n v="83750"/>
    <n v="86.197128000000006"/>
    <n v="7219009.4699999997"/>
    <n v="89.67892150592597"/>
    <n v="-291600.2061213"/>
    <n v="0"/>
    <n v="0"/>
    <n v="0"/>
    <n v="0"/>
    <n v="83750"/>
    <n v="7219009.4699999997"/>
    <s v="EPER"/>
    <n v="7414000005"/>
  </r>
  <r>
    <x v="37"/>
    <s v="BANCO SANTANDER MEXICO SA FIDEICOMISO  F/2002506-1"/>
    <x v="36"/>
    <s v="NORMAL"/>
    <s v="MXN"/>
    <n v="66571"/>
    <n v="86.469353999999996"/>
    <n v="5756351.3651339998"/>
    <n v="90.709951541621876"/>
    <n v="-282300.81894331001"/>
    <n v="0"/>
    <n v="0"/>
    <n v="0"/>
    <n v="0"/>
    <n v="66571"/>
    <n v="5756351.3651339998"/>
    <s v="EPER"/>
    <n v="7414000005"/>
  </r>
  <r>
    <x v="37"/>
    <s v="BANCO SANTANDER MEXICO SA FIDEICOMISO  F/2002506-1"/>
    <x v="81"/>
    <s v="NORMAL"/>
    <s v="MXN"/>
    <n v="2803"/>
    <n v="101.45096599999999"/>
    <n v="284367.05769799999"/>
    <n v="114.11447106"/>
    <n v="-35495.804683180002"/>
    <n v="0"/>
    <n v="0"/>
    <n v="0"/>
    <n v="0"/>
    <n v="2803"/>
    <n v="284367.05769799999"/>
    <s v="EPER"/>
    <n v="7414000005"/>
  </r>
  <r>
    <x v="37"/>
    <s v="BANCO SANTANDER MEXICO SA FIDEICOMISO  F/2002506-1"/>
    <x v="68"/>
    <s v="NORMAL"/>
    <s v="MXN"/>
    <n v="2448"/>
    <n v="89.643172000000007"/>
    <n v="219446.485056"/>
    <n v="108.47711812999999"/>
    <n v="-46105.500126239996"/>
    <n v="0"/>
    <n v="0"/>
    <n v="0"/>
    <n v="0"/>
    <n v="2448"/>
    <n v="219446.485056"/>
    <s v="EPER"/>
    <n v="7414000005"/>
  </r>
  <r>
    <x v="37"/>
    <s v="BANCO SANTANDER MEXICO SA FIDEICOMISO  F/2002506-1"/>
    <x v="37"/>
    <s v="NORMAL"/>
    <s v="MXN"/>
    <n v="57775"/>
    <n v="81.738860000000003"/>
    <n v="4722462.6365"/>
    <n v="86.431341162410732"/>
    <n v="-271108.09915828001"/>
    <n v="0"/>
    <n v="0"/>
    <n v="0"/>
    <n v="0"/>
    <n v="57775"/>
    <n v="4722462.6365"/>
    <s v="EPER"/>
    <n v="7414000005"/>
  </r>
  <r>
    <x v="37"/>
    <s v="BANCO SANTANDER MEXICO SA FIDEICOMISO  F/2002506-1"/>
    <x v="38"/>
    <s v="NORMAL"/>
    <s v="MXN"/>
    <n v="16984"/>
    <n v="83.200761"/>
    <n v="1413081.7248239999"/>
    <n v="92.435743429566656"/>
    <n v="-156846.94158376"/>
    <n v="0"/>
    <n v="0"/>
    <n v="0"/>
    <n v="0"/>
    <n v="16984"/>
    <n v="1413081.7248239999"/>
    <s v="EPER"/>
    <n v="7414000005"/>
  </r>
  <r>
    <x v="37"/>
    <s v="BANCO SANTANDER MEXICO SA FIDEICOMISO  F/2002506-1"/>
    <x v="39"/>
    <s v="NORMAL"/>
    <s v="MXN"/>
    <n v="82572"/>
    <n v="82.159907000000004"/>
    <n v="6784107.8408040004"/>
    <n v="84.188416131988319"/>
    <n v="-167498.05604654"/>
    <n v="0"/>
    <n v="0"/>
    <n v="0"/>
    <n v="0"/>
    <n v="82572"/>
    <n v="6784107.8408040004"/>
    <s v="EPER"/>
    <n v="7414000005"/>
  </r>
  <r>
    <x v="37"/>
    <s v="BANCO SANTANDER MEXICO SA FIDEICOMISO  F/2002506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7"/>
    <s v="BANCO SANTANDER MEXICO SA FIDEICOMISO  F/2002506-1"/>
    <x v="88"/>
    <s v="NORMAL"/>
    <s v="MXN"/>
    <n v="72279"/>
    <n v="98.007834000000003"/>
    <n v="7083908.2336860001"/>
    <n v="89.811540712579585"/>
    <n v="592419.88252145995"/>
    <n v="0"/>
    <n v="0"/>
    <n v="0"/>
    <n v="0"/>
    <n v="72279"/>
    <n v="7083908.2336860001"/>
    <s v="EPER"/>
    <n v="7414000005"/>
  </r>
  <r>
    <x v="37"/>
    <s v="BANCO SANTANDER MEXICO SA FIDEICOMISO  F/2002506-1"/>
    <x v="0"/>
    <s v="NORMAL"/>
    <s v="MXN"/>
    <n v="3047659"/>
    <n v="3.3967719999999999"/>
    <n v="10352202.756748"/>
    <n v="3.3096765681462395"/>
    <n v="265437.17674800003"/>
    <n v="0"/>
    <n v="0"/>
    <n v="0"/>
    <n v="0"/>
    <n v="3047659"/>
    <n v="10352202.756748"/>
    <s v="EPER"/>
    <n v="7414000005"/>
  </r>
  <r>
    <x v="37"/>
    <s v="BANCO SANTANDER MEXICO SA FIDEICOMISO  F/2002506-1"/>
    <x v="51"/>
    <s v="NORMAL"/>
    <s v="MXN"/>
    <n v="5861"/>
    <n v="775.69178699999998"/>
    <n v="4546329.5636069998"/>
    <n v="766.69784126000002"/>
    <n v="52713.515982140001"/>
    <n v="0"/>
    <n v="0"/>
    <n v="0"/>
    <n v="0"/>
    <n v="5861"/>
    <n v="4546329.5636069998"/>
    <s v="EPER"/>
    <n v="7414000005"/>
  </r>
  <r>
    <x v="37"/>
    <s v="BANCO SANTANDER MEXICO SA FIDEICOMISO  F/2002506-1"/>
    <x v="52"/>
    <s v="NORMAL"/>
    <s v="MXN"/>
    <n v="12002"/>
    <n v="747.17843200000004"/>
    <n v="8967635.5408640001"/>
    <n v="723.84327280451589"/>
    <n v="280068.58066420001"/>
    <n v="0"/>
    <n v="0"/>
    <n v="0"/>
    <n v="0"/>
    <n v="12002"/>
    <n v="8967635.5408640001"/>
    <s v="EPER"/>
    <n v="7414000005"/>
  </r>
  <r>
    <x v="37"/>
    <s v="BANCO SANTANDER MEXICO SA FIDEICOMISO  F/2002506-1"/>
    <x v="53"/>
    <s v="NORMAL"/>
    <s v="MXN"/>
    <n v="3840"/>
    <n v="765.92388300000005"/>
    <n v="2941147.7107199999"/>
    <n v="752.52974169119796"/>
    <n v="51433.5026258"/>
    <n v="0"/>
    <n v="0"/>
    <n v="0"/>
    <n v="0"/>
    <n v="3840"/>
    <n v="2941147.7107199999"/>
    <s v="EPER"/>
    <n v="7414000005"/>
  </r>
  <r>
    <x v="37"/>
    <s v="BANCO SANTANDER MEXICO SA FIDEICOMISO  F/2002506-1"/>
    <x v="54"/>
    <s v="NORMAL"/>
    <s v="MXN"/>
    <n v="12221"/>
    <n v="684.88915799999995"/>
    <n v="8370030.3999180002"/>
    <n v="678.03104617035433"/>
    <n v="83812.984670100006"/>
    <n v="0"/>
    <n v="0"/>
    <n v="0"/>
    <n v="0"/>
    <n v="12221"/>
    <n v="8370030.3999180002"/>
    <s v="EPER"/>
    <n v="7414000005"/>
  </r>
  <r>
    <x v="37"/>
    <s v="BANCO SANTANDER MEXICO SA FIDEICOMISO  F/2002506-1"/>
    <x v="55"/>
    <s v="NORMAL"/>
    <s v="MXN"/>
    <n v="793"/>
    <n v="772.926965"/>
    <n v="612931.08324499999"/>
    <n v="798.93664675000002"/>
    <n v="-20625.677627749999"/>
    <n v="0"/>
    <n v="0"/>
    <n v="0"/>
    <n v="0"/>
    <n v="793"/>
    <n v="612931.08324499999"/>
    <s v="EPER"/>
    <n v="7414000005"/>
  </r>
  <r>
    <x v="37"/>
    <s v="BANCO SANTANDER MEXICO SA FIDEICOMISO  F/2002506-1"/>
    <x v="56"/>
    <s v="NORMAL"/>
    <s v="MXN"/>
    <n v="4837"/>
    <n v="721.59464000000003"/>
    <n v="3490353.2736800001"/>
    <n v="757.14391105401694"/>
    <n v="-171951.82408828"/>
    <n v="0"/>
    <n v="0"/>
    <n v="0"/>
    <n v="0"/>
    <n v="4837"/>
    <n v="3490353.2736800001"/>
    <s v="EPER"/>
    <n v="7414000005"/>
  </r>
  <r>
    <x v="37"/>
    <s v="BANCO SANTANDER MEXICO SA FIDEICOMISO  F/2002506-1"/>
    <x v="57"/>
    <s v="NORMAL"/>
    <s v="MXN"/>
    <n v="2287"/>
    <n v="635.96311900000001"/>
    <n v="1454447.6531529999"/>
    <n v="647.93802047999998"/>
    <n v="-27386.59968476"/>
    <n v="0"/>
    <n v="0"/>
    <n v="0"/>
    <n v="0"/>
    <n v="2287"/>
    <n v="1454447.6531529999"/>
    <s v="EPER"/>
    <n v="7414000005"/>
  </r>
  <r>
    <x v="37"/>
    <s v="BANCO SANTANDER MEXICO SA FIDEICOMISO  F/2002506-1"/>
    <x v="58"/>
    <s v="NORMAL"/>
    <s v="MXN"/>
    <n v="5175"/>
    <n v="709.36974099999998"/>
    <n v="3670988.4096749998"/>
    <n v="724.7392342995015"/>
    <n v="-79537.127824919997"/>
    <n v="0"/>
    <n v="0"/>
    <n v="0"/>
    <n v="0"/>
    <n v="5175"/>
    <n v="3670988.4096749998"/>
    <s v="EPER"/>
    <n v="7414000005"/>
  </r>
  <r>
    <x v="37"/>
    <s v="BANCO SANTANDER MEXICO SA FIDEICOMISO  F/2002506-1"/>
    <x v="59"/>
    <s v="NORMAL"/>
    <s v="MXN"/>
    <n v="9197"/>
    <n v="694.41118700000004"/>
    <n v="6386499.6868390003"/>
    <n v="721.263691953288"/>
    <n v="-246962.48805538999"/>
    <n v="0"/>
    <n v="0"/>
    <n v="0"/>
    <n v="0"/>
    <n v="9197"/>
    <n v="6386499.6868390003"/>
    <s v="EPER"/>
    <n v="7414000005"/>
  </r>
  <r>
    <x v="38"/>
    <s v="BANCO SANTANDER MEXICO SA FIDEICOMISO  F/2002507-1"/>
    <x v="85"/>
    <s v="NORMAL"/>
    <s v="MXN"/>
    <n v="35"/>
    <n v="97.654420999999999"/>
    <n v="3417.9047350000001"/>
    <n v="98.224185000000006"/>
    <n v="-19.941739999999999"/>
    <n v="0"/>
    <n v="0"/>
    <n v="0"/>
    <n v="0"/>
    <n v="35"/>
    <n v="3417.9047350000001"/>
    <s v="EPER"/>
    <n v="7414000005"/>
  </r>
  <r>
    <x v="38"/>
    <s v="BANCO SANTANDER MEXICO SA FIDEICOMISO  F/2002507-1"/>
    <x v="26"/>
    <s v="NORMAL"/>
    <s v="MXN"/>
    <n v="389"/>
    <n v="98.730349000000004"/>
    <n v="38406.105760999999"/>
    <n v="104.81191507"/>
    <n v="-2365.7292012299999"/>
    <n v="0"/>
    <n v="0"/>
    <n v="0"/>
    <n v="0"/>
    <n v="389"/>
    <n v="38406.105760999999"/>
    <s v="EPER"/>
    <n v="7414000005"/>
  </r>
  <r>
    <x v="38"/>
    <s v="BANCO SANTANDER MEXICO SA FIDEICOMISO  F/2002507-1"/>
    <x v="67"/>
    <s v="NORMAL"/>
    <s v="MXN"/>
    <n v="742"/>
    <n v="99.247497999999993"/>
    <n v="73641.643515999996"/>
    <n v="112.90833475762803"/>
    <n v="-10136.34087416"/>
    <n v="0"/>
    <n v="0"/>
    <n v="0"/>
    <n v="0"/>
    <n v="742"/>
    <n v="73641.643515999996"/>
    <s v="EPER"/>
    <n v="7414000005"/>
  </r>
  <r>
    <x v="38"/>
    <s v="BANCO SANTANDER MEXICO SA FIDEICOMISO  F/2002507-1"/>
    <x v="27"/>
    <s v="NORMAL"/>
    <s v="MXN"/>
    <n v="190"/>
    <n v="94.973146999999997"/>
    <n v="18044.897929999999"/>
    <n v="89.786778143157889"/>
    <n v="985.41008280000005"/>
    <n v="0"/>
    <n v="0"/>
    <n v="0"/>
    <n v="0"/>
    <n v="190"/>
    <n v="18044.897929999999"/>
    <s v="EPER"/>
    <n v="7414000005"/>
  </r>
  <r>
    <x v="38"/>
    <s v="BANCO SANTANDER MEXICO SA FIDEICOMISO  F/2002507-1"/>
    <x v="28"/>
    <s v="NORMAL"/>
    <s v="MXN"/>
    <n v="673"/>
    <n v="91.911821000000003"/>
    <n v="61856.655532999997"/>
    <n v="93.2088459"/>
    <n v="-872.89775770000006"/>
    <n v="0"/>
    <n v="0"/>
    <n v="0"/>
    <n v="0"/>
    <n v="673"/>
    <n v="61856.655532999997"/>
    <s v="EPER"/>
    <n v="7414000005"/>
  </r>
  <r>
    <x v="38"/>
    <s v="BANCO SANTANDER MEXICO SA FIDEICOMISO  F/2002507-1"/>
    <x v="29"/>
    <s v="NORMAL"/>
    <s v="MXN"/>
    <n v="290"/>
    <n v="92.954503000000003"/>
    <n v="26956.80587"/>
    <n v="93.332995301034487"/>
    <n v="-109.76276729999999"/>
    <n v="0"/>
    <n v="0"/>
    <n v="0"/>
    <n v="0"/>
    <n v="290"/>
    <n v="26956.80587"/>
    <s v="EPER"/>
    <n v="7414000005"/>
  </r>
  <r>
    <x v="38"/>
    <s v="BANCO SANTANDER MEXICO SA FIDEICOMISO  F/2002507-1"/>
    <x v="30"/>
    <s v="NORMAL"/>
    <s v="MXN"/>
    <n v="316"/>
    <n v="88.698122999999995"/>
    <n v="28028.606867999999"/>
    <n v="85.568848202151898"/>
    <n v="988.85083612000005"/>
    <n v="0"/>
    <n v="0"/>
    <n v="0"/>
    <n v="0"/>
    <n v="316"/>
    <n v="28028.606867999999"/>
    <s v="EPER"/>
    <n v="7414000005"/>
  </r>
  <r>
    <x v="38"/>
    <s v="BANCO SANTANDER MEXICO SA FIDEICOMISO  F/2002507-1"/>
    <x v="31"/>
    <s v="NORMAL"/>
    <s v="MXN"/>
    <n v="1310"/>
    <n v="93.314192000000006"/>
    <n v="122241.59152"/>
    <n v="96.714839917862591"/>
    <n v="-4454.8487723999997"/>
    <n v="0"/>
    <n v="0"/>
    <n v="0"/>
    <n v="0"/>
    <n v="1310"/>
    <n v="122241.59152"/>
    <s v="EPER"/>
    <n v="7414000005"/>
  </r>
  <r>
    <x v="38"/>
    <s v="BANCO SANTANDER MEXICO SA FIDEICOMISO  F/2002507-1"/>
    <x v="32"/>
    <s v="NORMAL"/>
    <s v="MXN"/>
    <n v="570"/>
    <n v="94.864168000000006"/>
    <n v="54072.57576"/>
    <n v="96.385970966842109"/>
    <n v="-867.42769109999995"/>
    <n v="0"/>
    <n v="0"/>
    <n v="0"/>
    <n v="0"/>
    <n v="570"/>
    <n v="54072.57576"/>
    <s v="EPER"/>
    <n v="7414000005"/>
  </r>
  <r>
    <x v="38"/>
    <s v="BANCO SANTANDER MEXICO SA FIDEICOMISO  F/2002507-1"/>
    <x v="33"/>
    <s v="NORMAL"/>
    <s v="MXN"/>
    <n v="1483"/>
    <n v="94.870157000000006"/>
    <n v="140692.44283099999"/>
    <n v="96.965956425219147"/>
    <n v="-3108.0705475999998"/>
    <n v="0"/>
    <n v="0"/>
    <n v="0"/>
    <n v="0"/>
    <n v="1483"/>
    <n v="140692.44283099999"/>
    <s v="EPER"/>
    <n v="7414000005"/>
  </r>
  <r>
    <x v="38"/>
    <s v="BANCO SANTANDER MEXICO SA FIDEICOMISO  F/2002507-1"/>
    <x v="34"/>
    <s v="NORMAL"/>
    <s v="MXN"/>
    <n v="162"/>
    <n v="89.489464999999996"/>
    <n v="14497.29333"/>
    <n v="92.773634099999995"/>
    <n v="-532.03539420000004"/>
    <n v="0"/>
    <n v="0"/>
    <n v="0"/>
    <n v="0"/>
    <n v="162"/>
    <n v="14497.29333"/>
    <s v="EPER"/>
    <n v="7414000005"/>
  </r>
  <r>
    <x v="38"/>
    <s v="BANCO SANTANDER MEXICO SA FIDEICOMISO  F/2002507-1"/>
    <x v="35"/>
    <s v="NORMAL"/>
    <s v="MXN"/>
    <n v="1320"/>
    <n v="86.197128000000006"/>
    <n v="113780.20896"/>
    <n v="89.427180993787886"/>
    <n v="-4263.6699517999996"/>
    <n v="0"/>
    <n v="0"/>
    <n v="0"/>
    <n v="0"/>
    <n v="1320"/>
    <n v="113780.20896"/>
    <s v="EPER"/>
    <n v="7414000005"/>
  </r>
  <r>
    <x v="38"/>
    <s v="BANCO SANTANDER MEXICO SA FIDEICOMISO  F/2002507-1"/>
    <x v="36"/>
    <s v="NORMAL"/>
    <s v="MXN"/>
    <n v="60"/>
    <n v="86.469353999999996"/>
    <n v="5188.1612400000004"/>
    <n v="112.18590945"/>
    <n v="-1542.9933269999999"/>
    <n v="0"/>
    <n v="0"/>
    <n v="0"/>
    <n v="0"/>
    <n v="60"/>
    <n v="5188.1612400000004"/>
    <s v="EPER"/>
    <n v="7414000005"/>
  </r>
  <r>
    <x v="38"/>
    <s v="BANCO SANTANDER MEXICO SA FIDEICOMISO  F/2002507-1"/>
    <x v="81"/>
    <s v="NORMAL"/>
    <s v="MXN"/>
    <n v="59"/>
    <n v="101.45096599999999"/>
    <n v="5985.6069939999998"/>
    <n v="114.11447106"/>
    <n v="-747.14679853999996"/>
    <n v="0"/>
    <n v="0"/>
    <n v="0"/>
    <n v="0"/>
    <n v="59"/>
    <n v="5985.6069939999998"/>
    <s v="EPER"/>
    <n v="7414000005"/>
  </r>
  <r>
    <x v="38"/>
    <s v="BANCO SANTANDER MEXICO SA FIDEICOMISO  F/2002507-1"/>
    <x v="68"/>
    <s v="NORMAL"/>
    <s v="MXN"/>
    <n v="63"/>
    <n v="89.643172000000007"/>
    <n v="5647.5198360000004"/>
    <n v="108.47711812999999"/>
    <n v="-1186.5386061900001"/>
    <n v="0"/>
    <n v="0"/>
    <n v="0"/>
    <n v="0"/>
    <n v="63"/>
    <n v="5647.5198360000004"/>
    <s v="EPER"/>
    <n v="7414000005"/>
  </r>
  <r>
    <x v="38"/>
    <s v="BANCO SANTANDER MEXICO SA FIDEICOMISO  F/2002507-1"/>
    <x v="37"/>
    <s v="NORMAL"/>
    <s v="MXN"/>
    <n v="809"/>
    <n v="81.738860000000003"/>
    <n v="66126.737739999997"/>
    <n v="86.177542760939431"/>
    <n v="-3590.8943536000002"/>
    <n v="0"/>
    <n v="0"/>
    <n v="0"/>
    <n v="0"/>
    <n v="809"/>
    <n v="66126.737739999997"/>
    <s v="EPER"/>
    <n v="7414000005"/>
  </r>
  <r>
    <x v="38"/>
    <s v="BANCO SANTANDER MEXICO SA FIDEICOMISO  F/2002507-1"/>
    <x v="38"/>
    <s v="NORMAL"/>
    <s v="MXN"/>
    <n v="235"/>
    <n v="83.200761"/>
    <n v="19552.178834999999"/>
    <n v="94.885158046170218"/>
    <n v="-2745.8333058500002"/>
    <n v="0"/>
    <n v="0"/>
    <n v="0"/>
    <n v="0"/>
    <n v="235"/>
    <n v="19552.178834999999"/>
    <s v="EPER"/>
    <n v="7414000005"/>
  </r>
  <r>
    <x v="38"/>
    <s v="BANCO SANTANDER MEXICO SA FIDEICOMISO  F/2002507-1"/>
    <x v="39"/>
    <s v="NORMAL"/>
    <s v="MXN"/>
    <n v="263"/>
    <n v="82.159907000000004"/>
    <n v="21608.055541000002"/>
    <n v="86.420874420000004"/>
    <n v="-1120.6344314600001"/>
    <n v="0"/>
    <n v="0"/>
    <n v="0"/>
    <n v="0"/>
    <n v="263"/>
    <n v="21608.055541000002"/>
    <s v="EPER"/>
    <n v="7414000005"/>
  </r>
  <r>
    <x v="38"/>
    <s v="BANCO SANTANDER MEXICO SA FIDEICOMISO  F/2002507-1"/>
    <x v="88"/>
    <s v="NORMAL"/>
    <s v="MXN"/>
    <n v="1706"/>
    <n v="98.007834000000003"/>
    <n v="167201.36480400001"/>
    <n v="89.8322275917116"/>
    <n v="13947.584532540001"/>
    <n v="0"/>
    <n v="0"/>
    <n v="0"/>
    <n v="0"/>
    <n v="1706"/>
    <n v="167201.36480400001"/>
    <s v="EPER"/>
    <n v="7414000005"/>
  </r>
  <r>
    <x v="38"/>
    <s v="BANCO SANTANDER MEXICO SA FIDEICOMISO  F/2002507-1"/>
    <x v="89"/>
    <s v="NORMAL"/>
    <s v="MXN"/>
    <n v="212990"/>
    <n v="3.1390400000000001"/>
    <n v="668584.12959999999"/>
    <n v="2.3135499788722473"/>
    <n v="175821.11960000001"/>
    <n v="0"/>
    <n v="0"/>
    <n v="0"/>
    <n v="0"/>
    <n v="212990"/>
    <n v="668584.12959999999"/>
    <s v="EPER"/>
    <n v="7414000005"/>
  </r>
  <r>
    <x v="38"/>
    <s v="BANCO SANTANDER MEXICO SA FIDEICOMISO  F/2002507-1"/>
    <x v="0"/>
    <s v="NORMAL"/>
    <s v="MXN"/>
    <n v="54702"/>
    <n v="3.3967719999999999"/>
    <n v="185810.22194399999"/>
    <n v="3.2923437899893973"/>
    <n v="5712.4319439999999"/>
    <n v="0"/>
    <n v="0"/>
    <n v="0"/>
    <n v="0"/>
    <n v="54702"/>
    <n v="185810.22194399999"/>
    <s v="EPER"/>
    <n v="7414000005"/>
  </r>
  <r>
    <x v="38"/>
    <s v="BANCO SANTANDER MEXICO SA FIDEICOMISO  F/2002507-1"/>
    <x v="51"/>
    <s v="NORMAL"/>
    <s v="MXN"/>
    <n v="221"/>
    <n v="775.69178699999998"/>
    <n v="171427.88492700001"/>
    <n v="766.69784126000002"/>
    <n v="1987.66200854"/>
    <n v="0"/>
    <n v="0"/>
    <n v="0"/>
    <n v="0"/>
    <n v="221"/>
    <n v="171427.88492700001"/>
    <s v="EPER"/>
    <n v="7414000005"/>
  </r>
  <r>
    <x v="38"/>
    <s v="BANCO SANTANDER MEXICO SA FIDEICOMISO  F/2002507-1"/>
    <x v="52"/>
    <s v="NORMAL"/>
    <s v="MXN"/>
    <n v="195"/>
    <n v="747.17843200000004"/>
    <n v="145699.79423999999"/>
    <n v="723.27277492615383"/>
    <n v="4661.6031294000004"/>
    <n v="0"/>
    <n v="0"/>
    <n v="0"/>
    <n v="0"/>
    <n v="195"/>
    <n v="145699.79423999999"/>
    <s v="EPER"/>
    <n v="7414000005"/>
  </r>
  <r>
    <x v="38"/>
    <s v="BANCO SANTANDER MEXICO SA FIDEICOMISO  F/2002507-1"/>
    <x v="53"/>
    <s v="NORMAL"/>
    <s v="MXN"/>
    <n v="71"/>
    <n v="765.92388300000005"/>
    <n v="54380.595693000003"/>
    <n v="755.62436577450705"/>
    <n v="731.26572300999999"/>
    <n v="0"/>
    <n v="0"/>
    <n v="0"/>
    <n v="0"/>
    <n v="71"/>
    <n v="54380.595693000003"/>
    <s v="EPER"/>
    <n v="7414000005"/>
  </r>
  <r>
    <x v="38"/>
    <s v="BANCO SANTANDER MEXICO SA FIDEICOMISO  F/2002507-1"/>
    <x v="54"/>
    <s v="NORMAL"/>
    <s v="MXN"/>
    <n v="137"/>
    <n v="684.88915799999995"/>
    <n v="93829.814645999999"/>
    <n v="678.63896544744523"/>
    <n v="856.27637970000001"/>
    <n v="0"/>
    <n v="0"/>
    <n v="0"/>
    <n v="0"/>
    <n v="137"/>
    <n v="93829.814645999999"/>
    <s v="EPER"/>
    <n v="7414000005"/>
  </r>
  <r>
    <x v="38"/>
    <s v="BANCO SANTANDER MEXICO SA FIDEICOMISO  F/2002507-1"/>
    <x v="55"/>
    <s v="NORMAL"/>
    <s v="MXN"/>
    <n v="65"/>
    <n v="772.926965"/>
    <n v="50240.252724999998"/>
    <n v="801.54097862599997"/>
    <n v="-1859.91088569"/>
    <n v="0"/>
    <n v="0"/>
    <n v="0"/>
    <n v="0"/>
    <n v="65"/>
    <n v="50240.252724999998"/>
    <s v="EPER"/>
    <n v="7414000005"/>
  </r>
  <r>
    <x v="38"/>
    <s v="BANCO SANTANDER MEXICO SA FIDEICOMISO  F/2002507-1"/>
    <x v="56"/>
    <s v="NORMAL"/>
    <s v="MXN"/>
    <n v="68"/>
    <n v="721.59464000000003"/>
    <n v="49068.435519999999"/>
    <n v="757.11254959897053"/>
    <n v="-2415.2178527299998"/>
    <n v="0"/>
    <n v="0"/>
    <n v="0"/>
    <n v="0"/>
    <n v="68"/>
    <n v="49068.435519999999"/>
    <s v="EPER"/>
    <n v="7414000005"/>
  </r>
  <r>
    <x v="38"/>
    <s v="BANCO SANTANDER MEXICO SA FIDEICOMISO  F/2002507-1"/>
    <x v="57"/>
    <s v="NORMAL"/>
    <s v="MXN"/>
    <n v="31"/>
    <n v="635.96311900000001"/>
    <n v="19714.856689"/>
    <n v="647.93802047999998"/>
    <n v="-371.22194588000002"/>
    <n v="0"/>
    <n v="0"/>
    <n v="0"/>
    <n v="0"/>
    <n v="31"/>
    <n v="19714.856689"/>
    <s v="EPER"/>
    <n v="7414000005"/>
  </r>
  <r>
    <x v="38"/>
    <s v="BANCO SANTANDER MEXICO SA FIDEICOMISO  F/2002507-1"/>
    <x v="58"/>
    <s v="NORMAL"/>
    <s v="MXN"/>
    <n v="97"/>
    <n v="709.36974099999998"/>
    <n v="68808.864877"/>
    <n v="724.63651936999997"/>
    <n v="-1480.8775018900001"/>
    <n v="0"/>
    <n v="0"/>
    <n v="0"/>
    <n v="0"/>
    <n v="97"/>
    <n v="68808.864877"/>
    <s v="EPER"/>
    <n v="7414000005"/>
  </r>
  <r>
    <x v="38"/>
    <s v="BANCO SANTANDER MEXICO SA FIDEICOMISO  F/2002507-1"/>
    <x v="59"/>
    <s v="NORMAL"/>
    <s v="MXN"/>
    <n v="222"/>
    <n v="694.41118700000004"/>
    <n v="154159.28351400001"/>
    <n v="720.77534897378382"/>
    <n v="-5852.8439581800003"/>
    <n v="0"/>
    <n v="0"/>
    <n v="0"/>
    <n v="0"/>
    <n v="222"/>
    <n v="154159.28351400001"/>
    <s v="EPER"/>
    <n v="7414000005"/>
  </r>
  <r>
    <x v="39"/>
    <s v="INVESTIGACIONES Y ESTUDIOS SUPERIORES SC (FONDO DE AHORRO)"/>
    <x v="90"/>
    <s v="NORMAL"/>
    <s v="MXN"/>
    <n v="8579692"/>
    <n v="3.4005040000000002"/>
    <n v="29175276.964768"/>
    <n v="3.3808276835578712"/>
    <n v="168816.73476799999"/>
    <n v="0"/>
    <n v="0"/>
    <n v="0"/>
    <n v="0"/>
    <n v="8579692"/>
    <n v="29175276.964768"/>
    <s v="EPER"/>
    <n v="7414000005"/>
  </r>
  <r>
    <x v="40"/>
    <s v="BANCO NACIONAL DE MÉXICO, S.A. X CTA. DEL FID. 5073632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1"/>
    <s v="BANCO SANTANDER MEXICO S. A. FIDEICOMISO F/2002670-5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2"/>
    <s v="BANCO SANTANDER MEXICO S. A. FIDEICOMISO F/2002670-6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3"/>
    <s v="BANCO SANTANDER MEXICO S. A. FIDEICOMISO F/2002670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4"/>
    <s v="CAJA DE PREVISION Y AHORROS DEL S N T S S"/>
    <x v="9"/>
    <s v="NORMAL"/>
    <s v="MXN"/>
    <n v="682"/>
    <n v="9469.6491050000004"/>
    <n v="6458300.6896099998"/>
    <n v="9977.4"/>
    <n v="-346286.11038999999"/>
    <n v="0"/>
    <n v="0"/>
    <n v="0"/>
    <n v="0"/>
    <n v="682"/>
    <n v="6458300.6896099998"/>
    <s v="EPER"/>
    <n v="7414000005"/>
  </r>
  <r>
    <x v="44"/>
    <s v="CAJA DE PREVISION Y AHORROS DEL S N T S S"/>
    <x v="92"/>
    <s v="NORMAL"/>
    <s v="MXN"/>
    <n v="300000"/>
    <n v="100.000056"/>
    <n v="30000016.800000001"/>
    <n v="100"/>
    <n v="16.8"/>
    <n v="0"/>
    <n v="0"/>
    <n v="0"/>
    <n v="0"/>
    <n v="300000"/>
    <n v="30000016.800000001"/>
    <s v="EPER"/>
    <n v="7414000005"/>
  </r>
  <r>
    <x v="44"/>
    <s v="CAJA DE PREVISION Y AHORROS DEL S N T S S"/>
    <x v="69"/>
    <s v="NORMAL"/>
    <s v="MXN"/>
    <n v="2269560"/>
    <n v="99.968271000000001"/>
    <n v="226883989.13076001"/>
    <n v="99.896581785896828"/>
    <n v="162702.97276"/>
    <n v="0"/>
    <n v="0"/>
    <n v="0"/>
    <n v="0"/>
    <n v="2269560"/>
    <n v="226883989.13076001"/>
    <s v="EPER"/>
    <n v="7414000005"/>
  </r>
  <r>
    <x v="44"/>
    <s v="CAJA DE PREVISION Y AHORROS DEL S N T S S"/>
    <x v="93"/>
    <s v="NORMAL"/>
    <s v="MXN"/>
    <n v="5000000"/>
    <n v="99.949897000000007"/>
    <n v="499749485"/>
    <n v="99.893904000000006"/>
    <n v="279965"/>
    <n v="0"/>
    <n v="0"/>
    <n v="0"/>
    <n v="0"/>
    <n v="5000000"/>
    <n v="499749485"/>
    <s v="EPER"/>
    <n v="7414000005"/>
  </r>
  <r>
    <x v="44"/>
    <s v="CAJA DE PREVISION Y AHORROS DEL S N T S S"/>
    <x v="94"/>
    <s v="NORMAL"/>
    <s v="MXN"/>
    <n v="246400"/>
    <n v="99.629997000000003"/>
    <n v="24548831.2608"/>
    <n v="99.126983839999994"/>
    <n v="123942.442624"/>
    <n v="0"/>
    <n v="0"/>
    <n v="0"/>
    <n v="0"/>
    <n v="246400"/>
    <n v="24548831.2608"/>
    <s v="EPER"/>
    <n v="7414000005"/>
  </r>
  <r>
    <x v="44"/>
    <s v="CAJA DE PREVISION Y AHORROS DEL S N T S S"/>
    <x v="95"/>
    <s v="NORMAL"/>
    <s v="MXN"/>
    <n v="1000000"/>
    <n v="99.183683000000002"/>
    <n v="99183683"/>
    <n v="99.051699999999997"/>
    <n v="131983"/>
    <n v="0"/>
    <n v="0"/>
    <n v="0"/>
    <n v="0"/>
    <n v="1000000"/>
    <n v="99183683"/>
    <s v="EPER"/>
    <n v="7414000005"/>
  </r>
  <r>
    <x v="44"/>
    <s v="CAJA DE PREVISION Y AHORROS DEL S N T S S"/>
    <x v="96"/>
    <s v="NORMAL"/>
    <s v="MXN"/>
    <n v="2000000"/>
    <n v="99.694078000000005"/>
    <n v="199388156"/>
    <n v="99.673544739999997"/>
    <n v="41066.519999999997"/>
    <n v="0"/>
    <n v="0"/>
    <n v="0"/>
    <n v="0"/>
    <n v="2000000"/>
    <n v="199388156"/>
    <s v="EPER"/>
    <n v="7414000005"/>
  </r>
  <r>
    <x v="44"/>
    <s v="CAJA DE PREVISION Y AHORROS DEL S N T S S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4"/>
    <s v="CAJA DE PREVISION Y AHORROS DEL S N T S S"/>
    <x v="85"/>
    <s v="NORMAL"/>
    <s v="MXN"/>
    <n v="29143"/>
    <n v="97.654420999999999"/>
    <n v="2845942.7912030001"/>
    <n v="98.224185000000006"/>
    <n v="-16604.632251999999"/>
    <n v="0"/>
    <n v="0"/>
    <n v="0"/>
    <n v="0"/>
    <n v="29143"/>
    <n v="2845942.7912030001"/>
    <s v="EPER"/>
    <n v="7414000005"/>
  </r>
  <r>
    <x v="44"/>
    <s v="CAJA DE PREVISION Y AHORROS DEL S N T S S"/>
    <x v="15"/>
    <s v="NORMAL"/>
    <s v="MXN"/>
    <n v="5900000"/>
    <n v="9.190137"/>
    <n v="54221808.299999997"/>
    <n v="8.1723636899999992"/>
    <n v="6004862.5290000001"/>
    <n v="0"/>
    <n v="0"/>
    <n v="0"/>
    <n v="0"/>
    <n v="5900000"/>
    <n v="54221808.299999997"/>
    <s v="EPER"/>
    <n v="7414000005"/>
  </r>
  <r>
    <x v="44"/>
    <s v="CAJA DE PREVISION Y AHORROS DEL S N T S S"/>
    <x v="65"/>
    <s v="NORMAL"/>
    <s v="MXN"/>
    <n v="3500000"/>
    <n v="9.0839700000000008"/>
    <n v="31793895"/>
    <n v="8.9878796600000008"/>
    <n v="336316.19"/>
    <n v="0"/>
    <n v="0"/>
    <n v="0"/>
    <n v="0"/>
    <n v="3500000"/>
    <n v="31793895"/>
    <s v="EPER"/>
    <n v="7414000005"/>
  </r>
  <r>
    <x v="44"/>
    <s v="CAJA DE PREVISION Y AHORROS DEL S N T S S"/>
    <x v="70"/>
    <s v="NORMAL"/>
    <s v="MXN"/>
    <n v="2805920"/>
    <n v="9.0112480000000001"/>
    <n v="25284840.988159999"/>
    <n v="8.9969798000000001"/>
    <n v="40035.427744000001"/>
    <n v="0"/>
    <n v="0"/>
    <n v="0"/>
    <n v="0"/>
    <n v="2805920"/>
    <n v="25284840.988159999"/>
    <s v="EPER"/>
    <n v="7414000005"/>
  </r>
  <r>
    <x v="44"/>
    <s v="CAJA DE PREVISION Y AHORROS DEL S N T S S"/>
    <x v="71"/>
    <s v="NORMAL"/>
    <s v="MXN"/>
    <n v="17243600"/>
    <n v="8.3813510000000004"/>
    <n v="144524664.1036"/>
    <n v="8.2713826212420489"/>
    <n v="1896250.7359505999"/>
    <n v="0"/>
    <n v="0"/>
    <n v="0"/>
    <n v="0"/>
    <n v="17243600"/>
    <n v="144524664.1036"/>
    <s v="EPER"/>
    <n v="7414000005"/>
  </r>
  <r>
    <x v="44"/>
    <s v="CAJA DE PREVISION Y AHORROS DEL S N T S S"/>
    <x v="16"/>
    <s v="NORMAL"/>
    <s v="MXN"/>
    <n v="9957484"/>
    <n v="8.2580650000000002"/>
    <n v="82229550.108459994"/>
    <n v="8.2572237890671545"/>
    <n v="8376.3444044400003"/>
    <n v="0"/>
    <n v="0"/>
    <n v="0"/>
    <n v="0"/>
    <n v="9957484"/>
    <n v="82229550.108459994"/>
    <s v="EPER"/>
    <n v="7414000005"/>
  </r>
  <r>
    <x v="44"/>
    <s v="CAJA DE PREVISION Y AHORROS DEL S N T S S"/>
    <x v="98"/>
    <s v="NORMAL"/>
    <s v="MXN"/>
    <n v="263860"/>
    <n v="93.248425999999995"/>
    <n v="24604529.684360001"/>
    <n v="96.751658399322366"/>
    <n v="-924362.90088520001"/>
    <n v="0"/>
    <n v="0"/>
    <n v="0"/>
    <n v="0"/>
    <n v="263860"/>
    <n v="24604529.684360001"/>
    <s v="EPER"/>
    <n v="7414000005"/>
  </r>
  <r>
    <x v="44"/>
    <s v="CAJA DE PREVISION Y AHORROS DEL S N T S S"/>
    <x v="66"/>
    <s v="NORMAL"/>
    <s v="MXN"/>
    <n v="0"/>
    <n v="0"/>
    <n v="26779266.66"/>
    <n v="0"/>
    <n v="0"/>
    <n v="0"/>
    <n v="0"/>
    <n v="0"/>
    <n v="0"/>
    <n v="0"/>
    <n v="26779266.66"/>
    <s v="EPER"/>
    <n v="7414000005"/>
  </r>
  <r>
    <x v="44"/>
    <s v="CAJA DE PREVISION Y AHORROS DEL S N T S S"/>
    <x v="99"/>
    <s v="NORMAL"/>
    <s v="MXN"/>
    <n v="200000"/>
    <n v="99.999758999999997"/>
    <n v="19999951.800000001"/>
    <n v="100"/>
    <n v="-48.2"/>
    <n v="0"/>
    <n v="0"/>
    <n v="0"/>
    <n v="0"/>
    <n v="200000"/>
    <n v="19999951.800000001"/>
    <s v="EPER"/>
    <n v="7414000005"/>
  </r>
  <r>
    <x v="44"/>
    <s v="CAJA DE PREVISION Y AHORROS DEL S N T S S"/>
    <x v="100"/>
    <s v="NORMAL"/>
    <s v="MXN"/>
    <n v="177980"/>
    <n v="99.963265000000007"/>
    <n v="17791461.9047"/>
    <n v="100"/>
    <n v="-6538.0953"/>
    <n v="0"/>
    <n v="0"/>
    <n v="0"/>
    <n v="0"/>
    <n v="177980"/>
    <n v="17791461.9047"/>
    <s v="EPER"/>
    <n v="7414000005"/>
  </r>
  <r>
    <x v="44"/>
    <s v="CAJA DE PREVISION Y AHORROS DEL S N T S S"/>
    <x v="101"/>
    <s v="NORMAL"/>
    <s v="MXN"/>
    <n v="98500"/>
    <n v="100.020889"/>
    <n v="9852057.5665000007"/>
    <n v="100"/>
    <n v="2057.5664999999999"/>
    <n v="0"/>
    <n v="0"/>
    <n v="0"/>
    <n v="0"/>
    <n v="98500"/>
    <n v="9852057.5665000007"/>
    <s v="EPER"/>
    <n v="7414000005"/>
  </r>
  <r>
    <x v="44"/>
    <s v="CAJA DE PREVISION Y AHORROS DEL S N T S S"/>
    <x v="67"/>
    <s v="NORMAL"/>
    <s v="MXN"/>
    <n v="218639"/>
    <n v="99.247497999999993"/>
    <n v="21699373.715222001"/>
    <n v="113.85269369559191"/>
    <n v="-3193265.3816885198"/>
    <n v="0"/>
    <n v="0"/>
    <n v="0"/>
    <n v="0"/>
    <n v="218639"/>
    <n v="21699373.715222001"/>
    <s v="EPER"/>
    <n v="7414000005"/>
  </r>
  <r>
    <x v="44"/>
    <s v="CAJA DE PREVISION Y AHORROS DEL S N T S S"/>
    <x v="34"/>
    <s v="NORMAL"/>
    <s v="MXN"/>
    <n v="80000"/>
    <n v="89.489464999999996"/>
    <n v="7159157.2000000002"/>
    <n v="92.406682059999994"/>
    <n v="-233377.36480000001"/>
    <n v="0"/>
    <n v="0"/>
    <n v="0"/>
    <n v="0"/>
    <n v="80000"/>
    <n v="7159157.2000000002"/>
    <s v="EPER"/>
    <n v="7414000005"/>
  </r>
  <r>
    <x v="44"/>
    <s v="CAJA DE PREVISION Y AHORROS DEL S N T S S"/>
    <x v="35"/>
    <s v="NORMAL"/>
    <s v="MXN"/>
    <n v="1193710"/>
    <n v="86.197128000000006"/>
    <n v="102894373.66487999"/>
    <n v="88.601538131157653"/>
    <n v="-2870168.4176642001"/>
    <n v="0"/>
    <n v="0"/>
    <n v="0"/>
    <n v="0"/>
    <n v="1193710"/>
    <n v="102894373.66487999"/>
    <s v="EPER"/>
    <n v="7414000005"/>
  </r>
  <r>
    <x v="44"/>
    <s v="CAJA DE PREVISION Y AHORROS DEL S N T S S"/>
    <x v="46"/>
    <s v="NORMAL"/>
    <s v="MXN"/>
    <n v="180000"/>
    <n v="99.999184999999997"/>
    <n v="17999853.300000001"/>
    <n v="100"/>
    <n v="-146.69999999999999"/>
    <n v="0"/>
    <n v="0"/>
    <n v="0"/>
    <n v="0"/>
    <n v="180000"/>
    <n v="17999853.300000001"/>
    <s v="EPER"/>
    <n v="7414000005"/>
  </r>
  <r>
    <x v="44"/>
    <s v="CAJA DE PREVISION Y AHORROS DEL S N T S S"/>
    <x v="102"/>
    <s v="NORMAL"/>
    <s v="MXN"/>
    <n v="59620"/>
    <n v="100.38890499999999"/>
    <n v="5985186.5160999997"/>
    <n v="91.398345289999995"/>
    <n v="536017.16991020006"/>
    <n v="0"/>
    <n v="0"/>
    <n v="0"/>
    <n v="0"/>
    <n v="59620"/>
    <n v="5985186.5160999997"/>
    <s v="EPER"/>
    <n v="7414000005"/>
  </r>
  <r>
    <x v="44"/>
    <s v="CAJA DE PREVISION Y AHORROS DEL S N T S S"/>
    <x v="51"/>
    <s v="NORMAL"/>
    <s v="MXN"/>
    <n v="110182"/>
    <n v="775.69178699999998"/>
    <n v="85467272.475234002"/>
    <n v="767.99907064386025"/>
    <n v="847598.87355219002"/>
    <n v="0"/>
    <n v="0"/>
    <n v="0"/>
    <n v="0"/>
    <n v="110182"/>
    <n v="85467272.475234002"/>
    <s v="EPER"/>
    <n v="7414000005"/>
  </r>
  <r>
    <x v="44"/>
    <s v="CAJA DE PREVISION Y AHORROS DEL S N T S S"/>
    <x v="52"/>
    <s v="NORMAL"/>
    <s v="MXN"/>
    <n v="84113"/>
    <n v="747.17843200000004"/>
    <n v="62847419.450815998"/>
    <n v="727.52431638487747"/>
    <n v="1653166.6267347999"/>
    <n v="0"/>
    <n v="0"/>
    <n v="0"/>
    <n v="0"/>
    <n v="84113"/>
    <n v="62847419.450815998"/>
    <s v="EPER"/>
    <n v="7414000005"/>
  </r>
  <r>
    <x v="44"/>
    <s v="CAJA DE PREVISION Y AHORROS DEL S N T S S"/>
    <x v="103"/>
    <s v="NORMAL"/>
    <s v="MXN"/>
    <n v="110950"/>
    <n v="100.04252700000001"/>
    <n v="11099718.370650001"/>
    <n v="100"/>
    <n v="4718.3706499999998"/>
    <n v="0"/>
    <n v="0"/>
    <n v="0"/>
    <n v="0"/>
    <n v="110950"/>
    <n v="11099718.370650001"/>
    <s v="EPER"/>
    <n v="7414000005"/>
  </r>
  <r>
    <x v="45"/>
    <s v="NACIONAL FINANCIERA SNC COMO FIDUCIARIA DEL FID 80722 PENSIONES PMI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46"/>
    <s v="BANCO SANTANDER MEXICO SA FIDEICOMISO F/2003285-1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46"/>
    <s v="BANCO SANTANDER MEXICO SA FIDEICOMISO F/2003285-1"/>
    <x v="92"/>
    <s v="NORMAL"/>
    <s v="MXN"/>
    <n v="200000"/>
    <n v="100.000056"/>
    <n v="20000011.199999999"/>
    <n v="100"/>
    <n v="11.2"/>
    <n v="0"/>
    <n v="0"/>
    <n v="0"/>
    <n v="0"/>
    <n v="200000"/>
    <n v="20000011.199999999"/>
    <s v="EPER"/>
    <n v="7414000005"/>
  </r>
  <r>
    <x v="46"/>
    <s v="BANCO SANTANDER MEXICO SA FIDEICOMISO F/2003285-1"/>
    <x v="13"/>
    <s v="NORMAL"/>
    <s v="MXN"/>
    <n v="118580"/>
    <n v="100.000484"/>
    <n v="11858057.392720001"/>
    <n v="100"/>
    <n v="57.392719999999997"/>
    <n v="0"/>
    <n v="0"/>
    <n v="0"/>
    <n v="0"/>
    <n v="118580"/>
    <n v="11858057.392720001"/>
    <s v="EPER"/>
    <n v="7414000005"/>
  </r>
  <r>
    <x v="46"/>
    <s v="BANCO SANTANDER MEXICO SA FIDEICOMISO F/2003285-1"/>
    <x v="119"/>
    <s v="NORMAL"/>
    <s v="MXN"/>
    <n v="71101"/>
    <n v="99.764358000000001"/>
    <n v="7093345.6181579996"/>
    <n v="99.612017969999997"/>
    <n v="10831.528473030001"/>
    <n v="0"/>
    <n v="0"/>
    <n v="0"/>
    <n v="0"/>
    <n v="71101"/>
    <n v="7093345.6181579996"/>
    <s v="EPER"/>
    <n v="7414000005"/>
  </r>
  <r>
    <x v="46"/>
    <s v="BANCO SANTANDER MEXICO SA FIDEICOMISO F/2003285-1"/>
    <x v="94"/>
    <s v="NORMAL"/>
    <s v="MXN"/>
    <n v="174270"/>
    <n v="99.629997000000003"/>
    <n v="17362519.577190001"/>
    <n v="99.126983839999994"/>
    <n v="87660.103393199999"/>
    <n v="0"/>
    <n v="0"/>
    <n v="0"/>
    <n v="0"/>
    <n v="174270"/>
    <n v="17362519.577190001"/>
    <s v="EPER"/>
    <n v="7414000005"/>
  </r>
  <r>
    <x v="46"/>
    <s v="BANCO SANTANDER MEXICO SA FIDEICOMISO F/2003285-1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6"/>
    <s v="BANCO SANTANDER MEXICO SA FIDEICOMISO F/2003285-1"/>
    <x v="85"/>
    <s v="NORMAL"/>
    <s v="MXN"/>
    <n v="59819"/>
    <n v="97.654420999999999"/>
    <n v="5841589.8097989997"/>
    <n v="98.949900466490575"/>
    <n v="-77494.286206000004"/>
    <n v="0"/>
    <n v="0"/>
    <n v="0"/>
    <n v="0"/>
    <n v="59819"/>
    <n v="5841589.8097989997"/>
    <s v="EPER"/>
    <n v="7414000005"/>
  </r>
  <r>
    <x v="46"/>
    <s v="BANCO SANTANDER MEXICO SA FIDEICOMISO F/2003285-1"/>
    <x v="120"/>
    <s v="NORMAL"/>
    <s v="MXN"/>
    <n v="67470"/>
    <n v="98.859247999999994"/>
    <n v="6670033.4625599999"/>
    <n v="100"/>
    <n v="-76966.53744"/>
    <n v="0"/>
    <n v="0"/>
    <n v="0"/>
    <n v="0"/>
    <n v="67470"/>
    <n v="6670033.4625599999"/>
    <s v="EPER"/>
    <n v="7414000005"/>
  </r>
  <r>
    <x v="46"/>
    <s v="BANCO SANTANDER MEXICO SA FIDEICOMISO F/2003285-1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46"/>
    <s v="BANCO SANTANDER MEXICO SA FIDEICOMISO F/2003285-1"/>
    <x v="72"/>
    <s v="NORMAL"/>
    <s v="MXN"/>
    <n v="2975681"/>
    <n v="9.3381629999999998"/>
    <n v="27787394.214003"/>
    <n v="8.3307969100000001"/>
    <n v="2997600.1340572899"/>
    <n v="0"/>
    <n v="0"/>
    <n v="0"/>
    <n v="0"/>
    <n v="2975681"/>
    <n v="27787394.214003"/>
    <s v="EPER"/>
    <n v="7414000005"/>
  </r>
  <r>
    <x v="46"/>
    <s v="BANCO SANTANDER MEXICO SA FIDEICOMISO F/2003285-1"/>
    <x v="15"/>
    <s v="NORMAL"/>
    <s v="MXN"/>
    <n v="6929010"/>
    <n v="9.190137"/>
    <n v="63678551.174369998"/>
    <n v="8.199106487495861"/>
    <n v="6866860.3314463003"/>
    <n v="0"/>
    <n v="0"/>
    <n v="0"/>
    <n v="0"/>
    <n v="6929010"/>
    <n v="63678551.174369998"/>
    <s v="EPER"/>
    <n v="7414000005"/>
  </r>
  <r>
    <x v="46"/>
    <s v="BANCO SANTANDER MEXICO SA FIDEICOMISO F/2003285-1"/>
    <x v="65"/>
    <s v="NORMAL"/>
    <s v="MXN"/>
    <n v="3440000"/>
    <n v="9.0839700000000008"/>
    <n v="31248856.800000001"/>
    <n v="8.9878796600000008"/>
    <n v="330550.7696"/>
    <n v="0"/>
    <n v="0"/>
    <n v="0"/>
    <n v="0"/>
    <n v="3440000"/>
    <n v="31248856.800000001"/>
    <s v="EPER"/>
    <n v="7414000005"/>
  </r>
  <r>
    <x v="46"/>
    <s v="BANCO SANTANDER MEXICO SA FIDEICOMISO F/2003285-1"/>
    <x v="70"/>
    <s v="NORMAL"/>
    <s v="MXN"/>
    <n v="1842650"/>
    <n v="9.0112480000000001"/>
    <n v="16604576.1272"/>
    <n v="8.9969798000000001"/>
    <n v="26291.298729999999"/>
    <n v="0"/>
    <n v="0"/>
    <n v="0"/>
    <n v="0"/>
    <n v="1842650"/>
    <n v="16604576.1272"/>
    <s v="EPER"/>
    <n v="7414000005"/>
  </r>
  <r>
    <x v="46"/>
    <s v="BANCO SANTANDER MEXICO SA FIDEICOMISO F/2003285-1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46"/>
    <s v="BANCO SANTANDER MEXICO SA FIDEICOMISO F/2003285-1"/>
    <x v="71"/>
    <s v="NORMAL"/>
    <s v="MXN"/>
    <n v="3836130"/>
    <n v="8.3813510000000004"/>
    <n v="32151952.011629999"/>
    <n v="8.2778259505331935"/>
    <n v="397135.54801109998"/>
    <n v="0"/>
    <n v="0"/>
    <n v="0"/>
    <n v="0"/>
    <n v="3836130"/>
    <n v="32151952.011629999"/>
    <s v="EPER"/>
    <n v="7414000005"/>
  </r>
  <r>
    <x v="46"/>
    <s v="BANCO SANTANDER MEXICO SA FIDEICOMISO F/2003285-1"/>
    <x v="16"/>
    <s v="NORMAL"/>
    <s v="MXN"/>
    <n v="4472190"/>
    <n v="8.2580650000000002"/>
    <n v="36931635.712350003"/>
    <n v="8.2431905926248437"/>
    <n v="66521.175919100002"/>
    <n v="0"/>
    <n v="0"/>
    <n v="0"/>
    <n v="0"/>
    <n v="4472190"/>
    <n v="36931635.712350003"/>
    <s v="EPER"/>
    <n v="7414000005"/>
  </r>
  <r>
    <x v="46"/>
    <s v="BANCO SANTANDER MEXICO SA FIDEICOMISO F/2003285-1"/>
    <x v="98"/>
    <s v="NORMAL"/>
    <s v="MXN"/>
    <n v="315960"/>
    <n v="93.248425999999995"/>
    <n v="29462772.678959999"/>
    <n v="97.17965882"/>
    <n v="-1242112.3218072001"/>
    <n v="0"/>
    <n v="0"/>
    <n v="0"/>
    <n v="0"/>
    <n v="315960"/>
    <n v="29462772.678959999"/>
    <s v="EPER"/>
    <n v="7414000005"/>
  </r>
  <r>
    <x v="46"/>
    <s v="BANCO SANTANDER MEXICO SA FIDEICOMISO F/2003285-1"/>
    <x v="123"/>
    <s v="NORMAL"/>
    <s v="MXN"/>
    <n v="7195"/>
    <n v="744.63981999999999"/>
    <n v="5357683.5049000001"/>
    <n v="681.10709999999995"/>
    <n v="457117.9204"/>
    <n v="0"/>
    <n v="0"/>
    <n v="0"/>
    <n v="0"/>
    <n v="7195"/>
    <n v="5357683.5049000001"/>
    <s v="EPER"/>
    <n v="7414000005"/>
  </r>
  <r>
    <x v="46"/>
    <s v="BANCO SANTANDER MEXICO SA FIDEICOMISO F/2003285-1"/>
    <x v="124"/>
    <s v="NORMAL"/>
    <s v="MXN"/>
    <n v="170000"/>
    <n v="72.270214999999993"/>
    <n v="12285936.550000001"/>
    <n v="108.07997091"/>
    <n v="-6087658.5047000004"/>
    <n v="0"/>
    <n v="0"/>
    <n v="0"/>
    <n v="0"/>
    <n v="170000"/>
    <n v="12285936.550000001"/>
    <s v="EPER"/>
    <n v="7414000005"/>
  </r>
  <r>
    <x v="46"/>
    <s v="BANCO SANTANDER MEXICO SA FIDEICOMISO F/2003285-1"/>
    <x v="125"/>
    <s v="NORMAL"/>
    <s v="MXN"/>
    <n v="339985"/>
    <n v="99.999157999999994"/>
    <n v="33998213.73263"/>
    <n v="99.999891800520615"/>
    <n v="-249.48116999999999"/>
    <n v="0"/>
    <n v="0"/>
    <n v="0"/>
    <n v="0"/>
    <n v="339985"/>
    <n v="33998213.73263"/>
    <s v="EPER"/>
    <n v="7414000005"/>
  </r>
  <r>
    <x v="46"/>
    <s v="BANCO SANTANDER MEXICO SA FIDEICOMISO F/2003285-1"/>
    <x v="66"/>
    <s v="NORMAL"/>
    <s v="MXN"/>
    <n v="0"/>
    <n v="0"/>
    <n v="75048349.030000001"/>
    <n v="0"/>
    <n v="0"/>
    <n v="0"/>
    <n v="0"/>
    <n v="0"/>
    <n v="0"/>
    <n v="0"/>
    <n v="75048349.030000001"/>
    <s v="EPER"/>
    <n v="7414000005"/>
  </r>
  <r>
    <x v="46"/>
    <s v="BANCO SANTANDER MEXICO SA FIDEICOMISO F/2003285-1"/>
    <x v="100"/>
    <s v="NORMAL"/>
    <s v="MXN"/>
    <n v="122020"/>
    <n v="99.963265000000007"/>
    <n v="12197517.5953"/>
    <n v="100"/>
    <n v="-4482.4047"/>
    <n v="0"/>
    <n v="0"/>
    <n v="0"/>
    <n v="0"/>
    <n v="122020"/>
    <n v="12197517.5953"/>
    <s v="EPER"/>
    <n v="7414000005"/>
  </r>
  <r>
    <x v="46"/>
    <s v="BANCO SANTANDER MEXICO SA FIDEICOMISO F/2003285-1"/>
    <x v="126"/>
    <s v="NORMAL"/>
    <s v="MXN"/>
    <n v="24263"/>
    <n v="307.22749900000002"/>
    <n v="7454260.8082370004"/>
    <n v="577.02305865000005"/>
    <n v="-6546049.6637879498"/>
    <n v="0"/>
    <n v="0"/>
    <n v="0"/>
    <n v="0"/>
    <n v="24263"/>
    <n v="7454260.8082370004"/>
    <s v="EPER"/>
    <n v="7414000005"/>
  </r>
  <r>
    <x v="46"/>
    <s v="BANCO SANTANDER MEXICO SA FIDEICOMISO F/2003285-1"/>
    <x v="101"/>
    <s v="NORMAL"/>
    <s v="MXN"/>
    <n v="2320"/>
    <n v="100.020889"/>
    <n v="232048.46247999999"/>
    <n v="100"/>
    <n v="48.462479999999999"/>
    <n v="0"/>
    <n v="0"/>
    <n v="0"/>
    <n v="0"/>
    <n v="2320"/>
    <n v="232048.46247999999"/>
    <s v="EPER"/>
    <n v="7414000005"/>
  </r>
  <r>
    <x v="46"/>
    <s v="BANCO SANTANDER MEXICO SA FIDEICOMISO F/2003285-1"/>
    <x v="26"/>
    <s v="NORMAL"/>
    <s v="MXN"/>
    <n v="53861"/>
    <n v="98.730349000000004"/>
    <n v="5317715.3274889998"/>
    <n v="111.89286593999999"/>
    <n v="-708946.32490533998"/>
    <n v="0"/>
    <n v="0"/>
    <n v="0"/>
    <n v="0"/>
    <n v="53861"/>
    <n v="5317715.3274889998"/>
    <s v="EPER"/>
    <n v="7414000005"/>
  </r>
  <r>
    <x v="46"/>
    <s v="BANCO SANTANDER MEXICO SA FIDEICOMISO F/2003285-1"/>
    <x v="67"/>
    <s v="NORMAL"/>
    <s v="MXN"/>
    <n v="40037"/>
    <n v="99.247497999999993"/>
    <n v="3973572.077426"/>
    <n v="101.04285588"/>
    <n v="-71880.74344156"/>
    <n v="0"/>
    <n v="0"/>
    <n v="0"/>
    <n v="0"/>
    <n v="40037"/>
    <n v="3973572.077426"/>
    <s v="EPER"/>
    <n v="7414000005"/>
  </r>
  <r>
    <x v="46"/>
    <s v="BANCO SANTANDER MEXICO SA FIDEICOMISO F/2003285-1"/>
    <x v="27"/>
    <s v="NORMAL"/>
    <s v="MXN"/>
    <n v="89801"/>
    <n v="94.973146999999997"/>
    <n v="8528683.5737469997"/>
    <n v="90.447894919999996"/>
    <n v="406372.16203607997"/>
    <n v="0"/>
    <n v="0"/>
    <n v="0"/>
    <n v="0"/>
    <n v="89801"/>
    <n v="8528683.5737469997"/>
    <s v="EPER"/>
    <n v="7414000005"/>
  </r>
  <r>
    <x v="46"/>
    <s v="BANCO SANTANDER MEXICO SA FIDEICOMISO F/2003285-1"/>
    <x v="28"/>
    <s v="NORMAL"/>
    <s v="MXN"/>
    <n v="148267"/>
    <n v="91.911821000000003"/>
    <n v="13627489.964206999"/>
    <n v="90.233927210000004"/>
    <n v="248776.27856193"/>
    <n v="0"/>
    <n v="0"/>
    <n v="0"/>
    <n v="0"/>
    <n v="148267"/>
    <n v="13627489.964206999"/>
    <s v="EPER"/>
    <n v="7414000005"/>
  </r>
  <r>
    <x v="46"/>
    <s v="BANCO SANTANDER MEXICO SA FIDEICOMISO F/2003285-1"/>
    <x v="29"/>
    <s v="NORMAL"/>
    <s v="MXN"/>
    <n v="436390"/>
    <n v="92.954503000000003"/>
    <n v="40564415.564170003"/>
    <n v="93.254954157532708"/>
    <n v="-131113.88063570001"/>
    <n v="0"/>
    <n v="0"/>
    <n v="0"/>
    <n v="0"/>
    <n v="436390"/>
    <n v="40564415.564170003"/>
    <s v="EPER"/>
    <n v="7414000005"/>
  </r>
  <r>
    <x v="46"/>
    <s v="BANCO SANTANDER MEXICO SA FIDEICOMISO F/2003285-1"/>
    <x v="30"/>
    <s v="NORMAL"/>
    <s v="MXN"/>
    <n v="235182"/>
    <n v="88.698122999999995"/>
    <n v="20860201.963385999"/>
    <n v="85.523933509142793"/>
    <n v="746512.23283878004"/>
    <n v="0"/>
    <n v="0"/>
    <n v="0"/>
    <n v="0"/>
    <n v="235182"/>
    <n v="20860201.963385999"/>
    <s v="EPER"/>
    <n v="7414000005"/>
  </r>
  <r>
    <x v="46"/>
    <s v="BANCO SANTANDER MEXICO SA FIDEICOMISO F/2003285-1"/>
    <x v="31"/>
    <s v="NORMAL"/>
    <s v="MXN"/>
    <n v="183660"/>
    <n v="93.314192000000006"/>
    <n v="17138084.502719998"/>
    <n v="94.568815266643256"/>
    <n v="-230424.10915169999"/>
    <n v="0"/>
    <n v="0"/>
    <n v="0"/>
    <n v="0"/>
    <n v="183660"/>
    <n v="17138084.502719998"/>
    <s v="EPER"/>
    <n v="7414000005"/>
  </r>
  <r>
    <x v="46"/>
    <s v="BANCO SANTANDER MEXICO SA FIDEICOMISO F/2003285-1"/>
    <x v="32"/>
    <s v="NORMAL"/>
    <s v="MXN"/>
    <n v="166000"/>
    <n v="94.864168000000006"/>
    <n v="15747451.888"/>
    <n v="96.596719710000002"/>
    <n v="-287603.58386000001"/>
    <n v="0"/>
    <n v="0"/>
    <n v="0"/>
    <n v="0"/>
    <n v="166000"/>
    <n v="15747451.888"/>
    <s v="EPER"/>
    <n v="7414000005"/>
  </r>
  <r>
    <x v="46"/>
    <s v="BANCO SANTANDER MEXICO SA FIDEICOMISO F/2003285-1"/>
    <x v="33"/>
    <s v="NORMAL"/>
    <s v="MXN"/>
    <n v="701874"/>
    <n v="94.870157000000006"/>
    <n v="66586896.574217997"/>
    <n v="97.304096292830337"/>
    <n v="-1708318.707216"/>
    <n v="0"/>
    <n v="0"/>
    <n v="0"/>
    <n v="0"/>
    <n v="701874"/>
    <n v="66586896.574217997"/>
    <s v="EPER"/>
    <n v="7414000005"/>
  </r>
  <r>
    <x v="46"/>
    <s v="BANCO SANTANDER MEXICO SA FIDEICOMISO F/2003285-1"/>
    <x v="34"/>
    <s v="NORMAL"/>
    <s v="MXN"/>
    <n v="653249"/>
    <n v="89.489464999999996"/>
    <n v="58458903.521784998"/>
    <n v="90.174177705816263"/>
    <n v="-447287.89036177"/>
    <n v="0"/>
    <n v="0"/>
    <n v="0"/>
    <n v="0"/>
    <n v="653249"/>
    <n v="58458903.521784998"/>
    <s v="EPER"/>
    <n v="7414000005"/>
  </r>
  <r>
    <x v="46"/>
    <s v="BANCO SANTANDER MEXICO SA FIDEICOMISO F/2003285-1"/>
    <x v="35"/>
    <s v="NORMAL"/>
    <s v="MXN"/>
    <n v="584310"/>
    <n v="86.197128000000006"/>
    <n v="50365843.861680001"/>
    <n v="90.605575695102942"/>
    <n v="-2575900.0727256001"/>
    <n v="0"/>
    <n v="0"/>
    <n v="0"/>
    <n v="0"/>
    <n v="584310"/>
    <n v="50365843.861680001"/>
    <s v="EPER"/>
    <n v="7414000005"/>
  </r>
  <r>
    <x v="46"/>
    <s v="BANCO SANTANDER MEXICO SA FIDEICOMISO F/2003285-1"/>
    <x v="127"/>
    <s v="NORMAL"/>
    <s v="MXN"/>
    <n v="240000"/>
    <n v="100.210615"/>
    <n v="24050547.600000001"/>
    <n v="100"/>
    <n v="50547.6"/>
    <n v="0"/>
    <n v="0"/>
    <n v="0"/>
    <n v="0"/>
    <n v="240000"/>
    <n v="24050547.600000001"/>
    <s v="EPER"/>
    <n v="7414000005"/>
  </r>
  <r>
    <x v="46"/>
    <s v="BANCO SANTANDER MEXICO SA FIDEICOMISO F/2003285-1"/>
    <x v="46"/>
    <s v="NORMAL"/>
    <s v="MXN"/>
    <n v="120000"/>
    <n v="99.999184999999997"/>
    <n v="11999902.199999999"/>
    <n v="100"/>
    <n v="-97.8"/>
    <n v="0"/>
    <n v="0"/>
    <n v="0"/>
    <n v="0"/>
    <n v="120000"/>
    <n v="11999902.199999999"/>
    <s v="EPER"/>
    <n v="7414000005"/>
  </r>
  <r>
    <x v="46"/>
    <s v="BANCO SANTANDER MEXICO SA FIDEICOMISO F/2003285-1"/>
    <x v="0"/>
    <s v="NORMAL"/>
    <s v="MXN"/>
    <n v="2058365"/>
    <n v="3.3967719999999999"/>
    <n v="6991796.5977800004"/>
    <n v="3.3875257012240296"/>
    <n v="19032.25778"/>
    <n v="0"/>
    <n v="0"/>
    <n v="0"/>
    <n v="0"/>
    <n v="2058365"/>
    <n v="6991796.5977800004"/>
    <s v="EPER"/>
    <n v="7414000005"/>
  </r>
  <r>
    <x v="46"/>
    <s v="BANCO SANTANDER MEXICO SA FIDEICOMISO F/2003285-1"/>
    <x v="128"/>
    <s v="NORMAL"/>
    <s v="MXN"/>
    <n v="36518"/>
    <n v="267.07593400000002"/>
    <n v="9753078.9578120001"/>
    <n v="552.04336675000002"/>
    <n v="-10406440.7091645"/>
    <n v="0"/>
    <n v="0"/>
    <n v="0"/>
    <n v="0"/>
    <n v="36518"/>
    <n v="9753078.9578120001"/>
    <s v="EPER"/>
    <n v="7414000005"/>
  </r>
  <r>
    <x v="46"/>
    <s v="BANCO SANTANDER MEXICO SA FIDEICOMISO F/2003285-1"/>
    <x v="51"/>
    <s v="NORMAL"/>
    <s v="MXN"/>
    <n v="84090"/>
    <n v="775.69178699999998"/>
    <n v="65227922.368830003"/>
    <n v="766.69784126000002"/>
    <n v="756300.89727660001"/>
    <n v="0"/>
    <n v="0"/>
    <n v="0"/>
    <n v="0"/>
    <n v="84090"/>
    <n v="65227922.368830003"/>
    <s v="EPER"/>
    <n v="7414000005"/>
  </r>
  <r>
    <x v="46"/>
    <s v="BANCO SANTANDER MEXICO SA FIDEICOMISO F/2003285-1"/>
    <x v="52"/>
    <s v="NORMAL"/>
    <s v="MXN"/>
    <n v="160215"/>
    <n v="747.17843200000004"/>
    <n v="119709192.48288"/>
    <n v="728.00954708517929"/>
    <n v="3071142.8966279998"/>
    <n v="0"/>
    <n v="0"/>
    <n v="0"/>
    <n v="0"/>
    <n v="160215"/>
    <n v="119709192.48288"/>
    <s v="EPER"/>
    <n v="7414000005"/>
  </r>
  <r>
    <x v="46"/>
    <s v="BANCO SANTANDER MEXICO SA FIDEICOMISO F/2003285-1"/>
    <x v="53"/>
    <s v="NORMAL"/>
    <s v="MXN"/>
    <n v="63926"/>
    <n v="765.92388300000005"/>
    <n v="48962450.144657999"/>
    <n v="760.42390526120016"/>
    <n v="351591.57693052001"/>
    <n v="0"/>
    <n v="0"/>
    <n v="0"/>
    <n v="0"/>
    <n v="63926"/>
    <n v="48962450.144657999"/>
    <s v="EPER"/>
    <n v="7414000005"/>
  </r>
  <r>
    <x v="46"/>
    <s v="BANCO SANTANDER MEXICO SA FIDEICOMISO F/2003285-1"/>
    <x v="54"/>
    <s v="NORMAL"/>
    <s v="MXN"/>
    <n v="58619"/>
    <n v="684.88915799999995"/>
    <n v="40147517.552801996"/>
    <n v="681.11163602531769"/>
    <n v="221434.56063389999"/>
    <n v="0"/>
    <n v="0"/>
    <n v="0"/>
    <n v="0"/>
    <n v="58619"/>
    <n v="40147517.552801996"/>
    <s v="EPER"/>
    <n v="7414000005"/>
  </r>
  <r>
    <x v="46"/>
    <s v="BANCO SANTANDER MEXICO SA FIDEICOMISO F/2003285-1"/>
    <x v="103"/>
    <s v="NORMAL"/>
    <s v="MXN"/>
    <n v="75940"/>
    <n v="100.04252700000001"/>
    <n v="7597229.5003800001"/>
    <n v="100"/>
    <n v="3229.50038"/>
    <n v="0"/>
    <n v="0"/>
    <n v="0"/>
    <n v="0"/>
    <n v="75940"/>
    <n v="7597229.5003800001"/>
    <s v="EPER"/>
    <n v="7414000005"/>
  </r>
  <r>
    <x v="47"/>
    <s v="ALMACENADORA SUR SA DE CV ORG. AUX. DEL CDTO.(RESERVA DE CONTINGENCIA)"/>
    <x v="66"/>
    <s v="NORMAL"/>
    <s v="MXN"/>
    <n v="0"/>
    <n v="0"/>
    <n v="4492036.28"/>
    <n v="0"/>
    <n v="0"/>
    <n v="0"/>
    <n v="0"/>
    <n v="0"/>
    <n v="0"/>
    <n v="0"/>
    <n v="4492036.28"/>
    <s v="EPER"/>
    <n v="7414000005"/>
  </r>
  <r>
    <x v="48"/>
    <s v="PRAXAIR MEXICO S DE RL DE CV"/>
    <x v="28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30"/>
    <s v="NORMAL"/>
    <s v="MXN"/>
    <n v="0"/>
    <n v="88.698122999999995"/>
    <n v="0"/>
    <n v="0"/>
    <n v="24807.903617"/>
    <n v="0"/>
    <n v="0"/>
    <n v="0"/>
    <n v="0"/>
    <n v="0"/>
    <n v="0"/>
    <s v="EPER"/>
    <n v="7414000005"/>
  </r>
  <r>
    <x v="48"/>
    <s v="PRAXAIR MEXICO S DE RL DE CV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49"/>
    <s v="BREMBO MEXICO SA DE CV FONDO DE AHORRO"/>
    <x v="129"/>
    <s v="NORMAL"/>
    <s v="MXN"/>
    <n v="10262296"/>
    <n v="3.137273"/>
    <n v="32195624.158808"/>
    <n v="3.0983933078913335"/>
    <n v="398994.90880799998"/>
    <n v="0"/>
    <n v="0"/>
    <n v="0"/>
    <n v="0"/>
    <n v="10262296"/>
    <n v="32195624.158808"/>
    <s v="EPER"/>
    <n v="7414000005"/>
  </r>
  <r>
    <x v="50"/>
    <s v="OPERADORA TURISTICA HOTELERA SA DE CV (FONDO DE AHORRO"/>
    <x v="90"/>
    <s v="NORMAL"/>
    <s v="MXN"/>
    <n v="7751406"/>
    <n v="3.4005040000000002"/>
    <n v="26358687.108624"/>
    <n v="3.3514449159288007"/>
    <n v="380276.878624"/>
    <n v="0"/>
    <n v="0"/>
    <n v="0"/>
    <n v="0"/>
    <n v="7751406"/>
    <n v="26358687.108624"/>
    <s v="EPER"/>
    <n v="7414000005"/>
  </r>
  <r>
    <x v="51"/>
    <s v="SEGUROS EL POTOSI,S.A.FDO.PENS.APOR.EMPL"/>
    <x v="0"/>
    <s v="NORMAL"/>
    <s v="MXN"/>
    <n v="11517763"/>
    <n v="3.3967719999999999"/>
    <n v="39123214.861036003"/>
    <n v="2.6670145930247044"/>
    <n v="8405172.8610360008"/>
    <n v="0"/>
    <n v="0"/>
    <n v="0"/>
    <n v="0"/>
    <n v="11517763"/>
    <n v="39123214.861036003"/>
    <s v="EPER"/>
    <n v="7414000005"/>
  </r>
  <r>
    <x v="52"/>
    <s v="SEGUROS EL POTOSI,S.A.FDO.DE PENSIONES CONTRIBUCION DEFINIDA"/>
    <x v="0"/>
    <s v="NORMAL"/>
    <s v="MXN"/>
    <n v="8864858"/>
    <n v="3.3967719999999999"/>
    <n v="30111901.438375998"/>
    <n v="2.6494372972471751"/>
    <n v="6625016.0183760002"/>
    <n v="0"/>
    <n v="0"/>
    <n v="0"/>
    <n v="0"/>
    <n v="8864858"/>
    <n v="30111901.438375998"/>
    <s v="EPER"/>
    <n v="7414000005"/>
  </r>
  <r>
    <x v="53"/>
    <s v="SAINT GOBAIN AMERICA SA DE CV"/>
    <x v="90"/>
    <s v="NORMAL"/>
    <s v="MXN"/>
    <n v="1317319"/>
    <n v="3.4005040000000002"/>
    <n v="4479548.5287760003"/>
    <n v="3.3565880018431375"/>
    <n v="57851.378775999998"/>
    <n v="0"/>
    <n v="0"/>
    <n v="0"/>
    <n v="0"/>
    <n v="1317319"/>
    <n v="4479548.5287760003"/>
    <s v="EPER"/>
    <n v="7414000005"/>
  </r>
  <r>
    <x v="54"/>
    <s v="SAINT GOBAIN AMERICA SA DE CV"/>
    <x v="90"/>
    <s v="NORMAL"/>
    <s v="MXN"/>
    <n v="1154409"/>
    <n v="3.4005040000000002"/>
    <n v="3925572.4221359999"/>
    <n v="3.3594489647949728"/>
    <n v="47394.302135999998"/>
    <n v="0"/>
    <n v="0"/>
    <n v="0"/>
    <n v="0"/>
    <n v="1154409"/>
    <n v="3925572.4221359999"/>
    <s v="EPER"/>
    <n v="7414000005"/>
  </r>
  <r>
    <x v="55"/>
    <s v="SAINT GOBAIN MEXICO, S.A. DE C.V."/>
    <x v="90"/>
    <s v="NORMAL"/>
    <s v="MXN"/>
    <n v="4543958"/>
    <n v="3.4005040000000002"/>
    <n v="15451747.354831999"/>
    <n v="3.3481034617837575"/>
    <n v="238105.844832"/>
    <n v="0"/>
    <n v="0"/>
    <n v="0"/>
    <n v="0"/>
    <n v="4543958"/>
    <n v="15451747.354831999"/>
    <s v="EPER"/>
    <n v="7414000005"/>
  </r>
  <r>
    <x v="56"/>
    <s v="SAINT GOBAIN MEXICO, S.A. DE C.V."/>
    <x v="90"/>
    <s v="NORMAL"/>
    <s v="MXN"/>
    <n v="12948845"/>
    <n v="3.4005040000000002"/>
    <n v="44032599.217880003"/>
    <n v="3.3493369285059789"/>
    <n v="662554.47788000002"/>
    <n v="0"/>
    <n v="0"/>
    <n v="0"/>
    <n v="0"/>
    <n v="12948845"/>
    <n v="44032599.217880003"/>
    <s v="EPER"/>
    <n v="7414000005"/>
  </r>
  <r>
    <x v="57"/>
    <s v="SAINT-GOBAIN GYPSUM OPERADORA SA DE CV"/>
    <x v="90"/>
    <s v="NORMAL"/>
    <s v="MXN"/>
    <n v="241684"/>
    <n v="3.4005040000000002"/>
    <n v="821847.40873599995"/>
    <n v="3.3571302610019695"/>
    <n v="10482.738735999999"/>
    <n v="0"/>
    <n v="0"/>
    <n v="0"/>
    <n v="0"/>
    <n v="241684"/>
    <n v="821847.40873599995"/>
    <s v="EPER"/>
    <n v="7414000005"/>
  </r>
  <r>
    <x v="58"/>
    <s v="SAINT GOBAIN ABRASIVOS SA DE CV (FDO DE AHORRO EMPLEADOS)"/>
    <x v="90"/>
    <s v="NORMAL"/>
    <s v="MXN"/>
    <n v="868633"/>
    <n v="3.4005040000000002"/>
    <n v="2953789.9910320002"/>
    <n v="3.3584008436244077"/>
    <n v="36572.191032000002"/>
    <n v="0"/>
    <n v="0"/>
    <n v="0"/>
    <n v="0"/>
    <n v="868633"/>
    <n v="2953789.9910320002"/>
    <s v="EPER"/>
    <n v="7414000005"/>
  </r>
  <r>
    <x v="59"/>
    <s v="SAINT GOBAIN ABRASIVOS SA DE CV (FDO AHORRO SINDICAL)"/>
    <x v="90"/>
    <s v="NORMAL"/>
    <s v="MXN"/>
    <n v="1019962"/>
    <n v="3.4005040000000002"/>
    <n v="3468384.8608479998"/>
    <n v="3.3567408687774645"/>
    <n v="44636.730847999999"/>
    <n v="0"/>
    <n v="0"/>
    <n v="0"/>
    <n v="0"/>
    <n v="1019962"/>
    <n v="3468384.8608479998"/>
    <s v="EPER"/>
    <n v="7414000005"/>
  </r>
  <r>
    <x v="60"/>
    <s v="AHORRO EMPLEADOS)                                 SAINT GOBAIN SOPORTE"/>
    <x v="90"/>
    <s v="NORMAL"/>
    <s v="MXN"/>
    <n v="1029558"/>
    <n v="3.4005040000000002"/>
    <n v="3501016.097232"/>
    <n v="3.3556851386711579"/>
    <n v="46143.617231999997"/>
    <n v="0"/>
    <n v="0"/>
    <n v="0"/>
    <n v="0"/>
    <n v="1029558"/>
    <n v="3501016.097232"/>
    <s v="EPER"/>
    <n v="7414000005"/>
  </r>
  <r>
    <x v="61"/>
    <s v="SAINT GOBAIN AMERICA, S.A. DE C.V."/>
    <x v="90"/>
    <s v="NORMAL"/>
    <s v="MXN"/>
    <n v="390490"/>
    <n v="3.4005040000000002"/>
    <n v="1327862.80696"/>
    <n v="3.3555681835642397"/>
    <n v="17546.986959999998"/>
    <n v="0"/>
    <n v="0"/>
    <n v="0"/>
    <n v="0"/>
    <n v="390490"/>
    <n v="1327862.80696"/>
    <s v="EPER"/>
    <n v="7414000005"/>
  </r>
  <r>
    <x v="62"/>
    <s v="SAINT GOBAIN AMERICA, S.A. DE C.V."/>
    <x v="90"/>
    <s v="NORMAL"/>
    <s v="MXN"/>
    <n v="675518"/>
    <n v="3.4005040000000002"/>
    <n v="2297101.6610719999"/>
    <n v="3.3490924594163296"/>
    <n v="34729.421071999997"/>
    <n v="0"/>
    <n v="0"/>
    <n v="0"/>
    <n v="0"/>
    <n v="675518"/>
    <n v="2297101.6610719999"/>
    <s v="EPER"/>
    <n v="7414000005"/>
  </r>
  <r>
    <x v="63"/>
    <s v="SKANDIA LIFE, S.A. DE C.V POR CUENTA DEL FID 331-06 DEUDA"/>
    <x v="0"/>
    <s v="NORMAL"/>
    <s v="MXN"/>
    <n v="35609687"/>
    <n v="3.3967719999999999"/>
    <n v="120957987.73036399"/>
    <n v="2.6806274657791853"/>
    <n v="25501682.710363999"/>
    <n v="0"/>
    <n v="0"/>
    <n v="0"/>
    <n v="0"/>
    <n v="35609687"/>
    <n v="120957987.73036399"/>
    <s v="EPER"/>
    <n v="7414000005"/>
  </r>
  <r>
    <x v="63"/>
    <s v="SKANDIA LIFE, S.A. DE C.V POR CUENTA DEL FID 331-06 DEUDA"/>
    <x v="64"/>
    <s v="NORMAL"/>
    <s v="MXN"/>
    <n v="31675440"/>
    <n v="2.7668819999999998"/>
    <n v="87642204.778080001"/>
    <n v="2.2099139999318083"/>
    <n v="17642206.468079999"/>
    <n v="0"/>
    <n v="0"/>
    <n v="0"/>
    <n v="0"/>
    <n v="31675440"/>
    <n v="87642204.778080001"/>
    <s v="EPER"/>
    <n v="7414000005"/>
  </r>
  <r>
    <x v="64"/>
    <s v="SKANDIA LIFE, S.A. DE C.V. POR CUENTA DEL FID 331-06 R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64"/>
    <s v="SKANDIA LIFE, S.A. DE C.V. POR CUENTA DEL FID 331-06 RV"/>
    <x v="130"/>
    <s v="NORMAL"/>
    <s v="MXN"/>
    <n v="4360000"/>
    <n v="4.5848760000000004"/>
    <n v="19990059.359999999"/>
    <n v="3.3497185756880734"/>
    <n v="5385286.3700000001"/>
    <n v="0"/>
    <n v="0"/>
    <n v="0"/>
    <n v="0"/>
    <n v="4360000"/>
    <n v="19990059.359999999"/>
    <s v="EPER"/>
    <n v="7414000005"/>
  </r>
  <r>
    <x v="64"/>
    <s v="SKANDIA LIFE, S.A. DE C.V. POR CUENTA DEL FID 331-06 RV"/>
    <x v="0"/>
    <s v="NORMAL"/>
    <s v="MXN"/>
    <n v="236719"/>
    <n v="3.3967719999999999"/>
    <n v="804080.47106799996"/>
    <n v="3.1173174100938241"/>
    <n v="66152.211068000004"/>
    <n v="0"/>
    <n v="0"/>
    <n v="0"/>
    <n v="0"/>
    <n v="236719"/>
    <n v="804080.47106799996"/>
    <s v="EPER"/>
    <n v="7414000005"/>
  </r>
  <r>
    <x v="64"/>
    <s v="SKANDIA LIFE, S.A. DE C.V. POR CUENTA DEL FID 331-06 R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65"/>
    <s v="BRINKS SERVICIOS ADMINISTRATIVOS SA DE CV (PLAN PENSIONES)"/>
    <x v="0"/>
    <s v="NORMAL"/>
    <s v="MXN"/>
    <n v="4677092"/>
    <n v="3.3967719999999999"/>
    <n v="15887015.147024"/>
    <n v="2.5202768814468479"/>
    <n v="4099448.3070240002"/>
    <n v="0"/>
    <n v="0"/>
    <n v="0"/>
    <n v="0"/>
    <n v="4677092"/>
    <n v="15887015.147024"/>
    <s v="EPER"/>
    <n v="7414000005"/>
  </r>
  <r>
    <x v="66"/>
    <s v="SANTANDER SERVICIOS CORPORATIVOS SA DE CV (PLAN DE PENSIONES)"/>
    <x v="75"/>
    <s v="NORMAL"/>
    <s v="MXN"/>
    <n v="979"/>
    <n v="3.612981"/>
    <n v="3537.1083990000002"/>
    <n v="3.5593973442288047"/>
    <n v="52.458399"/>
    <n v="0"/>
    <n v="0"/>
    <n v="0"/>
    <n v="0"/>
    <n v="979"/>
    <n v="3537.1083990000002"/>
    <s v="EPER"/>
    <n v="7414000005"/>
  </r>
  <r>
    <x v="66"/>
    <s v="SANTANDER SERVICIOS CORPORATIVOS SA DE CV (PLAN DE PENSIONES)"/>
    <x v="76"/>
    <s v="NORMAL"/>
    <s v="MXN"/>
    <n v="1075"/>
    <n v="137.04691399999999"/>
    <n v="147325.43255"/>
    <n v="107.35305116279069"/>
    <n v="31920.902549999999"/>
    <n v="0"/>
    <n v="0"/>
    <n v="0"/>
    <n v="0"/>
    <n v="1075"/>
    <n v="147325.43255"/>
    <s v="EPER"/>
    <n v="7414000005"/>
  </r>
  <r>
    <x v="66"/>
    <s v="SANTANDER SERVICIOS CORPORATIVOS SA DE CV (PLAN DE PENSIONES)"/>
    <x v="77"/>
    <s v="NORMAL"/>
    <s v="MXN"/>
    <n v="274107"/>
    <n v="3.6364960000000002"/>
    <n v="996789.00907200004"/>
    <n v="2.856887383394076"/>
    <n v="213696.179072"/>
    <n v="0"/>
    <n v="0"/>
    <n v="0"/>
    <n v="0"/>
    <n v="274107"/>
    <n v="996789.00907200004"/>
    <s v="EPER"/>
    <n v="7414000005"/>
  </r>
  <r>
    <x v="66"/>
    <s v="SANTANDER SERVICIOS CORPORATIVOS SA DE CV (PLAN DE PENSIONES)"/>
    <x v="78"/>
    <s v="NORMAL"/>
    <s v="MXN"/>
    <n v="5899"/>
    <n v="2.1315040000000001"/>
    <n v="12573.742096"/>
    <n v="1.8567265638243771"/>
    <n v="1620.912096"/>
    <n v="0"/>
    <n v="0"/>
    <n v="0"/>
    <n v="0"/>
    <n v="5899"/>
    <n v="12573.742096"/>
    <s v="EPER"/>
    <n v="7414000005"/>
  </r>
  <r>
    <x v="66"/>
    <s v="SANTANDER SERVICIOS CORPORATIVOS SA DE CV (PLAN DE PENSIONES)"/>
    <x v="79"/>
    <s v="NORMAL"/>
    <s v="MXN"/>
    <n v="61"/>
    <n v="2.8149250000000001"/>
    <n v="171.71042499999999"/>
    <n v="2.4988524590163936"/>
    <n v="19.280425000000001"/>
    <n v="0"/>
    <n v="0"/>
    <n v="0"/>
    <n v="0"/>
    <n v="61"/>
    <n v="171.71042499999999"/>
    <s v="EPER"/>
    <n v="7414000005"/>
  </r>
  <r>
    <x v="67"/>
    <s v="SANTANDER SERVICIOS CORPORATIVOS SA DE CV (CAJA DE AHORRO)"/>
    <x v="75"/>
    <s v="NORMAL"/>
    <s v="MXN"/>
    <n v="1190"/>
    <n v="3.612981"/>
    <n v="4299.4473900000003"/>
    <n v="3.5593949579831934"/>
    <n v="63.767389999999999"/>
    <n v="0"/>
    <n v="0"/>
    <n v="0"/>
    <n v="0"/>
    <n v="1190"/>
    <n v="4299.4473900000003"/>
    <s v="EPER"/>
    <n v="7414000005"/>
  </r>
  <r>
    <x v="67"/>
    <s v="SANTANDER SERVICIOS CORPORATIVOS SA DE CV (CAJA DE AHORRO)"/>
    <x v="76"/>
    <s v="NORMAL"/>
    <s v="MXN"/>
    <n v="177"/>
    <n v="137.04691399999999"/>
    <n v="24257.303778000001"/>
    <n v="110.09305084745763"/>
    <n v="4770.8337780000002"/>
    <n v="0"/>
    <n v="0"/>
    <n v="0"/>
    <n v="0"/>
    <n v="177"/>
    <n v="24257.303778000001"/>
    <s v="EPER"/>
    <n v="7414000005"/>
  </r>
  <r>
    <x v="67"/>
    <s v="SANTANDER SERVICIOS CORPORATIVOS SA DE CV (CAJA DE AHORRO)"/>
    <x v="77"/>
    <s v="NORMAL"/>
    <s v="MXN"/>
    <n v="5490"/>
    <n v="3.6364960000000002"/>
    <n v="19964.36304"/>
    <n v="2.9915264116575591"/>
    <n v="3540.8830400000002"/>
    <n v="0"/>
    <n v="0"/>
    <n v="0"/>
    <n v="0"/>
    <n v="5490"/>
    <n v="19964.36304"/>
    <s v="EPER"/>
    <n v="7414000005"/>
  </r>
  <r>
    <x v="67"/>
    <s v="SANTANDER SERVICIOS CORPORATIVOS SA DE CV (CAJA DE AHORRO)"/>
    <x v="78"/>
    <s v="NORMAL"/>
    <s v="MXN"/>
    <n v="170"/>
    <n v="2.1315040000000001"/>
    <n v="362.35568000000001"/>
    <n v="1.9186470588235294"/>
    <n v="36.185679999999998"/>
    <n v="0"/>
    <n v="0"/>
    <n v="0"/>
    <n v="0"/>
    <n v="170"/>
    <n v="362.35568000000001"/>
    <s v="EPER"/>
    <n v="7414000005"/>
  </r>
  <r>
    <x v="67"/>
    <s v="SANTANDER SERVICIOS CORPORATIVOS SA DE CV (CAJA DE AHORRO)"/>
    <x v="79"/>
    <s v="NORMAL"/>
    <s v="MXN"/>
    <n v="30"/>
    <n v="2.8149250000000001"/>
    <n v="84.447749999999999"/>
    <n v="2.4986666666666668"/>
    <n v="9.4877500000000001"/>
    <n v="0"/>
    <n v="0"/>
    <n v="0"/>
    <n v="0"/>
    <n v="30"/>
    <n v="84.447749999999999"/>
    <s v="EPER"/>
    <n v="7414000005"/>
  </r>
  <r>
    <x v="68"/>
    <s v="SANTANDER INCLUSION FINANCIERA SA DE CV SOFOM ER GFSM (PLAN PENSIONES)"/>
    <x v="75"/>
    <s v="NORMAL"/>
    <s v="MXN"/>
    <n v="2928"/>
    <n v="3.612981"/>
    <n v="10578.808368"/>
    <n v="3.6023736338797816"/>
    <n v="31.058368000000002"/>
    <n v="0"/>
    <n v="0"/>
    <n v="0"/>
    <n v="0"/>
    <n v="2928"/>
    <n v="10578.808368"/>
    <s v="EPER"/>
    <n v="7414000005"/>
  </r>
  <r>
    <x v="68"/>
    <s v="SANTANDER INCLUSION FINANCIERA SA DE CV SOFOM ER GFSM (PLAN PENSIONES)"/>
    <x v="76"/>
    <s v="NORMAL"/>
    <s v="MXN"/>
    <n v="10753"/>
    <n v="137.04691399999999"/>
    <n v="1473665.466242"/>
    <n v="116.48645122291454"/>
    <n v="221086.656242"/>
    <n v="0"/>
    <n v="0"/>
    <n v="0"/>
    <n v="0"/>
    <n v="10753"/>
    <n v="1473665.466242"/>
    <s v="EPER"/>
    <n v="7414000005"/>
  </r>
  <r>
    <x v="68"/>
    <s v="SANTANDER INCLUSION FINANCIERA SA DE CV SOFOM ER GFSM (PLAN PENSIONES)"/>
    <x v="77"/>
    <s v="NORMAL"/>
    <s v="MXN"/>
    <n v="897677"/>
    <n v="3.6364960000000002"/>
    <n v="3264398.8197920001"/>
    <n v="3.1673742894159034"/>
    <n v="421119.76979200001"/>
    <n v="0"/>
    <n v="0"/>
    <n v="0"/>
    <n v="0"/>
    <n v="897677"/>
    <n v="3264398.8197920001"/>
    <s v="EPER"/>
    <n v="7414000005"/>
  </r>
  <r>
    <x v="68"/>
    <s v="SANTANDER INCLUSION FINANCIERA SA DE CV SOFOM ER GFSM (PLAN PENSIONES)"/>
    <x v="78"/>
    <s v="NORMAL"/>
    <s v="MXN"/>
    <n v="725104"/>
    <n v="2.1315040000000001"/>
    <n v="1545562.076416"/>
    <n v="1.8692148850371808"/>
    <n v="190186.88641599999"/>
    <n v="0"/>
    <n v="0"/>
    <n v="0"/>
    <n v="0"/>
    <n v="725104"/>
    <n v="1545562.076416"/>
    <s v="EPER"/>
    <n v="7414000005"/>
  </r>
  <r>
    <x v="68"/>
    <s v="SANTANDER INCLUSION FINANCIERA SA DE CV SOFOM ER GFSM (PLAN PENSIONES)"/>
    <x v="79"/>
    <s v="NORMAL"/>
    <s v="MXN"/>
    <n v="127793"/>
    <n v="2.8149250000000001"/>
    <n v="359727.710525"/>
    <n v="2.4047260022066936"/>
    <n v="52420.560525000001"/>
    <n v="0"/>
    <n v="0"/>
    <n v="0"/>
    <n v="0"/>
    <n v="127793"/>
    <n v="359727.710525"/>
    <s v="EPER"/>
    <n v="7414000005"/>
  </r>
  <r>
    <x v="69"/>
    <s v="SANTANDER INCLUSION FINANCIERA SA DE CV SOFOM ER GFSM (CAJA DE AHORRO)"/>
    <x v="75"/>
    <s v="NORMAL"/>
    <s v="MXN"/>
    <n v="2640"/>
    <n v="3.612981"/>
    <n v="9538.2698400000008"/>
    <n v="3.6023749999999999"/>
    <n v="27.999839999999999"/>
    <n v="0"/>
    <n v="0"/>
    <n v="0"/>
    <n v="0"/>
    <n v="2640"/>
    <n v="9538.2698400000008"/>
    <s v="EPER"/>
    <n v="7414000005"/>
  </r>
  <r>
    <x v="69"/>
    <s v="SANTANDER INCLUSION FINANCIERA SA DE CV SOFOM ER GFSM (CAJA DE AHORRO)"/>
    <x v="76"/>
    <s v="NORMAL"/>
    <s v="MXN"/>
    <n v="4715"/>
    <n v="137.04691399999999"/>
    <n v="646176.19950999995"/>
    <n v="116.81279957582184"/>
    <n v="95403.84951"/>
    <n v="0"/>
    <n v="0"/>
    <n v="0"/>
    <n v="0"/>
    <n v="4715"/>
    <n v="646176.19950999995"/>
    <s v="EPER"/>
    <n v="7414000005"/>
  </r>
  <r>
    <x v="69"/>
    <s v="SANTANDER INCLUSION FINANCIERA SA DE CV SOFOM ER GFSM (CAJA DE AHORRO)"/>
    <x v="77"/>
    <s v="NORMAL"/>
    <s v="MXN"/>
    <n v="411734"/>
    <n v="3.6364960000000002"/>
    <n v="1497269.044064"/>
    <n v="3.1586666877158556"/>
    <n v="196738.57406399999"/>
    <n v="0"/>
    <n v="0"/>
    <n v="0"/>
    <n v="0"/>
    <n v="411734"/>
    <n v="1497269.044064"/>
    <s v="EPER"/>
    <n v="7414000005"/>
  </r>
  <r>
    <x v="69"/>
    <s v="SANTANDER INCLUSION FINANCIERA SA DE CV SOFOM ER GFSM (CAJA DE AHORRO)"/>
    <x v="78"/>
    <s v="NORMAL"/>
    <s v="MXN"/>
    <n v="346839"/>
    <n v="2.1315040000000001"/>
    <n v="739288.71585599997"/>
    <n v="1.8637506739438183"/>
    <n v="92867.295855999997"/>
    <n v="0"/>
    <n v="0"/>
    <n v="0"/>
    <n v="0"/>
    <n v="346839"/>
    <n v="739288.71585599997"/>
    <s v="EPER"/>
    <n v="7414000005"/>
  </r>
  <r>
    <x v="69"/>
    <s v="SANTANDER INCLUSION FINANCIERA SA DE CV SOFOM ER GFSM (CAJA DE AHORRO)"/>
    <x v="79"/>
    <s v="NORMAL"/>
    <s v="MXN"/>
    <n v="58183"/>
    <n v="2.8149250000000001"/>
    <n v="163780.78127499999"/>
    <n v="2.375041335097881"/>
    <n v="25593.751274999999"/>
    <n v="0"/>
    <n v="0"/>
    <n v="0"/>
    <n v="0"/>
    <n v="58183"/>
    <n v="163780.78127499999"/>
    <s v="EPER"/>
    <n v="7414000005"/>
  </r>
  <r>
    <x v="70"/>
    <s v="ENVASADORAS DE AGUAS EN MEXICO S DE RL DE CV"/>
    <x v="0"/>
    <s v="NORMAL"/>
    <s v="MXN"/>
    <n v="2826981"/>
    <n v="3.3967719999999999"/>
    <n v="9602609.9053320009"/>
    <n v="2.9255299593453228"/>
    <n v="1332192.2953319999"/>
    <n v="0"/>
    <n v="0"/>
    <n v="0"/>
    <n v="0"/>
    <n v="2826981"/>
    <n v="9602609.9053320009"/>
    <s v="EPER"/>
    <n v="7414000005"/>
  </r>
  <r>
    <x v="70"/>
    <s v="ENVASADORAS DE AGUAS EN MEXICO S DE RL DE CV"/>
    <x v="80"/>
    <s v="NORMAL"/>
    <s v="MXN"/>
    <n v="165432"/>
    <n v="3.8832339999999999"/>
    <n v="642411.16708799999"/>
    <n v="2.7905551525702403"/>
    <n v="180764.04708799999"/>
    <n v="0"/>
    <n v="0"/>
    <n v="0"/>
    <n v="0"/>
    <n v="165432"/>
    <n v="642411.16708799999"/>
    <s v="EPER"/>
    <n v="7414000005"/>
  </r>
  <r>
    <x v="70"/>
    <s v="ENVASADORAS DE AGUAS EN MEXICO S DE RL DE CV"/>
    <x v="64"/>
    <s v="NORMAL"/>
    <s v="MXN"/>
    <n v="502227"/>
    <n v="2.7668819999999998"/>
    <n v="1389602.8462139999"/>
    <n v="2.3501810137646921"/>
    <n v="209278.486214"/>
    <n v="0"/>
    <n v="0"/>
    <n v="0"/>
    <n v="0"/>
    <n v="502227"/>
    <n v="1389602.8462139999"/>
    <s v="EPER"/>
    <n v="7414000005"/>
  </r>
  <r>
    <x v="71"/>
    <s v="ENVASABON S DE RL DE CV"/>
    <x v="0"/>
    <s v="NORMAL"/>
    <s v="MXN"/>
    <n v="217"/>
    <n v="3.3967719999999999"/>
    <n v="737.09952399999997"/>
    <n v="2.9725806451612904"/>
    <n v="92.049524000000005"/>
    <n v="0"/>
    <n v="0"/>
    <n v="0"/>
    <n v="0"/>
    <n v="217"/>
    <n v="737.09952399999997"/>
    <s v="EPER"/>
    <n v="7414000005"/>
  </r>
  <r>
    <x v="72"/>
    <s v="ASOCIACION MEXICANA DE INSTITUCIONES BURSATILES  AC FDO DE AHORRO"/>
    <x v="90"/>
    <s v="NORMAL"/>
    <s v="MXN"/>
    <n v="955400"/>
    <n v="3.4005040000000002"/>
    <n v="3248841.5216000001"/>
    <n v="3.3469836612936992"/>
    <n v="51133.331599999998"/>
    <n v="0"/>
    <n v="0"/>
    <n v="0"/>
    <n v="0"/>
    <n v="955400"/>
    <n v="3248841.5216000001"/>
    <s v="EPER"/>
    <n v="7414000005"/>
  </r>
  <r>
    <x v="73"/>
    <s v="ARJEA, S.C"/>
    <x v="8"/>
    <s v="NORMAL"/>
    <s v="MXN"/>
    <n v="2050"/>
    <n v="9802.1143969999994"/>
    <n v="20094334.51385"/>
    <n v="9982.2999999999993"/>
    <n v="-369380.48615000001"/>
    <n v="0"/>
    <n v="0"/>
    <n v="0"/>
    <n v="0"/>
    <n v="2050"/>
    <n v="20094334.51385"/>
    <s v="EPER"/>
    <n v="7414000005"/>
  </r>
  <r>
    <x v="73"/>
    <s v="ARJEA, S.C"/>
    <x v="9"/>
    <s v="NORMAL"/>
    <s v="MXN"/>
    <n v="782"/>
    <n v="9469.6491050000004"/>
    <n v="7405265.60011"/>
    <n v="9977.4"/>
    <n v="-397061.19988999999"/>
    <n v="0"/>
    <n v="0"/>
    <n v="0"/>
    <n v="0"/>
    <n v="782"/>
    <n v="7405265.60011"/>
    <s v="EPER"/>
    <n v="7414000005"/>
  </r>
  <r>
    <x v="73"/>
    <s v="ARJEA, S.C"/>
    <x v="13"/>
    <s v="NORMAL"/>
    <s v="MXN"/>
    <n v="266570"/>
    <n v="100.000484"/>
    <n v="26657129.019880001"/>
    <n v="100"/>
    <n v="129.01988"/>
    <n v="0"/>
    <n v="0"/>
    <n v="0"/>
    <n v="0"/>
    <n v="266570"/>
    <n v="26657129.019880001"/>
    <s v="EPER"/>
    <n v="7414000005"/>
  </r>
  <r>
    <x v="73"/>
    <s v="ARJEA, S.C"/>
    <x v="85"/>
    <s v="NORMAL"/>
    <s v="MXN"/>
    <n v="101676"/>
    <n v="97.654420999999999"/>
    <n v="9929110.9095959999"/>
    <n v="99.068463857350807"/>
    <n v="-143774.22156400001"/>
    <n v="0"/>
    <n v="0"/>
    <n v="0"/>
    <n v="0"/>
    <n v="101676"/>
    <n v="9929110.9095959999"/>
    <s v="EPER"/>
    <n v="7414000005"/>
  </r>
  <r>
    <x v="73"/>
    <s v="ARJEA, S.C"/>
    <x v="120"/>
    <s v="NORMAL"/>
    <s v="MXN"/>
    <n v="54530"/>
    <n v="98.859247999999994"/>
    <n v="5390794.7934400002"/>
    <n v="100"/>
    <n v="-62205.206559999999"/>
    <n v="0"/>
    <n v="0"/>
    <n v="0"/>
    <n v="0"/>
    <n v="54530"/>
    <n v="5390794.7934400002"/>
    <s v="EPER"/>
    <n v="7414000005"/>
  </r>
  <r>
    <x v="73"/>
    <s v="ARJEA, S.C"/>
    <x v="86"/>
    <s v="NORMAL"/>
    <s v="MXN"/>
    <n v="15108920"/>
    <n v="9.4935880000000008"/>
    <n v="143437861.60495999"/>
    <n v="8.3369798263743569"/>
    <n v="17475100.366655961"/>
    <n v="0"/>
    <n v="0"/>
    <n v="0"/>
    <n v="0"/>
    <n v="15108920"/>
    <n v="143437861.60495999"/>
    <s v="EPER"/>
    <n v="7414000005"/>
  </r>
  <r>
    <x v="73"/>
    <s v="ARJEA, S.C"/>
    <x v="72"/>
    <s v="NORMAL"/>
    <s v="MXN"/>
    <n v="11054599"/>
    <n v="9.3381629999999998"/>
    <n v="103229647.361637"/>
    <n v="8.3202806739907924"/>
    <n v="11252280.94321906"/>
    <n v="0"/>
    <n v="0"/>
    <n v="0"/>
    <n v="0"/>
    <n v="11054599"/>
    <n v="103229647.361637"/>
    <s v="EPER"/>
    <n v="7414000005"/>
  </r>
  <r>
    <x v="73"/>
    <s v="ARJEA, S.C"/>
    <x v="15"/>
    <s v="NORMAL"/>
    <s v="MXN"/>
    <n v="12942630"/>
    <n v="9.190137"/>
    <n v="118944542.84031001"/>
    <n v="8.2030282957605998"/>
    <n v="12775782.72875"/>
    <n v="0"/>
    <n v="0"/>
    <n v="0"/>
    <n v="0"/>
    <n v="12942630"/>
    <n v="118944542.84031001"/>
    <s v="EPER"/>
    <n v="7414000005"/>
  </r>
  <r>
    <x v="73"/>
    <s v="ARJEA, S.C"/>
    <x v="131"/>
    <s v="NORMAL"/>
    <s v="MXN"/>
    <n v="8000000"/>
    <n v="9.1534650000000006"/>
    <n v="73227720"/>
    <n v="8.9797925000000003"/>
    <n v="1389380"/>
    <n v="0"/>
    <n v="0"/>
    <n v="0"/>
    <n v="0"/>
    <n v="8000000"/>
    <n v="73227720"/>
    <s v="EPER"/>
    <n v="7414000005"/>
  </r>
  <r>
    <x v="73"/>
    <s v="ARJEA, S.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73"/>
    <s v="ARJEA, S.C"/>
    <x v="70"/>
    <s v="NORMAL"/>
    <s v="MXN"/>
    <n v="3268870"/>
    <n v="9.0112480000000001"/>
    <n v="29456598.249759998"/>
    <n v="8.9969798000000001"/>
    <n v="46640.890934000003"/>
    <n v="0"/>
    <n v="0"/>
    <n v="0"/>
    <n v="0"/>
    <n v="3268870"/>
    <n v="29456598.249759998"/>
    <s v="EPER"/>
    <n v="7414000005"/>
  </r>
  <r>
    <x v="73"/>
    <s v="ARJEA, S.C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73"/>
    <s v="ARJEA, S.C"/>
    <x v="71"/>
    <s v="NORMAL"/>
    <s v="MXN"/>
    <n v="4856630"/>
    <n v="8.3813510000000004"/>
    <n v="40705120.70713"/>
    <n v="8.275682943638099"/>
    <n v="513190.65256890003"/>
    <n v="0"/>
    <n v="0"/>
    <n v="0"/>
    <n v="0"/>
    <n v="4856630"/>
    <n v="40705120.70713"/>
    <s v="EPER"/>
    <n v="7414000005"/>
  </r>
  <r>
    <x v="73"/>
    <s v="ARJEA, S.C"/>
    <x v="16"/>
    <s v="NORMAL"/>
    <s v="MXN"/>
    <n v="7591980"/>
    <n v="8.2580650000000002"/>
    <n v="62695064.318700001"/>
    <n v="8.2469711528037486"/>
    <n v="84224.266036999994"/>
    <n v="0"/>
    <n v="0"/>
    <n v="0"/>
    <n v="0"/>
    <n v="7591980"/>
    <n v="62695064.318700001"/>
    <s v="EPER"/>
    <n v="7414000005"/>
  </r>
  <r>
    <x v="73"/>
    <s v="ARJEA, S.C"/>
    <x v="66"/>
    <s v="NORMAL"/>
    <s v="MXN"/>
    <n v="0"/>
    <n v="0"/>
    <n v="54991315.159999996"/>
    <n v="0"/>
    <n v="0"/>
    <n v="0"/>
    <n v="0"/>
    <n v="0"/>
    <n v="0"/>
    <n v="0"/>
    <n v="54991315.159999996"/>
    <s v="EPER"/>
    <n v="7414000005"/>
  </r>
  <r>
    <x v="73"/>
    <s v="ARJEA, S.C"/>
    <x v="132"/>
    <s v="NORMAL"/>
    <s v="MXN"/>
    <n v="135255"/>
    <n v="97.648104000000004"/>
    <n v="13207394.30652"/>
    <n v="100"/>
    <n v="-318105.69348000002"/>
    <n v="0"/>
    <n v="0"/>
    <n v="0"/>
    <n v="0"/>
    <n v="135255"/>
    <n v="13207394.30652"/>
    <s v="EPER"/>
    <n v="7414000005"/>
  </r>
  <r>
    <x v="73"/>
    <s v="ARJEA, S.C"/>
    <x v="101"/>
    <s v="NORMAL"/>
    <s v="MXN"/>
    <n v="99180"/>
    <n v="100.020889"/>
    <n v="9920071.7710200008"/>
    <n v="100"/>
    <n v="2071.7710200000001"/>
    <n v="0"/>
    <n v="0"/>
    <n v="0"/>
    <n v="0"/>
    <n v="99180"/>
    <n v="9920071.7710200008"/>
    <s v="EPER"/>
    <n v="7414000005"/>
  </r>
  <r>
    <x v="73"/>
    <s v="ARJEA, S.C"/>
    <x v="133"/>
    <s v="NORMAL"/>
    <s v="MXN"/>
    <n v="800000"/>
    <n v="48.637891000000003"/>
    <n v="38910312.799999997"/>
    <n v="99.999944299999996"/>
    <n v="-41089642.640000001"/>
    <n v="0"/>
    <n v="0"/>
    <n v="0"/>
    <n v="0"/>
    <n v="800000"/>
    <n v="38910312.799999997"/>
    <s v="EPER"/>
    <n v="7414000005"/>
  </r>
  <r>
    <x v="73"/>
    <s v="ARJEA, S.C"/>
    <x v="33"/>
    <s v="NORMAL"/>
    <s v="MXN"/>
    <n v="1301150"/>
    <n v="94.870157000000006"/>
    <n v="123440304.78055"/>
    <n v="97.132057922654113"/>
    <n v="-2943072.3855114002"/>
    <n v="0"/>
    <n v="0"/>
    <n v="0"/>
    <n v="0"/>
    <n v="1301150"/>
    <n v="123440304.78055"/>
    <s v="EPER"/>
    <n v="7414000005"/>
  </r>
  <r>
    <x v="73"/>
    <s v="ARJEA, S.C"/>
    <x v="34"/>
    <s v="NORMAL"/>
    <s v="MXN"/>
    <n v="774901"/>
    <n v="89.489464999999996"/>
    <n v="69345475.917964995"/>
    <n v="89.484256780673675"/>
    <n v="4035.8543641900001"/>
    <n v="0"/>
    <n v="0"/>
    <n v="0"/>
    <n v="0"/>
    <n v="774901"/>
    <n v="69345475.917964995"/>
    <s v="EPER"/>
    <n v="7414000005"/>
  </r>
  <r>
    <x v="73"/>
    <s v="ARJEA, S.C"/>
    <x v="35"/>
    <s v="NORMAL"/>
    <s v="MXN"/>
    <n v="1355978"/>
    <n v="86.197128000000006"/>
    <n v="116881409.23118401"/>
    <n v="89.176239565476081"/>
    <n v="-4039609.7423311202"/>
    <n v="0"/>
    <n v="0"/>
    <n v="0"/>
    <n v="0"/>
    <n v="1355978"/>
    <n v="116881409.23118401"/>
    <s v="EPER"/>
    <n v="7414000005"/>
  </r>
  <r>
    <x v="73"/>
    <s v="ARJEA, S.C"/>
    <x v="36"/>
    <s v="NORMAL"/>
    <s v="MXN"/>
    <n v="250000"/>
    <n v="86.469353999999996"/>
    <n v="21617338.5"/>
    <n v="88.450310569999999"/>
    <n v="-495239.14250000002"/>
    <n v="0"/>
    <n v="0"/>
    <n v="0"/>
    <n v="0"/>
    <n v="250000"/>
    <n v="21617338.5"/>
    <s v="EPER"/>
    <n v="7414000005"/>
  </r>
  <r>
    <x v="73"/>
    <s v="ARJEA, S.C"/>
    <x v="68"/>
    <s v="NORMAL"/>
    <s v="MXN"/>
    <n v="308280"/>
    <n v="89.643172000000007"/>
    <n v="27635197.064160001"/>
    <n v="93.147818569999998"/>
    <n v="-1080412.4445996"/>
    <n v="0"/>
    <n v="0"/>
    <n v="0"/>
    <n v="0"/>
    <n v="308280"/>
    <n v="27635197.064160001"/>
    <s v="EPER"/>
    <n v="7414000005"/>
  </r>
  <r>
    <x v="73"/>
    <s v="ARJEA, S.C"/>
    <x v="37"/>
    <s v="NORMAL"/>
    <s v="MXN"/>
    <n v="970607"/>
    <n v="81.738860000000003"/>
    <n v="79336309.688020006"/>
    <n v="84.025447613889696"/>
    <n v="-2219377.9441546299"/>
    <n v="0"/>
    <n v="0"/>
    <n v="0"/>
    <n v="0"/>
    <n v="970607"/>
    <n v="79336309.688020006"/>
    <s v="EPER"/>
    <n v="7414000005"/>
  </r>
  <r>
    <x v="73"/>
    <s v="ARJEA, S.C"/>
    <x v="38"/>
    <s v="NORMAL"/>
    <s v="MXN"/>
    <n v="371804"/>
    <n v="83.200761"/>
    <n v="30934375.742844"/>
    <n v="86.577126219999997"/>
    <n v="-1255346.09425688"/>
    <n v="0"/>
    <n v="0"/>
    <n v="0"/>
    <n v="0"/>
    <n v="371804"/>
    <n v="30934375.742844"/>
    <s v="EPER"/>
    <n v="7414000005"/>
  </r>
  <r>
    <x v="73"/>
    <s v="ARJEA, S.C"/>
    <x v="39"/>
    <s v="NORMAL"/>
    <s v="MXN"/>
    <n v="328983"/>
    <n v="82.159907000000004"/>
    <n v="27029212.684581"/>
    <n v="85.729509070000006"/>
    <n v="-1174338.3977948099"/>
    <n v="0"/>
    <n v="0"/>
    <n v="0"/>
    <n v="0"/>
    <n v="328983"/>
    <n v="27029212.684581"/>
    <s v="EPER"/>
    <n v="7414000005"/>
  </r>
  <r>
    <x v="73"/>
    <s v="ARJEA, S.C"/>
    <x v="46"/>
    <s v="NORMAL"/>
    <s v="MXN"/>
    <n v="270000"/>
    <n v="99.999184999999997"/>
    <n v="26999779.949999999"/>
    <n v="100"/>
    <n v="-220.05"/>
    <n v="0"/>
    <n v="0"/>
    <n v="0"/>
    <n v="0"/>
    <n v="270000"/>
    <n v="26999779.949999999"/>
    <s v="EPER"/>
    <n v="7414000005"/>
  </r>
  <r>
    <x v="73"/>
    <s v="ARJEA, S.C"/>
    <x v="134"/>
    <s v="NORMAL"/>
    <s v="MXN"/>
    <n v="141115"/>
    <n v="93.257986000000002"/>
    <n v="13160100.694390001"/>
    <n v="93.540998000000002"/>
    <n v="-39937.238380000003"/>
    <n v="0"/>
    <n v="0"/>
    <n v="0"/>
    <n v="0"/>
    <n v="141115"/>
    <n v="13160100.694390001"/>
    <s v="EPER"/>
    <n v="7414000005"/>
  </r>
  <r>
    <x v="73"/>
    <s v="ARJEA, S.C"/>
    <x v="135"/>
    <s v="NORMAL"/>
    <s v="MXN"/>
    <n v="329867"/>
    <n v="96.981635999999995"/>
    <n v="31991041.322411999"/>
    <n v="100"/>
    <n v="-995658.67758799996"/>
    <n v="0"/>
    <n v="0"/>
    <n v="0"/>
    <n v="0"/>
    <n v="329867"/>
    <n v="31991041.322411999"/>
    <s v="EPER"/>
    <n v="7414000005"/>
  </r>
  <r>
    <x v="73"/>
    <s v="ARJEA, S.C"/>
    <x v="88"/>
    <s v="NORMAL"/>
    <s v="MXN"/>
    <n v="500000"/>
    <n v="98.007834000000003"/>
    <n v="49003917"/>
    <n v="99.216959520000003"/>
    <n v="-604562.76"/>
    <n v="0"/>
    <n v="0"/>
    <n v="0"/>
    <n v="0"/>
    <n v="500000"/>
    <n v="49003917"/>
    <s v="EPER"/>
    <n v="7414000005"/>
  </r>
  <r>
    <x v="73"/>
    <s v="ARJEA, S.C"/>
    <x v="136"/>
    <s v="NORMAL"/>
    <s v="MXN"/>
    <n v="111691"/>
    <n v="754.31346599999995"/>
    <n v="84250025.331006005"/>
    <n v="556.69089936"/>
    <n v="22072662.090588242"/>
    <n v="0"/>
    <n v="0"/>
    <n v="0"/>
    <n v="0"/>
    <n v="111691"/>
    <n v="84250025.331006005"/>
    <s v="EPER"/>
    <n v="7414000005"/>
  </r>
  <r>
    <x v="73"/>
    <s v="ARJEA, S.C"/>
    <x v="137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8"/>
    <s v="NORMAL"/>
    <s v="MXN"/>
    <n v="67963873"/>
    <n v="0.985877"/>
    <n v="67004019.221620999"/>
    <n v="0.86428399997157312"/>
    <n v="8263931.2116210004"/>
    <n v="0"/>
    <n v="0"/>
    <n v="0"/>
    <n v="0"/>
    <n v="67963873"/>
    <n v="67004019.221620999"/>
    <s v="EPER"/>
    <n v="7414000005"/>
  </r>
  <r>
    <x v="73"/>
    <s v="ARJEA, S.C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9"/>
    <s v="NORMAL"/>
    <s v="MXN"/>
    <n v="77169979"/>
    <n v="3.6931539999999998"/>
    <n v="285000616.62376601"/>
    <n v="3.3742835966043221"/>
    <n v="24607222.333765998"/>
    <n v="0"/>
    <n v="0"/>
    <n v="0"/>
    <n v="0"/>
    <n v="77169979"/>
    <n v="285000616.62376601"/>
    <s v="EPER"/>
    <n v="7414000005"/>
  </r>
  <r>
    <x v="73"/>
    <s v="ARJEA, S.C"/>
    <x v="53"/>
    <s v="NORMAL"/>
    <s v="MXN"/>
    <n v="107401"/>
    <n v="765.92388300000005"/>
    <n v="82260990.958083004"/>
    <n v="774.55908295999996"/>
    <n v="-927429.11090395995"/>
    <n v="0"/>
    <n v="0"/>
    <n v="0"/>
    <n v="0"/>
    <n v="107401"/>
    <n v="82260990.958083004"/>
    <s v="EPER"/>
    <n v="7414000005"/>
  </r>
  <r>
    <x v="73"/>
    <s v="ARJEA, S.C"/>
    <x v="54"/>
    <s v="NORMAL"/>
    <s v="MXN"/>
    <n v="155820"/>
    <n v="684.88915799999995"/>
    <n v="106719428.59955999"/>
    <n v="678.82988460126592"/>
    <n v="944155.98099075002"/>
    <n v="0"/>
    <n v="0"/>
    <n v="0"/>
    <n v="0"/>
    <n v="155820"/>
    <n v="106719428.59955999"/>
    <s v="EPER"/>
    <n v="7414000005"/>
  </r>
  <r>
    <x v="73"/>
    <s v="ARJEA, S.C"/>
    <x v="55"/>
    <s v="NORMAL"/>
    <s v="MXN"/>
    <n v="113092"/>
    <n v="772.926965"/>
    <n v="87411856.325780004"/>
    <n v="784.86759003999998"/>
    <n v="-1350389.1670236799"/>
    <n v="0"/>
    <n v="0"/>
    <n v="0"/>
    <n v="0"/>
    <n v="113092"/>
    <n v="87411856.325780004"/>
    <s v="EPER"/>
    <n v="7414000005"/>
  </r>
  <r>
    <x v="73"/>
    <s v="ARJEA, S.C"/>
    <x v="56"/>
    <s v="NORMAL"/>
    <s v="MXN"/>
    <n v="107848"/>
    <n v="721.59464000000003"/>
    <n v="77822538.734720007"/>
    <n v="731.96325825999998"/>
    <n v="-1118234.74210448"/>
    <n v="0"/>
    <n v="0"/>
    <n v="0"/>
    <n v="0"/>
    <n v="107848"/>
    <n v="77822538.734720007"/>
    <s v="EPER"/>
    <n v="7414000005"/>
  </r>
  <r>
    <x v="73"/>
    <s v="ARJEA, S.C"/>
    <x v="57"/>
    <s v="NORMAL"/>
    <s v="MXN"/>
    <n v="52000"/>
    <n v="635.96311900000001"/>
    <n v="33070082.188000001"/>
    <n v="647.65876318000005"/>
    <n v="-608173.49736000004"/>
    <n v="0"/>
    <n v="0"/>
    <n v="0"/>
    <n v="0"/>
    <n v="52000"/>
    <n v="33070082.188000001"/>
    <s v="EPER"/>
    <n v="7414000005"/>
  </r>
  <r>
    <x v="73"/>
    <s v="ARJEA, S.C"/>
    <x v="58"/>
    <s v="NORMAL"/>
    <s v="MXN"/>
    <n v="82137"/>
    <n v="709.36974099999998"/>
    <n v="58265502.416516997"/>
    <n v="721.00412080537751"/>
    <n v="-955613.05407428998"/>
    <n v="0"/>
    <n v="0"/>
    <n v="0"/>
    <n v="0"/>
    <n v="82137"/>
    <n v="58265502.416516997"/>
    <s v="EPER"/>
    <n v="7414000005"/>
  </r>
  <r>
    <x v="73"/>
    <s v="ARJEA, S.C"/>
    <x v="59"/>
    <s v="NORMAL"/>
    <s v="MXN"/>
    <n v="138946"/>
    <n v="694.41118700000004"/>
    <n v="96485656.788902"/>
    <n v="710.43343324"/>
    <n v="-2226227.0260630399"/>
    <n v="0"/>
    <n v="0"/>
    <n v="0"/>
    <n v="0"/>
    <n v="138946"/>
    <n v="96485656.788902"/>
    <s v="EPER"/>
    <n v="7414000005"/>
  </r>
  <r>
    <x v="73"/>
    <s v="ARJEA, S.C"/>
    <x v="140"/>
    <s v="NORMAL"/>
    <s v="MXN"/>
    <n v="73776247"/>
    <n v="2.424715"/>
    <n v="178886372.744605"/>
    <n v="1.7600941960357512"/>
    <n v="49033228.594604999"/>
    <n v="0"/>
    <n v="0"/>
    <n v="0"/>
    <n v="0"/>
    <n v="73776247"/>
    <n v="178886372.744605"/>
    <s v="EPER"/>
    <n v="7414000005"/>
  </r>
  <r>
    <x v="73"/>
    <s v="ARJEA, S.C"/>
    <x v="103"/>
    <s v="NORMAL"/>
    <s v="MXN"/>
    <n v="113110"/>
    <n v="100.04252700000001"/>
    <n v="11315810.228970001"/>
    <n v="100"/>
    <n v="4810.2289700000001"/>
    <n v="0"/>
    <n v="0"/>
    <n v="0"/>
    <n v="0"/>
    <n v="113110"/>
    <n v="11315810.228970001"/>
    <s v="EPER"/>
    <n v="7414000005"/>
  </r>
  <r>
    <x v="74"/>
    <s v="SCOTIABANK INVERLAT SA FID 1104127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74"/>
    <s v="SCOTIABANK INVERLAT SA FID 11041274"/>
    <x v="0"/>
    <s v="NORMAL"/>
    <s v="MXN"/>
    <n v="1795043"/>
    <n v="3.3967719999999999"/>
    <n v="6097351.8011959996"/>
    <n v="3.3902456319987877"/>
    <n v="11715.111196"/>
    <n v="0"/>
    <n v="0"/>
    <n v="0"/>
    <n v="0"/>
    <n v="1795043"/>
    <n v="6097351.8011959996"/>
    <s v="EPER"/>
    <n v="7414000005"/>
  </r>
  <r>
    <x v="75"/>
    <s v="BANCO SANTANDER MEXICO SA FIDEICOMISO F/2460173-0"/>
    <x v="86"/>
    <s v="NORMAL"/>
    <s v="MXN"/>
    <n v="6987"/>
    <n v="9.4935880000000008"/>
    <n v="66331.699355999997"/>
    <n v="8.4405498100000003"/>
    <n v="7357.5778335300001"/>
    <n v="0"/>
    <n v="0"/>
    <n v="0"/>
    <n v="0"/>
    <n v="6987"/>
    <n v="66331.699355999997"/>
    <s v="EPER"/>
    <n v="7414000005"/>
  </r>
  <r>
    <x v="75"/>
    <s v="BANCO SANTANDER MEXICO SA FIDEICOMISO F/2460173-0"/>
    <x v="72"/>
    <s v="NORMAL"/>
    <s v="MXN"/>
    <n v="9530"/>
    <n v="9.3381629999999998"/>
    <n v="88992.69339"/>
    <n v="8.3307969100000001"/>
    <n v="9600.1988376999998"/>
    <n v="0"/>
    <n v="0"/>
    <n v="0"/>
    <n v="0"/>
    <n v="9530"/>
    <n v="88992.69339"/>
    <s v="EPER"/>
    <n v="7414000005"/>
  </r>
  <r>
    <x v="75"/>
    <s v="BANCO SANTANDER MEXICO SA FIDEICOMISO F/2460173-0"/>
    <x v="15"/>
    <s v="NORMAL"/>
    <s v="MXN"/>
    <n v="11810"/>
    <n v="9.190137"/>
    <n v="108535.51797"/>
    <n v="8.2167848896359015"/>
    <n v="11495.288423399999"/>
    <n v="0"/>
    <n v="0"/>
    <n v="0"/>
    <n v="0"/>
    <n v="11810"/>
    <n v="108535.51797"/>
    <s v="EPER"/>
    <n v="7414000005"/>
  </r>
  <r>
    <x v="75"/>
    <s v="BANCO SANTANDER MEXICO SA FIDEICOMISO F/2460173-0"/>
    <x v="71"/>
    <s v="NORMAL"/>
    <s v="MXN"/>
    <n v="3060"/>
    <n v="8.3813510000000004"/>
    <n v="25646.93406"/>
    <n v="8.2700011300000007"/>
    <n v="340.73060220000002"/>
    <n v="0"/>
    <n v="0"/>
    <n v="0"/>
    <n v="0"/>
    <n v="3060"/>
    <n v="25646.93406"/>
    <s v="EPER"/>
    <n v="7414000005"/>
  </r>
  <r>
    <x v="75"/>
    <s v="BANCO SANTANDER MEXICO SA FIDEICOMISO F/2460173-0"/>
    <x v="16"/>
    <s v="NORMAL"/>
    <s v="MXN"/>
    <n v="6190"/>
    <n v="8.2580650000000002"/>
    <n v="51117.422350000001"/>
    <n v="8.2501711100000001"/>
    <n v="48.863179100000004"/>
    <n v="0"/>
    <n v="0"/>
    <n v="0"/>
    <n v="0"/>
    <n v="6190"/>
    <n v="51117.422350000001"/>
    <s v="EPER"/>
    <n v="7414000005"/>
  </r>
  <r>
    <x v="75"/>
    <s v="BANCO SANTANDER MEXICO SA FIDEICOMISO F/2460173-0"/>
    <x v="26"/>
    <s v="NORMAL"/>
    <s v="MXN"/>
    <n v="220"/>
    <n v="98.730349000000004"/>
    <n v="21720.676780000002"/>
    <n v="104.68824137999999"/>
    <n v="-1310.7363236000001"/>
    <n v="0"/>
    <n v="0"/>
    <n v="0"/>
    <n v="0"/>
    <n v="220"/>
    <n v="21720.676780000002"/>
    <s v="EPER"/>
    <n v="7414000005"/>
  </r>
  <r>
    <x v="75"/>
    <s v="BANCO SANTANDER MEXICO SA FIDEICOMISO F/2460173-0"/>
    <x v="67"/>
    <s v="NORMAL"/>
    <s v="MXN"/>
    <n v="368"/>
    <n v="99.247497999999993"/>
    <n v="36523.079264"/>
    <n v="116.19270716163044"/>
    <n v="-6235.8369714800001"/>
    <n v="0"/>
    <n v="0"/>
    <n v="0"/>
    <n v="0"/>
    <n v="368"/>
    <n v="36523.079264"/>
    <s v="EPER"/>
    <n v="7414000005"/>
  </r>
  <r>
    <x v="75"/>
    <s v="BANCO SANTANDER MEXICO SA FIDEICOMISO F/2460173-0"/>
    <x v="27"/>
    <s v="NORMAL"/>
    <s v="MXN"/>
    <n v="587"/>
    <n v="94.973146999999997"/>
    <n v="55749.237288999997"/>
    <n v="90.009801730902893"/>
    <n v="2913.4836729600001"/>
    <n v="0"/>
    <n v="0"/>
    <n v="0"/>
    <n v="0"/>
    <n v="587"/>
    <n v="55749.237288999997"/>
    <s v="EPER"/>
    <n v="7414000005"/>
  </r>
  <r>
    <x v="75"/>
    <s v="BANCO SANTANDER MEXICO SA FIDEICOMISO F/2460173-0"/>
    <x v="28"/>
    <s v="NORMAL"/>
    <s v="MXN"/>
    <n v="349"/>
    <n v="91.911821000000003"/>
    <n v="32077.225528999999"/>
    <n v="93.2088459"/>
    <n v="-452.66169009999999"/>
    <n v="0"/>
    <n v="0"/>
    <n v="0"/>
    <n v="0"/>
    <n v="349"/>
    <n v="32077.225528999999"/>
    <s v="EPER"/>
    <n v="7414000005"/>
  </r>
  <r>
    <x v="75"/>
    <s v="BANCO SANTANDER MEXICO SA FIDEICOMISO F/2460173-0"/>
    <x v="30"/>
    <s v="NORMAL"/>
    <s v="MXN"/>
    <n v="344"/>
    <n v="88.698122999999995"/>
    <n v="30512.154311999999"/>
    <n v="85.661432169622088"/>
    <n v="1044.6216456499999"/>
    <n v="0"/>
    <n v="0"/>
    <n v="0"/>
    <n v="0"/>
    <n v="344"/>
    <n v="30512.154311999999"/>
    <s v="EPER"/>
    <n v="7414000005"/>
  </r>
  <r>
    <x v="75"/>
    <s v="BANCO SANTANDER MEXICO SA FIDEICOMISO F/2460173-0"/>
    <x v="31"/>
    <s v="NORMAL"/>
    <s v="MXN"/>
    <n v="457"/>
    <n v="93.314192000000006"/>
    <n v="42644.585744000004"/>
    <n v="84.247366270021885"/>
    <n v="4143.5393586"/>
    <n v="0"/>
    <n v="0"/>
    <n v="0"/>
    <n v="0"/>
    <n v="457"/>
    <n v="42644.585744000004"/>
    <s v="EPER"/>
    <n v="7414000005"/>
  </r>
  <r>
    <x v="75"/>
    <s v="BANCO SANTANDER MEXICO SA FIDEICOMISO F/2460173-0"/>
    <x v="32"/>
    <s v="NORMAL"/>
    <s v="MXN"/>
    <n v="320"/>
    <n v="94.864168000000006"/>
    <n v="30356.533759999998"/>
    <n v="96.492442988125006"/>
    <n v="-521.04799619999994"/>
    <n v="0"/>
    <n v="0"/>
    <n v="0"/>
    <n v="0"/>
    <n v="320"/>
    <n v="30356.533759999998"/>
    <s v="EPER"/>
    <n v="7414000005"/>
  </r>
  <r>
    <x v="75"/>
    <s v="BANCO SANTANDER MEXICO SA FIDEICOMISO F/2460173-0"/>
    <x v="33"/>
    <s v="NORMAL"/>
    <s v="MXN"/>
    <n v="153"/>
    <n v="94.870157000000006"/>
    <n v="14515.134021"/>
    <n v="96.692672049999999"/>
    <n v="-278.84480265000002"/>
    <n v="0"/>
    <n v="0"/>
    <n v="0"/>
    <n v="0"/>
    <n v="153"/>
    <n v="14515.134021"/>
    <s v="EPER"/>
    <n v="7414000005"/>
  </r>
  <r>
    <x v="75"/>
    <s v="BANCO SANTANDER MEXICO SA FIDEICOMISO F/2460173-0"/>
    <x v="34"/>
    <s v="NORMAL"/>
    <s v="MXN"/>
    <n v="570"/>
    <n v="89.489464999999996"/>
    <n v="51008.995049999998"/>
    <n v="90.540416671052625"/>
    <n v="-599.04245249999997"/>
    <n v="0"/>
    <n v="0"/>
    <n v="0"/>
    <n v="0"/>
    <n v="570"/>
    <n v="51008.995049999998"/>
    <s v="EPER"/>
    <n v="7414000005"/>
  </r>
  <r>
    <x v="75"/>
    <s v="BANCO SANTANDER MEXICO SA FIDEICOMISO F/2460173-0"/>
    <x v="35"/>
    <s v="NORMAL"/>
    <s v="MXN"/>
    <n v="360"/>
    <n v="86.197128000000006"/>
    <n v="31030.966079999998"/>
    <n v="89.903420600277784"/>
    <n v="-1334.2653361"/>
    <n v="0"/>
    <n v="0"/>
    <n v="0"/>
    <n v="0"/>
    <n v="360"/>
    <n v="31030.966079999998"/>
    <s v="EPER"/>
    <n v="7414000005"/>
  </r>
  <r>
    <x v="75"/>
    <s v="BANCO SANTANDER MEXICO SA FIDEICOMISO F/2460173-0"/>
    <x v="36"/>
    <s v="NORMAL"/>
    <s v="MXN"/>
    <n v="607"/>
    <n v="86.469353999999996"/>
    <n v="52486.897878000003"/>
    <n v="92.967522502026355"/>
    <n v="-3944.3882807300001"/>
    <n v="0"/>
    <n v="0"/>
    <n v="0"/>
    <n v="0"/>
    <n v="607"/>
    <n v="52486.897878000003"/>
    <s v="EPER"/>
    <n v="7414000005"/>
  </r>
  <r>
    <x v="75"/>
    <s v="BANCO SANTANDER MEXICO SA FIDEICOMISO F/2460173-0"/>
    <x v="81"/>
    <s v="NORMAL"/>
    <s v="MXN"/>
    <n v="12"/>
    <n v="101.45096599999999"/>
    <n v="1217.4115919999999"/>
    <n v="126.46125000000001"/>
    <n v="-300.12340799999998"/>
    <n v="0"/>
    <n v="0"/>
    <n v="0"/>
    <n v="0"/>
    <n v="12"/>
    <n v="1217.4115919999999"/>
    <s v="EPER"/>
    <n v="7414000005"/>
  </r>
  <r>
    <x v="75"/>
    <s v="BANCO SANTANDER MEXICO SA FIDEICOMISO F/2460173-0"/>
    <x v="68"/>
    <s v="NORMAL"/>
    <s v="MXN"/>
    <n v="76"/>
    <n v="89.643172000000007"/>
    <n v="6812.8810720000001"/>
    <n v="117.48666667000001"/>
    <n v="-2116.1055949199999"/>
    <n v="0"/>
    <n v="0"/>
    <n v="0"/>
    <n v="0"/>
    <n v="76"/>
    <n v="6812.8810720000001"/>
    <s v="EPER"/>
    <n v="7414000005"/>
  </r>
  <r>
    <x v="75"/>
    <s v="BANCO SANTANDER MEXICO SA FIDEICOMISO F/2460173-0"/>
    <x v="37"/>
    <s v="NORMAL"/>
    <s v="MXN"/>
    <n v="634"/>
    <n v="81.738860000000003"/>
    <n v="51822.437239999999"/>
    <n v="86.471431911514202"/>
    <n v="-3000.4505918999998"/>
    <n v="0"/>
    <n v="0"/>
    <n v="0"/>
    <n v="0"/>
    <n v="634"/>
    <n v="51822.437239999999"/>
    <s v="EPER"/>
    <n v="7414000005"/>
  </r>
  <r>
    <x v="75"/>
    <s v="BANCO SANTANDER MEXICO SA FIDEICOMISO F/2460173-0"/>
    <x v="38"/>
    <s v="NORMAL"/>
    <s v="MXN"/>
    <n v="77"/>
    <n v="83.200761"/>
    <n v="6406.4585969999998"/>
    <n v="91.791812140649355"/>
    <n v="-661.51093782999999"/>
    <n v="0"/>
    <n v="0"/>
    <n v="0"/>
    <n v="0"/>
    <n v="77"/>
    <n v="6406.4585969999998"/>
    <s v="EPER"/>
    <n v="7414000005"/>
  </r>
  <r>
    <x v="75"/>
    <s v="BANCO SANTANDER MEXICO SA FIDEICOMISO F/2460173-0"/>
    <x v="39"/>
    <s v="NORMAL"/>
    <s v="MXN"/>
    <n v="944"/>
    <n v="82.159907000000004"/>
    <n v="77558.952208000002"/>
    <n v="84.279902834194914"/>
    <n v="-2001.2760674799999"/>
    <n v="0"/>
    <n v="0"/>
    <n v="0"/>
    <n v="0"/>
    <n v="944"/>
    <n v="77558.952208000002"/>
    <s v="EPER"/>
    <n v="7414000005"/>
  </r>
  <r>
    <x v="75"/>
    <s v="BANCO SANTANDER MEXICO SA FIDEICOMISO F/2460173-0"/>
    <x v="88"/>
    <s v="NORMAL"/>
    <s v="MXN"/>
    <n v="640"/>
    <n v="98.007834000000003"/>
    <n v="62725.013760000002"/>
    <n v="92.065546879999999"/>
    <n v="3803.0637568000002"/>
    <n v="0"/>
    <n v="0"/>
    <n v="0"/>
    <n v="0"/>
    <n v="640"/>
    <n v="62725.013760000002"/>
    <s v="EPER"/>
    <n v="7414000005"/>
  </r>
  <r>
    <x v="75"/>
    <s v="BANCO SANTANDER MEXICO SA FIDEICOMISO F/2460173-0"/>
    <x v="0"/>
    <s v="NORMAL"/>
    <s v="MXN"/>
    <n v="78547"/>
    <n v="3.3967719999999999"/>
    <n v="266806.25028400001"/>
    <n v="3.2940944911963537"/>
    <n v="8065.010284"/>
    <n v="0"/>
    <n v="0"/>
    <n v="0"/>
    <n v="0"/>
    <n v="78547"/>
    <n v="266806.25028400001"/>
    <s v="EPER"/>
    <n v="7414000005"/>
  </r>
  <r>
    <x v="75"/>
    <s v="BANCO SANTANDER MEXICO SA FIDEICOMISO F/2460173-0"/>
    <x v="80"/>
    <s v="NORMAL"/>
    <s v="MXN"/>
    <n v="83091"/>
    <n v="3.8832339999999999"/>
    <n v="322661.796294"/>
    <n v="2.9919192210949439"/>
    <n v="74060.236294000002"/>
    <n v="0"/>
    <n v="0"/>
    <n v="0"/>
    <n v="0"/>
    <n v="83091"/>
    <n v="322661.796294"/>
    <s v="EPER"/>
    <n v="7414000005"/>
  </r>
  <r>
    <x v="75"/>
    <s v="BANCO SANTANDER MEXICO SA FIDEICOMISO F/2460173-0"/>
    <x v="141"/>
    <s v="NORMAL"/>
    <s v="MXN"/>
    <n v="30"/>
    <n v="256.05011500000001"/>
    <n v="7681.5034500000002"/>
    <n v="487.31725925000001"/>
    <n v="-6938.0143275"/>
    <n v="0"/>
    <n v="0"/>
    <n v="0"/>
    <n v="0"/>
    <n v="30"/>
    <n v="7681.5034500000002"/>
    <s v="EPER"/>
    <n v="7414000005"/>
  </r>
  <r>
    <x v="75"/>
    <s v="BANCO SANTANDER MEXICO SA FIDEICOMISO F/2460173-0"/>
    <x v="51"/>
    <s v="NORMAL"/>
    <s v="MXN"/>
    <n v="45"/>
    <n v="775.69178699999998"/>
    <n v="34906.130415"/>
    <n v="691.58907003555555"/>
    <n v="3784.6222634000001"/>
    <n v="0"/>
    <n v="0"/>
    <n v="0"/>
    <n v="0"/>
    <n v="45"/>
    <n v="34906.130415"/>
    <s v="EPER"/>
    <n v="7414000005"/>
  </r>
  <r>
    <x v="75"/>
    <s v="BANCO SANTANDER MEXICO SA FIDEICOMISO F/2460173-0"/>
    <x v="52"/>
    <s v="NORMAL"/>
    <s v="MXN"/>
    <n v="70"/>
    <n v="747.17843200000004"/>
    <n v="52302.490239999999"/>
    <n v="709.48359479428575"/>
    <n v="2638.6386044000001"/>
    <n v="0"/>
    <n v="0"/>
    <n v="0"/>
    <n v="0"/>
    <n v="70"/>
    <n v="52302.490239999999"/>
    <s v="EPER"/>
    <n v="7414000005"/>
  </r>
  <r>
    <x v="75"/>
    <s v="BANCO SANTANDER MEXICO SA FIDEICOMISO F/2460173-0"/>
    <x v="53"/>
    <s v="NORMAL"/>
    <s v="MXN"/>
    <n v="70"/>
    <n v="765.92388300000005"/>
    <n v="53614.67181"/>
    <n v="753.81432208714284"/>
    <n v="847.66926390000003"/>
    <n v="0"/>
    <n v="0"/>
    <n v="0"/>
    <n v="0"/>
    <n v="70"/>
    <n v="53614.67181"/>
    <s v="EPER"/>
    <n v="7414000005"/>
  </r>
  <r>
    <x v="75"/>
    <s v="BANCO SANTANDER MEXICO SA FIDEICOMISO F/2460173-0"/>
    <x v="54"/>
    <s v="NORMAL"/>
    <s v="MXN"/>
    <n v="288"/>
    <n v="684.88915799999995"/>
    <n v="197248.07750399999"/>
    <n v="676.63728713958335"/>
    <n v="2376.5388078000001"/>
    <n v="0"/>
    <n v="0"/>
    <n v="0"/>
    <n v="0"/>
    <n v="288"/>
    <n v="197248.07750399999"/>
    <s v="EPER"/>
    <n v="7414000005"/>
  </r>
  <r>
    <x v="75"/>
    <s v="BANCO SANTANDER MEXICO SA FIDEICOMISO F/2460173-0"/>
    <x v="55"/>
    <s v="NORMAL"/>
    <s v="MXN"/>
    <n v="32"/>
    <n v="772.926965"/>
    <n v="24733.66288"/>
    <n v="798.93664675000002"/>
    <n v="-832.30981599999996"/>
    <n v="0"/>
    <n v="0"/>
    <n v="0"/>
    <n v="0"/>
    <n v="32"/>
    <n v="24733.66288"/>
    <s v="EPER"/>
    <n v="7414000005"/>
  </r>
  <r>
    <x v="75"/>
    <s v="BANCO SANTANDER MEXICO SA FIDEICOMISO F/2460173-0"/>
    <x v="56"/>
    <s v="NORMAL"/>
    <s v="MXN"/>
    <n v="39"/>
    <n v="721.59464000000003"/>
    <n v="28142.19096"/>
    <n v="741.29717948999996"/>
    <n v="-768.39904010999999"/>
    <n v="0"/>
    <n v="0"/>
    <n v="0"/>
    <n v="0"/>
    <n v="39"/>
    <n v="28142.19096"/>
    <s v="EPER"/>
    <n v="7414000005"/>
  </r>
  <r>
    <x v="75"/>
    <s v="BANCO SANTANDER MEXICO SA FIDEICOMISO F/2460173-0"/>
    <x v="57"/>
    <s v="NORMAL"/>
    <s v="MXN"/>
    <n v="28"/>
    <n v="635.96311900000001"/>
    <n v="17806.967332"/>
    <n v="647.93802047999998"/>
    <n v="-335.29724143999999"/>
    <n v="0"/>
    <n v="0"/>
    <n v="0"/>
    <n v="0"/>
    <n v="28"/>
    <n v="17806.967332"/>
    <s v="EPER"/>
    <n v="7414000005"/>
  </r>
  <r>
    <x v="75"/>
    <s v="BANCO SANTANDER MEXICO SA FIDEICOMISO F/2460173-0"/>
    <x v="58"/>
    <s v="NORMAL"/>
    <s v="MXN"/>
    <n v="48"/>
    <n v="709.36974099999998"/>
    <n v="34049.747567999999"/>
    <n v="724.52122232249997"/>
    <n v="-727.27110347999997"/>
    <n v="0"/>
    <n v="0"/>
    <n v="0"/>
    <n v="0"/>
    <n v="48"/>
    <n v="34049.747567999999"/>
    <s v="EPER"/>
    <n v="7414000005"/>
  </r>
  <r>
    <x v="75"/>
    <s v="BANCO SANTANDER MEXICO SA FIDEICOMISO F/2460173-0"/>
    <x v="59"/>
    <s v="NORMAL"/>
    <s v="MXN"/>
    <n v="192"/>
    <n v="694.41118700000004"/>
    <n v="133326.947904"/>
    <n v="724.59993144458338"/>
    <n v="-5796.2389333600004"/>
    <n v="0"/>
    <n v="0"/>
    <n v="0"/>
    <n v="0"/>
    <n v="192"/>
    <n v="133326.947904"/>
    <s v="EPER"/>
    <n v="7414000005"/>
  </r>
  <r>
    <x v="76"/>
    <s v="BANCO SANTANDER MEXICO SA FIDEICOMISO F/2460173-0"/>
    <x v="130"/>
    <s v="NORMAL"/>
    <s v="MXN"/>
    <n v="224000"/>
    <n v="4.5848760000000004"/>
    <n v="1027012.224"/>
    <n v="4.1816552232142854"/>
    <n v="90321.453999999998"/>
    <n v="0"/>
    <n v="0"/>
    <n v="0"/>
    <n v="0"/>
    <n v="224000"/>
    <n v="1027012.224"/>
    <s v="EPER"/>
    <n v="7414000005"/>
  </r>
  <r>
    <x v="76"/>
    <s v="BANCO SANTANDER MEXICO SA FIDEICOMISO F/2460173-0"/>
    <x v="0"/>
    <s v="NORMAL"/>
    <s v="MXN"/>
    <n v="11786"/>
    <n v="3.3967719999999999"/>
    <n v="40034.354791999998"/>
    <n v="3.2883633124045479"/>
    <n v="1277.704792"/>
    <n v="0"/>
    <n v="0"/>
    <n v="0"/>
    <n v="0"/>
    <n v="11786"/>
    <n v="40034.354791999998"/>
    <s v="EPER"/>
    <n v="7414000005"/>
  </r>
  <r>
    <x v="77"/>
    <s v="BANCO SANTANDER MEXICO SA FIDEICOMISO F/2460173-0"/>
    <x v="86"/>
    <s v="NORMAL"/>
    <s v="MXN"/>
    <n v="110719"/>
    <n v="9.4935880000000008"/>
    <n v="1051120.569772"/>
    <n v="8.4405498100000003"/>
    <n v="116591.33535861"/>
    <n v="0"/>
    <n v="0"/>
    <n v="0"/>
    <n v="0"/>
    <n v="110719"/>
    <n v="1051120.569772"/>
    <s v="EPER"/>
    <n v="7414000005"/>
  </r>
  <r>
    <x v="77"/>
    <s v="BANCO SANTANDER MEXICO SA FIDEICOMISO F/2460173-0"/>
    <x v="72"/>
    <s v="NORMAL"/>
    <s v="MXN"/>
    <n v="150830"/>
    <n v="9.3381629999999998"/>
    <n v="1408475.1252900001"/>
    <n v="8.3307969100000001"/>
    <n v="151941.0273547"/>
    <n v="0"/>
    <n v="0"/>
    <n v="0"/>
    <n v="0"/>
    <n v="150830"/>
    <n v="1408475.1252900001"/>
    <s v="EPER"/>
    <n v="7414000005"/>
  </r>
  <r>
    <x v="77"/>
    <s v="BANCO SANTANDER MEXICO SA FIDEICOMISO F/2460173-0"/>
    <x v="15"/>
    <s v="NORMAL"/>
    <s v="MXN"/>
    <n v="193050"/>
    <n v="9.190137"/>
    <n v="1774155.9478500001"/>
    <n v="8.2168032736990408"/>
    <n v="187902.0758624"/>
    <n v="0"/>
    <n v="0"/>
    <n v="0"/>
    <n v="0"/>
    <n v="193050"/>
    <n v="1774155.9478500001"/>
    <s v="EPER"/>
    <n v="7414000005"/>
  </r>
  <r>
    <x v="77"/>
    <s v="BANCO SANTANDER MEXICO SA FIDEICOMISO F/2460173-0"/>
    <x v="71"/>
    <s v="NORMAL"/>
    <s v="MXN"/>
    <n v="50830"/>
    <n v="8.3813510000000004"/>
    <n v="426024.07133000001"/>
    <n v="8.2700011300000007"/>
    <n v="5659.9138921000003"/>
    <n v="0"/>
    <n v="0"/>
    <n v="0"/>
    <n v="0"/>
    <n v="50830"/>
    <n v="426024.07133000001"/>
    <s v="EPER"/>
    <n v="7414000005"/>
  </r>
  <r>
    <x v="77"/>
    <s v="BANCO SANTANDER MEXICO SA FIDEICOMISO F/2460173-0"/>
    <x v="16"/>
    <s v="NORMAL"/>
    <s v="MXN"/>
    <n v="103700"/>
    <n v="8.2580650000000002"/>
    <n v="856361.34050000005"/>
    <n v="8.2501711100000001"/>
    <n v="818.59639300000003"/>
    <n v="0"/>
    <n v="0"/>
    <n v="0"/>
    <n v="0"/>
    <n v="103700"/>
    <n v="856361.34050000005"/>
    <s v="EPER"/>
    <n v="7414000005"/>
  </r>
  <r>
    <x v="77"/>
    <s v="BANCO SANTANDER MEXICO SA FIDEICOMISO F/2460173-0"/>
    <x v="26"/>
    <s v="NORMAL"/>
    <s v="MXN"/>
    <n v="4310"/>
    <n v="98.730349000000004"/>
    <n v="425527.80419"/>
    <n v="104.73162454"/>
    <n v="-25865.497577400001"/>
    <n v="0"/>
    <n v="0"/>
    <n v="0"/>
    <n v="0"/>
    <n v="4310"/>
    <n v="425527.80419"/>
    <s v="EPER"/>
    <n v="7414000005"/>
  </r>
  <r>
    <x v="77"/>
    <s v="BANCO SANTANDER MEXICO SA FIDEICOMISO F/2460173-0"/>
    <x v="67"/>
    <s v="NORMAL"/>
    <s v="MXN"/>
    <n v="7887"/>
    <n v="99.247497999999993"/>
    <n v="782765.016726"/>
    <n v="116.87584286583491"/>
    <n v="-139034.75595684"/>
    <n v="0"/>
    <n v="0"/>
    <n v="0"/>
    <n v="0"/>
    <n v="7887"/>
    <n v="782765.016726"/>
    <s v="EPER"/>
    <n v="7414000005"/>
  </r>
  <r>
    <x v="77"/>
    <s v="BANCO SANTANDER MEXICO SA FIDEICOMISO F/2460173-0"/>
    <x v="27"/>
    <s v="NORMAL"/>
    <s v="MXN"/>
    <n v="9342"/>
    <n v="94.973146999999997"/>
    <n v="887239.13927399996"/>
    <n v="90.008268852701775"/>
    <n v="46381.891652060003"/>
    <n v="0"/>
    <n v="0"/>
    <n v="0"/>
    <n v="0"/>
    <n v="9342"/>
    <n v="887239.13927399996"/>
    <s v="EPER"/>
    <n v="7414000005"/>
  </r>
  <r>
    <x v="77"/>
    <s v="BANCO SANTANDER MEXICO SA FIDEICOMISO F/2460173-0"/>
    <x v="28"/>
    <s v="NORMAL"/>
    <s v="MXN"/>
    <n v="5288"/>
    <n v="91.911821000000003"/>
    <n v="486029.70944800001"/>
    <n v="93.2088459"/>
    <n v="-6858.6676711999999"/>
    <n v="0"/>
    <n v="0"/>
    <n v="0"/>
    <n v="0"/>
    <n v="5288"/>
    <n v="486029.70944800001"/>
    <s v="EPER"/>
    <n v="7414000005"/>
  </r>
  <r>
    <x v="77"/>
    <s v="BANCO SANTANDER MEXICO SA FIDEICOMISO F/2460173-0"/>
    <x v="30"/>
    <s v="NORMAL"/>
    <s v="MXN"/>
    <n v="5670"/>
    <n v="88.698122999999995"/>
    <n v="502918.35741"/>
    <n v="85.668007947634919"/>
    <n v="17180.752346910002"/>
    <n v="0"/>
    <n v="0"/>
    <n v="0"/>
    <n v="0"/>
    <n v="5670"/>
    <n v="502918.35741"/>
    <s v="EPER"/>
    <n v="7414000005"/>
  </r>
  <r>
    <x v="77"/>
    <s v="BANCO SANTANDER MEXICO SA FIDEICOMISO F/2460173-0"/>
    <x v="31"/>
    <s v="NORMAL"/>
    <s v="MXN"/>
    <n v="5049"/>
    <n v="93.314192000000006"/>
    <n v="471143.355408"/>
    <n v="96.71254873585265"/>
    <n v="-17158.303159319999"/>
    <n v="0"/>
    <n v="0"/>
    <n v="0"/>
    <n v="0"/>
    <n v="5049"/>
    <n v="471143.355408"/>
    <s v="EPER"/>
    <n v="7414000005"/>
  </r>
  <r>
    <x v="77"/>
    <s v="BANCO SANTANDER MEXICO SA FIDEICOMISO F/2460173-0"/>
    <x v="32"/>
    <s v="NORMAL"/>
    <s v="MXN"/>
    <n v="5250"/>
    <n v="94.864168000000006"/>
    <n v="498036.88199999998"/>
    <n v="96.491211529695235"/>
    <n v="-8541.9785308999999"/>
    <n v="0"/>
    <n v="0"/>
    <n v="0"/>
    <n v="0"/>
    <n v="5250"/>
    <n v="498036.88199999998"/>
    <s v="EPER"/>
    <n v="7414000005"/>
  </r>
  <r>
    <x v="77"/>
    <s v="BANCO SANTANDER MEXICO SA FIDEICOMISO F/2460173-0"/>
    <x v="33"/>
    <s v="NORMAL"/>
    <s v="MXN"/>
    <n v="2037"/>
    <n v="94.870157000000006"/>
    <n v="193250.50980900001"/>
    <n v="96.692672049999999"/>
    <n v="-3712.4631568499999"/>
    <n v="0"/>
    <n v="0"/>
    <n v="0"/>
    <n v="0"/>
    <n v="2037"/>
    <n v="193250.50980900001"/>
    <s v="EPER"/>
    <n v="7414000005"/>
  </r>
  <r>
    <x v="77"/>
    <s v="BANCO SANTANDER MEXICO SA FIDEICOMISO F/2460173-0"/>
    <x v="34"/>
    <s v="NORMAL"/>
    <s v="MXN"/>
    <n v="8702"/>
    <n v="89.489464999999996"/>
    <n v="778737.32443000004"/>
    <n v="90.50660378774765"/>
    <n v="-8851.1417309799999"/>
    <n v="0"/>
    <n v="0"/>
    <n v="0"/>
    <n v="0"/>
    <n v="8702"/>
    <n v="778737.32443000004"/>
    <s v="EPER"/>
    <n v="7414000005"/>
  </r>
  <r>
    <x v="77"/>
    <s v="BANCO SANTANDER MEXICO SA FIDEICOMISO F/2460173-0"/>
    <x v="35"/>
    <s v="NORMAL"/>
    <s v="MXN"/>
    <n v="5760"/>
    <n v="86.197128000000006"/>
    <n v="496495.45727999997"/>
    <n v="89.871190485243062"/>
    <n v="-21162.599914999999"/>
    <n v="0"/>
    <n v="0"/>
    <n v="0"/>
    <n v="0"/>
    <n v="5760"/>
    <n v="496495.45727999997"/>
    <s v="EPER"/>
    <n v="7414000005"/>
  </r>
  <r>
    <x v="77"/>
    <s v="BANCO SANTANDER MEXICO SA FIDEICOMISO F/2460173-0"/>
    <x v="36"/>
    <s v="NORMAL"/>
    <s v="MXN"/>
    <n v="21055"/>
    <n v="86.469353999999996"/>
    <n v="1820612.24847"/>
    <n v="90.802627438551411"/>
    <n v="-91237.072248700002"/>
    <n v="0"/>
    <n v="0"/>
    <n v="0"/>
    <n v="0"/>
    <n v="21055"/>
    <n v="1820612.24847"/>
    <s v="EPER"/>
    <n v="7414000005"/>
  </r>
  <r>
    <x v="77"/>
    <s v="BANCO SANTANDER MEXICO SA FIDEICOMISO F/2460173-0"/>
    <x v="81"/>
    <s v="NORMAL"/>
    <s v="MXN"/>
    <n v="403"/>
    <n v="101.45096599999999"/>
    <n v="40884.739298"/>
    <n v="117.68302937"/>
    <n v="-6541.5215381099997"/>
    <n v="0"/>
    <n v="0"/>
    <n v="0"/>
    <n v="0"/>
    <n v="403"/>
    <n v="40884.739298"/>
    <s v="EPER"/>
    <n v="7414000005"/>
  </r>
  <r>
    <x v="77"/>
    <s v="BANCO SANTANDER MEXICO SA FIDEICOMISO F/2460173-0"/>
    <x v="68"/>
    <s v="NORMAL"/>
    <s v="MXN"/>
    <n v="517"/>
    <n v="89.643172000000007"/>
    <n v="46345.519924"/>
    <n v="117.58450777"/>
    <n v="-14445.670593090001"/>
    <n v="0"/>
    <n v="0"/>
    <n v="0"/>
    <n v="0"/>
    <n v="517"/>
    <n v="46345.519924"/>
    <s v="EPER"/>
    <n v="7414000005"/>
  </r>
  <r>
    <x v="77"/>
    <s v="BANCO SANTANDER MEXICO SA FIDEICOMISO F/2460173-0"/>
    <x v="37"/>
    <s v="NORMAL"/>
    <s v="MXN"/>
    <n v="10307"/>
    <n v="81.738860000000003"/>
    <n v="842482.43001999997"/>
    <n v="86.462077079004558"/>
    <n v="-48682.1984333"/>
    <n v="0"/>
    <n v="0"/>
    <n v="0"/>
    <n v="0"/>
    <n v="10307"/>
    <n v="842482.43001999997"/>
    <s v="EPER"/>
    <n v="7414000005"/>
  </r>
  <r>
    <x v="77"/>
    <s v="BANCO SANTANDER MEXICO SA FIDEICOMISO F/2460173-0"/>
    <x v="38"/>
    <s v="NORMAL"/>
    <s v="MXN"/>
    <n v="2487"/>
    <n v="83.200761"/>
    <n v="206920.29260700001"/>
    <n v="94.396286534752718"/>
    <n v="-27843.272004930001"/>
    <n v="0"/>
    <n v="0"/>
    <n v="0"/>
    <n v="0"/>
    <n v="2487"/>
    <n v="206920.29260700001"/>
    <s v="EPER"/>
    <n v="7414000005"/>
  </r>
  <r>
    <x v="77"/>
    <s v="BANCO SANTANDER MEXICO SA FIDEICOMISO F/2460173-0"/>
    <x v="39"/>
    <s v="NORMAL"/>
    <s v="MXN"/>
    <n v="15918"/>
    <n v="82.159907000000004"/>
    <n v="1307821.3996260001"/>
    <n v="84.278742291020222"/>
    <n v="-33727.62016246"/>
    <n v="0"/>
    <n v="0"/>
    <n v="0"/>
    <n v="0"/>
    <n v="15918"/>
    <n v="1307821.3996260001"/>
    <s v="EPER"/>
    <n v="7414000005"/>
  </r>
  <r>
    <x v="77"/>
    <s v="BANCO SANTANDER MEXICO SA FIDEICOMISO F/2460173-0"/>
    <x v="88"/>
    <s v="NORMAL"/>
    <s v="MXN"/>
    <n v="8580"/>
    <n v="98.007834000000003"/>
    <n v="840907.21571999998"/>
    <n v="92.06807809"/>
    <n v="50963.105707800001"/>
    <n v="0"/>
    <n v="0"/>
    <n v="0"/>
    <n v="0"/>
    <n v="8580"/>
    <n v="840907.21571999998"/>
    <s v="EPER"/>
    <n v="7414000005"/>
  </r>
  <r>
    <x v="77"/>
    <s v="BANCO SANTANDER MEXICO SA FIDEICOMISO F/2460173-0"/>
    <x v="0"/>
    <s v="NORMAL"/>
    <s v="MXN"/>
    <n v="1231571"/>
    <n v="3.3967719999999999"/>
    <n v="4183365.8888119999"/>
    <n v="3.3071989109844258"/>
    <n v="110315.618812"/>
    <n v="0"/>
    <n v="0"/>
    <n v="0"/>
    <n v="0"/>
    <n v="1231571"/>
    <n v="4183365.8888119999"/>
    <s v="EPER"/>
    <n v="7414000005"/>
  </r>
  <r>
    <x v="77"/>
    <s v="BANCO SANTANDER MEXICO SA FIDEICOMISO F/2460173-0"/>
    <x v="80"/>
    <s v="NORMAL"/>
    <s v="MXN"/>
    <n v="1572064"/>
    <n v="3.8832339999999999"/>
    <n v="6104692.3749759998"/>
    <n v="2.8718089467095487"/>
    <n v="1590024.9149760001"/>
    <n v="0"/>
    <n v="0"/>
    <n v="0"/>
    <n v="0"/>
    <n v="1572064"/>
    <n v="6104692.3749759998"/>
    <s v="EPER"/>
    <n v="7414000005"/>
  </r>
  <r>
    <x v="77"/>
    <s v="BANCO SANTANDER MEXICO SA FIDEICOMISO F/2460173-0"/>
    <x v="141"/>
    <s v="NORMAL"/>
    <s v="MXN"/>
    <n v="122"/>
    <n v="256.05011500000001"/>
    <n v="31238.114030000001"/>
    <n v="487.31725979999999"/>
    <n v="-28214.591665600001"/>
    <n v="0"/>
    <n v="0"/>
    <n v="0"/>
    <n v="0"/>
    <n v="122"/>
    <n v="31238.114030000001"/>
    <s v="EPER"/>
    <n v="7414000005"/>
  </r>
  <r>
    <x v="77"/>
    <s v="BANCO SANTANDER MEXICO SA FIDEICOMISO F/2460173-0"/>
    <x v="51"/>
    <s v="NORMAL"/>
    <s v="MXN"/>
    <n v="704"/>
    <n v="775.69178699999998"/>
    <n v="546087.01804800006"/>
    <n v="678.53024991690336"/>
    <n v="68401.722106500005"/>
    <n v="0"/>
    <n v="0"/>
    <n v="0"/>
    <n v="0"/>
    <n v="704"/>
    <n v="546087.01804800006"/>
    <s v="EPER"/>
    <n v="7414000005"/>
  </r>
  <r>
    <x v="77"/>
    <s v="BANCO SANTANDER MEXICO SA FIDEICOMISO F/2460173-0"/>
    <x v="52"/>
    <s v="NORMAL"/>
    <s v="MXN"/>
    <n v="1080"/>
    <n v="747.17843200000004"/>
    <n v="806952.70655999996"/>
    <n v="709.91263918694449"/>
    <n v="40247.056238099998"/>
    <n v="0"/>
    <n v="0"/>
    <n v="0"/>
    <n v="0"/>
    <n v="1080"/>
    <n v="806952.70655999996"/>
    <s v="EPER"/>
    <n v="7414000005"/>
  </r>
  <r>
    <x v="77"/>
    <s v="BANCO SANTANDER MEXICO SA FIDEICOMISO F/2460173-0"/>
    <x v="53"/>
    <s v="NORMAL"/>
    <s v="MXN"/>
    <n v="1134"/>
    <n v="765.92388300000005"/>
    <n v="868557.68332199997"/>
    <n v="750.48320679506173"/>
    <n v="17509.726816400002"/>
    <n v="0"/>
    <n v="0"/>
    <n v="0"/>
    <n v="0"/>
    <n v="1134"/>
    <n v="868557.68332199997"/>
    <s v="EPER"/>
    <n v="7414000005"/>
  </r>
  <r>
    <x v="77"/>
    <s v="BANCO SANTANDER MEXICO SA FIDEICOMISO F/2460173-0"/>
    <x v="54"/>
    <s v="NORMAL"/>
    <s v="MXN"/>
    <n v="4695"/>
    <n v="684.88915799999995"/>
    <n v="3215554.59681"/>
    <n v="677.10494539680508"/>
    <n v="36546.878171999997"/>
    <n v="0"/>
    <n v="0"/>
    <n v="0"/>
    <n v="0"/>
    <n v="4695"/>
    <n v="3215554.59681"/>
    <s v="EPER"/>
    <n v="7414000005"/>
  </r>
  <r>
    <x v="77"/>
    <s v="BANCO SANTANDER MEXICO SA FIDEICOMISO F/2460173-0"/>
    <x v="55"/>
    <s v="NORMAL"/>
    <s v="MXN"/>
    <n v="473"/>
    <n v="772.926965"/>
    <n v="365594.45444499998"/>
    <n v="798.93664675000002"/>
    <n v="-12302.57946775"/>
    <n v="0"/>
    <n v="0"/>
    <n v="0"/>
    <n v="0"/>
    <n v="473"/>
    <n v="365594.45444499998"/>
    <s v="EPER"/>
    <n v="7414000005"/>
  </r>
  <r>
    <x v="77"/>
    <s v="BANCO SANTANDER MEXICO SA FIDEICOMISO F/2460173-0"/>
    <x v="56"/>
    <s v="NORMAL"/>
    <s v="MXN"/>
    <n v="571"/>
    <n v="721.59464000000003"/>
    <n v="412030.53944000002"/>
    <n v="758.40882911189146"/>
    <n v="-21020.901982889998"/>
    <n v="0"/>
    <n v="0"/>
    <n v="0"/>
    <n v="0"/>
    <n v="571"/>
    <n v="412030.53944000002"/>
    <s v="EPER"/>
    <n v="7414000005"/>
  </r>
  <r>
    <x v="77"/>
    <s v="BANCO SANTANDER MEXICO SA FIDEICOMISO F/2460173-0"/>
    <x v="57"/>
    <s v="NORMAL"/>
    <s v="MXN"/>
    <n v="469"/>
    <n v="635.96311900000001"/>
    <n v="298266.702811"/>
    <n v="647.93802047999998"/>
    <n v="-5616.2287941200002"/>
    <n v="0"/>
    <n v="0"/>
    <n v="0"/>
    <n v="0"/>
    <n v="469"/>
    <n v="298266.702811"/>
    <s v="EPER"/>
    <n v="7414000005"/>
  </r>
  <r>
    <x v="77"/>
    <s v="BANCO SANTANDER MEXICO SA FIDEICOMISO F/2460173-0"/>
    <x v="58"/>
    <s v="NORMAL"/>
    <s v="MXN"/>
    <n v="875"/>
    <n v="709.36974099999998"/>
    <n v="620698.52337499999"/>
    <n v="728.51284808879996"/>
    <n v="-16750.2187027"/>
    <n v="0"/>
    <n v="0"/>
    <n v="0"/>
    <n v="0"/>
    <n v="875"/>
    <n v="620698.52337499999"/>
    <s v="EPER"/>
    <n v="7414000005"/>
  </r>
  <r>
    <x v="77"/>
    <s v="BANCO SANTANDER MEXICO SA FIDEICOMISO F/2460173-0"/>
    <x v="59"/>
    <s v="NORMAL"/>
    <s v="MXN"/>
    <n v="2939"/>
    <n v="694.41118700000004"/>
    <n v="2040874.478593"/>
    <n v="723.71357297702957"/>
    <n v="-86119.712386490006"/>
    <n v="0"/>
    <n v="0"/>
    <n v="0"/>
    <n v="0"/>
    <n v="2939"/>
    <n v="2040874.478593"/>
    <s v="EPER"/>
    <n v="7414000005"/>
  </r>
  <r>
    <x v="78"/>
    <s v="BANCO SANTANDER MEXICO SA FIDEICOMISO F/2460173-0"/>
    <x v="86"/>
    <s v="NORMAL"/>
    <s v="MXN"/>
    <n v="117241"/>
    <n v="9.4935880000000008"/>
    <n v="1113037.750708"/>
    <n v="8.4405498100000003"/>
    <n v="123459.25043379"/>
    <n v="0"/>
    <n v="0"/>
    <n v="0"/>
    <n v="0"/>
    <n v="117241"/>
    <n v="1113037.750708"/>
    <s v="EPER"/>
    <n v="7414000005"/>
  </r>
  <r>
    <x v="78"/>
    <s v="BANCO SANTANDER MEXICO SA FIDEICOMISO F/2460173-0"/>
    <x v="72"/>
    <s v="NORMAL"/>
    <s v="MXN"/>
    <n v="159710"/>
    <n v="9.3381629999999998"/>
    <n v="1491398.0127300001"/>
    <n v="8.3307969100000001"/>
    <n v="160886.4382339"/>
    <n v="0"/>
    <n v="0"/>
    <n v="0"/>
    <n v="0"/>
    <n v="159710"/>
    <n v="1491398.0127300001"/>
    <s v="EPER"/>
    <n v="7414000005"/>
  </r>
  <r>
    <x v="78"/>
    <s v="BANCO SANTANDER MEXICO SA FIDEICOMISO F/2460173-0"/>
    <x v="15"/>
    <s v="NORMAL"/>
    <s v="MXN"/>
    <n v="205170"/>
    <n v="9.190137"/>
    <n v="1885540.4082899999"/>
    <n v="8.2168055598947216"/>
    <n v="199698.4115664"/>
    <n v="0"/>
    <n v="0"/>
    <n v="0"/>
    <n v="0"/>
    <n v="205170"/>
    <n v="1885540.4082899999"/>
    <s v="EPER"/>
    <n v="7414000005"/>
  </r>
  <r>
    <x v="78"/>
    <s v="BANCO SANTANDER MEXICO SA FIDEICOMISO F/2460173-0"/>
    <x v="71"/>
    <s v="NORMAL"/>
    <s v="MXN"/>
    <n v="56400"/>
    <n v="8.3813510000000004"/>
    <n v="472708.19640000002"/>
    <n v="8.2700011300000007"/>
    <n v="6280.1326680000002"/>
    <n v="0"/>
    <n v="0"/>
    <n v="0"/>
    <n v="0"/>
    <n v="56400"/>
    <n v="472708.19640000002"/>
    <s v="EPER"/>
    <n v="7414000005"/>
  </r>
  <r>
    <x v="78"/>
    <s v="BANCO SANTANDER MEXICO SA FIDEICOMISO F/2460173-0"/>
    <x v="16"/>
    <s v="NORMAL"/>
    <s v="MXN"/>
    <n v="115050"/>
    <n v="8.2580650000000002"/>
    <n v="950090.37824999995"/>
    <n v="8.2501711100000001"/>
    <n v="908.19204449999995"/>
    <n v="0"/>
    <n v="0"/>
    <n v="0"/>
    <n v="0"/>
    <n v="115050"/>
    <n v="950090.37824999995"/>
    <s v="EPER"/>
    <n v="7414000005"/>
  </r>
  <r>
    <x v="78"/>
    <s v="BANCO SANTANDER MEXICO SA FIDEICOMISO F/2460173-0"/>
    <x v="26"/>
    <s v="NORMAL"/>
    <s v="MXN"/>
    <n v="3960"/>
    <n v="98.730349000000004"/>
    <n v="390972.18203999999"/>
    <n v="104.73566667"/>
    <n v="-23781.057973200001"/>
    <n v="0"/>
    <n v="0"/>
    <n v="0"/>
    <n v="0"/>
    <n v="3960"/>
    <n v="390972.18203999999"/>
    <s v="EPER"/>
    <n v="7414000005"/>
  </r>
  <r>
    <x v="78"/>
    <s v="BANCO SANTANDER MEXICO SA FIDEICOMISO F/2460173-0"/>
    <x v="67"/>
    <s v="NORMAL"/>
    <s v="MXN"/>
    <n v="7594"/>
    <n v="99.247497999999993"/>
    <n v="753685.49981199997"/>
    <n v="116.6275953918778"/>
    <n v="-131984.45959392001"/>
    <n v="0"/>
    <n v="0"/>
    <n v="0"/>
    <n v="0"/>
    <n v="7594"/>
    <n v="753685.49981199997"/>
    <s v="EPER"/>
    <n v="7414000005"/>
  </r>
  <r>
    <x v="78"/>
    <s v="BANCO SANTANDER MEXICO SA FIDEICOMISO F/2460173-0"/>
    <x v="27"/>
    <s v="NORMAL"/>
    <s v="MXN"/>
    <n v="9818"/>
    <n v="94.973146999999997"/>
    <n v="932446.35724599997"/>
    <n v="90.009639141338354"/>
    <n v="48731.720156340001"/>
    <n v="0"/>
    <n v="0"/>
    <n v="0"/>
    <n v="0"/>
    <n v="9818"/>
    <n v="932446.35724599997"/>
    <s v="EPER"/>
    <n v="7414000005"/>
  </r>
  <r>
    <x v="78"/>
    <s v="BANCO SANTANDER MEXICO SA FIDEICOMISO F/2460173-0"/>
    <x v="28"/>
    <s v="NORMAL"/>
    <s v="MXN"/>
    <n v="5405"/>
    <n v="91.911821000000003"/>
    <n v="496783.392505"/>
    <n v="93.2088459"/>
    <n v="-7010.4195845000004"/>
    <n v="0"/>
    <n v="0"/>
    <n v="0"/>
    <n v="0"/>
    <n v="5405"/>
    <n v="496783.392505"/>
    <s v="EPER"/>
    <n v="7414000005"/>
  </r>
  <r>
    <x v="78"/>
    <s v="BANCO SANTANDER MEXICO SA FIDEICOMISO F/2460173-0"/>
    <x v="30"/>
    <s v="NORMAL"/>
    <s v="MXN"/>
    <n v="9197"/>
    <n v="88.698122999999995"/>
    <n v="815756.637231"/>
    <n v="85.778805720741545"/>
    <n v="26848.96101734"/>
    <n v="0"/>
    <n v="0"/>
    <n v="0"/>
    <n v="0"/>
    <n v="9197"/>
    <n v="815756.637231"/>
    <s v="EPER"/>
    <n v="7414000005"/>
  </r>
  <r>
    <x v="78"/>
    <s v="BANCO SANTANDER MEXICO SA FIDEICOMISO F/2460173-0"/>
    <x v="31"/>
    <s v="NORMAL"/>
    <s v="MXN"/>
    <n v="6301"/>
    <n v="93.314192000000006"/>
    <n v="587972.72379199998"/>
    <n v="97.152168486657672"/>
    <n v="-24183.089842429999"/>
    <n v="0"/>
    <n v="0"/>
    <n v="0"/>
    <n v="0"/>
    <n v="6301"/>
    <n v="587972.72379199998"/>
    <s v="EPER"/>
    <n v="7414000005"/>
  </r>
  <r>
    <x v="78"/>
    <s v="BANCO SANTANDER MEXICO SA FIDEICOMISO F/2460173-0"/>
    <x v="32"/>
    <s v="NORMAL"/>
    <s v="MXN"/>
    <n v="5780"/>
    <n v="94.864168000000006"/>
    <n v="548314.89104000002"/>
    <n v="96.492803807231837"/>
    <n v="-9413.5149657999991"/>
    <n v="0"/>
    <n v="0"/>
    <n v="0"/>
    <n v="0"/>
    <n v="5780"/>
    <n v="548314.89104000002"/>
    <s v="EPER"/>
    <n v="7414000005"/>
  </r>
  <r>
    <x v="78"/>
    <s v="BANCO SANTANDER MEXICO SA FIDEICOMISO F/2460173-0"/>
    <x v="33"/>
    <s v="NORMAL"/>
    <s v="MXN"/>
    <n v="2240"/>
    <n v="94.870157000000006"/>
    <n v="212509.15168000001"/>
    <n v="96.692672049999999"/>
    <n v="-4082.433712"/>
    <n v="0"/>
    <n v="0"/>
    <n v="0"/>
    <n v="0"/>
    <n v="2240"/>
    <n v="212509.15168000001"/>
    <s v="EPER"/>
    <n v="7414000005"/>
  </r>
  <r>
    <x v="78"/>
    <s v="BANCO SANTANDER MEXICO SA FIDEICOMISO F/2460173-0"/>
    <x v="34"/>
    <s v="NORMAL"/>
    <s v="MXN"/>
    <n v="9538"/>
    <n v="89.489464999999996"/>
    <n v="853550.51717000001"/>
    <n v="90.474746434348916"/>
    <n v="-9397.6143208199992"/>
    <n v="0"/>
    <n v="0"/>
    <n v="0"/>
    <n v="0"/>
    <n v="9538"/>
    <n v="853550.51717000001"/>
    <s v="EPER"/>
    <n v="7414000005"/>
  </r>
  <r>
    <x v="78"/>
    <s v="BANCO SANTANDER MEXICO SA FIDEICOMISO F/2460173-0"/>
    <x v="35"/>
    <s v="NORMAL"/>
    <s v="MXN"/>
    <n v="6380"/>
    <n v="86.197128000000006"/>
    <n v="549937.67663999996"/>
    <n v="89.861306842946703"/>
    <n v="-23377.461018000002"/>
    <n v="0"/>
    <n v="0"/>
    <n v="0"/>
    <n v="0"/>
    <n v="6380"/>
    <n v="549937.67663999996"/>
    <s v="EPER"/>
    <n v="7414000005"/>
  </r>
  <r>
    <x v="78"/>
    <s v="BANCO SANTANDER MEXICO SA FIDEICOMISO F/2460173-0"/>
    <x v="36"/>
    <s v="NORMAL"/>
    <s v="MXN"/>
    <n v="30682"/>
    <n v="86.469353999999996"/>
    <n v="2653052.719428"/>
    <n v="90.471505061123139"/>
    <n v="-122793.99885737999"/>
    <n v="0"/>
    <n v="0"/>
    <n v="0"/>
    <n v="0"/>
    <n v="30682"/>
    <n v="2653052.719428"/>
    <s v="EPER"/>
    <n v="7414000005"/>
  </r>
  <r>
    <x v="78"/>
    <s v="BANCO SANTANDER MEXICO SA FIDEICOMISO F/2460173-0"/>
    <x v="81"/>
    <s v="NORMAL"/>
    <s v="MXN"/>
    <n v="412"/>
    <n v="101.45096599999999"/>
    <n v="41797.797992"/>
    <n v="117.16581832999999"/>
    <n v="-6474.5191599600003"/>
    <n v="0"/>
    <n v="0"/>
    <n v="0"/>
    <n v="0"/>
    <n v="412"/>
    <n v="41797.797992"/>
    <s v="EPER"/>
    <n v="7414000005"/>
  </r>
  <r>
    <x v="78"/>
    <s v="BANCO SANTANDER MEXICO SA FIDEICOMISO F/2460173-0"/>
    <x v="68"/>
    <s v="NORMAL"/>
    <s v="MXN"/>
    <n v="442"/>
    <n v="89.643172000000007"/>
    <n v="39622.282024"/>
    <n v="117.61351206000001"/>
    <n v="-12362.890306519999"/>
    <n v="0"/>
    <n v="0"/>
    <n v="0"/>
    <n v="0"/>
    <n v="442"/>
    <n v="39622.282024"/>
    <s v="EPER"/>
    <n v="7414000005"/>
  </r>
  <r>
    <x v="78"/>
    <s v="BANCO SANTANDER MEXICO SA FIDEICOMISO F/2460173-0"/>
    <x v="37"/>
    <s v="NORMAL"/>
    <s v="MXN"/>
    <n v="11371"/>
    <n v="81.738860000000003"/>
    <n v="929452.57706000004"/>
    <n v="86.458115801873191"/>
    <n v="-53662.657723099997"/>
    <n v="0"/>
    <n v="0"/>
    <n v="0"/>
    <n v="0"/>
    <n v="11371"/>
    <n v="929452.57706000004"/>
    <s v="EPER"/>
    <n v="7414000005"/>
  </r>
  <r>
    <x v="78"/>
    <s v="BANCO SANTANDER MEXICO SA FIDEICOMISO F/2460173-0"/>
    <x v="38"/>
    <s v="NORMAL"/>
    <s v="MXN"/>
    <n v="1576"/>
    <n v="83.200761"/>
    <n v="131124.399336"/>
    <n v="92.80328759456853"/>
    <n v="-15133.58191304"/>
    <n v="0"/>
    <n v="0"/>
    <n v="0"/>
    <n v="0"/>
    <n v="1576"/>
    <n v="131124.399336"/>
    <s v="EPER"/>
    <n v="7414000005"/>
  </r>
  <r>
    <x v="78"/>
    <s v="BANCO SANTANDER MEXICO SA FIDEICOMISO F/2460173-0"/>
    <x v="39"/>
    <s v="NORMAL"/>
    <s v="MXN"/>
    <n v="17408"/>
    <n v="82.159907000000004"/>
    <n v="1430239.661056"/>
    <n v="84.249795421269525"/>
    <n v="-36380.77763746"/>
    <n v="0"/>
    <n v="0"/>
    <n v="0"/>
    <n v="0"/>
    <n v="17408"/>
    <n v="1430239.661056"/>
    <s v="EPER"/>
    <n v="7414000005"/>
  </r>
  <r>
    <x v="78"/>
    <s v="BANCO SANTANDER MEXICO SA FIDEICOMISO F/2460173-0"/>
    <x v="88"/>
    <s v="NORMAL"/>
    <s v="MXN"/>
    <n v="7840"/>
    <n v="98.007834000000003"/>
    <n v="768381.41856000002"/>
    <n v="92.067947700000005"/>
    <n v="46568.708592000003"/>
    <n v="0"/>
    <n v="0"/>
    <n v="0"/>
    <n v="0"/>
    <n v="7840"/>
    <n v="768381.41856000002"/>
    <s v="EPER"/>
    <n v="7414000005"/>
  </r>
  <r>
    <x v="78"/>
    <s v="BANCO SANTANDER MEXICO SA FIDEICOMISO F/2460173-0"/>
    <x v="0"/>
    <s v="NORMAL"/>
    <s v="MXN"/>
    <n v="1813682"/>
    <n v="3.3967719999999999"/>
    <n v="6160664.2345040003"/>
    <n v="3.2943384341907787"/>
    <n v="185781.91450399999"/>
    <n v="0"/>
    <n v="0"/>
    <n v="0"/>
    <n v="0"/>
    <n v="1813682"/>
    <n v="6160664.2345040003"/>
    <s v="EPER"/>
    <n v="7414000005"/>
  </r>
  <r>
    <x v="78"/>
    <s v="BANCO SANTANDER MEXICO SA FIDEICOMISO F/2460173-0"/>
    <x v="80"/>
    <s v="NORMAL"/>
    <s v="MXN"/>
    <n v="1409220"/>
    <n v="3.8832339999999999"/>
    <n v="5472331.0174799999"/>
    <n v="2.8732591859326435"/>
    <n v="1423276.7074800001"/>
    <n v="0"/>
    <n v="0"/>
    <n v="0"/>
    <n v="0"/>
    <n v="1409220"/>
    <n v="5472331.0174799999"/>
    <s v="EPER"/>
    <n v="7414000005"/>
  </r>
  <r>
    <x v="78"/>
    <s v="BANCO SANTANDER MEXICO SA FIDEICOMISO F/2460173-0"/>
    <x v="141"/>
    <s v="NORMAL"/>
    <s v="MXN"/>
    <n v="103"/>
    <n v="256.05011500000001"/>
    <n v="26373.161844999999"/>
    <n v="487.31725861000001"/>
    <n v="-23820.515791829999"/>
    <n v="0"/>
    <n v="0"/>
    <n v="0"/>
    <n v="0"/>
    <n v="103"/>
    <n v="26373.161844999999"/>
    <s v="EPER"/>
    <n v="7414000005"/>
  </r>
  <r>
    <x v="78"/>
    <s v="BANCO SANTANDER MEXICO SA FIDEICOMISO F/2460173-0"/>
    <x v="51"/>
    <s v="NORMAL"/>
    <s v="MXN"/>
    <n v="744"/>
    <n v="775.69178699999998"/>
    <n v="577114.68952799996"/>
    <n v="676.3296398930645"/>
    <n v="73925.437447560005"/>
    <n v="0"/>
    <n v="0"/>
    <n v="0"/>
    <n v="0"/>
    <n v="744"/>
    <n v="577114.68952799996"/>
    <s v="EPER"/>
    <n v="7414000005"/>
  </r>
  <r>
    <x v="78"/>
    <s v="BANCO SANTANDER MEXICO SA FIDEICOMISO F/2460173-0"/>
    <x v="52"/>
    <s v="NORMAL"/>
    <s v="MXN"/>
    <n v="1140"/>
    <n v="747.17843200000004"/>
    <n v="851783.41248000006"/>
    <n v="709.91443943000002"/>
    <n v="42480.951529799997"/>
    <n v="0"/>
    <n v="0"/>
    <n v="0"/>
    <n v="0"/>
    <n v="1140"/>
    <n v="851783.41248000006"/>
    <s v="EPER"/>
    <n v="7414000005"/>
  </r>
  <r>
    <x v="78"/>
    <s v="BANCO SANTANDER MEXICO SA FIDEICOMISO F/2460173-0"/>
    <x v="53"/>
    <s v="NORMAL"/>
    <s v="MXN"/>
    <n v="1075"/>
    <n v="765.92388300000005"/>
    <n v="823368.17422499997"/>
    <n v="750.84219278572095"/>
    <n v="16212.81698035"/>
    <n v="0"/>
    <n v="0"/>
    <n v="0"/>
    <n v="0"/>
    <n v="1075"/>
    <n v="823368.17422499997"/>
    <s v="EPER"/>
    <n v="7414000005"/>
  </r>
  <r>
    <x v="78"/>
    <s v="BANCO SANTANDER MEXICO SA FIDEICOMISO F/2460173-0"/>
    <x v="54"/>
    <s v="NORMAL"/>
    <s v="MXN"/>
    <n v="5246"/>
    <n v="684.88915799999995"/>
    <n v="3592928.522868"/>
    <n v="677.1143315746092"/>
    <n v="40786.739427599998"/>
    <n v="0"/>
    <n v="0"/>
    <n v="0"/>
    <n v="0"/>
    <n v="5246"/>
    <n v="3592928.522868"/>
    <s v="EPER"/>
    <n v="7414000005"/>
  </r>
  <r>
    <x v="78"/>
    <s v="BANCO SANTANDER MEXICO SA FIDEICOMISO F/2460173-0"/>
    <x v="55"/>
    <s v="NORMAL"/>
    <s v="MXN"/>
    <n v="489"/>
    <n v="772.926965"/>
    <n v="377961.28588500002"/>
    <n v="798.93664675000002"/>
    <n v="-12718.73437575"/>
    <n v="0"/>
    <n v="0"/>
    <n v="0"/>
    <n v="0"/>
    <n v="489"/>
    <n v="377961.28588500002"/>
    <s v="EPER"/>
    <n v="7414000005"/>
  </r>
  <r>
    <x v="78"/>
    <s v="BANCO SANTANDER MEXICO SA FIDEICOMISO F/2460173-0"/>
    <x v="56"/>
    <s v="NORMAL"/>
    <s v="MXN"/>
    <n v="549"/>
    <n v="721.59464000000003"/>
    <n v="396155.45736"/>
    <n v="758.77574809999999"/>
    <n v="-20412.4283469"/>
    <n v="0"/>
    <n v="0"/>
    <n v="0"/>
    <n v="0"/>
    <n v="549"/>
    <n v="396155.45736"/>
    <s v="EPER"/>
    <n v="7414000005"/>
  </r>
  <r>
    <x v="78"/>
    <s v="BANCO SANTANDER MEXICO SA FIDEICOMISO F/2460173-0"/>
    <x v="57"/>
    <s v="NORMAL"/>
    <s v="MXN"/>
    <n v="520"/>
    <n v="635.96311900000001"/>
    <n v="330700.82188"/>
    <n v="647.93802047999998"/>
    <n v="-6226.9487695999997"/>
    <n v="0"/>
    <n v="0"/>
    <n v="0"/>
    <n v="0"/>
    <n v="520"/>
    <n v="330700.82188"/>
    <s v="EPER"/>
    <n v="7414000005"/>
  </r>
  <r>
    <x v="78"/>
    <s v="BANCO SANTANDER MEXICO SA FIDEICOMISO F/2460173-0"/>
    <x v="58"/>
    <s v="NORMAL"/>
    <s v="MXN"/>
    <n v="853"/>
    <n v="709.36974099999998"/>
    <n v="605092.38907300006"/>
    <n v="727.64997899205162"/>
    <n v="-15593.04300722"/>
    <n v="0"/>
    <n v="0"/>
    <n v="0"/>
    <n v="0"/>
    <n v="853"/>
    <n v="605092.38907300006"/>
    <s v="EPER"/>
    <n v="7414000005"/>
  </r>
  <r>
    <x v="78"/>
    <s v="BANCO SANTANDER MEXICO SA FIDEICOMISO F/2460173-0"/>
    <x v="59"/>
    <s v="NORMAL"/>
    <s v="MXN"/>
    <n v="3208"/>
    <n v="694.41118700000004"/>
    <n v="2227671.0878960001"/>
    <n v="724.28824838688593"/>
    <n v="-95845.612929130002"/>
    <n v="0"/>
    <n v="0"/>
    <n v="0"/>
    <n v="0"/>
    <n v="3208"/>
    <n v="2227671.0878960001"/>
    <s v="EPER"/>
    <n v="7414000005"/>
  </r>
  <r>
    <x v="79"/>
    <s v="BANCO SANTANDER MEXICO SA FIDEICOMISO F/2460173-0"/>
    <x v="130"/>
    <s v="NORMAL"/>
    <s v="MXN"/>
    <n v="2634000"/>
    <n v="4.5848760000000004"/>
    <n v="12076563.384"/>
    <n v="4.1913217995444194"/>
    <n v="1036621.764"/>
    <n v="0"/>
    <n v="0"/>
    <n v="0"/>
    <n v="0"/>
    <n v="2634000"/>
    <n v="12076563.384"/>
    <s v="EPER"/>
    <n v="7414000005"/>
  </r>
  <r>
    <x v="79"/>
    <s v="BANCO SANTANDER MEXICO SA FIDEICOMISO F/2460173-0"/>
    <x v="0"/>
    <s v="NORMAL"/>
    <s v="MXN"/>
    <n v="126592"/>
    <n v="3.3967719999999999"/>
    <n v="430004.16102399997"/>
    <n v="3.3342632235844287"/>
    <n v="7913.1110239999998"/>
    <n v="0"/>
    <n v="0"/>
    <n v="0"/>
    <n v="0"/>
    <n v="126592"/>
    <n v="430004.16102399997"/>
    <s v="EPER"/>
    <n v="7414000005"/>
  </r>
  <r>
    <x v="79"/>
    <s v="BANCO SANTANDER MEXICO SA FIDEICOMISO F/2460173-0"/>
    <x v="80"/>
    <s v="NORMAL"/>
    <s v="MXN"/>
    <n v="3579"/>
    <n v="3.8832339999999999"/>
    <n v="13898.094486"/>
    <n v="3.2042190556021235"/>
    <n v="2430.1944859999999"/>
    <n v="0"/>
    <n v="0"/>
    <n v="0"/>
    <n v="0"/>
    <n v="3579"/>
    <n v="13898.094486"/>
    <s v="EPER"/>
    <n v="7414000005"/>
  </r>
  <r>
    <x v="80"/>
    <s v="BANCO SANTANDER MEXICO SA FIDEICOMISO F/2460173-0"/>
    <x v="130"/>
    <s v="NORMAL"/>
    <s v="MXN"/>
    <n v="2810000"/>
    <n v="4.5848760000000004"/>
    <n v="12883501.560000001"/>
    <n v="4.1933545907473313"/>
    <n v="1100175.1599999999"/>
    <n v="0"/>
    <n v="0"/>
    <n v="0"/>
    <n v="0"/>
    <n v="2810000"/>
    <n v="12883501.560000001"/>
    <s v="EPER"/>
    <n v="7414000005"/>
  </r>
  <r>
    <x v="80"/>
    <s v="BANCO SANTANDER MEXICO SA FIDEICOMISO F/2460173-0"/>
    <x v="0"/>
    <s v="NORMAL"/>
    <s v="MXN"/>
    <n v="147007"/>
    <n v="3.3967719999999999"/>
    <n v="499349.26140399999"/>
    <n v="3.3267777724870244"/>
    <n v="10289.641404"/>
    <n v="0"/>
    <n v="0"/>
    <n v="0"/>
    <n v="0"/>
    <n v="147007"/>
    <n v="499349.26140399999"/>
    <s v="EPER"/>
    <n v="7414000005"/>
  </r>
  <r>
    <x v="81"/>
    <s v="SAM ASSET MANAGEMENT SA CV SOFI X CTA Y ORDEN DE TERCEROS"/>
    <x v="66"/>
    <s v="NORMAL"/>
    <s v="MXN"/>
    <n v="0"/>
    <n v="0"/>
    <n v="136726683.61000001"/>
    <n v="0"/>
    <n v="0"/>
    <n v="0"/>
    <n v="0"/>
    <n v="0"/>
    <n v="0"/>
    <n v="0"/>
    <n v="136726683.61000001"/>
    <s v="EPER"/>
    <n v="7414000005"/>
  </r>
  <r>
    <x v="81"/>
    <s v="SAM ASSET MANAGEMENT SA CV SOFI X CTA Y ORDEN DE TERCEROS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82"/>
    <s v="AJEMEX CONSULTORES SA DE CV"/>
    <x v="0"/>
    <s v="NORMAL"/>
    <s v="MXN"/>
    <n v="288941"/>
    <n v="3.3967719999999999"/>
    <n v="981466.69845200004"/>
    <n v="3.3520693497980556"/>
    <n v="12916.428452"/>
    <n v="0"/>
    <n v="0"/>
    <n v="0"/>
    <n v="0"/>
    <n v="288941"/>
    <n v="981466.69845200004"/>
    <s v="EPER"/>
    <n v="7414000005"/>
  </r>
  <r>
    <x v="83"/>
    <s v="CAJA RADIOPOLIS SC"/>
    <x v="0"/>
    <s v="NORMAL"/>
    <s v="MXN"/>
    <n v="1266664"/>
    <n v="3.3967719999999999"/>
    <n v="4302568.8086080002"/>
    <n v="3.2114013740028926"/>
    <n v="234802.29860800001"/>
    <n v="0"/>
    <n v="0"/>
    <n v="0"/>
    <n v="0"/>
    <n v="1266664"/>
    <n v="4302568.8086080002"/>
    <s v="EPER"/>
    <n v="7414000005"/>
  </r>
  <r>
    <x v="84"/>
    <s v="FONDO RADIOPOLIS SC"/>
    <x v="0"/>
    <s v="NORMAL"/>
    <s v="MXN"/>
    <n v="2766884"/>
    <n v="3.3967719999999999"/>
    <n v="9398474.0984480008"/>
    <n v="3.3267261764497538"/>
    <n v="193808.66844800001"/>
    <n v="0"/>
    <n v="0"/>
    <n v="0"/>
    <n v="0"/>
    <n v="2766884"/>
    <n v="9398474.0984480008"/>
    <s v="EPER"/>
    <n v="7414000005"/>
  </r>
  <r>
    <x v="85"/>
    <s v="SAINT GOBAIN PLAKA, S.A. DE C.V."/>
    <x v="90"/>
    <s v="NORMAL"/>
    <s v="MXN"/>
    <n v="180276"/>
    <n v="3.4005040000000002"/>
    <n v="613029.25910400006"/>
    <n v="3.3576768399565111"/>
    <n v="7720.7091039999996"/>
    <n v="0"/>
    <n v="0"/>
    <n v="0"/>
    <n v="0"/>
    <n v="180276"/>
    <n v="613029.25910400006"/>
    <s v="EPER"/>
    <n v="7414000005"/>
  </r>
  <r>
    <x v="86"/>
    <s v="DANONE DE MEXICO SA DE CV FONDO DE AHORRO SINDICALIZADO"/>
    <x v="66"/>
    <s v="NORMAL"/>
    <s v="MXN"/>
    <n v="0"/>
    <n v="0"/>
    <n v="2066083.19"/>
    <n v="0"/>
    <n v="0"/>
    <n v="0"/>
    <n v="0"/>
    <n v="0"/>
    <n v="0"/>
    <n v="0"/>
    <n v="2066083.19"/>
    <s v="EPER"/>
    <n v="7414000005"/>
  </r>
  <r>
    <x v="86"/>
    <s v="DANONE DE MEXICO SA DE CV FONDO DE AHORRO SINDICALIZADO"/>
    <x v="0"/>
    <s v="NORMAL"/>
    <s v="MXN"/>
    <n v="11271177"/>
    <n v="3.3967719999999999"/>
    <n v="38285618.440644003"/>
    <n v="3.3207661657695553"/>
    <n v="856675.21064399998"/>
    <n v="0"/>
    <n v="0"/>
    <n v="0"/>
    <n v="0"/>
    <n v="11271177"/>
    <n v="38285618.440644003"/>
    <s v="EPER"/>
    <n v="7414000005"/>
  </r>
  <r>
    <x v="87"/>
    <s v="DANONE DE MEXICO SA DE CV FONDO DE AHORRO NO SINDICALIZADO"/>
    <x v="66"/>
    <s v="NORMAL"/>
    <s v="MXN"/>
    <n v="0"/>
    <n v="0"/>
    <n v="4816735.47"/>
    <n v="0"/>
    <n v="0"/>
    <n v="0"/>
    <n v="0"/>
    <n v="0"/>
    <n v="0"/>
    <n v="0"/>
    <n v="4816735.47"/>
    <s v="EPER"/>
    <n v="7414000005"/>
  </r>
  <r>
    <x v="87"/>
    <s v="DANONE DE MEXICO SA DE CV FONDO DE AHORRO NO SINDICALIZADO"/>
    <x v="0"/>
    <s v="NORMAL"/>
    <s v="MXN"/>
    <n v="14901298"/>
    <n v="3.3967719999999999"/>
    <n v="50616311.810056001"/>
    <n v="3.308655970104081"/>
    <n v="1313043.2200559999"/>
    <n v="0"/>
    <n v="0"/>
    <n v="0"/>
    <n v="0"/>
    <n v="14901298"/>
    <n v="50616311.810056001"/>
    <s v="EPER"/>
    <n v="7414000005"/>
  </r>
  <r>
    <x v="88"/>
    <s v="COMPANIA GENERAL DE AGUAS SA DE CV FONDO DE AHORRO"/>
    <x v="90"/>
    <s v="NORMAL"/>
    <s v="MXN"/>
    <n v="5399"/>
    <n v="3.4005040000000002"/>
    <n v="18359.321096"/>
    <n v="3.3420466753102427"/>
    <n v="315.61109599999997"/>
    <n v="0"/>
    <n v="0"/>
    <n v="0"/>
    <n v="0"/>
    <n v="5399"/>
    <n v="18359.321096"/>
    <s v="EPER"/>
    <n v="7414000005"/>
  </r>
  <r>
    <x v="89"/>
    <s v="ENVASADORAS DE AGUAS EN MEXICO S DE RLDECV FDO DE AHORRO SINDICALIZADO"/>
    <x v="66"/>
    <s v="NORMAL"/>
    <s v="MXN"/>
    <n v="0"/>
    <n v="0"/>
    <n v="720199.81"/>
    <n v="0"/>
    <n v="0"/>
    <n v="0"/>
    <n v="0"/>
    <n v="0"/>
    <n v="0"/>
    <n v="0"/>
    <n v="720199.81"/>
    <s v="EPER"/>
    <n v="7414000005"/>
  </r>
  <r>
    <x v="89"/>
    <s v="ENVASADORAS DE AGUAS EN MEXICO S DE RLDECV FDO DE AHORRO SINDICALIZADO"/>
    <x v="90"/>
    <s v="NORMAL"/>
    <s v="MXN"/>
    <n v="4700479"/>
    <n v="3.4005040000000002"/>
    <n v="15983997.641416"/>
    <n v="3.3602059768802284"/>
    <n v="189420.01141599999"/>
    <n v="0"/>
    <n v="0"/>
    <n v="0"/>
    <n v="0"/>
    <n v="4700479"/>
    <n v="15983997.641416"/>
    <s v="EPER"/>
    <n v="7414000005"/>
  </r>
  <r>
    <x v="90"/>
    <s v="SAINT GOBAIN MEXICO SA DE CV (FDO AHORRO EMPLEADOS)"/>
    <x v="90"/>
    <s v="NORMAL"/>
    <s v="MXN"/>
    <n v="1364000"/>
    <n v="3.4005040000000002"/>
    <n v="4638287.4560000002"/>
    <n v="3.3623344428152491"/>
    <n v="52063.275999999998"/>
    <n v="0"/>
    <n v="0"/>
    <n v="0"/>
    <n v="0"/>
    <n v="1364000"/>
    <n v="4638287.4560000002"/>
    <s v="EPER"/>
    <n v="7414000005"/>
  </r>
  <r>
    <x v="91"/>
    <s v="SAINT GOBAIN MEXICO SA DE CV (FDO AHORRO SINDICALIZADOS)"/>
    <x v="90"/>
    <s v="NORMAL"/>
    <s v="MXN"/>
    <n v="1874444"/>
    <n v="3.4005040000000002"/>
    <n v="6374054.3197760005"/>
    <n v="3.354343965463892"/>
    <n v="86524.399776000006"/>
    <n v="0"/>
    <n v="0"/>
    <n v="0"/>
    <n v="0"/>
    <n v="1874444"/>
    <n v="6374054.3197760005"/>
    <s v="EPER"/>
    <n v="7414000005"/>
  </r>
  <r>
    <x v="92"/>
    <s v="ENVASADORA LA SUPREMA SA DE CV FONDO DE AHORRO"/>
    <x v="66"/>
    <s v="NORMAL"/>
    <s v="MXN"/>
    <n v="0"/>
    <n v="0"/>
    <n v="2496246.89"/>
    <n v="0"/>
    <n v="0"/>
    <n v="0"/>
    <n v="0"/>
    <n v="0"/>
    <n v="0"/>
    <n v="0"/>
    <n v="2496246.89"/>
    <s v="EPER"/>
    <n v="7414000005"/>
  </r>
  <r>
    <x v="92"/>
    <s v="ENVASADORA LA SUPREMA SA DE CV FONDO DE AHORRO"/>
    <x v="0"/>
    <s v="NORMAL"/>
    <s v="MXN"/>
    <n v="1617132"/>
    <n v="3.3967719999999999"/>
    <n v="5493028.6979040001"/>
    <n v="3.3388523262170313"/>
    <n v="93663.757903999998"/>
    <n v="0"/>
    <n v="0"/>
    <n v="0"/>
    <n v="0"/>
    <n v="1617132"/>
    <n v="5493028.6979040001"/>
    <s v="EPER"/>
    <n v="7414000005"/>
  </r>
  <r>
    <x v="93"/>
    <s v="ENVASADORA LA SUPREMA SA DE CV FONDO DE PENSIONES"/>
    <x v="0"/>
    <s v="NORMAL"/>
    <s v="MXN"/>
    <n v="1192887"/>
    <n v="3.3967719999999999"/>
    <n v="4051965.1607639999"/>
    <n v="3.3326248839999093"/>
    <n v="76520.260764000006"/>
    <n v="0"/>
    <n v="0"/>
    <n v="0"/>
    <n v="0"/>
    <n v="1192887"/>
    <n v="4051965.1607639999"/>
    <s v="EPER"/>
    <n v="7414000005"/>
  </r>
  <r>
    <x v="93"/>
    <s v="ENVASADORA LA SUPREMA SA DE CV FONDO DE PENSIONES"/>
    <x v="80"/>
    <s v="NORMAL"/>
    <s v="MXN"/>
    <n v="597515"/>
    <n v="3.8832339999999999"/>
    <n v="2320290.5635099998"/>
    <n v="2.7830230370785669"/>
    <n v="657392.55351"/>
    <n v="0"/>
    <n v="0"/>
    <n v="0"/>
    <n v="0"/>
    <n v="597515"/>
    <n v="2320290.5635099998"/>
    <s v="EPER"/>
    <n v="7414000005"/>
  </r>
  <r>
    <x v="93"/>
    <s v="ENVASADORA LA SUPREMA SA DE CV FONDO DE PENSIONES"/>
    <x v="64"/>
    <s v="NORMAL"/>
    <s v="MXN"/>
    <n v="1762362"/>
    <n v="2.7668819999999998"/>
    <n v="4876247.6952839997"/>
    <n v="2.3501810014060673"/>
    <n v="734378.00528399996"/>
    <n v="0"/>
    <n v="0"/>
    <n v="0"/>
    <n v="0"/>
    <n v="1762362"/>
    <n v="4876247.6952839997"/>
    <s v="EPER"/>
    <n v="7414000005"/>
  </r>
  <r>
    <x v="94"/>
    <s v="BONAFONT SA DE CV FONDO DE AHORRO SINDICALIZADO"/>
    <x v="66"/>
    <s v="NORMAL"/>
    <s v="MXN"/>
    <n v="0"/>
    <n v="0"/>
    <n v="411999.01"/>
    <n v="0"/>
    <n v="0"/>
    <n v="0"/>
    <n v="0"/>
    <n v="0"/>
    <n v="0"/>
    <n v="0"/>
    <n v="411999.01"/>
    <s v="EPER"/>
    <n v="7414000005"/>
  </r>
  <r>
    <x v="94"/>
    <s v="BONAFONT SA DE CV FONDO DE AHORRO SINDICALIZADO"/>
    <x v="0"/>
    <s v="NORMAL"/>
    <s v="MXN"/>
    <n v="2496183"/>
    <n v="3.3967719999999999"/>
    <n v="8478964.5212760009"/>
    <n v="3.3294021672289249"/>
    <n v="168167.43127599999"/>
    <n v="0"/>
    <n v="0"/>
    <n v="0"/>
    <n v="0"/>
    <n v="2496183"/>
    <n v="8478964.5212760009"/>
    <s v="EPER"/>
    <n v="7414000005"/>
  </r>
  <r>
    <x v="95"/>
    <s v="BONAFONT SA DE CV FONDO DE AHORRO NO SINDICALIZADO"/>
    <x v="66"/>
    <s v="NORMAL"/>
    <s v="MXN"/>
    <n v="0"/>
    <n v="0"/>
    <n v="1350374.65"/>
    <n v="0"/>
    <n v="0"/>
    <n v="0"/>
    <n v="0"/>
    <n v="0"/>
    <n v="0"/>
    <n v="0"/>
    <n v="1350374.65"/>
    <s v="EPER"/>
    <n v="7414000005"/>
  </r>
  <r>
    <x v="95"/>
    <s v="BONAFONT SA DE CV FONDO DE AHORRO NO SINDICALIZADO"/>
    <x v="0"/>
    <s v="NORMAL"/>
    <s v="MXN"/>
    <n v="3941087"/>
    <n v="3.3967719999999999"/>
    <n v="13386973.971163999"/>
    <n v="3.3242348012109351"/>
    <n v="285875.41116399999"/>
    <n v="0"/>
    <n v="0"/>
    <n v="0"/>
    <n v="0"/>
    <n v="3941087"/>
    <n v="13386973.971163999"/>
    <s v="EPER"/>
    <n v="7414000005"/>
  </r>
  <r>
    <x v="96"/>
    <s v="SIF ICAP SA DE CV FONDO DE AHORRO"/>
    <x v="129"/>
    <s v="NORMAL"/>
    <s v="MXN"/>
    <n v="916623"/>
    <n v="3.137273"/>
    <n v="2875696.5890790001"/>
    <n v="3.0472462506395761"/>
    <n v="82520.589078999998"/>
    <n v="0"/>
    <n v="0"/>
    <n v="0"/>
    <n v="0"/>
    <n v="916623"/>
    <n v="2875696.5890790001"/>
    <s v="EPER"/>
    <n v="7414000005"/>
  </r>
  <r>
    <x v="97"/>
    <s v="SIF ICAP SA DE CV PENSIONES Y PRIMA DE ANTIGUEDAD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97"/>
    <s v="SIF ICAP SA DE CV PENSIONES Y PRIMA DE ANTIGUEDAD"/>
    <x v="142"/>
    <s v="NORMAL"/>
    <s v="MXN"/>
    <n v="1000000"/>
    <n v="9.0621639999999992"/>
    <n v="9062164"/>
    <n v="8.1474269100000001"/>
    <n v="914737.09"/>
    <n v="0"/>
    <n v="0"/>
    <n v="0"/>
    <n v="0"/>
    <n v="1000000"/>
    <n v="9062164"/>
    <s v="EPER"/>
    <n v="7414000005"/>
  </r>
  <r>
    <x v="97"/>
    <s v="SIF ICAP SA DE CV PENSIONES Y PRIMA DE ANTIGUEDAD"/>
    <x v="0"/>
    <s v="NORMAL"/>
    <s v="MXN"/>
    <n v="998432"/>
    <n v="3.3967719999999999"/>
    <n v="3391445.8615040001"/>
    <n v="3.3412600056889201"/>
    <n v="55424.951503999997"/>
    <n v="0"/>
    <n v="0"/>
    <n v="0"/>
    <n v="0"/>
    <n v="998432"/>
    <n v="3391445.8615040001"/>
    <s v="EPER"/>
    <n v="7414000005"/>
  </r>
  <r>
    <x v="98"/>
    <s v="ZURICH ASEGURADORA MEXICANA, S.A. DE C.V"/>
    <x v="72"/>
    <s v="NORMAL"/>
    <s v="MXN"/>
    <n v="140930"/>
    <n v="9.3381629999999998"/>
    <n v="1316027.3115900001"/>
    <n v="8.3307969100000001"/>
    <n v="141968.10306369999"/>
    <n v="0"/>
    <n v="0"/>
    <n v="0"/>
    <n v="0"/>
    <n v="140930"/>
    <n v="1316027.3115900001"/>
    <s v="EPER"/>
    <n v="7414000005"/>
  </r>
  <r>
    <x v="98"/>
    <s v="ZURICH ASEGURADORA MEXICANA, S.A. DE C.V"/>
    <x v="15"/>
    <s v="NORMAL"/>
    <s v="MXN"/>
    <n v="107960"/>
    <n v="9.190137"/>
    <n v="992167.19051999995"/>
    <n v="8.2164038599999998"/>
    <n v="105124.2297944"/>
    <n v="0"/>
    <n v="0"/>
    <n v="0"/>
    <n v="0"/>
    <n v="107960"/>
    <n v="992167.19051999995"/>
    <s v="EPER"/>
    <n v="7414000005"/>
  </r>
  <r>
    <x v="98"/>
    <s v="ZURICH ASEGURADORA MEXICANA, S.A. DE C.V"/>
    <x v="66"/>
    <s v="NORMAL"/>
    <s v="MXN"/>
    <n v="0"/>
    <n v="0"/>
    <n v="6761036.1500000004"/>
    <n v="0"/>
    <n v="0"/>
    <n v="0"/>
    <n v="0"/>
    <n v="0"/>
    <n v="0"/>
    <n v="0"/>
    <n v="6761036.1500000004"/>
    <s v="EPER"/>
    <n v="7414000005"/>
  </r>
  <r>
    <x v="98"/>
    <s v="ZURICH ASEGURADORA MEXICANA, S.A. DE C.V"/>
    <x v="26"/>
    <s v="NORMAL"/>
    <s v="MXN"/>
    <n v="6330"/>
    <n v="98.730349000000004"/>
    <n v="624963.10916999995"/>
    <n v="108.06787303999999"/>
    <n v="-59106.527173199996"/>
    <n v="0"/>
    <n v="0"/>
    <n v="0"/>
    <n v="0"/>
    <n v="6330"/>
    <n v="624963.10916999995"/>
    <s v="EPER"/>
    <n v="7414000005"/>
  </r>
  <r>
    <x v="98"/>
    <s v="ZURICH ASEGURADORA MEXICANA, S.A. DE C.V"/>
    <x v="67"/>
    <s v="NORMAL"/>
    <s v="MXN"/>
    <n v="4639"/>
    <n v="99.247497999999993"/>
    <n v="460409.14322199998"/>
    <n v="115.75135435"/>
    <n v="-76561.389607649995"/>
    <n v="0"/>
    <n v="0"/>
    <n v="0"/>
    <n v="0"/>
    <n v="4639"/>
    <n v="460409.14322199998"/>
    <s v="EPER"/>
    <n v="7414000005"/>
  </r>
  <r>
    <x v="98"/>
    <s v="ZURICH ASEGURADORA MEXICANA, S.A. DE C.V"/>
    <x v="27"/>
    <s v="NORMAL"/>
    <s v="MXN"/>
    <n v="1360"/>
    <n v="94.973146999999997"/>
    <n v="129163.47992"/>
    <n v="91.134764709999999"/>
    <n v="5220.1999144000001"/>
    <n v="0"/>
    <n v="0"/>
    <n v="0"/>
    <n v="0"/>
    <n v="1360"/>
    <n v="129163.47992"/>
    <s v="EPER"/>
    <n v="7414000005"/>
  </r>
  <r>
    <x v="98"/>
    <s v="ZURICH ASEGURADORA MEXICANA, S.A. DE C.V"/>
    <x v="28"/>
    <s v="NORMAL"/>
    <s v="MXN"/>
    <n v="8055"/>
    <n v="91.911821000000003"/>
    <n v="740349.71815500001"/>
    <n v="97.809169460000007"/>
    <n v="-47503.141845300001"/>
    <n v="0"/>
    <n v="0"/>
    <n v="0"/>
    <n v="0"/>
    <n v="8055"/>
    <n v="740349.71815500001"/>
    <s v="EPER"/>
    <n v="7414000005"/>
  </r>
  <r>
    <x v="98"/>
    <s v="ZURICH ASEGURADORA MEXICANA, S.A. DE C.V"/>
    <x v="30"/>
    <s v="NORMAL"/>
    <s v="MXN"/>
    <n v="3380"/>
    <n v="88.698122999999995"/>
    <n v="299799.65574000002"/>
    <n v="92.101102100000006"/>
    <n v="-11502.069358000001"/>
    <n v="0"/>
    <n v="0"/>
    <n v="0"/>
    <n v="0"/>
    <n v="3380"/>
    <n v="299799.65574000002"/>
    <s v="EPER"/>
    <n v="7414000005"/>
  </r>
  <r>
    <x v="98"/>
    <s v="ZURICH ASEGURADORA MEXICANA, S.A. DE C.V"/>
    <x v="31"/>
    <s v="NORMAL"/>
    <s v="MXN"/>
    <n v="6880"/>
    <n v="93.314192000000006"/>
    <n v="642001.64095999999"/>
    <n v="104.61324234"/>
    <n v="-77737.466339199993"/>
    <n v="0"/>
    <n v="0"/>
    <n v="0"/>
    <n v="0"/>
    <n v="6880"/>
    <n v="642001.64095999999"/>
    <s v="EPER"/>
    <n v="7414000005"/>
  </r>
  <r>
    <x v="98"/>
    <s v="ZURICH ASEGURADORA MEXICANA, S.A. DE C.V"/>
    <x v="33"/>
    <s v="NORMAL"/>
    <s v="MXN"/>
    <n v="6256"/>
    <n v="94.870157000000006"/>
    <n v="593507.702192"/>
    <n v="97.949190880677747"/>
    <n v="-19262.43595752"/>
    <n v="0"/>
    <n v="0"/>
    <n v="0"/>
    <n v="0"/>
    <n v="6256"/>
    <n v="593507.702192"/>
    <s v="EPER"/>
    <n v="7414000005"/>
  </r>
  <r>
    <x v="98"/>
    <s v="ZURICH ASEGURADORA MEXICANA, S.A. DE C.V"/>
    <x v="34"/>
    <s v="NORMAL"/>
    <s v="MXN"/>
    <n v="7471"/>
    <n v="89.489464999999996"/>
    <n v="668575.79301499994"/>
    <n v="92.384535582177747"/>
    <n v="-21629.072319449999"/>
    <n v="0"/>
    <n v="0"/>
    <n v="0"/>
    <n v="0"/>
    <n v="7471"/>
    <n v="668575.79301499994"/>
    <s v="EPER"/>
    <n v="7414000005"/>
  </r>
  <r>
    <x v="98"/>
    <s v="ZURICH ASEGURADORA MEXICANA, S.A. DE C.V"/>
    <x v="35"/>
    <s v="NORMAL"/>
    <s v="MXN"/>
    <n v="5030"/>
    <n v="86.197128000000006"/>
    <n v="433571.55384000001"/>
    <n v="90.563850158230622"/>
    <n v="-21964.612455900002"/>
    <n v="0"/>
    <n v="0"/>
    <n v="0"/>
    <n v="0"/>
    <n v="5030"/>
    <n v="433571.55384000001"/>
    <s v="EPER"/>
    <n v="7414000005"/>
  </r>
  <r>
    <x v="98"/>
    <s v="ZURICH ASEGURADORA MEXICANA, S.A. DE C.V"/>
    <x v="36"/>
    <s v="NORMAL"/>
    <s v="MXN"/>
    <n v="1960"/>
    <n v="86.469353999999996"/>
    <n v="169479.93384000001"/>
    <n v="112.18590927"/>
    <n v="-50404.4483292"/>
    <n v="0"/>
    <n v="0"/>
    <n v="0"/>
    <n v="0"/>
    <n v="1960"/>
    <n v="169479.93384000001"/>
    <s v="EPER"/>
    <n v="7414000005"/>
  </r>
  <r>
    <x v="98"/>
    <s v="ZURICH ASEGURADORA MEXICANA, S.A. DE C.V"/>
    <x v="81"/>
    <s v="NORMAL"/>
    <s v="MXN"/>
    <n v="1050"/>
    <n v="101.45096599999999"/>
    <n v="106523.5143"/>
    <n v="116.56035229"/>
    <n v="-15864.8556045"/>
    <n v="0"/>
    <n v="0"/>
    <n v="0"/>
    <n v="0"/>
    <n v="1050"/>
    <n v="106523.5143"/>
    <s v="EPER"/>
    <n v="7414000005"/>
  </r>
  <r>
    <x v="98"/>
    <s v="ZURICH ASEGURADORA MEXICANA, S.A. DE C.V"/>
    <x v="68"/>
    <s v="NORMAL"/>
    <s v="MXN"/>
    <n v="2717"/>
    <n v="89.643172000000007"/>
    <n v="243560.49832399999"/>
    <n v="108.47711815"/>
    <n v="-51171.831689550003"/>
    <n v="0"/>
    <n v="0"/>
    <n v="0"/>
    <n v="0"/>
    <n v="2717"/>
    <n v="243560.49832399999"/>
    <s v="EPER"/>
    <n v="7414000005"/>
  </r>
  <r>
    <x v="98"/>
    <s v="ZURICH ASEGURADORA MEXICANA, S.A. DE C.V"/>
    <x v="38"/>
    <s v="NORMAL"/>
    <s v="MXN"/>
    <n v="1980"/>
    <n v="83.200761"/>
    <n v="164737.50678"/>
    <n v="92.05256061"/>
    <n v="-17526.563227800001"/>
    <n v="0"/>
    <n v="0"/>
    <n v="0"/>
    <n v="0"/>
    <n v="1980"/>
    <n v="164737.50678"/>
    <s v="EPER"/>
    <n v="7414000005"/>
  </r>
  <r>
    <x v="98"/>
    <s v="ZURICH ASEGURADORA MEXICANA, S.A. DE C.V"/>
    <x v="39"/>
    <s v="NORMAL"/>
    <s v="MXN"/>
    <n v="2255"/>
    <n v="82.159907000000004"/>
    <n v="185270.59028500001"/>
    <n v="86.420874420000004"/>
    <n v="-9608.4815321000005"/>
    <n v="0"/>
    <n v="0"/>
    <n v="0"/>
    <n v="0"/>
    <n v="2255"/>
    <n v="185270.59028500001"/>
    <s v="EPER"/>
    <n v="7414000005"/>
  </r>
  <r>
    <x v="98"/>
    <s v="ZURICH ASEGURADORA MEXICANA, S.A. DE C.V"/>
    <x v="88"/>
    <s v="NORMAL"/>
    <s v="MXN"/>
    <n v="11638"/>
    <n v="98.007834000000003"/>
    <n v="1140615.172092"/>
    <n v="89.107030300000005"/>
    <n v="103587.5534606"/>
    <n v="0"/>
    <n v="0"/>
    <n v="0"/>
    <n v="0"/>
    <n v="11638"/>
    <n v="1140615.172092"/>
    <s v="EPER"/>
    <n v="7414000005"/>
  </r>
  <r>
    <x v="98"/>
    <s v="ZURICH ASEGURADORA MEXICANA, S.A. DE C.V"/>
    <x v="143"/>
    <s v="NORMAL"/>
    <s v="MXN"/>
    <n v="970000"/>
    <n v="4.5555430000000001"/>
    <n v="4418876.71"/>
    <n v="3.1184202474226805"/>
    <n v="1394009.07"/>
    <n v="0"/>
    <n v="0"/>
    <n v="0"/>
    <n v="0"/>
    <n v="970000"/>
    <n v="4418876.71"/>
    <s v="EPER"/>
    <n v="7414000005"/>
  </r>
  <r>
    <x v="98"/>
    <s v="ZURICH ASEGURADORA MEXICANA, S.A. DE C.V"/>
    <x v="51"/>
    <s v="NORMAL"/>
    <s v="MXN"/>
    <n v="1078"/>
    <n v="775.69178699999998"/>
    <n v="836195.74638599996"/>
    <n v="749.6274899"/>
    <n v="28097.312273799998"/>
    <n v="0"/>
    <n v="0"/>
    <n v="0"/>
    <n v="0"/>
    <n v="1078"/>
    <n v="836195.74638599996"/>
    <s v="EPER"/>
    <n v="7414000005"/>
  </r>
  <r>
    <x v="98"/>
    <s v="ZURICH ASEGURADORA MEXICANA, S.A. DE C.V"/>
    <x v="52"/>
    <s v="NORMAL"/>
    <s v="MXN"/>
    <n v="710"/>
    <n v="747.17843200000004"/>
    <n v="530496.68672"/>
    <n v="710.45212059845073"/>
    <n v="26075.681095100001"/>
    <n v="0"/>
    <n v="0"/>
    <n v="0"/>
    <n v="0"/>
    <n v="710"/>
    <n v="530496.68672"/>
    <s v="EPER"/>
    <n v="7414000005"/>
  </r>
  <r>
    <x v="98"/>
    <s v="ZURICH ASEGURADORA MEXICANA, S.A. DE C.V"/>
    <x v="53"/>
    <s v="NORMAL"/>
    <s v="MXN"/>
    <n v="1548"/>
    <n v="765.92388300000005"/>
    <n v="1185650.1708839999"/>
    <n v="738.25231559785527"/>
    <n v="42835.586338519999"/>
    <n v="0"/>
    <n v="0"/>
    <n v="0"/>
    <n v="0"/>
    <n v="1548"/>
    <n v="1185650.1708839999"/>
    <s v="EPER"/>
    <n v="7414000005"/>
  </r>
  <r>
    <x v="98"/>
    <s v="ZURICH ASEGURADORA MEXICANA, S.A. DE C.V"/>
    <x v="54"/>
    <s v="NORMAL"/>
    <s v="MXN"/>
    <n v="910"/>
    <n v="684.88915799999995"/>
    <n v="623249.13378000003"/>
    <n v="689.07145538615384"/>
    <n v="-3805.8906213999999"/>
    <n v="0"/>
    <n v="0"/>
    <n v="0"/>
    <n v="0"/>
    <n v="910"/>
    <n v="623249.13378000003"/>
    <s v="EPER"/>
    <n v="7414000005"/>
  </r>
  <r>
    <x v="98"/>
    <s v="ZURICH ASEGURADORA MEXICANA, S.A. DE C.V"/>
    <x v="55"/>
    <s v="NORMAL"/>
    <s v="MXN"/>
    <n v="348"/>
    <n v="772.926965"/>
    <n v="268978.58382"/>
    <n v="623.49165198000003"/>
    <n v="52003.488930959997"/>
    <n v="0"/>
    <n v="0"/>
    <n v="0"/>
    <n v="0"/>
    <n v="348"/>
    <n v="268978.58382"/>
    <s v="EPER"/>
    <n v="7414000005"/>
  </r>
  <r>
    <x v="98"/>
    <s v="ZURICH ASEGURADORA MEXICANA, S.A. DE C.V"/>
    <x v="56"/>
    <s v="NORMAL"/>
    <s v="MXN"/>
    <n v="1327"/>
    <n v="721.59464000000003"/>
    <n v="957556.08727999998"/>
    <n v="758.08309179000003"/>
    <n v="-48420.17552533"/>
    <n v="0"/>
    <n v="0"/>
    <n v="0"/>
    <n v="0"/>
    <n v="1327"/>
    <n v="957556.08727999998"/>
    <s v="EPER"/>
    <n v="7414000005"/>
  </r>
  <r>
    <x v="98"/>
    <s v="ZURICH ASEGURADORA MEXICANA, S.A. DE C.V"/>
    <x v="57"/>
    <s v="NORMAL"/>
    <s v="MXN"/>
    <n v="383"/>
    <n v="635.96311900000001"/>
    <n v="243573.87457700001"/>
    <n v="647.93802047999998"/>
    <n v="-4586.3872668399999"/>
    <n v="0"/>
    <n v="0"/>
    <n v="0"/>
    <n v="0"/>
    <n v="383"/>
    <n v="243573.87457700001"/>
    <s v="EPER"/>
    <n v="7414000005"/>
  </r>
  <r>
    <x v="98"/>
    <s v="ZURICH ASEGURADORA MEXICANA, S.A. DE C.V"/>
    <x v="58"/>
    <s v="NORMAL"/>
    <s v="MXN"/>
    <n v="711"/>
    <n v="709.36974099999998"/>
    <n v="504361.88585100003"/>
    <n v="771.09918425000001"/>
    <n v="-43889.634150749996"/>
    <n v="0"/>
    <n v="0"/>
    <n v="0"/>
    <n v="0"/>
    <n v="711"/>
    <n v="504361.88585100003"/>
    <s v="EPER"/>
    <n v="7414000005"/>
  </r>
  <r>
    <x v="98"/>
    <s v="ZURICH ASEGURADORA MEXICANA, S.A. DE C.V"/>
    <x v="59"/>
    <s v="NORMAL"/>
    <s v="MXN"/>
    <n v="2619"/>
    <n v="694.41118700000004"/>
    <n v="1818662.898753"/>
    <n v="727.27319225586098"/>
    <n v="-86065.591765100005"/>
    <n v="0"/>
    <n v="0"/>
    <n v="0"/>
    <n v="0"/>
    <n v="2619"/>
    <n v="1818662.898753"/>
    <s v="EPER"/>
    <n v="7414000005"/>
  </r>
  <r>
    <x v="99"/>
    <s v="AJEMEX SA DE CV"/>
    <x v="0"/>
    <s v="NORMAL"/>
    <s v="MXN"/>
    <n v="441341"/>
    <n v="3.3967719999999999"/>
    <n v="1499134.751252"/>
    <n v="3.3527301791585193"/>
    <n v="19437.461252000001"/>
    <n v="0"/>
    <n v="0"/>
    <n v="0"/>
    <n v="0"/>
    <n v="441341"/>
    <n v="1499134.751252"/>
    <s v="EPER"/>
    <n v="7414000005"/>
  </r>
  <r>
    <x v="100"/>
    <s v="COCENTRO SA DE CV"/>
    <x v="0"/>
    <s v="NORMAL"/>
    <s v="MXN"/>
    <n v="450953"/>
    <n v="3.3967719999999999"/>
    <n v="1531784.5237159999"/>
    <n v="3.3518677999702851"/>
    <n v="20249.683716"/>
    <n v="0"/>
    <n v="0"/>
    <n v="0"/>
    <n v="0"/>
    <n v="450953"/>
    <n v="1531784.5237159999"/>
    <s v="EPER"/>
    <n v="7414000005"/>
  </r>
  <r>
    <x v="101"/>
    <s v="SAINT GOBAIN PLAKA SA DE CV"/>
    <x v="90"/>
    <s v="NORMAL"/>
    <s v="MXN"/>
    <n v="288953"/>
    <n v="3.4005040000000002"/>
    <n v="982585.83231199998"/>
    <n v="3.3787471664942048"/>
    <n v="6286.7023120000003"/>
    <n v="0"/>
    <n v="0"/>
    <n v="0"/>
    <n v="0"/>
    <n v="288953"/>
    <n v="982585.83231199998"/>
    <s v="EPER"/>
    <n v="7414000005"/>
  </r>
  <r>
    <x v="102"/>
    <s v="AUTOBUSES DE ORIENTE (ADO)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3"/>
    <s v="NORMAL"/>
    <s v="MXN"/>
    <n v="31790"/>
    <n v="100.000484"/>
    <n v="3179015.3863599999"/>
    <n v="100"/>
    <n v="15.38636"/>
    <n v="0"/>
    <n v="0"/>
    <n v="0"/>
    <n v="0"/>
    <n v="31790"/>
    <n v="3179015.3863599999"/>
    <s v="EPER"/>
    <n v="7414000005"/>
  </r>
  <r>
    <x v="103"/>
    <s v="BANCO SANTANDER (MEXICO) FIDEICOMISO F/100246-1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2"/>
    <s v="NORMAL"/>
    <s v="MXN"/>
    <n v="1626153"/>
    <n v="8.5044190000000004"/>
    <n v="13829486.470107"/>
    <n v="8.3071887600000007"/>
    <n v="320726.54646672"/>
    <n v="0"/>
    <n v="0"/>
    <n v="0"/>
    <n v="0"/>
    <n v="1626153"/>
    <n v="13829486.470107"/>
    <s v="EPER"/>
    <n v="7414000005"/>
  </r>
  <r>
    <x v="103"/>
    <s v="BANCO SANTANDER (MEXICO) FIDEICOMISO F/100246-1"/>
    <x v="71"/>
    <s v="NORMAL"/>
    <s v="MXN"/>
    <n v="2668910"/>
    <n v="8.3813510000000004"/>
    <n v="22369071.497409999"/>
    <n v="8.2713869767429031"/>
    <n v="293484.08131109999"/>
    <n v="0"/>
    <n v="0"/>
    <n v="0"/>
    <n v="0"/>
    <n v="2668910"/>
    <n v="22369071.497409999"/>
    <s v="EPER"/>
    <n v="7414000005"/>
  </r>
  <r>
    <x v="103"/>
    <s v="BANCO SANTANDER (MEXICO) FIDEICOMISO F/100246-1"/>
    <x v="16"/>
    <s v="NORMAL"/>
    <s v="MXN"/>
    <n v="3337377"/>
    <n v="8.2580650000000002"/>
    <n v="27560276.195505001"/>
    <n v="8.2583871841649987"/>
    <n v="-1075.2500220300001"/>
    <n v="0"/>
    <n v="0"/>
    <n v="0"/>
    <n v="0"/>
    <n v="3337377"/>
    <n v="27560276.195505001"/>
    <s v="EPER"/>
    <n v="7414000005"/>
  </r>
  <r>
    <x v="103"/>
    <s v="BANCO SANTANDER (MEXICO) FIDEICOMISO F/100246-1"/>
    <x v="66"/>
    <s v="NORMAL"/>
    <s v="MXN"/>
    <n v="0"/>
    <n v="0"/>
    <n v="1098894.58"/>
    <n v="0"/>
    <n v="0"/>
    <n v="0"/>
    <n v="0"/>
    <n v="0"/>
    <n v="0"/>
    <n v="0"/>
    <n v="1098894.58"/>
    <s v="EPER"/>
    <n v="7414000005"/>
  </r>
  <r>
    <x v="103"/>
    <s v="BANCO SANTANDER (MEXICO) FIDEICOMISO F/100246-1"/>
    <x v="26"/>
    <s v="NORMAL"/>
    <s v="MXN"/>
    <n v="56480"/>
    <n v="98.730349000000004"/>
    <n v="5576290.1115199998"/>
    <n v="111.89286593999999"/>
    <n v="-743418.95677120006"/>
    <n v="0"/>
    <n v="0"/>
    <n v="0"/>
    <n v="0"/>
    <n v="56480"/>
    <n v="5576290.1115199998"/>
    <s v="EPER"/>
    <n v="7414000005"/>
  </r>
  <r>
    <x v="103"/>
    <s v="BANCO SANTANDER (MEXICO) FIDEICOMISO F/100246-1"/>
    <x v="67"/>
    <s v="NORMAL"/>
    <s v="MXN"/>
    <n v="213840"/>
    <n v="99.247497999999993"/>
    <n v="21223084.972320002"/>
    <n v="116.96087605337308"/>
    <n v="-3787828.7629332999"/>
    <n v="0"/>
    <n v="0"/>
    <n v="0"/>
    <n v="0"/>
    <n v="213840"/>
    <n v="21223084.972320002"/>
    <s v="EPER"/>
    <n v="7414000005"/>
  </r>
  <r>
    <x v="103"/>
    <s v="BANCO SANTANDER (MEXICO) FIDEICOMISO F/100246-1"/>
    <x v="27"/>
    <s v="NORMAL"/>
    <s v="MXN"/>
    <n v="211730"/>
    <n v="94.973146999999997"/>
    <n v="20108664.414310001"/>
    <n v="89.762576393084586"/>
    <n v="1103234.1146022"/>
    <n v="0"/>
    <n v="0"/>
    <n v="0"/>
    <n v="0"/>
    <n v="211730"/>
    <n v="20108664.414310001"/>
    <s v="EPER"/>
    <n v="7414000005"/>
  </r>
  <r>
    <x v="103"/>
    <s v="BANCO SANTANDER (MEXICO) FIDEICOMISO F/100246-1"/>
    <x v="28"/>
    <s v="NORMAL"/>
    <s v="MXN"/>
    <n v="400098"/>
    <n v="91.911821000000003"/>
    <n v="36773735.758458003"/>
    <n v="90.839871057283659"/>
    <n v="428885.02818092"/>
    <n v="0"/>
    <n v="0"/>
    <n v="0"/>
    <n v="0"/>
    <n v="400098"/>
    <n v="36773735.758458003"/>
    <s v="EPER"/>
    <n v="7414000005"/>
  </r>
  <r>
    <x v="103"/>
    <s v="BANCO SANTANDER (MEXICO) FIDEICOMISO F/100246-1"/>
    <x v="29"/>
    <s v="NORMAL"/>
    <s v="MXN"/>
    <n v="725550"/>
    <n v="92.954503000000003"/>
    <n v="67443139.651649997"/>
    <n v="93.270701028852045"/>
    <n v="-229417.47983359999"/>
    <n v="0"/>
    <n v="0"/>
    <n v="0"/>
    <n v="0"/>
    <n v="725550"/>
    <n v="67443139.651649997"/>
    <s v="EPER"/>
    <n v="7414000005"/>
  </r>
  <r>
    <x v="103"/>
    <s v="BANCO SANTANDER (MEXICO) FIDEICOMISO F/100246-1"/>
    <x v="30"/>
    <s v="NORMAL"/>
    <s v="MXN"/>
    <n v="266639"/>
    <n v="88.698122999999995"/>
    <n v="23650378.818597"/>
    <n v="88.298702795140201"/>
    <n v="106501.00400361"/>
    <n v="0"/>
    <n v="0"/>
    <n v="0"/>
    <n v="0"/>
    <n v="266639"/>
    <n v="23650378.818597"/>
    <s v="EPER"/>
    <n v="7414000005"/>
  </r>
  <r>
    <x v="103"/>
    <s v="BANCO SANTANDER (MEXICO) FIDEICOMISO F/100246-1"/>
    <x v="31"/>
    <s v="NORMAL"/>
    <s v="MXN"/>
    <n v="260500"/>
    <n v="93.314192000000006"/>
    <n v="24308347.015999999"/>
    <n v="93.347952247940114"/>
    <n v="-8794.5445884000001"/>
    <n v="0"/>
    <n v="0"/>
    <n v="0"/>
    <n v="0"/>
    <n v="260500"/>
    <n v="24308347.015999999"/>
    <s v="EPER"/>
    <n v="7414000005"/>
  </r>
  <r>
    <x v="103"/>
    <s v="BANCO SANTANDER (MEXICO) FIDEICOMISO F/10024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88"/>
    <s v="NORMAL"/>
    <s v="MXN"/>
    <n v="20560"/>
    <n v="98.007834000000003"/>
    <n v="2015041.0670400001"/>
    <n v="93.280048030000003"/>
    <n v="97203.279543199998"/>
    <n v="0"/>
    <n v="0"/>
    <n v="0"/>
    <n v="0"/>
    <n v="20560"/>
    <n v="2015041.0670400001"/>
    <s v="EPER"/>
    <n v="7414000005"/>
  </r>
  <r>
    <x v="103"/>
    <s v="BANCO SANTANDER (MEXICO) FIDEICOMISO F/100246-1"/>
    <x v="102"/>
    <s v="NORMAL"/>
    <s v="MXN"/>
    <n v="57960"/>
    <n v="100.38890499999999"/>
    <n v="5818540.9337999998"/>
    <n v="91.398345289999995"/>
    <n v="521092.8407916"/>
    <n v="0"/>
    <n v="0"/>
    <n v="0"/>
    <n v="0"/>
    <n v="57960"/>
    <n v="5818540.9337999998"/>
    <s v="EPER"/>
    <n v="7414000005"/>
  </r>
  <r>
    <x v="103"/>
    <s v="BANCO SANTANDER (MEXICO) FIDEICOMISO F/100246-1"/>
    <x v="148"/>
    <s v="NORMAL"/>
    <s v="MXN"/>
    <n v="11820000"/>
    <n v="4.1069599999999999"/>
    <n v="48544267.200000003"/>
    <n v="3.2688078688663285"/>
    <n v="9906958.1899999995"/>
    <n v="0"/>
    <n v="0"/>
    <n v="0"/>
    <n v="0"/>
    <n v="11820000"/>
    <n v="48544267.200000003"/>
    <s v="EPER"/>
    <n v="7414000005"/>
  </r>
  <r>
    <x v="103"/>
    <s v="BANCO SANTANDER (MEXICO) FIDEICOMISO F/100246-1"/>
    <x v="51"/>
    <s v="NORMAL"/>
    <s v="MXN"/>
    <n v="50"/>
    <n v="775.69178699999998"/>
    <n v="38784.589350000002"/>
    <n v="770.06763651000006"/>
    <n v="281.20752449999998"/>
    <n v="0"/>
    <n v="0"/>
    <n v="0"/>
    <n v="0"/>
    <n v="50"/>
    <n v="38784.589350000002"/>
    <s v="EPER"/>
    <n v="7414000005"/>
  </r>
  <r>
    <x v="104"/>
    <s v="BANCO SANTANDER (MEXICO) FIDEICOMISO F/20875-0"/>
    <x v="13"/>
    <s v="NORMAL"/>
    <s v="MXN"/>
    <n v="15230"/>
    <n v="100.000484"/>
    <n v="1523007.3713199999"/>
    <n v="100"/>
    <n v="7.3713199999999999"/>
    <n v="0"/>
    <n v="0"/>
    <n v="0"/>
    <n v="0"/>
    <n v="15230"/>
    <n v="1523007.3713199999"/>
    <s v="EPER"/>
    <n v="7414000005"/>
  </r>
  <r>
    <x v="104"/>
    <s v="BANCO SANTANDER (MEXICO) FIDEICOMISO F/20875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122"/>
    <s v="NORMAL"/>
    <s v="MXN"/>
    <n v="469515"/>
    <n v="8.5044190000000004"/>
    <n v="3992952.286785"/>
    <n v="8.3071887600000007"/>
    <n v="92602.556133599996"/>
    <n v="0"/>
    <n v="0"/>
    <n v="0"/>
    <n v="0"/>
    <n v="469515"/>
    <n v="3992952.286785"/>
    <s v="EPER"/>
    <n v="7414000005"/>
  </r>
  <r>
    <x v="104"/>
    <s v="BANCO SANTANDER (MEXICO) FIDEICOMISO F/20875-0"/>
    <x v="71"/>
    <s v="NORMAL"/>
    <s v="MXN"/>
    <n v="1299030"/>
    <n v="8.3813510000000004"/>
    <n v="10887626.389529999"/>
    <n v="8.2713651095923115"/>
    <n v="142874.97121630001"/>
    <n v="0"/>
    <n v="0"/>
    <n v="0"/>
    <n v="0"/>
    <n v="1299030"/>
    <n v="10887626.389529999"/>
    <s v="EPER"/>
    <n v="7414000005"/>
  </r>
  <r>
    <x v="104"/>
    <s v="BANCO SANTANDER (MEXICO) FIDEICOMISO F/20875-0"/>
    <x v="16"/>
    <s v="NORMAL"/>
    <s v="MXN"/>
    <n v="1627532"/>
    <n v="8.2580650000000002"/>
    <n v="13440265.04558"/>
    <n v="8.2577354955094471"/>
    <n v="536.27910252000004"/>
    <n v="0"/>
    <n v="0"/>
    <n v="0"/>
    <n v="0"/>
    <n v="1627532"/>
    <n v="13440265.04558"/>
    <s v="EPER"/>
    <n v="7414000005"/>
  </r>
  <r>
    <x v="104"/>
    <s v="BANCO SANTANDER (MEXICO) FIDEICOMISO F/20875-0"/>
    <x v="66"/>
    <s v="NORMAL"/>
    <s v="MXN"/>
    <n v="0"/>
    <n v="0"/>
    <n v="1625075.07"/>
    <n v="0"/>
    <n v="0"/>
    <n v="0"/>
    <n v="0"/>
    <n v="0"/>
    <n v="0"/>
    <n v="0"/>
    <n v="1625075.07"/>
    <s v="EPER"/>
    <n v="7414000005"/>
  </r>
  <r>
    <x v="104"/>
    <s v="BANCO SANTANDER (MEXICO) FIDEICOMISO F/20875-0"/>
    <x v="26"/>
    <s v="NORMAL"/>
    <s v="MXN"/>
    <n v="24937"/>
    <n v="98.730349000000004"/>
    <n v="2462038.7130129999"/>
    <n v="111.89286593999999"/>
    <n v="-328233.68493277999"/>
    <n v="0"/>
    <n v="0"/>
    <n v="0"/>
    <n v="0"/>
    <n v="24937"/>
    <n v="2462038.7130129999"/>
    <s v="EPER"/>
    <n v="7414000005"/>
  </r>
  <r>
    <x v="104"/>
    <s v="BANCO SANTANDER (MEXICO) FIDEICOMISO F/20875-0"/>
    <x v="67"/>
    <s v="NORMAL"/>
    <s v="MXN"/>
    <n v="42820"/>
    <n v="99.247497999999993"/>
    <n v="4249777.86436"/>
    <n v="114.66602873908921"/>
    <n v="-660221.48624780006"/>
    <n v="0"/>
    <n v="0"/>
    <n v="0"/>
    <n v="0"/>
    <n v="42820"/>
    <n v="4249777.86436"/>
    <s v="EPER"/>
    <n v="7414000005"/>
  </r>
  <r>
    <x v="104"/>
    <s v="BANCO SANTANDER (MEXICO) FIDEICOMISO F/20875-0"/>
    <x v="27"/>
    <s v="NORMAL"/>
    <s v="MXN"/>
    <n v="112281"/>
    <n v="94.973146999999997"/>
    <n v="10663679.918307001"/>
    <n v="89.76481543271008"/>
    <n v="584796.67670687998"/>
    <n v="0"/>
    <n v="0"/>
    <n v="0"/>
    <n v="0"/>
    <n v="112281"/>
    <n v="10663679.918307001"/>
    <s v="EPER"/>
    <n v="7414000005"/>
  </r>
  <r>
    <x v="104"/>
    <s v="BANCO SANTANDER (MEXICO) FIDEICOMISO F/20875-0"/>
    <x v="28"/>
    <s v="NORMAL"/>
    <s v="MXN"/>
    <n v="191488"/>
    <n v="91.911821000000003"/>
    <n v="17600010.779647999"/>
    <n v="90.71152459523563"/>
    <n v="229842.35795552001"/>
    <n v="0"/>
    <n v="0"/>
    <n v="0"/>
    <n v="0"/>
    <n v="191488"/>
    <n v="17600010.779647999"/>
    <s v="EPER"/>
    <n v="7414000005"/>
  </r>
  <r>
    <x v="104"/>
    <s v="BANCO SANTANDER (MEXICO) FIDEICOMISO F/20875-0"/>
    <x v="29"/>
    <s v="NORMAL"/>
    <s v="MXN"/>
    <n v="375550"/>
    <n v="92.954503000000003"/>
    <n v="34909063.60165"/>
    <n v="93.271038426409007"/>
    <n v="-118874.8793879"/>
    <n v="0"/>
    <n v="0"/>
    <n v="0"/>
    <n v="0"/>
    <n v="375550"/>
    <n v="34909063.60165"/>
    <s v="EPER"/>
    <n v="7414000005"/>
  </r>
  <r>
    <x v="104"/>
    <s v="BANCO SANTANDER (MEXICO) FIDEICOMISO F/20875-0"/>
    <x v="30"/>
    <s v="NORMAL"/>
    <s v="MXN"/>
    <n v="140261"/>
    <n v="88.698122999999995"/>
    <n v="12440887.430103"/>
    <n v="88.298813108870675"/>
    <n v="56007.604639689998"/>
    <n v="0"/>
    <n v="0"/>
    <n v="0"/>
    <n v="0"/>
    <n v="140261"/>
    <n v="12440887.430103"/>
    <s v="EPER"/>
    <n v="7414000005"/>
  </r>
  <r>
    <x v="104"/>
    <s v="BANCO SANTANDER (MEXICO) FIDEICOMISO F/20875-0"/>
    <x v="31"/>
    <s v="NORMAL"/>
    <s v="MXN"/>
    <n v="111630"/>
    <n v="93.314192000000006"/>
    <n v="10416663.25296"/>
    <n v="93.354296434451314"/>
    <n v="-4476.8580178000002"/>
    <n v="0"/>
    <n v="0"/>
    <n v="0"/>
    <n v="0"/>
    <n v="111630"/>
    <n v="10416663.25296"/>
    <s v="EPER"/>
    <n v="7414000005"/>
  </r>
  <r>
    <x v="104"/>
    <s v="BANCO SANTANDER (MEXICO) FIDEICOMISO F/20875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88"/>
    <s v="NORMAL"/>
    <s v="MXN"/>
    <n v="9590"/>
    <n v="98.007834000000003"/>
    <n v="939895.12806000002"/>
    <n v="93.280048030000003"/>
    <n v="45339.467452299999"/>
    <n v="0"/>
    <n v="0"/>
    <n v="0"/>
    <n v="0"/>
    <n v="9590"/>
    <n v="939895.12806000002"/>
    <s v="EPER"/>
    <n v="7414000005"/>
  </r>
  <r>
    <x v="104"/>
    <s v="BANCO SANTANDER (MEXICO) FIDEICOMISO F/20875-0"/>
    <x v="102"/>
    <s v="NORMAL"/>
    <s v="MXN"/>
    <n v="22830"/>
    <n v="100.38890499999999"/>
    <n v="2291878.7011500001"/>
    <n v="91.398345289999995"/>
    <n v="205254.4781793"/>
    <n v="0"/>
    <n v="0"/>
    <n v="0"/>
    <n v="0"/>
    <n v="22830"/>
    <n v="2291878.7011500001"/>
    <s v="EPER"/>
    <n v="7414000005"/>
  </r>
  <r>
    <x v="104"/>
    <s v="BANCO SANTANDER (MEXICO) FIDEICOMISO F/20875-0"/>
    <x v="148"/>
    <s v="NORMAL"/>
    <s v="MXN"/>
    <n v="5670000"/>
    <n v="4.1069599999999999"/>
    <n v="23286463.199999999"/>
    <n v="3.2025773668430335"/>
    <n v="5127849.53"/>
    <n v="0"/>
    <n v="0"/>
    <n v="0"/>
    <n v="0"/>
    <n v="5670000"/>
    <n v="23286463.199999999"/>
    <s v="EPER"/>
    <n v="7414000005"/>
  </r>
  <r>
    <x v="104"/>
    <s v="BANCO SANTANDER (MEXICO) FIDEICOMISO F/20875-0"/>
    <x v="51"/>
    <s v="NORMAL"/>
    <s v="MXN"/>
    <n v="4"/>
    <n v="775.69178699999998"/>
    <n v="3102.7671479999999"/>
    <n v="770.06763651000006"/>
    <n v="22.49660196"/>
    <n v="0"/>
    <n v="0"/>
    <n v="0"/>
    <n v="0"/>
    <n v="4"/>
    <n v="3102.7671479999999"/>
    <s v="EPER"/>
    <n v="7414000005"/>
  </r>
  <r>
    <x v="104"/>
    <s v="BANCO SANTANDER (MEXICO) FIDEICOMISO F/20875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5"/>
    <s v="BANCO SANTANDER (MEXICO) FIDEICOMISO F/11272-0"/>
    <x v="13"/>
    <s v="NORMAL"/>
    <s v="MXN"/>
    <n v="21230"/>
    <n v="100.000484"/>
    <n v="2123010.27532"/>
    <n v="100"/>
    <n v="10.275320000000001"/>
    <n v="0"/>
    <n v="0"/>
    <n v="0"/>
    <n v="0"/>
    <n v="21230"/>
    <n v="2123010.27532"/>
    <s v="EPER"/>
    <n v="7414000005"/>
  </r>
  <r>
    <x v="105"/>
    <s v="BANCO SANTANDER (MEXICO) FIDEICOMISO F/11272-0"/>
    <x v="131"/>
    <s v="NORMAL"/>
    <s v="MXN"/>
    <n v="1700000"/>
    <n v="9.1534650000000006"/>
    <n v="15560890.5"/>
    <n v="8.9797925000000003"/>
    <n v="295243.25"/>
    <n v="0"/>
    <n v="0"/>
    <n v="0"/>
    <n v="0"/>
    <n v="1700000"/>
    <n v="15560890.5"/>
    <s v="EPER"/>
    <n v="7414000005"/>
  </r>
  <r>
    <x v="105"/>
    <s v="BANCO SANTANDER (MEXICO) FIDEICOMISO F/11272-0"/>
    <x v="71"/>
    <s v="NORMAL"/>
    <s v="MXN"/>
    <n v="140000"/>
    <n v="8.3813510000000004"/>
    <n v="1173389.1399999999"/>
    <n v="8.2700011300000007"/>
    <n v="15588.9818"/>
    <n v="0"/>
    <n v="0"/>
    <n v="0"/>
    <n v="0"/>
    <n v="140000"/>
    <n v="1173389.1399999999"/>
    <s v="EPER"/>
    <n v="7414000005"/>
  </r>
  <r>
    <x v="105"/>
    <s v="BANCO SANTANDER (MEXICO) FIDEICOMISO F/11272-0"/>
    <x v="16"/>
    <s v="NORMAL"/>
    <s v="MXN"/>
    <n v="206800"/>
    <n v="8.2580650000000002"/>
    <n v="1707767.8419999999"/>
    <n v="8.2115149400000007"/>
    <n v="9626.5524079999996"/>
    <n v="0"/>
    <n v="0"/>
    <n v="0"/>
    <n v="0"/>
    <n v="206800"/>
    <n v="1707767.8419999999"/>
    <s v="EPER"/>
    <n v="7414000005"/>
  </r>
  <r>
    <x v="105"/>
    <s v="BANCO SANTANDER (MEXICO) FIDEICOMISO F/11272-0"/>
    <x v="98"/>
    <s v="NORMAL"/>
    <s v="MXN"/>
    <n v="6160"/>
    <n v="93.248425999999995"/>
    <n v="574410.30416000006"/>
    <n v="97.17965882"/>
    <n v="-24216.394171200001"/>
    <n v="0"/>
    <n v="0"/>
    <n v="0"/>
    <n v="0"/>
    <n v="6160"/>
    <n v="574410.30416000006"/>
    <s v="EPER"/>
    <n v="7414000005"/>
  </r>
  <r>
    <x v="105"/>
    <s v="BANCO SANTANDER (MEXICO) FIDEICOMISO F/11272-0"/>
    <x v="66"/>
    <s v="NORMAL"/>
    <s v="MXN"/>
    <n v="0"/>
    <n v="0"/>
    <n v="61019763.859999999"/>
    <n v="0"/>
    <n v="0"/>
    <n v="0"/>
    <n v="0"/>
    <n v="0"/>
    <n v="0"/>
    <n v="0"/>
    <n v="61019763.859999999"/>
    <s v="EPER"/>
    <n v="7414000005"/>
  </r>
  <r>
    <x v="105"/>
    <s v="BANCO SANTANDER (MEXICO) FIDEICOMISO F/11272-0"/>
    <x v="28"/>
    <s v="NORMAL"/>
    <s v="MXN"/>
    <n v="10923"/>
    <n v="91.911821000000003"/>
    <n v="1003952.820783"/>
    <n v="99.894493202676003"/>
    <n v="-87194.728469830006"/>
    <n v="0"/>
    <n v="0"/>
    <n v="0"/>
    <n v="0"/>
    <n v="10923"/>
    <n v="1003952.820783"/>
    <s v="EPER"/>
    <n v="7414000005"/>
  </r>
  <r>
    <x v="105"/>
    <s v="BANCO SANTANDER (MEXICO) FIDEICOMISO F/11272-0"/>
    <x v="30"/>
    <s v="NORMAL"/>
    <s v="MXN"/>
    <n v="51482"/>
    <n v="88.698122999999995"/>
    <n v="4566356.768286"/>
    <n v="88.069429229509538"/>
    <n v="32366.41269239"/>
    <n v="0"/>
    <n v="0"/>
    <n v="0"/>
    <n v="0"/>
    <n v="51482"/>
    <n v="4566356.768286"/>
    <s v="EPER"/>
    <n v="7414000005"/>
  </r>
  <r>
    <x v="105"/>
    <s v="BANCO SANTANDER (MEXICO) FIDEICOMISO F/11272-0"/>
    <x v="31"/>
    <s v="NORMAL"/>
    <s v="MXN"/>
    <n v="87876"/>
    <n v="93.314192000000006"/>
    <n v="8200077.9361920003"/>
    <n v="95.62696583153307"/>
    <n v="-203237.31321980001"/>
    <n v="0"/>
    <n v="0"/>
    <n v="0"/>
    <n v="0"/>
    <n v="87876"/>
    <n v="8200077.9361920003"/>
    <s v="EPER"/>
    <n v="7414000005"/>
  </r>
  <r>
    <x v="105"/>
    <s v="BANCO SANTANDER (MEXICO) FIDEICOMISO F/11272-0"/>
    <x v="32"/>
    <s v="NORMAL"/>
    <s v="MXN"/>
    <n v="35860"/>
    <n v="94.864168000000006"/>
    <n v="3401829.0644800002"/>
    <n v="96.263034200000007"/>
    <n v="-50163.341932000003"/>
    <n v="0"/>
    <n v="0"/>
    <n v="0"/>
    <n v="0"/>
    <n v="35860"/>
    <n v="3401829.0644800002"/>
    <s v="EPER"/>
    <n v="7414000005"/>
  </r>
  <r>
    <x v="105"/>
    <s v="BANCO SANTANDER (MEXICO) FIDEICOMISO F/11272-0"/>
    <x v="33"/>
    <s v="NORMAL"/>
    <s v="MXN"/>
    <n v="151300"/>
    <n v="94.870157000000006"/>
    <n v="14353854.7541"/>
    <n v="97.211223897195637"/>
    <n v="-354203.4215457"/>
    <n v="0"/>
    <n v="0"/>
    <n v="0"/>
    <n v="0"/>
    <n v="151300"/>
    <n v="14353854.7541"/>
    <s v="EPER"/>
    <n v="7414000005"/>
  </r>
  <r>
    <x v="105"/>
    <s v="BANCO SANTANDER (MEXICO) FIDEICOMISO F/11272-0"/>
    <x v="34"/>
    <s v="NORMAL"/>
    <s v="MXN"/>
    <n v="199144"/>
    <n v="89.489464999999996"/>
    <n v="17821290.017960001"/>
    <n v="92.85697234501572"/>
    <n v="-670618.88271580997"/>
    <n v="0"/>
    <n v="0"/>
    <n v="0"/>
    <n v="0"/>
    <n v="199144"/>
    <n v="17821290.017960001"/>
    <s v="EPER"/>
    <n v="7414000005"/>
  </r>
  <r>
    <x v="105"/>
    <s v="BANCO SANTANDER (MEXICO) FIDEICOMISO F/11272-0"/>
    <x v="35"/>
    <s v="NORMAL"/>
    <s v="MXN"/>
    <n v="144987"/>
    <n v="86.197128000000006"/>
    <n v="12497462.997336"/>
    <n v="91.969042462435738"/>
    <n v="-836852.56216516998"/>
    <n v="0"/>
    <n v="0"/>
    <n v="0"/>
    <n v="0"/>
    <n v="144987"/>
    <n v="12497462.997336"/>
    <s v="EPER"/>
    <n v="7414000005"/>
  </r>
  <r>
    <x v="105"/>
    <s v="BANCO SANTANDER (MEXICO) FIDEICOMISO F/11272-0"/>
    <x v="36"/>
    <s v="NORMAL"/>
    <s v="MXN"/>
    <n v="55189"/>
    <n v="86.469353999999996"/>
    <n v="4772157.1779060001"/>
    <n v="89.838096089999993"/>
    <n v="-185917.50720501001"/>
    <n v="0"/>
    <n v="0"/>
    <n v="0"/>
    <n v="0"/>
    <n v="55189"/>
    <n v="4772157.1779060001"/>
    <s v="EPER"/>
    <n v="7414000005"/>
  </r>
  <r>
    <x v="105"/>
    <s v="BANCO SANTANDER (MEXICO) FIDEICOMISO F/11272-0"/>
    <x v="88"/>
    <s v="NORMAL"/>
    <s v="MXN"/>
    <n v="11200"/>
    <n v="98.007834000000003"/>
    <n v="1097687.7408"/>
    <n v="92.657762245866067"/>
    <n v="59920.803646300003"/>
    <n v="0"/>
    <n v="0"/>
    <n v="0"/>
    <n v="0"/>
    <n v="11200"/>
    <n v="1097687.7408"/>
    <s v="EPER"/>
    <n v="7414000005"/>
  </r>
  <r>
    <x v="105"/>
    <s v="BANCO SANTANDER (MEXICO) FIDEICOMISO F/11272-0"/>
    <x v="102"/>
    <s v="NORMAL"/>
    <s v="MXN"/>
    <n v="5690"/>
    <n v="100.38890499999999"/>
    <n v="571212.86945"/>
    <n v="91.398345289999995"/>
    <n v="51156.284749899998"/>
    <n v="0"/>
    <n v="0"/>
    <n v="0"/>
    <n v="0"/>
    <n v="5690"/>
    <n v="571212.86945"/>
    <s v="EPER"/>
    <n v="7414000005"/>
  </r>
  <r>
    <x v="105"/>
    <s v="BANCO SANTANDER (MEXICO) FIDEICOMISO F/11272-0"/>
    <x v="130"/>
    <s v="NORMAL"/>
    <s v="MXN"/>
    <n v="13600000"/>
    <n v="4.5848760000000004"/>
    <n v="62354313.600000001"/>
    <n v="3.4178773522058825"/>
    <n v="15871181.609999999"/>
    <n v="0"/>
    <n v="0"/>
    <n v="0"/>
    <n v="0"/>
    <n v="13600000"/>
    <n v="62354313.600000001"/>
    <s v="EPER"/>
    <n v="7414000005"/>
  </r>
  <r>
    <x v="105"/>
    <s v="BANCO SANTANDER (MEXICO) FIDEICOMISO F/11272-0"/>
    <x v="51"/>
    <s v="NORMAL"/>
    <s v="MXN"/>
    <n v="331"/>
    <n v="775.69178699999998"/>
    <n v="256753.981497"/>
    <n v="766.69784126000002"/>
    <n v="2976.9960399400002"/>
    <n v="0"/>
    <n v="0"/>
    <n v="0"/>
    <n v="0"/>
    <n v="331"/>
    <n v="256753.981497"/>
    <s v="EPER"/>
    <n v="7414000005"/>
  </r>
  <r>
    <x v="105"/>
    <s v="BANCO SANTANDER (MEXICO) FIDEICOMISO F/11272-0"/>
    <x v="53"/>
    <s v="NORMAL"/>
    <s v="MXN"/>
    <n v="5"/>
    <n v="765.92388300000005"/>
    <n v="3829.6194150000001"/>
    <n v="762.50221063000004"/>
    <n v="17.108361850000001"/>
    <n v="0"/>
    <n v="0"/>
    <n v="0"/>
    <n v="0"/>
    <n v="5"/>
    <n v="3829.6194150000001"/>
    <s v="EPER"/>
    <n v="7414000005"/>
  </r>
  <r>
    <x v="105"/>
    <s v="BANCO SANTANDER (MEXICO) FIDEICOMISO F/11272-0"/>
    <x v="54"/>
    <s v="NORMAL"/>
    <s v="MXN"/>
    <n v="1770"/>
    <n v="684.88915799999995"/>
    <n v="1212253.80966"/>
    <n v="700.97292315000004"/>
    <n v="-28468.264315500001"/>
    <n v="0"/>
    <n v="0"/>
    <n v="0"/>
    <n v="0"/>
    <n v="1770"/>
    <n v="1212253.80966"/>
    <s v="EPER"/>
    <n v="7414000005"/>
  </r>
  <r>
    <x v="106"/>
    <s v="BANCO SANTANDER (MEXICO) FIDEICOMISO F/11280-0"/>
    <x v="13"/>
    <s v="NORMAL"/>
    <s v="MXN"/>
    <n v="3880"/>
    <n v="100.000484"/>
    <n v="388001.87792"/>
    <n v="100"/>
    <n v="1.87792"/>
    <n v="0"/>
    <n v="0"/>
    <n v="0"/>
    <n v="0"/>
    <n v="3880"/>
    <n v="388001.87792"/>
    <s v="EPER"/>
    <n v="7414000005"/>
  </r>
  <r>
    <x v="106"/>
    <s v="BANCO SANTANDER (MEXICO) FIDEICOMISO F/11280-0"/>
    <x v="131"/>
    <s v="NORMAL"/>
    <s v="MXN"/>
    <n v="300000"/>
    <n v="9.1534650000000006"/>
    <n v="2746039.5"/>
    <n v="8.9797925000000003"/>
    <n v="52101.75"/>
    <n v="0"/>
    <n v="0"/>
    <n v="0"/>
    <n v="0"/>
    <n v="300000"/>
    <n v="2746039.5"/>
    <s v="EPER"/>
    <n v="7414000005"/>
  </r>
  <r>
    <x v="106"/>
    <s v="BANCO SANTANDER (MEXICO) FIDEICOMISO F/11280-0"/>
    <x v="71"/>
    <s v="NORMAL"/>
    <s v="MXN"/>
    <n v="25000"/>
    <n v="8.3813510000000004"/>
    <n v="209533.77499999999"/>
    <n v="8.2700011300000007"/>
    <n v="2783.7467499999998"/>
    <n v="0"/>
    <n v="0"/>
    <n v="0"/>
    <n v="0"/>
    <n v="25000"/>
    <n v="209533.77499999999"/>
    <s v="EPER"/>
    <n v="7414000005"/>
  </r>
  <r>
    <x v="106"/>
    <s v="BANCO SANTANDER (MEXICO) FIDEICOMISO F/11280-0"/>
    <x v="16"/>
    <s v="NORMAL"/>
    <s v="MXN"/>
    <n v="37900"/>
    <n v="8.2580650000000002"/>
    <n v="312980.66350000002"/>
    <n v="8.2115149400000007"/>
    <n v="1764.2472740000001"/>
    <n v="0"/>
    <n v="0"/>
    <n v="0"/>
    <n v="0"/>
    <n v="37900"/>
    <n v="312980.66350000002"/>
    <s v="EPER"/>
    <n v="7414000005"/>
  </r>
  <r>
    <x v="106"/>
    <s v="BANCO SANTANDER (MEXICO) FIDEICOMISO F/11280-0"/>
    <x v="98"/>
    <s v="NORMAL"/>
    <s v="MXN"/>
    <n v="940"/>
    <n v="93.248425999999995"/>
    <n v="87653.520439999993"/>
    <n v="97.17965882"/>
    <n v="-3695.3588507999998"/>
    <n v="0"/>
    <n v="0"/>
    <n v="0"/>
    <n v="0"/>
    <n v="940"/>
    <n v="87653.520439999993"/>
    <s v="EPER"/>
    <n v="7414000005"/>
  </r>
  <r>
    <x v="106"/>
    <s v="BANCO SANTANDER (MEXICO) FIDEICOMISO F/11280-0"/>
    <x v="66"/>
    <s v="NORMAL"/>
    <s v="MXN"/>
    <n v="0"/>
    <n v="0"/>
    <n v="9580196.5500000007"/>
    <n v="0"/>
    <n v="0"/>
    <n v="0"/>
    <n v="0"/>
    <n v="0"/>
    <n v="0"/>
    <n v="0"/>
    <n v="9580196.5500000007"/>
    <s v="EPER"/>
    <n v="7414000005"/>
  </r>
  <r>
    <x v="106"/>
    <s v="BANCO SANTANDER (MEXICO) FIDEICOMISO F/11280-0"/>
    <x v="28"/>
    <s v="NORMAL"/>
    <s v="MXN"/>
    <n v="2160"/>
    <n v="91.911821000000003"/>
    <n v="198529.53336"/>
    <n v="100.6372491099074"/>
    <n v="-18846.924717400001"/>
    <n v="0"/>
    <n v="0"/>
    <n v="0"/>
    <n v="0"/>
    <n v="2160"/>
    <n v="198529.53336"/>
    <s v="EPER"/>
    <n v="7414000005"/>
  </r>
  <r>
    <x v="106"/>
    <s v="BANCO SANTANDER (MEXICO) FIDEICOMISO F/11280-0"/>
    <x v="30"/>
    <s v="NORMAL"/>
    <s v="MXN"/>
    <n v="7849"/>
    <n v="88.698122999999995"/>
    <n v="696191.56742700003"/>
    <n v="88.50604674849663"/>
    <n v="1507.60649805"/>
    <n v="0"/>
    <n v="0"/>
    <n v="0"/>
    <n v="0"/>
    <n v="7849"/>
    <n v="696191.56742700003"/>
    <s v="EPER"/>
    <n v="7414000005"/>
  </r>
  <r>
    <x v="106"/>
    <s v="BANCO SANTANDER (MEXICO) FIDEICOMISO F/11280-0"/>
    <x v="31"/>
    <s v="NORMAL"/>
    <s v="MXN"/>
    <n v="20165"/>
    <n v="93.314192000000006"/>
    <n v="1881680.6816799999"/>
    <n v="95.199862288507319"/>
    <n v="-38024.541367749996"/>
    <n v="0"/>
    <n v="0"/>
    <n v="0"/>
    <n v="0"/>
    <n v="20165"/>
    <n v="1881680.6816799999"/>
    <s v="EPER"/>
    <n v="7414000005"/>
  </r>
  <r>
    <x v="106"/>
    <s v="BANCO SANTANDER (MEXICO) FIDEICOMISO F/11280-0"/>
    <x v="32"/>
    <s v="NORMAL"/>
    <s v="MXN"/>
    <n v="5590"/>
    <n v="94.864168000000006"/>
    <n v="530290.69912"/>
    <n v="96.263034200000007"/>
    <n v="-7819.6620579999999"/>
    <n v="0"/>
    <n v="0"/>
    <n v="0"/>
    <n v="0"/>
    <n v="5590"/>
    <n v="530290.69912"/>
    <s v="EPER"/>
    <n v="7414000005"/>
  </r>
  <r>
    <x v="106"/>
    <s v="BANCO SANTANDER (MEXICO) FIDEICOMISO F/11280-0"/>
    <x v="33"/>
    <s v="NORMAL"/>
    <s v="MXN"/>
    <n v="26794"/>
    <n v="94.870157000000006"/>
    <n v="2541950.9866579999"/>
    <n v="97.14097609622975"/>
    <n v="-60844.326864379997"/>
    <n v="0"/>
    <n v="0"/>
    <n v="0"/>
    <n v="0"/>
    <n v="26794"/>
    <n v="2541950.9866579999"/>
    <s v="EPER"/>
    <n v="7414000005"/>
  </r>
  <r>
    <x v="106"/>
    <s v="BANCO SANTANDER (MEXICO) FIDEICOMISO F/11280-0"/>
    <x v="34"/>
    <s v="NORMAL"/>
    <s v="MXN"/>
    <n v="36807"/>
    <n v="89.489464999999996"/>
    <n v="3293838.7382550002"/>
    <n v="93.004981382727465"/>
    <n v="-129395.61149905001"/>
    <n v="0"/>
    <n v="0"/>
    <n v="0"/>
    <n v="0"/>
    <n v="36807"/>
    <n v="3293838.7382550002"/>
    <s v="EPER"/>
    <n v="7414000005"/>
  </r>
  <r>
    <x v="106"/>
    <s v="BANCO SANTANDER (MEXICO) FIDEICOMISO F/11280-0"/>
    <x v="35"/>
    <s v="NORMAL"/>
    <s v="MXN"/>
    <n v="27601"/>
    <n v="86.197128000000006"/>
    <n v="2379126.9299280001"/>
    <n v="91.976921222622735"/>
    <n v="-159528.07273761"/>
    <n v="0"/>
    <n v="0"/>
    <n v="0"/>
    <n v="0"/>
    <n v="27601"/>
    <n v="2379126.9299280001"/>
    <s v="EPER"/>
    <n v="7414000005"/>
  </r>
  <r>
    <x v="106"/>
    <s v="BANCO SANTANDER (MEXICO) FIDEICOMISO F/11280-0"/>
    <x v="36"/>
    <s v="NORMAL"/>
    <s v="MXN"/>
    <n v="7712"/>
    <n v="86.469353999999996"/>
    <n v="666851.65804799995"/>
    <n v="89.838096089999993"/>
    <n v="-25979.73899808"/>
    <n v="0"/>
    <n v="0"/>
    <n v="0"/>
    <n v="0"/>
    <n v="7712"/>
    <n v="666851.65804799995"/>
    <s v="EPER"/>
    <n v="7414000005"/>
  </r>
  <r>
    <x v="106"/>
    <s v="BANCO SANTANDER (MEXICO) FIDEICOMISO F/11280-0"/>
    <x v="88"/>
    <s v="NORMAL"/>
    <s v="MXN"/>
    <n v="2220"/>
    <n v="98.007834000000003"/>
    <n v="217577.39147999999"/>
    <n v="92.65759825148649"/>
    <n v="11877.523361699999"/>
    <n v="0"/>
    <n v="0"/>
    <n v="0"/>
    <n v="0"/>
    <n v="2220"/>
    <n v="217577.39147999999"/>
    <s v="EPER"/>
    <n v="7414000005"/>
  </r>
  <r>
    <x v="106"/>
    <s v="BANCO SANTANDER (MEXICO) FIDEICOMISO F/11280-0"/>
    <x v="102"/>
    <s v="NORMAL"/>
    <s v="MXN"/>
    <n v="860"/>
    <n v="100.38890499999999"/>
    <n v="86334.458299999998"/>
    <n v="91.398345289999995"/>
    <n v="7731.8813505999997"/>
    <n v="0"/>
    <n v="0"/>
    <n v="0"/>
    <n v="0"/>
    <n v="860"/>
    <n v="86334.458299999998"/>
    <s v="EPER"/>
    <n v="7414000005"/>
  </r>
  <r>
    <x v="106"/>
    <s v="BANCO SANTANDER (MEXICO) FIDEICOMISO F/11280-0"/>
    <x v="130"/>
    <s v="NORMAL"/>
    <s v="MXN"/>
    <n v="2330000"/>
    <n v="4.5848760000000004"/>
    <n v="10682761.08"/>
    <n v="3.4693629484978539"/>
    <n v="2599145.41"/>
    <n v="0"/>
    <n v="0"/>
    <n v="0"/>
    <n v="0"/>
    <n v="2330000"/>
    <n v="10682761.08"/>
    <s v="EPER"/>
    <n v="7414000005"/>
  </r>
  <r>
    <x v="106"/>
    <s v="BANCO SANTANDER (MEXICO) FIDEICOMISO F/11280-0"/>
    <x v="51"/>
    <s v="NORMAL"/>
    <s v="MXN"/>
    <n v="26"/>
    <n v="775.69178699999998"/>
    <n v="20167.986462000001"/>
    <n v="766.69784126000002"/>
    <n v="233.84258924"/>
    <n v="0"/>
    <n v="0"/>
    <n v="0"/>
    <n v="0"/>
    <n v="26"/>
    <n v="20167.986462000001"/>
    <s v="EPER"/>
    <n v="7414000005"/>
  </r>
  <r>
    <x v="106"/>
    <s v="BANCO SANTANDER (MEXICO) FIDEICOMISO F/11280-0"/>
    <x v="53"/>
    <s v="NORMAL"/>
    <s v="MXN"/>
    <n v="9"/>
    <n v="765.92388300000005"/>
    <n v="6893.3149469999998"/>
    <n v="762.50221063000004"/>
    <n v="30.79505133"/>
    <n v="0"/>
    <n v="0"/>
    <n v="0"/>
    <n v="0"/>
    <n v="9"/>
    <n v="6893.3149469999998"/>
    <s v="EPER"/>
    <n v="7414000005"/>
  </r>
  <r>
    <x v="106"/>
    <s v="BANCO SANTANDER (MEXICO) FIDEICOMISO F/11280-0"/>
    <x v="54"/>
    <s v="NORMAL"/>
    <s v="MXN"/>
    <n v="320"/>
    <n v="684.88915799999995"/>
    <n v="219164.53056000001"/>
    <n v="700.97292315000004"/>
    <n v="-5146.8048479999998"/>
    <n v="0"/>
    <n v="0"/>
    <n v="0"/>
    <n v="0"/>
    <n v="320"/>
    <n v="219164.53056000001"/>
    <s v="EPER"/>
    <n v="7414000005"/>
  </r>
  <r>
    <x v="107"/>
    <s v="BANCO SANTANDER (MEXICO) FIDEICOMISO F/11361-0"/>
    <x v="13"/>
    <s v="NORMAL"/>
    <s v="MXN"/>
    <n v="2820"/>
    <n v="100.000484"/>
    <n v="282001.36488000001"/>
    <n v="100"/>
    <n v="1.3648800000000001"/>
    <n v="0"/>
    <n v="0"/>
    <n v="0"/>
    <n v="0"/>
    <n v="2820"/>
    <n v="282001.36488000001"/>
    <s v="EPER"/>
    <n v="7414000005"/>
  </r>
  <r>
    <x v="107"/>
    <s v="BANCO SANTANDER (MEXICO) FIDEICOMISO F/1136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122"/>
    <s v="NORMAL"/>
    <s v="MXN"/>
    <n v="171975"/>
    <n v="8.5044190000000004"/>
    <n v="1462547.457525"/>
    <n v="8.3071887600000007"/>
    <n v="33918.670524000001"/>
    <n v="0"/>
    <n v="0"/>
    <n v="0"/>
    <n v="0"/>
    <n v="171975"/>
    <n v="1462547.457525"/>
    <s v="EPER"/>
    <n v="7414000005"/>
  </r>
  <r>
    <x v="107"/>
    <s v="BANCO SANTANDER (MEXICO) FIDEICOMISO F/11361-0"/>
    <x v="71"/>
    <s v="NORMAL"/>
    <s v="MXN"/>
    <n v="237940"/>
    <n v="8.3813510000000004"/>
    <n v="1994258.6569399999"/>
    <n v="8.2713784227645633"/>
    <n v="26166.875027400001"/>
    <n v="0"/>
    <n v="0"/>
    <n v="0"/>
    <n v="0"/>
    <n v="237940"/>
    <n v="1994258.6569399999"/>
    <s v="EPER"/>
    <n v="7414000005"/>
  </r>
  <r>
    <x v="107"/>
    <s v="BANCO SANTANDER (MEXICO) FIDEICOMISO F/11361-0"/>
    <x v="16"/>
    <s v="NORMAL"/>
    <s v="MXN"/>
    <n v="133000"/>
    <n v="8.2580650000000002"/>
    <n v="1098322.645"/>
    <n v="8.2405797294736836"/>
    <n v="2325.5409800000002"/>
    <n v="0"/>
    <n v="0"/>
    <n v="0"/>
    <n v="0"/>
    <n v="133000"/>
    <n v="1098322.645"/>
    <s v="EPER"/>
    <n v="7414000005"/>
  </r>
  <r>
    <x v="107"/>
    <s v="BANCO SANTANDER (MEXICO) FIDEICOMISO F/11361-0"/>
    <x v="66"/>
    <s v="NORMAL"/>
    <s v="MXN"/>
    <n v="0"/>
    <n v="0"/>
    <n v="488325.78"/>
    <n v="0"/>
    <n v="0"/>
    <n v="0"/>
    <n v="0"/>
    <n v="0"/>
    <n v="0"/>
    <n v="0"/>
    <n v="488325.78"/>
    <s v="EPER"/>
    <n v="7414000005"/>
  </r>
  <r>
    <x v="107"/>
    <s v="BANCO SANTANDER (MEXICO) FIDEICOMISO F/11361-0"/>
    <x v="26"/>
    <s v="NORMAL"/>
    <s v="MXN"/>
    <n v="2736"/>
    <n v="98.730349000000004"/>
    <n v="270126.234864"/>
    <n v="111.89286593999999"/>
    <n v="-36012.646347839996"/>
    <n v="0"/>
    <n v="0"/>
    <n v="0"/>
    <n v="0"/>
    <n v="2736"/>
    <n v="270126.234864"/>
    <s v="EPER"/>
    <n v="7414000005"/>
  </r>
  <r>
    <x v="107"/>
    <s v="BANCO SANTANDER (MEXICO) FIDEICOMISO F/11361-0"/>
    <x v="67"/>
    <s v="NORMAL"/>
    <s v="MXN"/>
    <n v="17830"/>
    <n v="99.247497999999993"/>
    <n v="1769582.88934"/>
    <n v="116.71045514946719"/>
    <n v="-311364.525975"/>
    <n v="0"/>
    <n v="0"/>
    <n v="0"/>
    <n v="0"/>
    <n v="17830"/>
    <n v="1769582.88934"/>
    <s v="EPER"/>
    <n v="7414000005"/>
  </r>
  <r>
    <x v="107"/>
    <s v="BANCO SANTANDER (MEXICO) FIDEICOMISO F/11361-0"/>
    <x v="27"/>
    <s v="NORMAL"/>
    <s v="MXN"/>
    <n v="7071"/>
    <n v="94.973146999999997"/>
    <n v="671555.12243700004"/>
    <n v="90.560310748128984"/>
    <n v="31203.165136979998"/>
    <n v="0"/>
    <n v="0"/>
    <n v="0"/>
    <n v="0"/>
    <n v="7071"/>
    <n v="671555.12243700004"/>
    <s v="EPER"/>
    <n v="7414000005"/>
  </r>
  <r>
    <x v="107"/>
    <s v="BANCO SANTANDER (MEXICO) FIDEICOMISO F/11361-0"/>
    <x v="28"/>
    <s v="NORMAL"/>
    <s v="MXN"/>
    <n v="37048"/>
    <n v="91.911821000000003"/>
    <n v="3405149.1444080002"/>
    <n v="90.749888678419353"/>
    <n v="43047.268649919999"/>
    <n v="0"/>
    <n v="0"/>
    <n v="0"/>
    <n v="0"/>
    <n v="37048"/>
    <n v="3405149.1444080002"/>
    <s v="EPER"/>
    <n v="7414000005"/>
  </r>
  <r>
    <x v="107"/>
    <s v="BANCO SANTANDER (MEXICO) FIDEICOMISO F/11361-0"/>
    <x v="29"/>
    <s v="NORMAL"/>
    <s v="MXN"/>
    <n v="69530"/>
    <n v="92.954503000000003"/>
    <n v="6463126.5935899997"/>
    <n v="93.271311902296844"/>
    <n v="-22027.722976699999"/>
    <n v="0"/>
    <n v="0"/>
    <n v="0"/>
    <n v="0"/>
    <n v="69530"/>
    <n v="6463126.5935899997"/>
    <s v="EPER"/>
    <n v="7414000005"/>
  </r>
  <r>
    <x v="107"/>
    <s v="BANCO SANTANDER (MEXICO) FIDEICOMISO F/11361-0"/>
    <x v="30"/>
    <s v="NORMAL"/>
    <s v="MXN"/>
    <n v="26275"/>
    <n v="88.698122999999995"/>
    <n v="2330543.1818249999"/>
    <n v="88.29884983774501"/>
    <n v="10490.90233825"/>
    <n v="0"/>
    <n v="0"/>
    <n v="0"/>
    <n v="0"/>
    <n v="26275"/>
    <n v="2330543.1818249999"/>
    <s v="EPER"/>
    <n v="7414000005"/>
  </r>
  <r>
    <x v="107"/>
    <s v="BANCO SANTANDER (MEXICO) FIDEICOMISO F/11361-0"/>
    <x v="31"/>
    <s v="NORMAL"/>
    <s v="MXN"/>
    <n v="23960"/>
    <n v="93.314192000000006"/>
    <n v="2235808.0403200001"/>
    <n v="93.347298033418198"/>
    <n v="-793.22056069999996"/>
    <n v="0"/>
    <n v="0"/>
    <n v="0"/>
    <n v="0"/>
    <n v="23960"/>
    <n v="2235808.0403200001"/>
    <s v="EPER"/>
    <n v="7414000005"/>
  </r>
  <r>
    <x v="107"/>
    <s v="BANCO SANTANDER (MEXICO) FIDEICOMISO F/1136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88"/>
    <s v="NORMAL"/>
    <s v="MXN"/>
    <n v="1530"/>
    <n v="98.007834000000003"/>
    <n v="149951.98602000001"/>
    <n v="93.280048030000003"/>
    <n v="7233.5125341000003"/>
    <n v="0"/>
    <n v="0"/>
    <n v="0"/>
    <n v="0"/>
    <n v="1530"/>
    <n v="149951.98602000001"/>
    <s v="EPER"/>
    <n v="7414000005"/>
  </r>
  <r>
    <x v="107"/>
    <s v="BANCO SANTANDER (MEXICO) FIDEICOMISO F/11361-0"/>
    <x v="102"/>
    <s v="NORMAL"/>
    <s v="MXN"/>
    <n v="6200"/>
    <n v="100.38890499999999"/>
    <n v="622411.21100000001"/>
    <n v="91.398345289999995"/>
    <n v="55741.470201999997"/>
    <n v="0"/>
    <n v="0"/>
    <n v="0"/>
    <n v="0"/>
    <n v="6200"/>
    <n v="622411.21100000001"/>
    <s v="EPER"/>
    <n v="7414000005"/>
  </r>
  <r>
    <x v="107"/>
    <s v="BANCO SANTANDER (MEXICO) FIDEICOMISO F/11361-0"/>
    <x v="148"/>
    <s v="NORMAL"/>
    <s v="MXN"/>
    <n v="1050000"/>
    <n v="4.1069599999999999"/>
    <n v="4312308"/>
    <n v="3.1698389523809523"/>
    <n v="983977.1"/>
    <n v="0"/>
    <n v="0"/>
    <n v="0"/>
    <n v="0"/>
    <n v="1050000"/>
    <n v="4312308"/>
    <s v="EPER"/>
    <n v="7414000005"/>
  </r>
  <r>
    <x v="107"/>
    <s v="BANCO SANTANDER (MEXICO) FIDEICOMISO F/11361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8"/>
    <s v="BANCO SANTANDER (MEXICO) FIDEICOMISO F/20441-0"/>
    <x v="13"/>
    <s v="NORMAL"/>
    <s v="MXN"/>
    <n v="147110"/>
    <n v="100.000484"/>
    <n v="14711071.201239999"/>
    <n v="100"/>
    <n v="71.201239999999999"/>
    <n v="0"/>
    <n v="0"/>
    <n v="0"/>
    <n v="0"/>
    <n v="147110"/>
    <n v="14711071.201239999"/>
    <s v="EPER"/>
    <n v="7414000005"/>
  </r>
  <r>
    <x v="108"/>
    <s v="BANCO SANTANDER (MEXICO) FIDEICOMISO F/2044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122"/>
    <s v="NORMAL"/>
    <s v="MXN"/>
    <n v="5348712"/>
    <n v="8.5044190000000004"/>
    <n v="45487687.958328001"/>
    <n v="8.3071887600000007"/>
    <n v="1054927.75145088"/>
    <n v="0"/>
    <n v="0"/>
    <n v="0"/>
    <n v="0"/>
    <n v="5348712"/>
    <n v="45487687.958328001"/>
    <s v="EPER"/>
    <n v="7414000005"/>
  </r>
  <r>
    <x v="108"/>
    <s v="BANCO SANTANDER (MEXICO) FIDEICOMISO F/20441-0"/>
    <x v="71"/>
    <s v="NORMAL"/>
    <s v="MXN"/>
    <n v="9698110"/>
    <n v="8.3813510000000004"/>
    <n v="81283263.946610004"/>
    <n v="8.2717659885242494"/>
    <n v="1062767.4956431"/>
    <n v="0"/>
    <n v="0"/>
    <n v="0"/>
    <n v="0"/>
    <n v="9698110"/>
    <n v="81283263.946610004"/>
    <s v="EPER"/>
    <n v="7414000005"/>
  </r>
  <r>
    <x v="108"/>
    <s v="BANCO SANTANDER (MEXICO) FIDEICOMISO F/20441-0"/>
    <x v="16"/>
    <s v="NORMAL"/>
    <s v="MXN"/>
    <n v="19087857"/>
    <n v="8.2580650000000002"/>
    <n v="157628763.81670499"/>
    <n v="8.2567570035609155"/>
    <n v="24966.848985770001"/>
    <n v="0"/>
    <n v="0"/>
    <n v="0"/>
    <n v="0"/>
    <n v="19087857"/>
    <n v="157628763.81670499"/>
    <s v="EPER"/>
    <n v="7414000005"/>
  </r>
  <r>
    <x v="108"/>
    <s v="BANCO SANTANDER (MEXICO) FIDEICOMISO F/20441-0"/>
    <x v="66"/>
    <s v="NORMAL"/>
    <s v="MXN"/>
    <n v="0"/>
    <n v="0"/>
    <n v="6899159.6799999997"/>
    <n v="0"/>
    <n v="0"/>
    <n v="0"/>
    <n v="0"/>
    <n v="0"/>
    <n v="0"/>
    <n v="0"/>
    <n v="6899159.6799999997"/>
    <s v="EPER"/>
    <n v="7414000005"/>
  </r>
  <r>
    <x v="108"/>
    <s v="BANCO SANTANDER (MEXICO) FIDEICOMISO F/20441-0"/>
    <x v="26"/>
    <s v="NORMAL"/>
    <s v="MXN"/>
    <n v="186808"/>
    <n v="98.730349000000004"/>
    <n v="18443619.035992"/>
    <n v="111.89286593999999"/>
    <n v="-2458863.4645275199"/>
    <n v="0"/>
    <n v="0"/>
    <n v="0"/>
    <n v="0"/>
    <n v="186808"/>
    <n v="18443619.035992"/>
    <s v="EPER"/>
    <n v="7414000005"/>
  </r>
  <r>
    <x v="108"/>
    <s v="BANCO SANTANDER (MEXICO) FIDEICOMISO F/20441-0"/>
    <x v="67"/>
    <s v="NORMAL"/>
    <s v="MXN"/>
    <n v="1036770"/>
    <n v="99.247497999999993"/>
    <n v="102896828.50146"/>
    <n v="116.92795819391871"/>
    <n v="-18330570.715249099"/>
    <n v="0"/>
    <n v="0"/>
    <n v="0"/>
    <n v="0"/>
    <n v="1036770"/>
    <n v="102896828.50146"/>
    <s v="EPER"/>
    <n v="7414000005"/>
  </r>
  <r>
    <x v="108"/>
    <s v="BANCO SANTANDER (MEXICO) FIDEICOMISO F/20441-0"/>
    <x v="27"/>
    <s v="NORMAL"/>
    <s v="MXN"/>
    <n v="1004142"/>
    <n v="94.973146999999997"/>
    <n v="95366525.774874002"/>
    <n v="90.042079336113034"/>
    <n v="4951492.1461507799"/>
    <n v="0"/>
    <n v="0"/>
    <n v="0"/>
    <n v="0"/>
    <n v="1004142"/>
    <n v="95366525.774874002"/>
    <s v="EPER"/>
    <n v="7414000005"/>
  </r>
  <r>
    <x v="108"/>
    <s v="BANCO SANTANDER (MEXICO) FIDEICOMISO F/20441-0"/>
    <x v="28"/>
    <s v="NORMAL"/>
    <s v="MXN"/>
    <n v="1855916"/>
    <n v="91.911821000000003"/>
    <n v="170580619.183036"/>
    <n v="90.841685154635201"/>
    <n v="1986082.2375860601"/>
    <n v="0"/>
    <n v="0"/>
    <n v="0"/>
    <n v="0"/>
    <n v="1855916"/>
    <n v="170580619.183036"/>
    <s v="EPER"/>
    <n v="7414000005"/>
  </r>
  <r>
    <x v="108"/>
    <s v="BANCO SANTANDER (MEXICO) FIDEICOMISO F/20441-0"/>
    <x v="29"/>
    <s v="NORMAL"/>
    <s v="MXN"/>
    <n v="3388950"/>
    <n v="92.954503000000003"/>
    <n v="315018162.94185001"/>
    <n v="93.270700291316459"/>
    <n v="-1071576.8104069"/>
    <n v="0"/>
    <n v="0"/>
    <n v="0"/>
    <n v="0"/>
    <n v="3388950"/>
    <n v="315018162.94185001"/>
    <s v="EPER"/>
    <n v="7414000005"/>
  </r>
  <r>
    <x v="108"/>
    <s v="BANCO SANTANDER (MEXICO) FIDEICOMISO F/20441-0"/>
    <x v="30"/>
    <s v="NORMAL"/>
    <s v="MXN"/>
    <n v="1246014"/>
    <n v="88.698122999999995"/>
    <n v="110519103.03172199"/>
    <n v="88.298692396428891"/>
    <n v="497696.12407805998"/>
    <n v="0"/>
    <n v="0"/>
    <n v="0"/>
    <n v="0"/>
    <n v="1246014"/>
    <n v="110519103.03172199"/>
    <s v="EPER"/>
    <n v="7414000005"/>
  </r>
  <r>
    <x v="108"/>
    <s v="BANCO SANTANDER (MEXICO) FIDEICOMISO F/20441-0"/>
    <x v="31"/>
    <s v="NORMAL"/>
    <s v="MXN"/>
    <n v="1252910"/>
    <n v="93.314192000000006"/>
    <n v="116914284.29872"/>
    <n v="93.346762706102666"/>
    <n v="-40808.1633831"/>
    <n v="0"/>
    <n v="0"/>
    <n v="0"/>
    <n v="0"/>
    <n v="1252910"/>
    <n v="116914284.29872"/>
    <s v="EPER"/>
    <n v="7414000005"/>
  </r>
  <r>
    <x v="108"/>
    <s v="BANCO SANTANDER (MEXICO) FIDEICOMISO F/2044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88"/>
    <s v="NORMAL"/>
    <s v="MXN"/>
    <n v="70103"/>
    <n v="98.007834000000003"/>
    <n v="6870643.1869019996"/>
    <n v="93.280048030000003"/>
    <n v="331431.97985490999"/>
    <n v="0"/>
    <n v="0"/>
    <n v="0"/>
    <n v="0"/>
    <n v="70103"/>
    <n v="6870643.1869019996"/>
    <s v="EPER"/>
    <n v="7414000005"/>
  </r>
  <r>
    <x v="108"/>
    <s v="BANCO SANTANDER (MEXICO) FIDEICOMISO F/20441-0"/>
    <x v="102"/>
    <s v="NORMAL"/>
    <s v="MXN"/>
    <n v="291840"/>
    <n v="100.38890499999999"/>
    <n v="29297498.0352"/>
    <n v="91.398345289999995"/>
    <n v="2623804.9457664001"/>
    <n v="0"/>
    <n v="0"/>
    <n v="0"/>
    <n v="0"/>
    <n v="291840"/>
    <n v="29297498.0352"/>
    <s v="EPER"/>
    <n v="7414000005"/>
  </r>
  <r>
    <x v="108"/>
    <s v="BANCO SANTANDER (MEXICO) FIDEICOMISO F/20441-0"/>
    <x v="148"/>
    <s v="NORMAL"/>
    <s v="MXN"/>
    <n v="54700000"/>
    <n v="4.1069599999999999"/>
    <n v="224650712"/>
    <n v="3.2472985290676415"/>
    <n v="47023482.460000001"/>
    <n v="0"/>
    <n v="0"/>
    <n v="0"/>
    <n v="0"/>
    <n v="54700000"/>
    <n v="224650712"/>
    <s v="EPER"/>
    <n v="7414000005"/>
  </r>
  <r>
    <x v="108"/>
    <s v="BANCO SANTANDER (MEXICO) FIDEICOMISO F/20441-0"/>
    <x v="51"/>
    <s v="NORMAL"/>
    <s v="MXN"/>
    <n v="90"/>
    <n v="775.69178699999998"/>
    <n v="69812.260829999999"/>
    <n v="770.06763651000006"/>
    <n v="506.17354410000002"/>
    <n v="0"/>
    <n v="0"/>
    <n v="0"/>
    <n v="0"/>
    <n v="90"/>
    <n v="69812.260829999999"/>
    <s v="EPER"/>
    <n v="7414000005"/>
  </r>
  <r>
    <x v="108"/>
    <s v="BANCO SANTANDER (MEXICO) FIDEICOMISO F/20441-0"/>
    <x v="52"/>
    <s v="NORMAL"/>
    <s v="MXN"/>
    <n v="564"/>
    <n v="747.17843200000004"/>
    <n v="421408.635648"/>
    <n v="730.99471579999999"/>
    <n v="9127.6159368000008"/>
    <n v="0"/>
    <n v="0"/>
    <n v="0"/>
    <n v="0"/>
    <n v="564"/>
    <n v="421408.635648"/>
    <s v="EPER"/>
    <n v="7414000005"/>
  </r>
  <r>
    <x v="109"/>
    <s v="BCO.SANT.MEX.SA CTA.CONCENTRADORA PLANES PERS.DE RET.APOR NO DEDUC."/>
    <x v="129"/>
    <s v="NORMAL"/>
    <s v="MXN"/>
    <n v="510092"/>
    <n v="3.137273"/>
    <n v="1600297.8591159999"/>
    <n v="3.0779330003215106"/>
    <n v="30268.859116"/>
    <n v="0"/>
    <n v="0"/>
    <n v="0"/>
    <n v="0"/>
    <n v="510092"/>
    <n v="1600297.8591159999"/>
    <s v="EPER"/>
    <n v="7414000005"/>
  </r>
  <r>
    <x v="110"/>
    <s v="BCO.SANTANDER MEX.SA CTA.CONCENTRADORA PLANES PERS.DE RET.APOR.DEDUC."/>
    <x v="149"/>
    <s v="VALORES EN GARANTIA POR FORWARD"/>
    <s v="MXN"/>
    <n v="0"/>
    <n v="0"/>
    <n v="0"/>
    <n v="0"/>
    <n v="0"/>
    <n v="0"/>
    <n v="0"/>
    <n v="0"/>
    <n v="0"/>
    <n v="0"/>
    <n v="0"/>
    <s v="EPER"/>
    <n v="7414000005"/>
  </r>
  <r>
    <x v="110"/>
    <s v="BCO.SANTANDER MEX.SA CTA.CONCENTRADORA PLANES PERS.DE RET.APOR.DEDUC."/>
    <x v="129"/>
    <s v="NORMAL"/>
    <s v="MXN"/>
    <n v="196371"/>
    <n v="3.137273"/>
    <n v="616069.43628300005"/>
    <n v="2.6586447082308489"/>
    <n v="93988.716283000002"/>
    <n v="0"/>
    <n v="0"/>
    <n v="0"/>
    <n v="0"/>
    <n v="196371"/>
    <n v="616069.43628300005"/>
    <s v="EPER"/>
    <n v="7414000005"/>
  </r>
  <r>
    <x v="110"/>
    <s v="BCO.SANTANDER MEX.SA CTA.CONCENTRADORA PLANES PERS.DE RET.APOR.DEDUC."/>
    <x v="150"/>
    <s v="NORMAL"/>
    <s v="MXN"/>
    <n v="10703021"/>
    <n v="3.906444"/>
    <n v="41810752.167323999"/>
    <n v="2.4130519775678287"/>
    <n v="15983806.177324001"/>
    <n v="0"/>
    <n v="0"/>
    <n v="0"/>
    <n v="0"/>
    <n v="10703021"/>
    <n v="41810752.167323999"/>
    <s v="EPER"/>
    <n v="7414000005"/>
  </r>
  <r>
    <x v="111"/>
    <s v="BANCO SANTANDER (MEXICO) FIDEICOMISO F/2112221-1"/>
    <x v="151"/>
    <s v="NORMAL"/>
    <s v="MXN"/>
    <n v="7091577"/>
    <n v="3.0168970000000002"/>
    <n v="21394557.376568999"/>
    <n v="2.9636489316833194"/>
    <n v="377612.77656899998"/>
    <n v="0"/>
    <n v="0"/>
    <n v="0"/>
    <n v="0"/>
    <n v="7091577"/>
    <n v="21394557.376568999"/>
    <s v="EPER"/>
    <n v="7414000005"/>
  </r>
  <r>
    <x v="112"/>
    <s v="BANCO SANTANDER (MEXICO) FIDEICOMISO F/2000363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86"/>
    <s v="NORMAL"/>
    <s v="MXN"/>
    <n v="146155"/>
    <n v="9.4935880000000008"/>
    <n v="1387535.35414"/>
    <n v="8.4405498100000003"/>
    <n v="153906.79665944999"/>
    <n v="0"/>
    <n v="0"/>
    <n v="0"/>
    <n v="0"/>
    <n v="146155"/>
    <n v="1387535.35414"/>
    <s v="EPER"/>
    <n v="7414000005"/>
  </r>
  <r>
    <x v="112"/>
    <s v="BANCO SANTANDER (MEXICO) FIDEICOMISO F/2000363-1"/>
    <x v="72"/>
    <s v="NORMAL"/>
    <s v="MXN"/>
    <n v="199060"/>
    <n v="9.3381629999999998"/>
    <n v="1858854.7267799999"/>
    <n v="8.3307969100000001"/>
    <n v="200526.29387540001"/>
    <n v="0"/>
    <n v="0"/>
    <n v="0"/>
    <n v="0"/>
    <n v="199060"/>
    <n v="1858854.7267799999"/>
    <s v="EPER"/>
    <n v="7414000005"/>
  </r>
  <r>
    <x v="112"/>
    <s v="BANCO SANTANDER (MEXICO) FIDEICOMISO F/2000363-1"/>
    <x v="15"/>
    <s v="NORMAL"/>
    <s v="MXN"/>
    <n v="249960"/>
    <n v="9.190137"/>
    <n v="2297166.6445200001"/>
    <n v="8.2167929437954079"/>
    <n v="243297.0802889"/>
    <n v="0"/>
    <n v="0"/>
    <n v="0"/>
    <n v="0"/>
    <n v="249960"/>
    <n v="2297166.6445200001"/>
    <s v="EPER"/>
    <n v="7414000005"/>
  </r>
  <r>
    <x v="112"/>
    <s v="BANCO SANTANDER (MEXICO) FIDEICOMISO F/2000363-1"/>
    <x v="71"/>
    <s v="NORMAL"/>
    <s v="MXN"/>
    <n v="69270"/>
    <n v="8.3813510000000004"/>
    <n v="580576.18377"/>
    <n v="8.2700011300000007"/>
    <n v="7713.2054949000003"/>
    <n v="0"/>
    <n v="0"/>
    <n v="0"/>
    <n v="0"/>
    <n v="69270"/>
    <n v="580576.18377"/>
    <s v="EPER"/>
    <n v="7414000005"/>
  </r>
  <r>
    <x v="112"/>
    <s v="BANCO SANTANDER (MEXICO) FIDEICOMISO F/2000363-1"/>
    <x v="16"/>
    <s v="NORMAL"/>
    <s v="MXN"/>
    <n v="141260"/>
    <n v="8.2580650000000002"/>
    <n v="1166534.2619"/>
    <n v="8.2501711100000001"/>
    <n v="1115.0909013999999"/>
    <n v="0"/>
    <n v="0"/>
    <n v="0"/>
    <n v="0"/>
    <n v="141260"/>
    <n v="1166534.2619"/>
    <s v="EPER"/>
    <n v="7414000005"/>
  </r>
  <r>
    <x v="112"/>
    <s v="BANCO SANTANDER (MEXICO) FIDEICOMISO F/2000363-1"/>
    <x v="26"/>
    <s v="NORMAL"/>
    <s v="MXN"/>
    <n v="5490"/>
    <n v="98.730349000000004"/>
    <n v="542029.61601"/>
    <n v="104.80973730295082"/>
    <n v="-33375.841783199998"/>
    <n v="0"/>
    <n v="0"/>
    <n v="0"/>
    <n v="0"/>
    <n v="5490"/>
    <n v="542029.61601"/>
    <s v="EPER"/>
    <n v="7414000005"/>
  </r>
  <r>
    <x v="112"/>
    <s v="BANCO SANTANDER (MEXICO) FIDEICOMISO F/2000363-1"/>
    <x v="67"/>
    <s v="NORMAL"/>
    <s v="MXN"/>
    <n v="9056"/>
    <n v="99.247497999999993"/>
    <n v="898785.34188800002"/>
    <n v="104.57350258092093"/>
    <n v="-48232.297484820003"/>
    <n v="0"/>
    <n v="0"/>
    <n v="0"/>
    <n v="0"/>
    <n v="9056"/>
    <n v="898785.34188800002"/>
    <s v="EPER"/>
    <n v="7414000005"/>
  </r>
  <r>
    <x v="112"/>
    <s v="BANCO SANTANDER (MEXICO) FIDEICOMISO F/2000363-1"/>
    <x v="27"/>
    <s v="NORMAL"/>
    <s v="MXN"/>
    <n v="11816"/>
    <n v="94.973146999999997"/>
    <n v="1122202.7049519999"/>
    <n v="90.01616612759986"/>
    <n v="58571.685988279998"/>
    <n v="0"/>
    <n v="0"/>
    <n v="0"/>
    <n v="0"/>
    <n v="11816"/>
    <n v="1122202.7049519999"/>
    <s v="EPER"/>
    <n v="7414000005"/>
  </r>
  <r>
    <x v="112"/>
    <s v="BANCO SANTANDER (MEXICO) FIDEICOMISO F/2000363-1"/>
    <x v="28"/>
    <s v="NORMAL"/>
    <s v="MXN"/>
    <n v="6578"/>
    <n v="91.911821000000003"/>
    <n v="604595.95853800001"/>
    <n v="93.2088459"/>
    <n v="-8531.8297922000002"/>
    <n v="0"/>
    <n v="0"/>
    <n v="0"/>
    <n v="0"/>
    <n v="6578"/>
    <n v="604595.95853800001"/>
    <s v="EPER"/>
    <n v="7414000005"/>
  </r>
  <r>
    <x v="112"/>
    <s v="BANCO SANTANDER (MEXICO) FIDEICOMISO F/2000363-1"/>
    <x v="30"/>
    <s v="NORMAL"/>
    <s v="MXN"/>
    <n v="9566"/>
    <n v="88.698122999999995"/>
    <n v="848486.244618"/>
    <n v="85.747638112803685"/>
    <n v="28224.338430920001"/>
    <n v="0"/>
    <n v="0"/>
    <n v="0"/>
    <n v="0"/>
    <n v="9566"/>
    <n v="848486.244618"/>
    <s v="EPER"/>
    <n v="7414000005"/>
  </r>
  <r>
    <x v="112"/>
    <s v="BANCO SANTANDER (MEXICO) FIDEICOMISO F/2000363-1"/>
    <x v="31"/>
    <s v="NORMAL"/>
    <s v="MXN"/>
    <n v="8296"/>
    <n v="93.314192000000006"/>
    <n v="774134.53683200001"/>
    <n v="97.434902156656221"/>
    <n v="-34185.411459620002"/>
    <n v="0"/>
    <n v="0"/>
    <n v="0"/>
    <n v="0"/>
    <n v="8296"/>
    <n v="774134.53683200001"/>
    <s v="EPER"/>
    <n v="7414000005"/>
  </r>
  <r>
    <x v="112"/>
    <s v="BANCO SANTANDER (MEXICO) FIDEICOMISO F/2000363-1"/>
    <x v="32"/>
    <s v="NORMAL"/>
    <s v="MXN"/>
    <n v="7200"/>
    <n v="94.864168000000006"/>
    <n v="683022.00959999999"/>
    <n v="96.490125727638883"/>
    <n v="-11706.895639"/>
    <n v="0"/>
    <n v="0"/>
    <n v="0"/>
    <n v="0"/>
    <n v="7200"/>
    <n v="683022.00959999999"/>
    <s v="EPER"/>
    <n v="7414000005"/>
  </r>
  <r>
    <x v="112"/>
    <s v="BANCO SANTANDER (MEXICO) FIDEICOMISO F/2000363-1"/>
    <x v="33"/>
    <s v="NORMAL"/>
    <s v="MXN"/>
    <n v="2953"/>
    <n v="94.870157000000006"/>
    <n v="280151.57362099999"/>
    <n v="96.692672049999999"/>
    <n v="-5381.8869426499996"/>
    <n v="0"/>
    <n v="0"/>
    <n v="0"/>
    <n v="0"/>
    <n v="2953"/>
    <n v="280151.57362099999"/>
    <s v="EPER"/>
    <n v="7414000005"/>
  </r>
  <r>
    <x v="112"/>
    <s v="BANCO SANTANDER (MEXICO) FIDEICOMISO F/2000363-1"/>
    <x v="34"/>
    <s v="NORMAL"/>
    <s v="MXN"/>
    <n v="11334"/>
    <n v="89.489464999999996"/>
    <n v="1014273.5963100001"/>
    <n v="83.461092959648838"/>
    <n v="68325.568705340003"/>
    <n v="0"/>
    <n v="0"/>
    <n v="0"/>
    <n v="0"/>
    <n v="11334"/>
    <n v="1014273.5963100001"/>
    <s v="EPER"/>
    <n v="7414000005"/>
  </r>
  <r>
    <x v="112"/>
    <s v="BANCO SANTANDER (MEXICO) FIDEICOMISO F/2000363-1"/>
    <x v="35"/>
    <s v="NORMAL"/>
    <s v="MXN"/>
    <n v="7760"/>
    <n v="86.197128000000006"/>
    <n v="668889.71328000003"/>
    <n v="89.851363189716494"/>
    <n v="-28356.865072199998"/>
    <n v="0"/>
    <n v="0"/>
    <n v="0"/>
    <n v="0"/>
    <n v="7760"/>
    <n v="668889.71328000003"/>
    <s v="EPER"/>
    <n v="7414000005"/>
  </r>
  <r>
    <x v="112"/>
    <s v="BANCO SANTANDER (MEXICO) FIDEICOMISO F/2000363-1"/>
    <x v="36"/>
    <s v="NORMAL"/>
    <s v="MXN"/>
    <n v="39629"/>
    <n v="86.469353999999996"/>
    <n v="3426694.029666"/>
    <n v="90.513408445430613"/>
    <n v="-160261.83361797"/>
    <n v="0"/>
    <n v="0"/>
    <n v="0"/>
    <n v="0"/>
    <n v="39629"/>
    <n v="3426694.029666"/>
    <s v="EPER"/>
    <n v="7414000005"/>
  </r>
  <r>
    <x v="112"/>
    <s v="BANCO SANTANDER (MEXICO) FIDEICOMISO F/2000363-1"/>
    <x v="81"/>
    <s v="NORMAL"/>
    <s v="MXN"/>
    <n v="507"/>
    <n v="101.45096599999999"/>
    <n v="51435.639761999999"/>
    <n v="114.11447106"/>
    <n v="-6420.3970654200002"/>
    <n v="0"/>
    <n v="0"/>
    <n v="0"/>
    <n v="0"/>
    <n v="507"/>
    <n v="51435.639761999999"/>
    <s v="EPER"/>
    <n v="7414000005"/>
  </r>
  <r>
    <x v="112"/>
    <s v="BANCO SANTANDER (MEXICO) FIDEICOMISO F/2000363-1"/>
    <x v="68"/>
    <s v="NORMAL"/>
    <s v="MXN"/>
    <n v="657"/>
    <n v="89.643172000000007"/>
    <n v="58895.564004"/>
    <n v="108.47711812999999"/>
    <n v="-12373.90260741"/>
    <n v="0"/>
    <n v="0"/>
    <n v="0"/>
    <n v="0"/>
    <n v="657"/>
    <n v="58895.564004"/>
    <s v="EPER"/>
    <n v="7414000005"/>
  </r>
  <r>
    <x v="112"/>
    <s v="BANCO SANTANDER (MEXICO) FIDEICOMISO F/2000363-1"/>
    <x v="37"/>
    <s v="NORMAL"/>
    <s v="MXN"/>
    <n v="14007"/>
    <n v="81.738860000000003"/>
    <n v="1144916.21202"/>
    <n v="86.459614233283361"/>
    <n v="-66123.604545599999"/>
    <n v="0"/>
    <n v="0"/>
    <n v="0"/>
    <n v="0"/>
    <n v="14007"/>
    <n v="1144916.21202"/>
    <s v="EPER"/>
    <n v="7414000005"/>
  </r>
  <r>
    <x v="112"/>
    <s v="BANCO SANTANDER (MEXICO) FIDEICOMISO F/2000363-1"/>
    <x v="38"/>
    <s v="NORMAL"/>
    <s v="MXN"/>
    <n v="2080"/>
    <n v="83.200761"/>
    <n v="173057.58288"/>
    <n v="93.184550292500006"/>
    <n v="-20766.281728400001"/>
    <n v="0"/>
    <n v="0"/>
    <n v="0"/>
    <n v="0"/>
    <n v="2080"/>
    <n v="173057.58288"/>
    <s v="EPER"/>
    <n v="7414000005"/>
  </r>
  <r>
    <x v="112"/>
    <s v="BANCO SANTANDER (MEXICO) FIDEICOMISO F/2000363-1"/>
    <x v="39"/>
    <s v="NORMAL"/>
    <s v="MXN"/>
    <n v="21201"/>
    <n v="82.159907000000004"/>
    <n v="1741872.1883070001"/>
    <n v="84.233747164370556"/>
    <n v="-43967.485324820002"/>
    <n v="0"/>
    <n v="0"/>
    <n v="0"/>
    <n v="0"/>
    <n v="21201"/>
    <n v="1741872.1883070001"/>
    <s v="EPER"/>
    <n v="7414000005"/>
  </r>
  <r>
    <x v="112"/>
    <s v="BANCO SANTANDER (MEXICO) FIDEICOMISO F/2000363-1"/>
    <x v="88"/>
    <s v="NORMAL"/>
    <s v="MXN"/>
    <n v="10290"/>
    <n v="98.007834000000003"/>
    <n v="1008500.6118599999"/>
    <n v="92.06780790645287"/>
    <n v="61122.868502600002"/>
    <n v="0"/>
    <n v="0"/>
    <n v="0"/>
    <n v="0"/>
    <n v="10290"/>
    <n v="1008500.6118599999"/>
    <s v="EPER"/>
    <n v="7414000005"/>
  </r>
  <r>
    <x v="112"/>
    <s v="BANCO SANTANDER (MEXICO) FIDEICOMISO F/2000363-1"/>
    <x v="0"/>
    <s v="NORMAL"/>
    <s v="MXN"/>
    <n v="2085150"/>
    <n v="3.3967719999999999"/>
    <n v="7082779.1358000003"/>
    <n v="3.2974583603098098"/>
    <n v="207083.8358"/>
    <n v="0"/>
    <n v="0"/>
    <n v="0"/>
    <n v="0"/>
    <n v="2085150"/>
    <n v="7082779.1358000003"/>
    <s v="EPER"/>
    <n v="7414000005"/>
  </r>
  <r>
    <x v="112"/>
    <s v="BANCO SANTANDER (MEXICO) FIDEICOMISO F/2000363-1"/>
    <x v="80"/>
    <s v="NORMAL"/>
    <s v="MXN"/>
    <n v="1858513"/>
    <n v="3.8832339999999999"/>
    <n v="7217040.8710420001"/>
    <n v="2.8731066933618434"/>
    <n v="1877334.731042"/>
    <n v="0"/>
    <n v="0"/>
    <n v="0"/>
    <n v="0"/>
    <n v="1858513"/>
    <n v="7217040.8710420001"/>
    <s v="EPER"/>
    <n v="7414000005"/>
  </r>
  <r>
    <x v="112"/>
    <s v="BANCO SANTANDER (MEXICO) FIDEICOMISO F/2000363-1"/>
    <x v="141"/>
    <s v="NORMAL"/>
    <s v="MXN"/>
    <n v="152"/>
    <n v="256.05011500000001"/>
    <n v="38919.617480000001"/>
    <n v="487.32003911999999"/>
    <n v="-35153.028466240001"/>
    <n v="0"/>
    <n v="0"/>
    <n v="0"/>
    <n v="0"/>
    <n v="152"/>
    <n v="38919.617480000001"/>
    <s v="EPER"/>
    <n v="7414000005"/>
  </r>
  <r>
    <x v="112"/>
    <s v="BANCO SANTANDER (MEXICO) FIDEICOMISO F/2000363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51"/>
    <s v="NORMAL"/>
    <s v="MXN"/>
    <n v="878"/>
    <n v="775.69178699999998"/>
    <n v="681057.38898599998"/>
    <n v="700.47549593253984"/>
    <n v="66039.903557230005"/>
    <n v="0"/>
    <n v="0"/>
    <n v="0"/>
    <n v="0"/>
    <n v="878"/>
    <n v="681057.38898599998"/>
    <s v="EPER"/>
    <n v="7414000005"/>
  </r>
  <r>
    <x v="112"/>
    <s v="BANCO SANTANDER (MEXICO) FIDEICOMISO F/2000363-1"/>
    <x v="52"/>
    <s v="NORMAL"/>
    <s v="MXN"/>
    <n v="1360"/>
    <n v="747.17843200000004"/>
    <n v="1016162.66752"/>
    <n v="709.92481254102938"/>
    <n v="50664.922464199997"/>
    <n v="0"/>
    <n v="0"/>
    <n v="0"/>
    <n v="0"/>
    <n v="1360"/>
    <n v="1016162.66752"/>
    <s v="EPER"/>
    <n v="7414000005"/>
  </r>
  <r>
    <x v="112"/>
    <s v="BANCO SANTANDER (MEXICO) FIDEICOMISO F/2000363-1"/>
    <x v="53"/>
    <s v="NORMAL"/>
    <s v="MXN"/>
    <n v="1328"/>
    <n v="765.92388300000005"/>
    <n v="1017146.9166239999"/>
    <n v="751.83943144423188"/>
    <n v="18704.151666059999"/>
    <n v="0"/>
    <n v="0"/>
    <n v="0"/>
    <n v="0"/>
    <n v="1328"/>
    <n v="1017146.9166239999"/>
    <s v="EPER"/>
    <n v="7414000005"/>
  </r>
  <r>
    <x v="112"/>
    <s v="BANCO SANTANDER (MEXICO) FIDEICOMISO F/2000363-1"/>
    <x v="54"/>
    <s v="NORMAL"/>
    <s v="MXN"/>
    <n v="6375"/>
    <n v="684.88915799999995"/>
    <n v="4366168.3822499998"/>
    <n v="677.1594670729412"/>
    <n v="49276.77966"/>
    <n v="0"/>
    <n v="0"/>
    <n v="0"/>
    <n v="0"/>
    <n v="6375"/>
    <n v="4366168.3822499998"/>
    <s v="EPER"/>
    <n v="7414000005"/>
  </r>
  <r>
    <x v="112"/>
    <s v="BANCO SANTANDER (MEXICO) FIDEICOMISO F/2000363-1"/>
    <x v="55"/>
    <s v="NORMAL"/>
    <s v="MXN"/>
    <n v="616"/>
    <n v="772.926965"/>
    <n v="476123.01043999998"/>
    <n v="798.93664675000002"/>
    <n v="-16021.963958"/>
    <n v="0"/>
    <n v="0"/>
    <n v="0"/>
    <n v="0"/>
    <n v="616"/>
    <n v="476123.01043999998"/>
    <s v="EPER"/>
    <n v="7414000005"/>
  </r>
  <r>
    <x v="112"/>
    <s v="BANCO SANTANDER (MEXICO) FIDEICOMISO F/2000363-1"/>
    <x v="56"/>
    <s v="NORMAL"/>
    <s v="MXN"/>
    <n v="679"/>
    <n v="721.59464000000003"/>
    <n v="489962.76056000002"/>
    <n v="779.21218873468331"/>
    <n v="-39122.315590849998"/>
    <n v="0"/>
    <n v="0"/>
    <n v="0"/>
    <n v="0"/>
    <n v="679"/>
    <n v="489962.76056000002"/>
    <s v="EPER"/>
    <n v="7414000005"/>
  </r>
  <r>
    <x v="112"/>
    <s v="BANCO SANTANDER (MEXICO) FIDEICOMISO F/2000363-1"/>
    <x v="57"/>
    <s v="NORMAL"/>
    <s v="MXN"/>
    <n v="638"/>
    <n v="635.96311900000001"/>
    <n v="405744.46992200002"/>
    <n v="647.93802047999998"/>
    <n v="-7639.9871442399999"/>
    <n v="0"/>
    <n v="0"/>
    <n v="0"/>
    <n v="0"/>
    <n v="638"/>
    <n v="405744.46992200002"/>
    <s v="EPER"/>
    <n v="7414000005"/>
  </r>
  <r>
    <x v="112"/>
    <s v="BANCO SANTANDER (MEXICO) FIDEICOMISO F/2000363-1"/>
    <x v="58"/>
    <s v="NORMAL"/>
    <s v="MXN"/>
    <n v="1046"/>
    <n v="709.36974099999998"/>
    <n v="742000.74908600003"/>
    <n v="728.33197593174953"/>
    <n v="-19834.49773861"/>
    <n v="0"/>
    <n v="0"/>
    <n v="0"/>
    <n v="0"/>
    <n v="1046"/>
    <n v="742000.74908600003"/>
    <s v="EPER"/>
    <n v="7414000005"/>
  </r>
  <r>
    <x v="112"/>
    <s v="BANCO SANTANDER (MEXICO) FIDEICOMISO F/2000363-1"/>
    <x v="59"/>
    <s v="NORMAL"/>
    <s v="MXN"/>
    <n v="3818"/>
    <n v="694.41118700000004"/>
    <n v="2651261.9119660002"/>
    <n v="724.71258163232585"/>
    <n v="-115690.72470622"/>
    <n v="0"/>
    <n v="0"/>
    <n v="0"/>
    <n v="0"/>
    <n v="3818"/>
    <n v="2651261.9119660002"/>
    <s v="EPER"/>
    <n v="7414000005"/>
  </r>
  <r>
    <x v="113"/>
    <s v="BANCO SANTANDER (MEXICO) FIDEICOMISO F/2000363-2"/>
    <x v="86"/>
    <s v="NORMAL"/>
    <s v="MXN"/>
    <n v="136379"/>
    <n v="9.4935880000000008"/>
    <n v="1294726.037852"/>
    <n v="8.4405498100000003"/>
    <n v="143612.29531401"/>
    <n v="0"/>
    <n v="0"/>
    <n v="0"/>
    <n v="0"/>
    <n v="136379"/>
    <n v="1294726.037852"/>
    <s v="EPER"/>
    <n v="7414000005"/>
  </r>
  <r>
    <x v="113"/>
    <s v="BANCO SANTANDER (MEXICO) FIDEICOMISO F/2000363-2"/>
    <x v="72"/>
    <s v="NORMAL"/>
    <s v="MXN"/>
    <n v="185740"/>
    <n v="9.3381629999999998"/>
    <n v="1734470.3956200001"/>
    <n v="8.3307969100000001"/>
    <n v="187108.17755660001"/>
    <n v="0"/>
    <n v="0"/>
    <n v="0"/>
    <n v="0"/>
    <n v="185740"/>
    <n v="1734470.3956200001"/>
    <s v="EPER"/>
    <n v="7414000005"/>
  </r>
  <r>
    <x v="113"/>
    <s v="BANCO SANTANDER (MEXICO) FIDEICOMISO F/2000363-2"/>
    <x v="15"/>
    <s v="NORMAL"/>
    <s v="MXN"/>
    <n v="234160"/>
    <n v="9.190137"/>
    <n v="2151962.4799199998"/>
    <n v="8.2167948391860275"/>
    <n v="227917.8003762"/>
    <n v="0"/>
    <n v="0"/>
    <n v="0"/>
    <n v="0"/>
    <n v="234160"/>
    <n v="2151962.4799199998"/>
    <s v="EPER"/>
    <n v="7414000005"/>
  </r>
  <r>
    <x v="113"/>
    <s v="BANCO SANTANDER (MEXICO) FIDEICOMISO F/2000363-2"/>
    <x v="71"/>
    <s v="NORMAL"/>
    <s v="MXN"/>
    <n v="64920"/>
    <n v="8.3813510000000004"/>
    <n v="544117.30692"/>
    <n v="8.2700011300000007"/>
    <n v="7228.8335604000004"/>
    <n v="0"/>
    <n v="0"/>
    <n v="0"/>
    <n v="0"/>
    <n v="64920"/>
    <n v="544117.30692"/>
    <s v="EPER"/>
    <n v="7414000005"/>
  </r>
  <r>
    <x v="113"/>
    <s v="BANCO SANTANDER (MEXICO) FIDEICOMISO F/2000363-2"/>
    <x v="16"/>
    <s v="NORMAL"/>
    <s v="MXN"/>
    <n v="132650"/>
    <n v="8.2580650000000002"/>
    <n v="1095432.32225"/>
    <n v="8.2501711100000001"/>
    <n v="1047.1245085"/>
    <n v="0"/>
    <n v="0"/>
    <n v="0"/>
    <n v="0"/>
    <n v="132650"/>
    <n v="1095432.32225"/>
    <s v="EPER"/>
    <n v="7414000005"/>
  </r>
  <r>
    <x v="113"/>
    <s v="BANCO SANTANDER (MEXICO) FIDEICOMISO F/2000363-2"/>
    <x v="26"/>
    <s v="NORMAL"/>
    <s v="MXN"/>
    <n v="4530"/>
    <n v="98.730349000000004"/>
    <n v="447248.48096999998"/>
    <n v="104.81191507"/>
    <n v="-27549.494297099998"/>
    <n v="0"/>
    <n v="0"/>
    <n v="0"/>
    <n v="0"/>
    <n v="4530"/>
    <n v="447248.48096999998"/>
    <s v="EPER"/>
    <n v="7414000005"/>
  </r>
  <r>
    <x v="113"/>
    <s v="BANCO SANTANDER (MEXICO) FIDEICOMISO F/2000363-2"/>
    <x v="67"/>
    <s v="NORMAL"/>
    <s v="MXN"/>
    <n v="7978"/>
    <n v="99.247497999999993"/>
    <n v="791796.53904399998"/>
    <n v="107.59174377659313"/>
    <n v="-66570.392805659998"/>
    <n v="0"/>
    <n v="0"/>
    <n v="0"/>
    <n v="0"/>
    <n v="7978"/>
    <n v="791796.53904399998"/>
    <s v="EPER"/>
    <n v="7414000005"/>
  </r>
  <r>
    <x v="113"/>
    <s v="BANCO SANTANDER (MEXICO) FIDEICOMISO F/2000363-2"/>
    <x v="27"/>
    <s v="NORMAL"/>
    <s v="MXN"/>
    <n v="11009"/>
    <n v="94.973146999999997"/>
    <n v="1045559.375323"/>
    <n v="90.01635830841856"/>
    <n v="54569.286705619998"/>
    <n v="0"/>
    <n v="0"/>
    <n v="0"/>
    <n v="0"/>
    <n v="11009"/>
    <n v="1045559.375323"/>
    <s v="EPER"/>
    <n v="7414000005"/>
  </r>
  <r>
    <x v="113"/>
    <s v="BANCO SANTANDER (MEXICO) FIDEICOMISO F/2000363-2"/>
    <x v="28"/>
    <s v="NORMAL"/>
    <s v="MXN"/>
    <n v="6022"/>
    <n v="91.911821000000003"/>
    <n v="553492.98606200004"/>
    <n v="93.2088459"/>
    <n v="-7810.6839478000002"/>
    <n v="0"/>
    <n v="0"/>
    <n v="0"/>
    <n v="0"/>
    <n v="6022"/>
    <n v="553492.98606200004"/>
    <s v="EPER"/>
    <n v="7414000005"/>
  </r>
  <r>
    <x v="113"/>
    <s v="BANCO SANTANDER (MEXICO) FIDEICOMISO F/2000363-2"/>
    <x v="30"/>
    <s v="NORMAL"/>
    <s v="MXN"/>
    <n v="8895"/>
    <n v="88.698122999999995"/>
    <n v="788969.80408499995"/>
    <n v="85.748156218701524"/>
    <n v="26239.95451965"/>
    <n v="0"/>
    <n v="0"/>
    <n v="0"/>
    <n v="0"/>
    <n v="8895"/>
    <n v="788969.80408499995"/>
    <s v="EPER"/>
    <n v="7414000005"/>
  </r>
  <r>
    <x v="113"/>
    <s v="BANCO SANTANDER (MEXICO) FIDEICOMISO F/2000363-2"/>
    <x v="31"/>
    <s v="NORMAL"/>
    <s v="MXN"/>
    <n v="7218"/>
    <n v="93.314192000000006"/>
    <n v="673541.83785600006"/>
    <n v="97.382118526663902"/>
    <n v="-29362.293669459999"/>
    <n v="0"/>
    <n v="0"/>
    <n v="0"/>
    <n v="0"/>
    <n v="7218"/>
    <n v="673541.83785600006"/>
    <s v="EPER"/>
    <n v="7414000005"/>
  </r>
  <r>
    <x v="113"/>
    <s v="BANCO SANTANDER (MEXICO) FIDEICOMISO F/2000363-2"/>
    <x v="32"/>
    <s v="NORMAL"/>
    <s v="MXN"/>
    <n v="6710"/>
    <n v="94.864168000000006"/>
    <n v="636538.56727999996"/>
    <n v="96.491292991490312"/>
    <n v="-10918.008692900001"/>
    <n v="0"/>
    <n v="0"/>
    <n v="0"/>
    <n v="0"/>
    <n v="6710"/>
    <n v="636538.56727999996"/>
    <s v="EPER"/>
    <n v="7414000005"/>
  </r>
  <r>
    <x v="113"/>
    <s v="BANCO SANTANDER (MEXICO) FIDEICOMISO F/2000363-2"/>
    <x v="33"/>
    <s v="NORMAL"/>
    <s v="MXN"/>
    <n v="2625"/>
    <n v="94.870157000000006"/>
    <n v="249034.162125"/>
    <n v="96.692672049999999"/>
    <n v="-4784.1020062500002"/>
    <n v="0"/>
    <n v="0"/>
    <n v="0"/>
    <n v="0"/>
    <n v="2625"/>
    <n v="249034.162125"/>
    <s v="EPER"/>
    <n v="7414000005"/>
  </r>
  <r>
    <x v="113"/>
    <s v="BANCO SANTANDER (MEXICO) FIDEICOMISO F/2000363-2"/>
    <x v="34"/>
    <s v="NORMAL"/>
    <s v="MXN"/>
    <n v="10540"/>
    <n v="89.489464999999996"/>
    <n v="943218.96109999996"/>
    <n v="85.486036344345351"/>
    <n v="42196.138030599999"/>
    <n v="0"/>
    <n v="0"/>
    <n v="0"/>
    <n v="0"/>
    <n v="10540"/>
    <n v="943218.96109999996"/>
    <s v="EPER"/>
    <n v="7414000005"/>
  </r>
  <r>
    <x v="113"/>
    <s v="BANCO SANTANDER (MEXICO) FIDEICOMISO F/2000363-2"/>
    <x v="35"/>
    <s v="NORMAL"/>
    <s v="MXN"/>
    <n v="7270"/>
    <n v="86.197128000000006"/>
    <n v="626653.12055999995"/>
    <n v="89.849078692008248"/>
    <n v="-26549.681530900001"/>
    <n v="0"/>
    <n v="0"/>
    <n v="0"/>
    <n v="0"/>
    <n v="7270"/>
    <n v="626653.12055999995"/>
    <s v="EPER"/>
    <n v="7414000005"/>
  </r>
  <r>
    <x v="113"/>
    <s v="BANCO SANTANDER (MEXICO) FIDEICOMISO F/2000363-2"/>
    <x v="36"/>
    <s v="NORMAL"/>
    <s v="MXN"/>
    <n v="41347"/>
    <n v="86.469353999999996"/>
    <n v="3575248.3798380001"/>
    <n v="90.392895358433506"/>
    <n v="-162226.66454714999"/>
    <n v="0"/>
    <n v="0"/>
    <n v="0"/>
    <n v="0"/>
    <n v="41347"/>
    <n v="3575248.3798380001"/>
    <s v="EPER"/>
    <n v="7414000005"/>
  </r>
  <r>
    <x v="113"/>
    <s v="BANCO SANTANDER (MEXICO) FIDEICOMISO F/2000363-2"/>
    <x v="81"/>
    <s v="NORMAL"/>
    <s v="MXN"/>
    <n v="468"/>
    <n v="101.45096599999999"/>
    <n v="47479.052087999997"/>
    <n v="114.11447106"/>
    <n v="-5926.5203680799996"/>
    <n v="0"/>
    <n v="0"/>
    <n v="0"/>
    <n v="0"/>
    <n v="468"/>
    <n v="47479.052087999997"/>
    <s v="EPER"/>
    <n v="7414000005"/>
  </r>
  <r>
    <x v="113"/>
    <s v="BANCO SANTANDER (MEXICO) FIDEICOMISO F/2000363-2"/>
    <x v="68"/>
    <s v="NORMAL"/>
    <s v="MXN"/>
    <n v="568"/>
    <n v="89.643172000000007"/>
    <n v="50917.321695999999"/>
    <n v="108.47711812999999"/>
    <n v="-10697.68140184"/>
    <n v="0"/>
    <n v="0"/>
    <n v="0"/>
    <n v="0"/>
    <n v="568"/>
    <n v="50917.321695999999"/>
    <s v="EPER"/>
    <n v="7414000005"/>
  </r>
  <r>
    <x v="113"/>
    <s v="BANCO SANTANDER (MEXICO) FIDEICOMISO F/2000363-2"/>
    <x v="37"/>
    <s v="NORMAL"/>
    <s v="MXN"/>
    <n v="13071"/>
    <n v="81.738860000000003"/>
    <n v="1068408.63906"/>
    <n v="86.456739232040391"/>
    <n v="-61667.399442000002"/>
    <n v="0"/>
    <n v="0"/>
    <n v="0"/>
    <n v="0"/>
    <n v="13071"/>
    <n v="1068408.63906"/>
    <s v="EPER"/>
    <n v="7414000005"/>
  </r>
  <r>
    <x v="113"/>
    <s v="BANCO SANTANDER (MEXICO) FIDEICOMISO F/2000363-2"/>
    <x v="38"/>
    <s v="NORMAL"/>
    <s v="MXN"/>
    <n v="1883"/>
    <n v="83.200761"/>
    <n v="156667.03296300001"/>
    <n v="93.079391513313865"/>
    <n v="-18601.461256570001"/>
    <n v="0"/>
    <n v="0"/>
    <n v="0"/>
    <n v="0"/>
    <n v="1883"/>
    <n v="156667.03296300001"/>
    <s v="EPER"/>
    <n v="7414000005"/>
  </r>
  <r>
    <x v="113"/>
    <s v="BANCO SANTANDER (MEXICO) FIDEICOMISO F/2000363-2"/>
    <x v="39"/>
    <s v="NORMAL"/>
    <s v="MXN"/>
    <n v="19880"/>
    <n v="82.159907000000004"/>
    <n v="1633338.9511599999"/>
    <n v="84.23074479732395"/>
    <n v="-41168.255410799997"/>
    <n v="0"/>
    <n v="0"/>
    <n v="0"/>
    <n v="0"/>
    <n v="19880"/>
    <n v="1633338.9511599999"/>
    <s v="EPER"/>
    <n v="7414000005"/>
  </r>
  <r>
    <x v="113"/>
    <s v="BANCO SANTANDER (MEXICO) FIDEICOMISO F/2000363-2"/>
    <x v="88"/>
    <s v="NORMAL"/>
    <s v="MXN"/>
    <n v="8710"/>
    <n v="98.007834000000003"/>
    <n v="853648.23413999996"/>
    <n v="92.067783631481049"/>
    <n v="51737.838709800002"/>
    <n v="0"/>
    <n v="0"/>
    <n v="0"/>
    <n v="0"/>
    <n v="8710"/>
    <n v="853648.23413999996"/>
    <s v="EPER"/>
    <n v="7414000005"/>
  </r>
  <r>
    <x v="113"/>
    <s v="BANCO SANTANDER (MEXICO) FIDEICOMISO F/2000363-2"/>
    <x v="0"/>
    <s v="NORMAL"/>
    <s v="MXN"/>
    <n v="2175395"/>
    <n v="3.3967719999999999"/>
    <n v="7389320.8249399997"/>
    <n v="3.2960309093291102"/>
    <n v="219151.66493999999"/>
    <n v="0"/>
    <n v="0"/>
    <n v="0"/>
    <n v="0"/>
    <n v="2175395"/>
    <n v="7389320.8249399997"/>
    <s v="EPER"/>
    <n v="7414000005"/>
  </r>
  <r>
    <x v="113"/>
    <s v="BANCO SANTANDER (MEXICO) FIDEICOMISO F/2000363-2"/>
    <x v="80"/>
    <s v="NORMAL"/>
    <s v="MXN"/>
    <n v="1618546"/>
    <n v="3.8832339999999999"/>
    <n v="6285192.8577640001"/>
    <n v="2.873509853905913"/>
    <n v="1634284.977764"/>
    <n v="0"/>
    <n v="0"/>
    <n v="0"/>
    <n v="0"/>
    <n v="1618546"/>
    <n v="6285192.8577640001"/>
    <s v="EPER"/>
    <n v="7414000005"/>
  </r>
  <r>
    <x v="113"/>
    <s v="BANCO SANTANDER (MEXICO) FIDEICOMISO F/2000363-2"/>
    <x v="141"/>
    <s v="NORMAL"/>
    <s v="MXN"/>
    <n v="120"/>
    <n v="256.05011500000001"/>
    <n v="30726.013800000001"/>
    <n v="487.32003911999999"/>
    <n v="-27752.3908944"/>
    <n v="0"/>
    <n v="0"/>
    <n v="0"/>
    <n v="0"/>
    <n v="120"/>
    <n v="30726.013800000001"/>
    <s v="EPER"/>
    <n v="7414000005"/>
  </r>
  <r>
    <x v="113"/>
    <s v="BANCO SANTANDER (MEXICO) FIDEICOMISO F/2000363-2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3"/>
    <s v="BANCO SANTANDER (MEXICO) FIDEICOMISO F/2000363-2"/>
    <x v="51"/>
    <s v="NORMAL"/>
    <s v="MXN"/>
    <n v="820"/>
    <n v="775.69178699999998"/>
    <n v="636067.26534000004"/>
    <n v="697.68063177139027"/>
    <n v="63969.14728746"/>
    <n v="0"/>
    <n v="0"/>
    <n v="0"/>
    <n v="0"/>
    <n v="820"/>
    <n v="636067.26534000004"/>
    <s v="EPER"/>
    <n v="7414000005"/>
  </r>
  <r>
    <x v="113"/>
    <s v="BANCO SANTANDER (MEXICO) FIDEICOMISO F/2000363-2"/>
    <x v="52"/>
    <s v="NORMAL"/>
    <s v="MXN"/>
    <n v="1260"/>
    <n v="747.17843200000004"/>
    <n v="941444.82432000001"/>
    <n v="709.92084864119045"/>
    <n v="46944.555032099997"/>
    <n v="0"/>
    <n v="0"/>
    <n v="0"/>
    <n v="0"/>
    <n v="1260"/>
    <n v="941444.82432000001"/>
    <s v="EPER"/>
    <n v="7414000005"/>
  </r>
  <r>
    <x v="113"/>
    <s v="BANCO SANTANDER (MEXICO) FIDEICOMISO F/2000363-2"/>
    <x v="53"/>
    <s v="NORMAL"/>
    <s v="MXN"/>
    <n v="1156"/>
    <n v="765.92388300000005"/>
    <n v="885408.00874800002"/>
    <n v="752.68846912662627"/>
    <n v="15300.13843762"/>
    <n v="0"/>
    <n v="0"/>
    <n v="0"/>
    <n v="0"/>
    <n v="1156"/>
    <n v="885408.00874800002"/>
    <s v="EPER"/>
    <n v="7414000005"/>
  </r>
  <r>
    <x v="113"/>
    <s v="BANCO SANTANDER (MEXICO) FIDEICOMISO F/2000363-2"/>
    <x v="54"/>
    <s v="NORMAL"/>
    <s v="MXN"/>
    <n v="5956"/>
    <n v="684.88915799999995"/>
    <n v="4079199.8250480001"/>
    <n v="677.14832988530895"/>
    <n v="46104.372251100001"/>
    <n v="0"/>
    <n v="0"/>
    <n v="0"/>
    <n v="0"/>
    <n v="5956"/>
    <n v="4079199.8250480001"/>
    <s v="EPER"/>
    <n v="7414000005"/>
  </r>
  <r>
    <x v="113"/>
    <s v="BANCO SANTANDER (MEXICO) FIDEICOMISO F/2000363-2"/>
    <x v="55"/>
    <s v="NORMAL"/>
    <s v="MXN"/>
    <n v="554"/>
    <n v="772.926965"/>
    <n v="428201.53860999999"/>
    <n v="798.93664675000002"/>
    <n v="-14409.3636895"/>
    <n v="0"/>
    <n v="0"/>
    <n v="0"/>
    <n v="0"/>
    <n v="554"/>
    <n v="428201.53860999999"/>
    <s v="EPER"/>
    <n v="7414000005"/>
  </r>
  <r>
    <x v="113"/>
    <s v="BANCO SANTANDER (MEXICO) FIDEICOMISO F/2000363-2"/>
    <x v="56"/>
    <s v="NORMAL"/>
    <s v="MXN"/>
    <n v="575"/>
    <n v="721.59464000000003"/>
    <n v="414916.91800000001"/>
    <n v="782.17544843860867"/>
    <n v="-34833.964852199999"/>
    <n v="0"/>
    <n v="0"/>
    <n v="0"/>
    <n v="0"/>
    <n v="575"/>
    <n v="414916.91800000001"/>
    <s v="EPER"/>
    <n v="7414000005"/>
  </r>
  <r>
    <x v="113"/>
    <s v="BANCO SANTANDER (MEXICO) FIDEICOMISO F/2000363-2"/>
    <x v="57"/>
    <s v="NORMAL"/>
    <s v="MXN"/>
    <n v="598"/>
    <n v="635.96311900000001"/>
    <n v="380305.94516200002"/>
    <n v="647.93802047999998"/>
    <n v="-7160.9910850400001"/>
    <n v="0"/>
    <n v="0"/>
    <n v="0"/>
    <n v="0"/>
    <n v="598"/>
    <n v="380305.94516200002"/>
    <s v="EPER"/>
    <n v="7414000005"/>
  </r>
  <r>
    <x v="113"/>
    <s v="BANCO SANTANDER (MEXICO) FIDEICOMISO F/2000363-2"/>
    <x v="58"/>
    <s v="NORMAL"/>
    <s v="MXN"/>
    <n v="909"/>
    <n v="709.36974099999998"/>
    <n v="644817.09456899995"/>
    <n v="729.918912239615"/>
    <n v="-18679.19665681"/>
    <n v="0"/>
    <n v="0"/>
    <n v="0"/>
    <n v="0"/>
    <n v="909"/>
    <n v="644817.09456899995"/>
    <s v="EPER"/>
    <n v="7414000005"/>
  </r>
  <r>
    <x v="113"/>
    <s v="BANCO SANTANDER (MEXICO) FIDEICOMISO F/2000363-2"/>
    <x v="59"/>
    <s v="NORMAL"/>
    <s v="MXN"/>
    <n v="3577"/>
    <n v="694.41118700000004"/>
    <n v="2483908.815899"/>
    <n v="724.58526712771322"/>
    <n v="-107932.68461683"/>
    <n v="0"/>
    <n v="0"/>
    <n v="0"/>
    <n v="0"/>
    <n v="3577"/>
    <n v="2483908.815899"/>
    <s v="EPER"/>
    <n v="7414000005"/>
  </r>
  <r>
    <x v="114"/>
    <s v="BANCO SANTANDER (MEXICO) FIDEICOMISO F/2000363-3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4"/>
    <s v="BANCO SANTANDER (MEXICO) FIDEICOMISO F/2000363-3"/>
    <x v="130"/>
    <s v="NORMAL"/>
    <s v="MXN"/>
    <n v="2930000"/>
    <n v="4.5848760000000004"/>
    <n v="13433686.68"/>
    <n v="4.1918016689419799"/>
    <n v="1151707.79"/>
    <n v="0"/>
    <n v="0"/>
    <n v="0"/>
    <n v="0"/>
    <n v="2930000"/>
    <n v="13433686.68"/>
    <s v="EPER"/>
    <n v="7414000005"/>
  </r>
  <r>
    <x v="114"/>
    <s v="BANCO SANTANDER (MEXICO) FIDEICOMISO F/2000363-3"/>
    <x v="0"/>
    <s v="NORMAL"/>
    <s v="MXN"/>
    <n v="158340"/>
    <n v="3.3967719999999999"/>
    <n v="537844.87847999996"/>
    <n v="3.3379458759631175"/>
    <n v="9314.5284800000009"/>
    <n v="0"/>
    <n v="0"/>
    <n v="0"/>
    <n v="0"/>
    <n v="158340"/>
    <n v="537844.87847999996"/>
    <s v="EPER"/>
    <n v="7414000005"/>
  </r>
  <r>
    <x v="115"/>
    <s v="BANCO SANTANDER (MEXICO) FIDEICOMISO F/2000363-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5"/>
    <s v="BANCO SANTANDER (MEXICO) FIDEICOMISO F/2000363-4"/>
    <x v="130"/>
    <s v="NORMAL"/>
    <s v="MXN"/>
    <n v="2977000"/>
    <n v="4.5848760000000004"/>
    <n v="13649175.852"/>
    <n v="4.1910542895532412"/>
    <n v="1172407.2320000001"/>
    <n v="0"/>
    <n v="0"/>
    <n v="0"/>
    <n v="0"/>
    <n v="2977000"/>
    <n v="13649175.852"/>
    <s v="EPER"/>
    <n v="7414000005"/>
  </r>
  <r>
    <x v="115"/>
    <s v="BANCO SANTANDER (MEXICO) FIDEICOMISO F/2000363-4"/>
    <x v="0"/>
    <s v="NORMAL"/>
    <s v="MXN"/>
    <n v="170295"/>
    <n v="3.3967719999999999"/>
    <n v="578453.28774000006"/>
    <n v="3.3266897442673007"/>
    <n v="11934.657740000001"/>
    <n v="0"/>
    <n v="0"/>
    <n v="0"/>
    <n v="0"/>
    <n v="170295"/>
    <n v="578453.28774000006"/>
    <s v="EPER"/>
    <n v="7414000005"/>
  </r>
  <r>
    <x v="116"/>
    <s v="BANCO SANTANDER (MEXICO) FIDEICOMISO F/2000362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86"/>
    <s v="NORMAL"/>
    <s v="MXN"/>
    <n v="14681"/>
    <n v="9.4935880000000008"/>
    <n v="139375.36542799999"/>
    <n v="8.4405498100000003"/>
    <n v="15459.653667389999"/>
    <n v="0"/>
    <n v="0"/>
    <n v="0"/>
    <n v="0"/>
    <n v="14681"/>
    <n v="139375.36542799999"/>
    <s v="EPER"/>
    <n v="7414000005"/>
  </r>
  <r>
    <x v="116"/>
    <s v="BANCO SANTANDER (MEXICO) FIDEICOMISO F/2000362-1"/>
    <x v="72"/>
    <s v="NORMAL"/>
    <s v="MXN"/>
    <n v="20030"/>
    <n v="9.3381629999999998"/>
    <n v="187043.40489000001"/>
    <n v="8.3307969100000001"/>
    <n v="20177.542782699998"/>
    <n v="0"/>
    <n v="0"/>
    <n v="0"/>
    <n v="0"/>
    <n v="20030"/>
    <n v="187043.40489000001"/>
    <s v="EPER"/>
    <n v="7414000005"/>
  </r>
  <r>
    <x v="116"/>
    <s v="BANCO SANTANDER (MEXICO) FIDEICOMISO F/2000362-1"/>
    <x v="15"/>
    <s v="NORMAL"/>
    <s v="MXN"/>
    <n v="24750"/>
    <n v="9.190137"/>
    <n v="227455.89074999999"/>
    <n v="8.216786129329293"/>
    <n v="24090.4340491"/>
    <n v="0"/>
    <n v="0"/>
    <n v="0"/>
    <n v="0"/>
    <n v="24750"/>
    <n v="227455.89074999999"/>
    <s v="EPER"/>
    <n v="7414000005"/>
  </r>
  <r>
    <x v="116"/>
    <s v="BANCO SANTANDER (MEXICO) FIDEICOMISO F/2000362-1"/>
    <x v="71"/>
    <s v="NORMAL"/>
    <s v="MXN"/>
    <n v="6270"/>
    <n v="8.3813510000000004"/>
    <n v="52551.070769999998"/>
    <n v="8.2700011300000007"/>
    <n v="698.16368490000002"/>
    <n v="0"/>
    <n v="0"/>
    <n v="0"/>
    <n v="0"/>
    <n v="6270"/>
    <n v="52551.070769999998"/>
    <s v="EPER"/>
    <n v="7414000005"/>
  </r>
  <r>
    <x v="116"/>
    <s v="BANCO SANTANDER (MEXICO) FIDEICOMISO F/2000362-1"/>
    <x v="16"/>
    <s v="NORMAL"/>
    <s v="MXN"/>
    <n v="12680"/>
    <n v="8.2580650000000002"/>
    <n v="104712.26420000001"/>
    <n v="8.2501711100000001"/>
    <n v="100.09452520000001"/>
    <n v="0"/>
    <n v="0"/>
    <n v="0"/>
    <n v="0"/>
    <n v="12680"/>
    <n v="104712.26420000001"/>
    <s v="EPER"/>
    <n v="7414000005"/>
  </r>
  <r>
    <x v="116"/>
    <s v="BANCO SANTANDER (MEXICO) FIDEICOMISO F/2000362-1"/>
    <x v="26"/>
    <s v="NORMAL"/>
    <s v="MXN"/>
    <n v="900"/>
    <n v="98.730349000000004"/>
    <n v="88857.314100000003"/>
    <n v="104.78091818566666"/>
    <n v="-5445.5122670999999"/>
    <n v="0"/>
    <n v="0"/>
    <n v="0"/>
    <n v="0"/>
    <n v="900"/>
    <n v="88857.314100000003"/>
    <s v="EPER"/>
    <n v="7414000005"/>
  </r>
  <r>
    <x v="116"/>
    <s v="BANCO SANTANDER (MEXICO) FIDEICOMISO F/2000362-1"/>
    <x v="67"/>
    <s v="NORMAL"/>
    <s v="MXN"/>
    <n v="800"/>
    <n v="99.247497999999993"/>
    <n v="79397.998399999997"/>
    <n v="75.524746840999995"/>
    <n v="18978.2009272"/>
    <n v="0"/>
    <n v="0"/>
    <n v="0"/>
    <n v="0"/>
    <n v="800"/>
    <n v="79397.998399999997"/>
    <s v="EPER"/>
    <n v="7414000005"/>
  </r>
  <r>
    <x v="116"/>
    <s v="BANCO SANTANDER (MEXICO) FIDEICOMISO F/2000362-1"/>
    <x v="27"/>
    <s v="NORMAL"/>
    <s v="MXN"/>
    <n v="1251"/>
    <n v="94.973146999999997"/>
    <n v="118811.40689699999"/>
    <n v="90.007245033109513"/>
    <n v="6212.3433605800001"/>
    <n v="0"/>
    <n v="0"/>
    <n v="0"/>
    <n v="0"/>
    <n v="1251"/>
    <n v="118811.40689699999"/>
    <s v="EPER"/>
    <n v="7414000005"/>
  </r>
  <r>
    <x v="116"/>
    <s v="BANCO SANTANDER (MEXICO) FIDEICOMISO F/2000362-1"/>
    <x v="28"/>
    <s v="NORMAL"/>
    <s v="MXN"/>
    <n v="785"/>
    <n v="91.911821000000003"/>
    <n v="72150.779485000006"/>
    <n v="93.2088459"/>
    <n v="-1018.1645465"/>
    <n v="0"/>
    <n v="0"/>
    <n v="0"/>
    <n v="0"/>
    <n v="785"/>
    <n v="72150.779485000006"/>
    <s v="EPER"/>
    <n v="7414000005"/>
  </r>
  <r>
    <x v="116"/>
    <s v="BANCO SANTANDER (MEXICO) FIDEICOMISO F/2000362-1"/>
    <x v="30"/>
    <s v="NORMAL"/>
    <s v="MXN"/>
    <n v="1027"/>
    <n v="88.698122999999995"/>
    <n v="91092.972320999994"/>
    <n v="85.754787778880228"/>
    <n v="3022.80527209"/>
    <n v="0"/>
    <n v="0"/>
    <n v="0"/>
    <n v="0"/>
    <n v="1027"/>
    <n v="91092.972320999994"/>
    <s v="EPER"/>
    <n v="7414000005"/>
  </r>
  <r>
    <x v="116"/>
    <s v="BANCO SANTANDER (MEXICO) FIDEICOMISO F/2000362-1"/>
    <x v="31"/>
    <s v="NORMAL"/>
    <s v="MXN"/>
    <n v="1099"/>
    <n v="93.314192000000006"/>
    <n v="102552.29700799999"/>
    <n v="98.662556702893539"/>
    <n v="-5877.85280848"/>
    <n v="0"/>
    <n v="0"/>
    <n v="0"/>
    <n v="0"/>
    <n v="1099"/>
    <n v="102552.29700799999"/>
    <s v="EPER"/>
    <n v="7414000005"/>
  </r>
  <r>
    <x v="116"/>
    <s v="BANCO SANTANDER (MEXICO) FIDEICOMISO F/2000362-1"/>
    <x v="32"/>
    <s v="NORMAL"/>
    <s v="MXN"/>
    <n v="730"/>
    <n v="94.864168000000006"/>
    <n v="69250.842640000003"/>
    <n v="96.464159712876707"/>
    <n v="-1167.9939503999999"/>
    <n v="0"/>
    <n v="0"/>
    <n v="0"/>
    <n v="0"/>
    <n v="730"/>
    <n v="69250.842640000003"/>
    <s v="EPER"/>
    <n v="7414000005"/>
  </r>
  <r>
    <x v="116"/>
    <s v="BANCO SANTANDER (MEXICO) FIDEICOMISO F/2000362-1"/>
    <x v="33"/>
    <s v="NORMAL"/>
    <s v="MXN"/>
    <n v="491"/>
    <n v="94.870157000000006"/>
    <n v="46581.247087000003"/>
    <n v="96.692672049999999"/>
    <n v="-894.85488955000005"/>
    <n v="0"/>
    <n v="0"/>
    <n v="0"/>
    <n v="0"/>
    <n v="491"/>
    <n v="46581.247087000003"/>
    <s v="EPER"/>
    <n v="7414000005"/>
  </r>
  <r>
    <x v="116"/>
    <s v="BANCO SANTANDER (MEXICO) FIDEICOMISO F/2000362-1"/>
    <x v="34"/>
    <s v="NORMAL"/>
    <s v="MXN"/>
    <n v="1151"/>
    <n v="89.489464999999996"/>
    <n v="103002.374215"/>
    <n v="71.001864074074717"/>
    <n v="21279.22866574"/>
    <n v="0"/>
    <n v="0"/>
    <n v="0"/>
    <n v="0"/>
    <n v="1151"/>
    <n v="103002.374215"/>
    <s v="EPER"/>
    <n v="7414000005"/>
  </r>
  <r>
    <x v="116"/>
    <s v="BANCO SANTANDER (MEXICO) FIDEICOMISO F/2000362-1"/>
    <x v="35"/>
    <s v="NORMAL"/>
    <s v="MXN"/>
    <n v="740"/>
    <n v="86.197128000000006"/>
    <n v="63785.87472"/>
    <n v="89.908939955135139"/>
    <n v="-2746.7408467999999"/>
    <n v="0"/>
    <n v="0"/>
    <n v="0"/>
    <n v="0"/>
    <n v="740"/>
    <n v="63785.87472"/>
    <s v="EPER"/>
    <n v="7414000005"/>
  </r>
  <r>
    <x v="116"/>
    <s v="BANCO SANTANDER (MEXICO) FIDEICOMISO F/2000362-1"/>
    <x v="36"/>
    <s v="NORMAL"/>
    <s v="MXN"/>
    <n v="857"/>
    <n v="86.469353999999996"/>
    <n v="74104.236378000001"/>
    <n v="94.74053355987165"/>
    <n v="-7088.4008828100004"/>
    <n v="0"/>
    <n v="0"/>
    <n v="0"/>
    <n v="0"/>
    <n v="857"/>
    <n v="74104.236378000001"/>
    <s v="EPER"/>
    <n v="7414000005"/>
  </r>
  <r>
    <x v="116"/>
    <s v="BANCO SANTANDER (MEXICO) FIDEICOMISO F/2000362-1"/>
    <x v="81"/>
    <s v="NORMAL"/>
    <s v="MXN"/>
    <n v="51"/>
    <n v="101.45096599999999"/>
    <n v="5173.9992659999998"/>
    <n v="114.11447106"/>
    <n v="-645.83875806000003"/>
    <n v="0"/>
    <n v="0"/>
    <n v="0"/>
    <n v="0"/>
    <n v="51"/>
    <n v="5173.9992659999998"/>
    <s v="EPER"/>
    <n v="7414000005"/>
  </r>
  <r>
    <x v="116"/>
    <s v="BANCO SANTANDER (MEXICO) FIDEICOMISO F/2000362-1"/>
    <x v="68"/>
    <s v="NORMAL"/>
    <s v="MXN"/>
    <n v="61"/>
    <n v="89.643172000000007"/>
    <n v="5468.2334920000003"/>
    <n v="117.68286983"/>
    <n v="-1710.42156763"/>
    <n v="0"/>
    <n v="0"/>
    <n v="0"/>
    <n v="0"/>
    <n v="61"/>
    <n v="5468.2334920000003"/>
    <s v="EPER"/>
    <n v="7414000005"/>
  </r>
  <r>
    <x v="116"/>
    <s v="BANCO SANTANDER (MEXICO) FIDEICOMISO F/2000362-1"/>
    <x v="37"/>
    <s v="NORMAL"/>
    <s v="MXN"/>
    <n v="1304"/>
    <n v="81.738860000000003"/>
    <n v="106587.47344"/>
    <n v="86.479330660506136"/>
    <n v="-6181.5737412999997"/>
    <n v="0"/>
    <n v="0"/>
    <n v="0"/>
    <n v="0"/>
    <n v="1304"/>
    <n v="106587.47344"/>
    <s v="EPER"/>
    <n v="7414000005"/>
  </r>
  <r>
    <x v="116"/>
    <s v="BANCO SANTANDER (MEXICO) FIDEICOMISO F/2000362-1"/>
    <x v="38"/>
    <s v="NORMAL"/>
    <s v="MXN"/>
    <n v="344"/>
    <n v="83.200761"/>
    <n v="28621.061784000001"/>
    <n v="94.370822079534889"/>
    <n v="-3842.5010113600001"/>
    <n v="0"/>
    <n v="0"/>
    <n v="0"/>
    <n v="0"/>
    <n v="344"/>
    <n v="28621.061784000001"/>
    <s v="EPER"/>
    <n v="7414000005"/>
  </r>
  <r>
    <x v="116"/>
    <s v="BANCO SANTANDER (MEXICO) FIDEICOMISO F/2000362-1"/>
    <x v="39"/>
    <s v="NORMAL"/>
    <s v="MXN"/>
    <n v="1952"/>
    <n v="82.159907000000004"/>
    <n v="160376.13846399999"/>
    <n v="84.305724856834019"/>
    <n v="-4188.6364565399999"/>
    <n v="0"/>
    <n v="0"/>
    <n v="0"/>
    <n v="0"/>
    <n v="1952"/>
    <n v="160376.13846399999"/>
    <s v="EPER"/>
    <n v="7414000005"/>
  </r>
  <r>
    <x v="116"/>
    <s v="BANCO SANTANDER (MEXICO) FIDEICOMISO F/2000362-1"/>
    <x v="88"/>
    <s v="NORMAL"/>
    <s v="MXN"/>
    <n v="1440"/>
    <n v="98.007834000000003"/>
    <n v="141131.28096"/>
    <n v="92.068008551250003"/>
    <n v="8553.3486462000001"/>
    <n v="0"/>
    <n v="0"/>
    <n v="0"/>
    <n v="0"/>
    <n v="1440"/>
    <n v="141131.28096"/>
    <s v="EPER"/>
    <n v="7414000005"/>
  </r>
  <r>
    <x v="116"/>
    <s v="BANCO SANTANDER (MEXICO) FIDEICOMISO F/2000362-1"/>
    <x v="0"/>
    <s v="NORMAL"/>
    <s v="MXN"/>
    <n v="211039"/>
    <n v="3.3967719999999999"/>
    <n v="716851.36610800005"/>
    <n v="3.2828755822383542"/>
    <n v="24036.586108"/>
    <n v="0"/>
    <n v="0"/>
    <n v="0"/>
    <n v="0"/>
    <n v="211039"/>
    <n v="716851.36610800005"/>
    <s v="EPER"/>
    <n v="7414000005"/>
  </r>
  <r>
    <x v="116"/>
    <s v="BANCO SANTANDER (MEXICO) FIDEICOMISO F/2000362-1"/>
    <x v="80"/>
    <s v="NORMAL"/>
    <s v="MXN"/>
    <n v="80994"/>
    <n v="3.8832339999999999"/>
    <n v="314518.65459599998"/>
    <n v="2.9842845149023383"/>
    <n v="72809.514595999994"/>
    <n v="0"/>
    <n v="0"/>
    <n v="0"/>
    <n v="0"/>
    <n v="80994"/>
    <n v="314518.65459599998"/>
    <s v="EPER"/>
    <n v="7414000005"/>
  </r>
  <r>
    <x v="116"/>
    <s v="BANCO SANTANDER (MEXICO) FIDEICOMISO F/2000362-1"/>
    <x v="141"/>
    <s v="NORMAL"/>
    <s v="MXN"/>
    <n v="38"/>
    <n v="256.05011500000001"/>
    <n v="9729.9043700000002"/>
    <n v="487.32003911999999"/>
    <n v="-8788.2571165600002"/>
    <n v="0"/>
    <n v="0"/>
    <n v="0"/>
    <n v="0"/>
    <n v="38"/>
    <n v="9729.9043700000002"/>
    <s v="EPER"/>
    <n v="7414000005"/>
  </r>
  <r>
    <x v="116"/>
    <s v="BANCO SANTANDER (MEXICO) FIDEICOMISO F/2000362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51"/>
    <s v="NORMAL"/>
    <s v="MXN"/>
    <n v="97"/>
    <n v="775.69178699999998"/>
    <n v="75242.103338999994"/>
    <n v="696.9165580026804"/>
    <n v="7641.1972127400004"/>
    <n v="0"/>
    <n v="0"/>
    <n v="0"/>
    <n v="0"/>
    <n v="97"/>
    <n v="75242.103338999994"/>
    <s v="EPER"/>
    <n v="7414000005"/>
  </r>
  <r>
    <x v="116"/>
    <s v="BANCO SANTANDER (MEXICO) FIDEICOMISO F/2000362-1"/>
    <x v="52"/>
    <s v="NORMAL"/>
    <s v="MXN"/>
    <n v="150"/>
    <n v="747.17843200000004"/>
    <n v="112076.7648"/>
    <n v="709.73996555799999"/>
    <n v="5615.7699663000003"/>
    <n v="0"/>
    <n v="0"/>
    <n v="0"/>
    <n v="0"/>
    <n v="150"/>
    <n v="112076.7648"/>
    <s v="EPER"/>
    <n v="7414000005"/>
  </r>
  <r>
    <x v="116"/>
    <s v="BANCO SANTANDER (MEXICO) FIDEICOMISO F/2000362-1"/>
    <x v="53"/>
    <s v="NORMAL"/>
    <s v="MXN"/>
    <n v="168"/>
    <n v="765.92388300000005"/>
    <n v="128675.212344"/>
    <n v="748.03498777940479"/>
    <n v="3005.3343970599999"/>
    <n v="0"/>
    <n v="0"/>
    <n v="0"/>
    <n v="0"/>
    <n v="168"/>
    <n v="128675.212344"/>
    <s v="EPER"/>
    <n v="7414000005"/>
  </r>
  <r>
    <x v="116"/>
    <s v="BANCO SANTANDER (MEXICO) FIDEICOMISO F/2000362-1"/>
    <x v="54"/>
    <s v="NORMAL"/>
    <s v="MXN"/>
    <n v="584"/>
    <n v="684.88915799999995"/>
    <n v="399975.26827200002"/>
    <n v="677.06021272962323"/>
    <n v="4572.1040378999996"/>
    <n v="0"/>
    <n v="0"/>
    <n v="0"/>
    <n v="0"/>
    <n v="584"/>
    <n v="399975.26827200002"/>
    <s v="EPER"/>
    <n v="7414000005"/>
  </r>
  <r>
    <x v="116"/>
    <s v="BANCO SANTANDER (MEXICO) FIDEICOMISO F/2000362-1"/>
    <x v="55"/>
    <s v="NORMAL"/>
    <s v="MXN"/>
    <n v="67"/>
    <n v="772.926965"/>
    <n v="51786.106655000003"/>
    <n v="798.93664675000002"/>
    <n v="-1742.64867725"/>
    <n v="0"/>
    <n v="0"/>
    <n v="0"/>
    <n v="0"/>
    <n v="67"/>
    <n v="51786.106655000003"/>
    <s v="EPER"/>
    <n v="7414000005"/>
  </r>
  <r>
    <x v="116"/>
    <s v="BANCO SANTANDER (MEXICO) FIDEICOMISO F/2000362-1"/>
    <x v="56"/>
    <s v="NORMAL"/>
    <s v="MXN"/>
    <n v="90"/>
    <n v="721.59464000000003"/>
    <n v="64943.517599999999"/>
    <n v="546.01161723200005"/>
    <n v="15802.472049120001"/>
    <n v="0"/>
    <n v="0"/>
    <n v="0"/>
    <n v="0"/>
    <n v="90"/>
    <n v="64943.517599999999"/>
    <s v="EPER"/>
    <n v="7414000005"/>
  </r>
  <r>
    <x v="116"/>
    <s v="BANCO SANTANDER (MEXICO) FIDEICOMISO F/2000362-1"/>
    <x v="57"/>
    <s v="NORMAL"/>
    <s v="MXN"/>
    <n v="57"/>
    <n v="635.96311900000001"/>
    <n v="36249.897783"/>
    <n v="647.93802047999998"/>
    <n v="-682.56938435999996"/>
    <n v="0"/>
    <n v="0"/>
    <n v="0"/>
    <n v="0"/>
    <n v="57"/>
    <n v="36249.897783"/>
    <s v="EPER"/>
    <n v="7414000005"/>
  </r>
  <r>
    <x v="116"/>
    <s v="BANCO SANTANDER (MEXICO) FIDEICOMISO F/2000362-1"/>
    <x v="58"/>
    <s v="NORMAL"/>
    <s v="MXN"/>
    <n v="110"/>
    <n v="709.36974099999998"/>
    <n v="78030.67151"/>
    <n v="738.40352028590905"/>
    <n v="-3193.7157214499998"/>
    <n v="0"/>
    <n v="0"/>
    <n v="0"/>
    <n v="0"/>
    <n v="110"/>
    <n v="78030.67151"/>
    <s v="EPER"/>
    <n v="7414000005"/>
  </r>
  <r>
    <x v="116"/>
    <s v="BANCO SANTANDER (MEXICO) FIDEICOMISO F/2000362-1"/>
    <x v="59"/>
    <s v="NORMAL"/>
    <s v="MXN"/>
    <n v="366"/>
    <n v="694.41118700000004"/>
    <n v="254154.494442"/>
    <n v="723.22520642745906"/>
    <n v="-10545.931110449999"/>
    <n v="0"/>
    <n v="0"/>
    <n v="0"/>
    <n v="0"/>
    <n v="366"/>
    <n v="254154.494442"/>
    <s v="EPER"/>
    <n v="7414000005"/>
  </r>
  <r>
    <x v="117"/>
    <s v="BANCO SANTANDER (MEXICO) FIDEICOMISO F/2000362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7"/>
    <s v="BANCO SANTANDER (MEXICO) FIDEICOMISO F/2000362-2"/>
    <x v="130"/>
    <s v="NORMAL"/>
    <s v="MXN"/>
    <n v="191000"/>
    <n v="4.5848760000000004"/>
    <n v="875711.31599999999"/>
    <n v="4.1814367539267012"/>
    <n v="77056.895999999993"/>
    <n v="0"/>
    <n v="0"/>
    <n v="0"/>
    <n v="0"/>
    <n v="191000"/>
    <n v="875711.31599999999"/>
    <s v="EPER"/>
    <n v="7414000005"/>
  </r>
  <r>
    <x v="117"/>
    <s v="BANCO SANTANDER (MEXICO) FIDEICOMISO F/2000362-2"/>
    <x v="0"/>
    <s v="NORMAL"/>
    <s v="MXN"/>
    <n v="6844"/>
    <n v="3.3967719999999999"/>
    <n v="23247.507568000001"/>
    <n v="3.2979456458211573"/>
    <n v="676.36756800000001"/>
    <n v="0"/>
    <n v="0"/>
    <n v="0"/>
    <n v="0"/>
    <n v="6844"/>
    <n v="23247.507568000001"/>
    <s v="EPER"/>
    <n v="7414000005"/>
  </r>
  <r>
    <x v="118"/>
    <s v="BANCO SANTANDER (MEXICO) FIDEICOMISO F/2112323-1"/>
    <x v="152"/>
    <s v="NORMAL"/>
    <s v="MXN"/>
    <n v="0"/>
    <n v="0"/>
    <n v="0"/>
    <n v="0"/>
    <n v="0"/>
    <n v="0"/>
    <n v="0"/>
    <n v="0"/>
    <n v="0"/>
    <n v="0"/>
    <n v="0"/>
    <s v="EPER"/>
    <n v="7414000005"/>
  </r>
  <r>
    <x v="119"/>
    <s v="INST. DEL FDO.NAC.DE LA VIVIENDA PARA LOS TRABAJADORES,  FDO DE AHORRO"/>
    <x v="74"/>
    <s v="NORMAL"/>
    <s v="MXN"/>
    <n v="57088534"/>
    <n v="3.568238"/>
    <n v="203705476.38309199"/>
    <n v="3.5122432497565974"/>
    <n v="3196658.203092"/>
    <n v="0"/>
    <n v="0"/>
    <n v="0"/>
    <n v="0"/>
    <n v="57088534"/>
    <n v="203705476.38309199"/>
    <s v="EPER"/>
    <n v="7414000005"/>
  </r>
  <r>
    <x v="120"/>
    <s v="BCO.SANTANDER MEX.SA CTA.CONCENTRADORA PLANES PERS.RET.APOR.DEDUC.(RV)"/>
    <x v="129"/>
    <s v="NORMAL"/>
    <s v="MXN"/>
    <n v="56295"/>
    <n v="3.137273"/>
    <n v="176612.783535"/>
    <n v="3.1100650146549427"/>
    <n v="1531.6735349999999"/>
    <n v="0"/>
    <n v="0"/>
    <n v="0"/>
    <n v="0"/>
    <n v="56295"/>
    <n v="176612.783535"/>
    <s v="EPER"/>
    <n v="7414000005"/>
  </r>
  <r>
    <x v="120"/>
    <s v="BCO.SANTANDER MEX.SA CTA.CONCENTRADORA PLANES PERS.RET.APOR.DEDUC.(RV)"/>
    <x v="153"/>
    <s v="NORMAL"/>
    <s v="MXN"/>
    <n v="3734855"/>
    <n v="3.6141489999999998"/>
    <n v="13498322.463395"/>
    <n v="2.0109453994867272"/>
    <n v="5987732.983395"/>
    <n v="0"/>
    <n v="0"/>
    <n v="0"/>
    <n v="0"/>
    <n v="3734855"/>
    <n v="13498322.463395"/>
    <s v="EPER"/>
    <n v="7414000005"/>
  </r>
  <r>
    <x v="121"/>
    <s v="AUTOS PULLMAN,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21"/>
    <s v="AUTOS PULLMAN,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22"/>
    <s v="BANCO SANTANDER MEXICO FIDEICOMISO F 211"/>
    <x v="0"/>
    <s v="NORMAL"/>
    <s v="MXN"/>
    <n v="1743597"/>
    <n v="3.3967719999999999"/>
    <n v="5922601.4688839996"/>
    <n v="3.2865207556562668"/>
    <n v="192233.73888399999"/>
    <n v="0"/>
    <n v="0"/>
    <n v="0"/>
    <n v="0"/>
    <n v="1743597"/>
    <n v="5922601.4688839996"/>
    <s v="EPER"/>
    <n v="7414000005"/>
  </r>
  <r>
    <x v="122"/>
    <s v="BANCO SANTANDER MEXICO FIDEICOMISO F 211"/>
    <x v="83"/>
    <s v="NORMAL"/>
    <s v="MXN"/>
    <n v="84040000"/>
    <n v="2.106938"/>
    <n v="177067069.52000001"/>
    <n v="1.543948766777725"/>
    <n v="49546969.439999998"/>
    <n v="1060000"/>
    <n v="2233354.2799999998"/>
    <n v="0"/>
    <n v="0"/>
    <n v="85100000"/>
    <n v="179300423.80000001"/>
    <s v="EPER"/>
    <n v="7414000005"/>
  </r>
  <r>
    <x v="123"/>
    <s v="DANONE DE MEXICO SA DE CV"/>
    <x v="0"/>
    <s v="NORMAL"/>
    <s v="MXN"/>
    <n v="6007055"/>
    <n v="3.3967719999999999"/>
    <n v="20404596.226459999"/>
    <n v="2.9504198779601651"/>
    <n v="2681261.7464600001"/>
    <n v="0"/>
    <n v="0"/>
    <n v="0"/>
    <n v="0"/>
    <n v="6007055"/>
    <n v="20404596.226459999"/>
    <s v="EPER"/>
    <n v="7414000005"/>
  </r>
  <r>
    <x v="123"/>
    <s v="DANONE DE MEXICO SA DE CV"/>
    <x v="80"/>
    <s v="NORMAL"/>
    <s v="MXN"/>
    <n v="1003693"/>
    <n v="3.8832339999999999"/>
    <n v="3897574.7831620001"/>
    <n v="2.8271847168407072"/>
    <n v="1059949.2731620001"/>
    <n v="0"/>
    <n v="0"/>
    <n v="0"/>
    <n v="0"/>
    <n v="1003693"/>
    <n v="3897574.7831620001"/>
    <s v="EPER"/>
    <n v="7414000005"/>
  </r>
  <r>
    <x v="123"/>
    <s v="DANONE DE MEXICO SA DE CV"/>
    <x v="64"/>
    <s v="NORMAL"/>
    <s v="MXN"/>
    <n v="3046859"/>
    <n v="2.7668819999999998"/>
    <n v="8430299.3236379996"/>
    <n v="2.3501809995145821"/>
    <n v="1269629.1936379999"/>
    <n v="0"/>
    <n v="0"/>
    <n v="0"/>
    <n v="0"/>
    <n v="3046859"/>
    <n v="8430299.3236379996"/>
    <s v="EPER"/>
    <n v="7414000005"/>
  </r>
  <r>
    <x v="124"/>
    <s v="BOSE CORPORATION SA DE CV FONDO AHORRO E"/>
    <x v="154"/>
    <s v="NORMAL"/>
    <s v="MXN"/>
    <n v="8733529"/>
    <n v="3.4985729999999999"/>
    <n v="30554888.754117001"/>
    <n v="3.4433976906700603"/>
    <n v="481875.16411700001"/>
    <n v="0"/>
    <n v="0"/>
    <n v="0"/>
    <n v="0"/>
    <n v="8733529"/>
    <n v="30554888.754117001"/>
    <s v="EPER"/>
    <n v="7414000005"/>
  </r>
  <r>
    <x v="125"/>
    <s v="BANCO SANTANDER MEXICO FIDEICOMISO F/100654 1"/>
    <x v="75"/>
    <s v="NORMAL"/>
    <s v="MXN"/>
    <n v="31744931"/>
    <n v="3.612981"/>
    <n v="114693832.549311"/>
    <n v="3.5377382593775364"/>
    <n v="2388575.609311"/>
    <n v="0"/>
    <n v="0"/>
    <n v="0"/>
    <n v="0"/>
    <n v="31744931"/>
    <n v="114693832.549311"/>
    <s v="EPER"/>
    <n v="7414000005"/>
  </r>
  <r>
    <x v="126"/>
    <s v="ENVASADORAS DE AGUAS EN MEXICO S DE R LD"/>
    <x v="90"/>
    <s v="NORMAL"/>
    <s v="MXN"/>
    <n v="8590349"/>
    <n v="3.4005040000000002"/>
    <n v="29211516.135896001"/>
    <n v="3.3522186281372268"/>
    <n v="414788.19589600002"/>
    <n v="0"/>
    <n v="0"/>
    <n v="0"/>
    <n v="0"/>
    <n v="8590349"/>
    <n v="29211516.135896001"/>
    <s v="EPER"/>
    <n v="7414000005"/>
  </r>
  <r>
    <x v="127"/>
    <s v="BANCO SANTANDER (MEXICO) FIDEICOMISO F/2001277-1"/>
    <x v="155"/>
    <s v="NORMAL"/>
    <s v="MXN"/>
    <n v="41156258"/>
    <n v="3.4588809999999999"/>
    <n v="142354598.82729799"/>
    <n v="3.3872863533900484"/>
    <n v="2946567.7472979999"/>
    <n v="0"/>
    <n v="0"/>
    <n v="0"/>
    <n v="0"/>
    <n v="41156258"/>
    <n v="142354598.82729799"/>
    <s v="EPER"/>
    <n v="7414000005"/>
  </r>
  <r>
    <x v="128"/>
    <s v="BANCO SANTANDER (MEXICO) FIDEICOMISO F/2001422-1"/>
    <x v="0"/>
    <s v="NORMAL"/>
    <s v="MXN"/>
    <n v="7566899"/>
    <n v="3.3967719999999999"/>
    <n v="25703030.650028002"/>
    <n v="3.0195272647355278"/>
    <n v="2854572.8100279998"/>
    <n v="0"/>
    <n v="0"/>
    <n v="0"/>
    <n v="0"/>
    <n v="7566899"/>
    <n v="25703030.650028002"/>
    <s v="EPER"/>
    <n v="7414000005"/>
  </r>
  <r>
    <x v="129"/>
    <s v="BANCO SANTANDER (MEXICO) FIDEICOMISO F/2001447-1"/>
    <x v="155"/>
    <s v="NORMAL"/>
    <s v="MXN"/>
    <n v="482045523"/>
    <n v="3.4588809999999999"/>
    <n v="1667338100.6397631"/>
    <n v="2.5021924553586197"/>
    <n v="461167429.84976298"/>
    <n v="0"/>
    <n v="0"/>
    <n v="0"/>
    <n v="0"/>
    <n v="482045523"/>
    <n v="1667338100.6397631"/>
    <s v="EPER"/>
    <n v="7414000005"/>
  </r>
  <r>
    <x v="130"/>
    <s v="BANCO SANTANDER (MEXICO) FIDEICOMISO F/2001512-1"/>
    <x v="94"/>
    <s v="NORMAL"/>
    <s v="MXN"/>
    <n v="79330"/>
    <n v="99.629997000000003"/>
    <n v="7903647.6620100001"/>
    <n v="99.126983839999994"/>
    <n v="39904.0339828"/>
    <n v="0"/>
    <n v="0"/>
    <n v="0"/>
    <n v="0"/>
    <n v="79330"/>
    <n v="7903647.6620100001"/>
    <s v="EPER"/>
    <n v="7414000005"/>
  </r>
  <r>
    <x v="130"/>
    <s v="BANCO SANTANDER (MEXICO) FIDEICOMISO F/2001512-1"/>
    <x v="26"/>
    <s v="NORMAL"/>
    <s v="MXN"/>
    <n v="101210"/>
    <n v="98.730349000000004"/>
    <n v="9992498.6222900003"/>
    <n v="103.92405345210058"/>
    <n v="-525654.82759710005"/>
    <n v="0"/>
    <n v="0"/>
    <n v="0"/>
    <n v="0"/>
    <n v="101210"/>
    <n v="9992498.6222900003"/>
    <s v="EPER"/>
    <n v="7414000005"/>
  </r>
  <r>
    <x v="130"/>
    <s v="BANCO SANTANDER (MEXICO) FIDEICOMISO F/2001512-1"/>
    <x v="67"/>
    <s v="NORMAL"/>
    <s v="MXN"/>
    <n v="87888"/>
    <n v="99.247497999999993"/>
    <n v="8722664.1042240001"/>
    <n v="109.95921347146482"/>
    <n v="-941431.24935609999"/>
    <n v="0"/>
    <n v="0"/>
    <n v="0"/>
    <n v="0"/>
    <n v="87888"/>
    <n v="8722664.1042240001"/>
    <s v="EPER"/>
    <n v="7414000005"/>
  </r>
  <r>
    <x v="130"/>
    <s v="BANCO SANTANDER (MEXICO) FIDEICOMISO F/2001512-1"/>
    <x v="28"/>
    <s v="NORMAL"/>
    <s v="MXN"/>
    <n v="39705"/>
    <n v="91.911821000000003"/>
    <n v="3649358.8528049998"/>
    <n v="88.555839661137142"/>
    <n v="133249.23905954999"/>
    <n v="0"/>
    <n v="0"/>
    <n v="0"/>
    <n v="0"/>
    <n v="39705"/>
    <n v="3649358.8528049998"/>
    <s v="EPER"/>
    <n v="7414000005"/>
  </r>
  <r>
    <x v="130"/>
    <s v="BANCO SANTANDER (MEXICO) FIDEICOMISO F/2001512-1"/>
    <x v="31"/>
    <s v="NORMAL"/>
    <s v="MXN"/>
    <n v="82833"/>
    <n v="93.314192000000006"/>
    <n v="7729494.4659360005"/>
    <n v="98.419059661250103"/>
    <n v="-422851.50298433"/>
    <n v="0"/>
    <n v="0"/>
    <n v="0"/>
    <n v="0"/>
    <n v="82833"/>
    <n v="7729494.4659360005"/>
    <s v="EPER"/>
    <n v="7414000005"/>
  </r>
  <r>
    <x v="130"/>
    <s v="BANCO SANTANDER (MEXICO) FIDEICOMISO F/2001512-1"/>
    <x v="33"/>
    <s v="NORMAL"/>
    <s v="MXN"/>
    <n v="251593"/>
    <n v="94.870157000000006"/>
    <n v="23868667.410101"/>
    <n v="103.66754044143859"/>
    <n v="-2213360.09218186"/>
    <n v="0"/>
    <n v="0"/>
    <n v="0"/>
    <n v="0"/>
    <n v="251593"/>
    <n v="23868667.410101"/>
    <s v="EPER"/>
    <n v="7414000005"/>
  </r>
  <r>
    <x v="130"/>
    <s v="BANCO SANTANDER (MEXICO) FIDEICOMISO F/2001512-1"/>
    <x v="34"/>
    <s v="NORMAL"/>
    <s v="MXN"/>
    <n v="1396890"/>
    <n v="89.489464999999996"/>
    <n v="125006938.76385"/>
    <n v="94.429479527766901"/>
    <n v="-6900656.8936922997"/>
    <n v="0"/>
    <n v="0"/>
    <n v="0"/>
    <n v="0"/>
    <n v="1396890"/>
    <n v="125006938.76385"/>
    <s v="EPER"/>
    <n v="7414000005"/>
  </r>
  <r>
    <x v="130"/>
    <s v="BANCO SANTANDER (MEXICO) FIDEICOMISO F/2001512-1"/>
    <x v="35"/>
    <s v="NORMAL"/>
    <s v="MXN"/>
    <n v="1215270"/>
    <n v="86.197128000000006"/>
    <n v="104752783.74456"/>
    <n v="91.512189790675734"/>
    <n v="-6459235.1423544995"/>
    <n v="0"/>
    <n v="0"/>
    <n v="0"/>
    <n v="0"/>
    <n v="1215270"/>
    <n v="104752783.74456"/>
    <s v="EPER"/>
    <n v="7414000005"/>
  </r>
  <r>
    <x v="130"/>
    <s v="BANCO SANTANDER (MEXICO) FIDEICOMISO F/2001512-1"/>
    <x v="36"/>
    <s v="NORMAL"/>
    <s v="MXN"/>
    <n v="201516"/>
    <n v="86.469353999999996"/>
    <n v="17424958.340663999"/>
    <n v="96.442378827576775"/>
    <n v="-2009724.07115396"/>
    <n v="0"/>
    <n v="0"/>
    <n v="0"/>
    <n v="0"/>
    <n v="201516"/>
    <n v="17424958.340663999"/>
    <s v="EPER"/>
    <n v="7414000005"/>
  </r>
  <r>
    <x v="130"/>
    <s v="BANCO SANTANDER (MEXICO) FIDEICOMISO F/2001512-1"/>
    <x v="81"/>
    <s v="NORMAL"/>
    <s v="MXN"/>
    <n v="37130"/>
    <n v="101.45096599999999"/>
    <n v="3766874.3675799998"/>
    <n v="113.80792308148936"/>
    <n v="-458813.81643569999"/>
    <n v="0"/>
    <n v="0"/>
    <n v="0"/>
    <n v="0"/>
    <n v="37130"/>
    <n v="3766874.3675799998"/>
    <s v="EPER"/>
    <n v="7414000005"/>
  </r>
  <r>
    <x v="130"/>
    <s v="BANCO SANTANDER (MEXICO) FIDEICOMISO F/2001512-1"/>
    <x v="68"/>
    <s v="NORMAL"/>
    <s v="MXN"/>
    <n v="109154"/>
    <n v="89.643172000000007"/>
    <n v="9784910.7964880001"/>
    <n v="106.3161803750087"/>
    <n v="-1819925.5561657001"/>
    <n v="0"/>
    <n v="0"/>
    <n v="0"/>
    <n v="0"/>
    <n v="109154"/>
    <n v="9784910.7964880001"/>
    <s v="EPER"/>
    <n v="7414000005"/>
  </r>
  <r>
    <x v="130"/>
    <s v="BANCO SANTANDER (MEXICO) FIDEICOMISO F/2001512-1"/>
    <x v="130"/>
    <s v="NORMAL"/>
    <s v="MXN"/>
    <n v="14461203"/>
    <n v="4.5848760000000004"/>
    <n v="66302822.565828003"/>
    <n v="4.0227219996842587"/>
    <n v="8129423.115828"/>
    <n v="0"/>
    <n v="0"/>
    <n v="0"/>
    <n v="0"/>
    <n v="14461203"/>
    <n v="66302822.565828003"/>
    <s v="EPER"/>
    <n v="7414000005"/>
  </r>
  <r>
    <x v="130"/>
    <s v="BANCO SANTANDER (MEXICO) FIDEICOMISO F/2001512-1"/>
    <x v="0"/>
    <s v="NORMAL"/>
    <s v="MXN"/>
    <n v="3464902"/>
    <n v="3.3967719999999999"/>
    <n v="11769482.096344"/>
    <n v="3.3772509987295458"/>
    <n v="67638.356344"/>
    <n v="0"/>
    <n v="0"/>
    <n v="0"/>
    <n v="0"/>
    <n v="3464902"/>
    <n v="11769482.096344"/>
    <s v="EPER"/>
    <n v="7414000005"/>
  </r>
  <r>
    <x v="130"/>
    <s v="BANCO SANTANDER (MEXICO) FIDEICOMISO F/2001512-1"/>
    <x v="80"/>
    <s v="NORMAL"/>
    <s v="MXN"/>
    <n v="27598227"/>
    <n v="3.8832339999999999"/>
    <n v="107170373.426118"/>
    <n v="3.7159555314912076"/>
    <n v="4616589.1461180001"/>
    <n v="0"/>
    <n v="0"/>
    <n v="0"/>
    <n v="0"/>
    <n v="27598227"/>
    <n v="107170373.426118"/>
    <s v="EPER"/>
    <n v="7414000005"/>
  </r>
  <r>
    <x v="130"/>
    <s v="BANCO SANTANDER (MEXICO) FIDEICOMISO F/2001512-1"/>
    <x v="51"/>
    <s v="NORMAL"/>
    <s v="MXN"/>
    <n v="27623"/>
    <n v="775.69178699999998"/>
    <n v="21426934.232301001"/>
    <n v="648.12360268982366"/>
    <n v="3523815.9552000002"/>
    <n v="0"/>
    <n v="0"/>
    <n v="0"/>
    <n v="0"/>
    <n v="27623"/>
    <n v="21426934.232301001"/>
    <s v="EPER"/>
    <n v="7414000005"/>
  </r>
  <r>
    <x v="130"/>
    <s v="BANCO SANTANDER (MEXICO) FIDEICOMISO F/2001512-1"/>
    <x v="52"/>
    <s v="NORMAL"/>
    <s v="MXN"/>
    <n v="27534"/>
    <n v="747.17843200000004"/>
    <n v="20572810.946688"/>
    <n v="722.20220892999998"/>
    <n v="687695.32600938005"/>
    <n v="0"/>
    <n v="0"/>
    <n v="0"/>
    <n v="0"/>
    <n v="27534"/>
    <n v="20572810.946688"/>
    <s v="EPER"/>
    <n v="7414000005"/>
  </r>
  <r>
    <x v="130"/>
    <s v="BANCO SANTANDER (MEXICO) FIDEICOMISO F/2001512-1"/>
    <x v="53"/>
    <s v="NORMAL"/>
    <s v="MXN"/>
    <n v="24410"/>
    <n v="765.92388300000005"/>
    <n v="18696201.984030001"/>
    <n v="647.13705560405731"/>
    <n v="2899586.45673496"/>
    <n v="0"/>
    <n v="0"/>
    <n v="0"/>
    <n v="0"/>
    <n v="24410"/>
    <n v="18696201.984030001"/>
    <s v="EPER"/>
    <n v="7414000005"/>
  </r>
  <r>
    <x v="130"/>
    <s v="BANCO SANTANDER (MEXICO) FIDEICOMISO F/2001512-1"/>
    <x v="54"/>
    <s v="NORMAL"/>
    <s v="MXN"/>
    <n v="80570"/>
    <n v="684.88915799999995"/>
    <n v="55181519.46006"/>
    <n v="685.12663329600343"/>
    <n v="-19133.384599000001"/>
    <n v="0"/>
    <n v="0"/>
    <n v="0"/>
    <n v="0"/>
    <n v="80570"/>
    <n v="55181519.46006"/>
    <s v="EPER"/>
    <n v="7414000005"/>
  </r>
  <r>
    <x v="130"/>
    <s v="BANCO SANTANDER (MEXICO) FIDEICOMISO F/2001512-1"/>
    <x v="55"/>
    <s v="NORMAL"/>
    <s v="MXN"/>
    <n v="15354"/>
    <n v="772.926965"/>
    <n v="11867520.620610001"/>
    <n v="673.78221765191608"/>
    <n v="1522268.45078248"/>
    <n v="0"/>
    <n v="0"/>
    <n v="0"/>
    <n v="0"/>
    <n v="15354"/>
    <n v="11867520.620610001"/>
    <s v="EPER"/>
    <n v="7414000005"/>
  </r>
  <r>
    <x v="130"/>
    <s v="BANCO SANTANDER (MEXICO) FIDEICOMISO F/2001512-1"/>
    <x v="56"/>
    <s v="NORMAL"/>
    <s v="MXN"/>
    <n v="34797"/>
    <n v="721.59464000000003"/>
    <n v="25109328.688080002"/>
    <n v="620.34572042494301"/>
    <n v="3523158.6544532599"/>
    <n v="0"/>
    <n v="0"/>
    <n v="0"/>
    <n v="0"/>
    <n v="34797"/>
    <n v="25109328.688080002"/>
    <s v="EPER"/>
    <n v="7414000005"/>
  </r>
  <r>
    <x v="130"/>
    <s v="BANCO SANTANDER (MEXICO) FIDEICOMISO F/2001512-1"/>
    <x v="58"/>
    <s v="NORMAL"/>
    <s v="MXN"/>
    <n v="9908"/>
    <n v="709.36974099999998"/>
    <n v="7028435.3938279999"/>
    <n v="665.8216117667622"/>
    <n v="431474.86444292002"/>
    <n v="0"/>
    <n v="0"/>
    <n v="0"/>
    <n v="0"/>
    <n v="9908"/>
    <n v="7028435.3938279999"/>
    <s v="EPER"/>
    <n v="7414000005"/>
  </r>
  <r>
    <x v="130"/>
    <s v="BANCO SANTANDER (MEXICO) FIDEICOMISO F/2001512-1"/>
    <x v="59"/>
    <s v="NORMAL"/>
    <s v="MXN"/>
    <n v="26173"/>
    <n v="694.41118700000004"/>
    <n v="18174823.997350998"/>
    <n v="730.29799159825086"/>
    <n v="-939265.33675002004"/>
    <n v="0"/>
    <n v="0"/>
    <n v="0"/>
    <n v="0"/>
    <n v="26173"/>
    <n v="18174823.997350998"/>
    <s v="EPER"/>
    <n v="7414000005"/>
  </r>
  <r>
    <x v="131"/>
    <s v="BONAFONT SA DE CV"/>
    <x v="0"/>
    <s v="NORMAL"/>
    <s v="MXN"/>
    <n v="2655745"/>
    <n v="3.3967719999999999"/>
    <n v="9020960.2551399991"/>
    <n v="2.8641049648968555"/>
    <n v="1414627.8151400001"/>
    <n v="0"/>
    <n v="0"/>
    <n v="0"/>
    <n v="0"/>
    <n v="2655745"/>
    <n v="9020960.2551399991"/>
    <s v="EPER"/>
    <n v="7414000005"/>
  </r>
  <r>
    <x v="131"/>
    <s v="BONAFONT SA DE CV"/>
    <x v="80"/>
    <s v="NORMAL"/>
    <s v="MXN"/>
    <n v="1056796"/>
    <n v="3.8832339999999999"/>
    <n v="4103786.158264"/>
    <n v="2.7845099527250294"/>
    <n v="1161127.178264"/>
    <n v="0"/>
    <n v="0"/>
    <n v="0"/>
    <n v="0"/>
    <n v="1056796"/>
    <n v="4103786.158264"/>
    <s v="EPER"/>
    <n v="7414000005"/>
  </r>
  <r>
    <x v="131"/>
    <s v="BONAFONT SA DE CV"/>
    <x v="64"/>
    <s v="NORMAL"/>
    <s v="MXN"/>
    <n v="3111042"/>
    <n v="2.7668819999999998"/>
    <n v="8607886.1110440008"/>
    <n v="2.3501810004493673"/>
    <n v="1296374.3110440001"/>
    <n v="0"/>
    <n v="0"/>
    <n v="0"/>
    <n v="0"/>
    <n v="3111042"/>
    <n v="8607886.1110440008"/>
    <s v="EPER"/>
    <n v="7414000005"/>
  </r>
  <r>
    <x v="132"/>
    <s v="UNIVERSIDAD AUTONOMA DEL ESTADO DE MEXIC"/>
    <x v="75"/>
    <s v="NORMAL"/>
    <s v="MXN"/>
    <n v="29051667"/>
    <n v="3.612981"/>
    <n v="104963120.889327"/>
    <n v="3.5375360677237557"/>
    <n v="2191801.049327"/>
    <n v="0"/>
    <n v="0"/>
    <n v="0"/>
    <n v="0"/>
    <n v="29051667"/>
    <n v="104963120.889327"/>
    <s v="EPER"/>
    <n v="7414000005"/>
  </r>
  <r>
    <x v="133"/>
    <s v="BBVA BANCOMER SA F/470914 SUBCTA 1 DIRECCION FIDUCIARIA"/>
    <x v="66"/>
    <s v="NORMAL"/>
    <s v="MXN"/>
    <n v="0"/>
    <n v="0"/>
    <n v="10978925.859999999"/>
    <n v="0"/>
    <n v="0"/>
    <n v="0"/>
    <n v="0"/>
    <n v="0"/>
    <n v="0"/>
    <n v="0"/>
    <n v="10978925.859999999"/>
    <s v="EPER"/>
    <n v="7414000005"/>
  </r>
  <r>
    <x v="133"/>
    <s v="BBVA BANCOMER SA F/470914 SUBCTA 1 DIRECCION FIDUCIARIA"/>
    <x v="88"/>
    <s v="NORMAL"/>
    <s v="MXN"/>
    <n v="51099"/>
    <n v="98.007834000000003"/>
    <n v="5008102.3095659995"/>
    <n v="92.780336949152428"/>
    <n v="267119.87180125999"/>
    <n v="0"/>
    <n v="0"/>
    <n v="0"/>
    <n v="0"/>
    <n v="51099"/>
    <n v="5008102.3095659995"/>
    <s v="EPER"/>
    <n v="7414000005"/>
  </r>
  <r>
    <x v="134"/>
    <s v="BBVA BANCOMER SA F/470914 SUBCTA 4 DIRECCION FIDUCIARIA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134"/>
    <s v="BBVA BANCOMER SA F/470914 SUBCTA 4 DIRECCION FIDUCIARIA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35"/>
    <s v="CAJA DE AHORRO EJECUTIVOS CM AC"/>
    <x v="0"/>
    <s v="NORMAL"/>
    <s v="MXN"/>
    <n v="52715089"/>
    <n v="3.3967719999999999"/>
    <n v="179061138.29270801"/>
    <n v="2.7071831934116624"/>
    <n v="36351735.312707998"/>
    <n v="0"/>
    <n v="0"/>
    <n v="0"/>
    <n v="0"/>
    <n v="52715089"/>
    <n v="179061138.29270801"/>
    <s v="EPER"/>
    <n v="7414000005"/>
  </r>
  <r>
    <x v="136"/>
    <s v="BANCO SANTANDER MEXICO SA FIDEICOMISO 20"/>
    <x v="75"/>
    <s v="NORMAL"/>
    <s v="MXN"/>
    <n v="58014462"/>
    <n v="3.612981"/>
    <n v="209605148.93122199"/>
    <n v="2.2814275197449905"/>
    <n v="77249358.781222001"/>
    <n v="0"/>
    <n v="0"/>
    <n v="0"/>
    <n v="0"/>
    <n v="58014462"/>
    <n v="209605148.93122199"/>
    <s v="EPER"/>
    <n v="7414000005"/>
  </r>
  <r>
    <x v="137"/>
    <s v="ELECTRO COMPONENTES DE MEXICO SA DE CV F"/>
    <x v="129"/>
    <s v="NORMAL"/>
    <s v="MXN"/>
    <n v="1503"/>
    <n v="3.137273"/>
    <n v="4715.3213189999997"/>
    <n v="1.9571390552228876"/>
    <n v="1773.741319"/>
    <n v="0"/>
    <n v="0"/>
    <n v="0"/>
    <n v="0"/>
    <n v="1503"/>
    <n v="4715.3213189999997"/>
    <s v="EPER"/>
    <n v="7414000005"/>
  </r>
  <r>
    <x v="138"/>
    <s v="BANCO SANTANDER MEXICO SA FIDEICOMISO 20 02171 1"/>
    <x v="0"/>
    <s v="NORMAL"/>
    <s v="MXN"/>
    <n v="167258"/>
    <n v="3.3967719999999999"/>
    <n v="568137.29117600003"/>
    <n v="2.9511611402743068"/>
    <n v="74531.981176000001"/>
    <n v="0"/>
    <n v="0"/>
    <n v="0"/>
    <n v="0"/>
    <n v="167258"/>
    <n v="568137.29117600003"/>
    <s v="EPER"/>
    <n v="7414000005"/>
  </r>
  <r>
    <x v="138"/>
    <s v="BANCO SANTANDER MEXICO SA FIDEICOMISO 20 02171 1"/>
    <x v="156"/>
    <s v="NORMAL"/>
    <s v="MXN"/>
    <n v="1098"/>
    <n v="2.6243750000000001"/>
    <n v="2881.5637499999998"/>
    <n v="1.635255009107468"/>
    <n v="1086.05375"/>
    <n v="0"/>
    <n v="0"/>
    <n v="0"/>
    <n v="0"/>
    <n v="1098"/>
    <n v="2881.5637499999998"/>
    <s v="EPER"/>
    <n v="7414000005"/>
  </r>
  <r>
    <x v="139"/>
    <s v="AFORE INVERCAP SA DE CV CV FONDO DE AHOR"/>
    <x v="90"/>
    <s v="NORMAL"/>
    <s v="MXN"/>
    <n v="4312941"/>
    <n v="3.4005040000000002"/>
    <n v="14666173.122264"/>
    <n v="3.3541308680086281"/>
    <n v="200004.582264"/>
    <n v="0"/>
    <n v="0"/>
    <n v="0"/>
    <n v="0"/>
    <n v="4312941"/>
    <n v="14666173.122264"/>
    <s v="EPER"/>
    <n v="7414000005"/>
  </r>
  <r>
    <x v="140"/>
    <s v="DEUTSCHE BANK MEXICO SOCIEDAD ANONIMA DI"/>
    <x v="75"/>
    <s v="NORMAL"/>
    <s v="MXN"/>
    <n v="25603"/>
    <n v="3.612981"/>
    <n v="92503.152543000004"/>
    <n v="3.5483490215990314"/>
    <n v="1654.772543"/>
    <n v="0"/>
    <n v="0"/>
    <n v="0"/>
    <n v="0"/>
    <n v="25603"/>
    <n v="92503.152543000004"/>
    <s v="EPER"/>
    <n v="7414000005"/>
  </r>
  <r>
    <x v="141"/>
    <s v="ADMINISTRADORA DE RESERVAS DE LOS TRABAJ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42"/>
    <s v="NOMISER SA DE CV FONDO DE AHORRO"/>
    <x v="90"/>
    <s v="NORMAL"/>
    <s v="MXN"/>
    <n v="75762"/>
    <n v="3.4005040000000002"/>
    <n v="257628.98404800001"/>
    <n v="3.3420464084897441"/>
    <n v="4428.8640480000004"/>
    <n v="0"/>
    <n v="0"/>
    <n v="0"/>
    <n v="0"/>
    <n v="75762"/>
    <n v="257628.98404800001"/>
    <s v="EPER"/>
    <n v="7414000005"/>
  </r>
  <r>
    <x v="143"/>
    <s v="BANCO SANTANDER MEXICO SA FIDEICOMISO F"/>
    <x v="0"/>
    <s v="NORMAL"/>
    <s v="MXN"/>
    <n v="905405"/>
    <n v="3.3967719999999999"/>
    <n v="3075454.3526599999"/>
    <n v="2.5825996763879147"/>
    <n v="737155.69265999994"/>
    <n v="0"/>
    <n v="0"/>
    <n v="0"/>
    <n v="0"/>
    <n v="905405"/>
    <n v="3075454.3526599999"/>
    <s v="EPER"/>
    <n v="7414000005"/>
  </r>
  <r>
    <x v="143"/>
    <s v="BANCO SANTANDER MEXICO SA FIDEICOMISO F"/>
    <x v="83"/>
    <s v="NORMAL"/>
    <s v="MXN"/>
    <n v="46557518"/>
    <n v="2.106938"/>
    <n v="98093803.859883994"/>
    <n v="1.4363535904126161"/>
    <n v="31220745.719884001"/>
    <n v="0"/>
    <n v="0"/>
    <n v="0"/>
    <n v="0"/>
    <n v="46557518"/>
    <n v="98093803.859883994"/>
    <s v="EPER"/>
    <n v="7414000005"/>
  </r>
  <r>
    <x v="143"/>
    <s v="BANCO SANTANDER MEXICO SA FIDEICOMISO F"/>
    <x v="157"/>
    <s v="NORMAL"/>
    <s v="MXN"/>
    <n v="36294819"/>
    <n v="2.7842250000000002"/>
    <n v="101052942.43027499"/>
    <n v="1.8498402339463382"/>
    <n v="33913325.960275002"/>
    <n v="0"/>
    <n v="0"/>
    <n v="0"/>
    <n v="0"/>
    <n v="36294819"/>
    <n v="101052942.43027499"/>
    <s v="EPER"/>
    <n v="7414000005"/>
  </r>
  <r>
    <x v="144"/>
    <s v="BANCO SANTANDER MEXICO FID F2010190-0"/>
    <x v="66"/>
    <s v="NORMAL"/>
    <s v="MXN"/>
    <n v="0"/>
    <n v="0"/>
    <n v="-4494.99"/>
    <n v="0"/>
    <n v="0"/>
    <n v="0"/>
    <n v="0"/>
    <n v="0"/>
    <n v="0"/>
    <n v="0"/>
    <n v="-4494.99"/>
    <s v="EPER"/>
    <n v="7414000005"/>
  </r>
  <r>
    <x v="144"/>
    <s v="BANCO SANTANDER MEXICO FID F2010190-0"/>
    <x v="0"/>
    <s v="NORMAL"/>
    <s v="MXN"/>
    <n v="13163"/>
    <n v="3.3967719999999999"/>
    <n v="44711.709836000002"/>
    <n v="3.3926832788877914"/>
    <n v="53.819836000000002"/>
    <n v="0"/>
    <n v="0"/>
    <n v="0"/>
    <n v="0"/>
    <n v="13163"/>
    <n v="44711.709836000002"/>
    <s v="EPER"/>
    <n v="7414000005"/>
  </r>
  <r>
    <x v="144"/>
    <s v="BANCO SANTANDER MEXICO FID F2010190-0"/>
    <x v="1"/>
    <s v="NORMAL"/>
    <s v="MXN"/>
    <n v="14492"/>
    <n v="137.94899000000001"/>
    <n v="1999156.7630799999"/>
    <n v="115.64243306651946"/>
    <n v="323266.62307999999"/>
    <n v="0"/>
    <n v="0"/>
    <n v="0"/>
    <n v="0"/>
    <n v="14492"/>
    <n v="1999156.7630799999"/>
    <s v="EPER"/>
    <n v="7414000005"/>
  </r>
  <r>
    <x v="144"/>
    <s v="BANCO SANTANDER MEXICO FID F2010190-0"/>
    <x v="2"/>
    <s v="NORMAL"/>
    <s v="MXN"/>
    <n v="7411197"/>
    <n v="3.6096119999999998"/>
    <n v="26751545.625564002"/>
    <n v="3.0108941470588353"/>
    <n v="4437215.9555639997"/>
    <n v="0"/>
    <n v="0"/>
    <n v="0"/>
    <n v="0"/>
    <n v="7411197"/>
    <n v="26751545.625564002"/>
    <s v="EPER"/>
    <n v="7414000005"/>
  </r>
  <r>
    <x v="144"/>
    <s v="BANCO SANTANDER MEXICO FID F2010190-0"/>
    <x v="3"/>
    <s v="NORMAL"/>
    <s v="MXN"/>
    <n v="3975555"/>
    <n v="2.1897980000000001"/>
    <n v="8705662.3878899999"/>
    <n v="1.973393018081752"/>
    <n v="860329.90789000003"/>
    <n v="0"/>
    <n v="0"/>
    <n v="0"/>
    <n v="0"/>
    <n v="3975555"/>
    <n v="8705662.3878899999"/>
    <s v="EPER"/>
    <n v="7414000005"/>
  </r>
  <r>
    <x v="144"/>
    <s v="BANCO SANTANDER MEXICO FID F2010190-0"/>
    <x v="64"/>
    <s v="NORMAL"/>
    <s v="MXN"/>
    <n v="53678"/>
    <n v="2.7668819999999998"/>
    <n v="148520.69199600001"/>
    <n v="2.390523305637319"/>
    <n v="20202.181995999999"/>
    <n v="0"/>
    <n v="0"/>
    <n v="0"/>
    <n v="0"/>
    <n v="53678"/>
    <n v="148520.69199600001"/>
    <s v="EPER"/>
    <n v="7414000005"/>
  </r>
  <r>
    <x v="145"/>
    <s v="BANCO SANTANDER MEXICO SA FIDEICOMISO F"/>
    <x v="90"/>
    <s v="NORMAL"/>
    <s v="MXN"/>
    <n v="2326612"/>
    <n v="3.4005040000000002"/>
    <n v="7911653.4124480002"/>
    <n v="3.3321816056996183"/>
    <n v="158959.702448"/>
    <n v="0"/>
    <n v="0"/>
    <n v="0"/>
    <n v="0"/>
    <n v="2326612"/>
    <n v="7911653.4124480002"/>
    <s v="EPER"/>
    <n v="7414000005"/>
  </r>
  <r>
    <x v="146"/>
    <s v="BANCO SANTANDER MEXICO SA FIDEICOMISO F"/>
    <x v="129"/>
    <s v="NORMAL"/>
    <s v="MXN"/>
    <n v="1617553"/>
    <n v="3.137273"/>
    <n v="5074705.3529690001"/>
    <n v="3.0779545647035986"/>
    <n v="95950.712969"/>
    <n v="0"/>
    <n v="0"/>
    <n v="0"/>
    <n v="0"/>
    <n v="1617553"/>
    <n v="5074705.3529690001"/>
    <s v="EPER"/>
    <n v="7414000005"/>
  </r>
  <r>
    <x v="147"/>
    <s v="BANCO SANTANDER MEXICO SA FIDEICOMISO F"/>
    <x v="90"/>
    <s v="NORMAL"/>
    <s v="MXN"/>
    <n v="2272024"/>
    <n v="3.4005040000000002"/>
    <n v="7726026.700096"/>
    <n v="3.3321820676190042"/>
    <n v="155229.07009600001"/>
    <n v="0"/>
    <n v="0"/>
    <n v="0"/>
    <n v="0"/>
    <n v="2272024"/>
    <n v="7726026.700096"/>
    <s v="EPER"/>
    <n v="7414000005"/>
  </r>
  <r>
    <x v="148"/>
    <s v="BANCO SANTANDER MEXICO SA FIDEICOMISO F2"/>
    <x v="129"/>
    <s v="NORMAL"/>
    <s v="MXN"/>
    <n v="235705"/>
    <n v="3.137273"/>
    <n v="739470.93246499996"/>
    <n v="3.0779630894550389"/>
    <n v="13979.642465000001"/>
    <n v="0"/>
    <n v="0"/>
    <n v="0"/>
    <n v="0"/>
    <n v="235705"/>
    <n v="739470.93246499996"/>
    <s v="EPER"/>
    <n v="7414000005"/>
  </r>
  <r>
    <x v="149"/>
    <s v="BANCO SANTANDER MEXICO SA FIDEICOMISO F2"/>
    <x v="129"/>
    <s v="NORMAL"/>
    <s v="MXN"/>
    <n v="149673"/>
    <n v="3.137273"/>
    <n v="469565.06172900001"/>
    <n v="3.0779635605620252"/>
    <n v="8877.0217290000001"/>
    <n v="0"/>
    <n v="0"/>
    <n v="0"/>
    <n v="0"/>
    <n v="149673"/>
    <n v="469565.06172900001"/>
    <s v="EPER"/>
    <n v="7414000005"/>
  </r>
  <r>
    <x v="150"/>
    <s v="BANCO SANTANDER MEXICO SA FIDEICOMISO F2"/>
    <x v="129"/>
    <s v="NORMAL"/>
    <s v="MXN"/>
    <n v="94563"/>
    <n v="3.137273"/>
    <n v="296669.94669900002"/>
    <n v="3.0779480346435708"/>
    <n v="5609.9466990000001"/>
    <n v="0"/>
    <n v="0"/>
    <n v="0"/>
    <n v="0"/>
    <n v="94563"/>
    <n v="296669.94669900002"/>
    <s v="EPER"/>
    <n v="7414000005"/>
  </r>
  <r>
    <x v="151"/>
    <s v="BBVA BANCOMER SA F470914 SUBCTA 2 DIREC"/>
    <x v="158"/>
    <s v="NORMAL"/>
    <s v="MXN"/>
    <n v="498833"/>
    <n v="91.663769000000002"/>
    <n v="45724912.881577"/>
    <n v="100.08954932813187"/>
    <n v="-4203057.2784230001"/>
    <n v="0"/>
    <n v="0"/>
    <n v="0"/>
    <n v="0"/>
    <n v="498833"/>
    <n v="45724912.881577"/>
    <s v="EPER"/>
    <n v="7414000005"/>
  </r>
  <r>
    <x v="151"/>
    <s v="BBVA BANCOMER SA F470914 SUBCTA 2 DIREC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159"/>
    <s v="NORMAL"/>
    <s v="MXN"/>
    <n v="216884"/>
    <n v="90.182721000000001"/>
    <n v="19559189.261364002"/>
    <n v="100"/>
    <n v="-2129210.7386360001"/>
    <n v="0"/>
    <n v="0"/>
    <n v="0"/>
    <n v="0"/>
    <n v="216884"/>
    <n v="19559189.261364002"/>
    <s v="EPER"/>
    <n v="7414000005"/>
  </r>
  <r>
    <x v="151"/>
    <s v="BBVA BANCOMER SA F470914 SUBCTA 2 DIREC"/>
    <x v="9"/>
    <s v="NORMAL"/>
    <s v="MXN"/>
    <n v="1251"/>
    <n v="9469.6491050000004"/>
    <n v="11846531.030355001"/>
    <n v="9977.4"/>
    <n v="-635196.36964499997"/>
    <n v="0"/>
    <n v="0"/>
    <n v="0"/>
    <n v="0"/>
    <n v="1251"/>
    <n v="11846531.030355001"/>
    <s v="EPER"/>
    <n v="7414000005"/>
  </r>
  <r>
    <x v="151"/>
    <s v="BBVA BANCOMER SA F470914 SUBCTA 2 DIREC"/>
    <x v="160"/>
    <s v="NORMAL"/>
    <s v="MXN"/>
    <n v="361643"/>
    <n v="98.348472000000001"/>
    <n v="35567036.459495999"/>
    <n v="99.379753789999995"/>
    <n v="-372955.84038096998"/>
    <n v="0"/>
    <n v="0"/>
    <n v="0"/>
    <n v="0"/>
    <n v="361643"/>
    <n v="35567036.459495999"/>
    <s v="EPER"/>
    <n v="7414000005"/>
  </r>
  <r>
    <x v="151"/>
    <s v="BBVA BANCOMER SA F470914 SUBCTA 2 DIREC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86"/>
    <s v="NORMAL"/>
    <s v="MXN"/>
    <n v="415371"/>
    <n v="9.4935880000000008"/>
    <n v="3943361.141148"/>
    <n v="8.2405490399999994"/>
    <n v="520476.04585415998"/>
    <n v="0"/>
    <n v="0"/>
    <n v="0"/>
    <n v="0"/>
    <n v="415371"/>
    <n v="3943361.141148"/>
    <s v="EPER"/>
    <n v="7414000005"/>
  </r>
  <r>
    <x v="151"/>
    <s v="BBVA BANCOMER SA F470914 SUBCTA 2 DIREC"/>
    <x v="15"/>
    <s v="NORMAL"/>
    <s v="MXN"/>
    <n v="15133840"/>
    <n v="9.190137"/>
    <n v="139082062.93608001"/>
    <n v="8.1978244938435321"/>
    <n v="15017498.698171001"/>
    <n v="0"/>
    <n v="0"/>
    <n v="0"/>
    <n v="0"/>
    <n v="15133840"/>
    <n v="139082062.93608001"/>
    <s v="EPER"/>
    <n v="7414000005"/>
  </r>
  <r>
    <x v="151"/>
    <s v="BBVA BANCOMER SA F470914 SUBCTA 2 DIRE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151"/>
    <s v="BBVA BANCOMER SA F470914 SUBCTA 2 DIREC"/>
    <x v="71"/>
    <s v="NORMAL"/>
    <s v="MXN"/>
    <n v="2829590"/>
    <n v="8.3813510000000004"/>
    <n v="23715786.976089999"/>
    <n v="8.2842867899999995"/>
    <n v="274651.91797389998"/>
    <n v="0"/>
    <n v="0"/>
    <n v="0"/>
    <n v="0"/>
    <n v="2829590"/>
    <n v="23715786.976089999"/>
    <s v="EPER"/>
    <n v="7414000005"/>
  </r>
  <r>
    <x v="151"/>
    <s v="BBVA BANCOMER SA F470914 SUBCTA 2 DIREC"/>
    <x v="98"/>
    <s v="NORMAL"/>
    <s v="MXN"/>
    <n v="332340"/>
    <n v="93.248425999999995"/>
    <n v="30990181.896839999"/>
    <n v="96.771887774684956"/>
    <n v="-1170987.2861988"/>
    <n v="0"/>
    <n v="0"/>
    <n v="0"/>
    <n v="0"/>
    <n v="332340"/>
    <n v="30990181.896839999"/>
    <s v="EPER"/>
    <n v="7414000005"/>
  </r>
  <r>
    <x v="151"/>
    <s v="BBVA BANCOMER SA F470914 SUBCTA 2 DIREC"/>
    <x v="161"/>
    <s v="NORMAL"/>
    <s v="MXN"/>
    <n v="289179"/>
    <n v="89.923210999999995"/>
    <n v="26003904.233769"/>
    <n v="100.39498338"/>
    <n v="-3028216.6650760202"/>
    <n v="0"/>
    <n v="0"/>
    <n v="0"/>
    <n v="0"/>
    <n v="289179"/>
    <n v="26003904.233769"/>
    <s v="EPER"/>
    <n v="7414000005"/>
  </r>
  <r>
    <x v="151"/>
    <s v="BBVA BANCOMER SA F470914 SUBCTA 2 DIREC"/>
    <x v="162"/>
    <s v="NORMAL"/>
    <s v="MXN"/>
    <n v="88561"/>
    <n v="91.196223000000003"/>
    <n v="8076428.7051029997"/>
    <n v="103.24206287"/>
    <n v="-1066791.6247270701"/>
    <n v="0"/>
    <n v="0"/>
    <n v="0"/>
    <n v="0"/>
    <n v="88561"/>
    <n v="8076428.7051029997"/>
    <s v="EPER"/>
    <n v="7414000005"/>
  </r>
  <r>
    <x v="151"/>
    <s v="BBVA BANCOMER SA F470914 SUBCTA 2 DIREC"/>
    <x v="66"/>
    <s v="NORMAL"/>
    <s v="MXN"/>
    <n v="0"/>
    <n v="0"/>
    <n v="70548482.469999999"/>
    <n v="0"/>
    <n v="0"/>
    <n v="0"/>
    <n v="0"/>
    <n v="0"/>
    <n v="0"/>
    <n v="0"/>
    <n v="70548482.469999999"/>
    <s v="EPER"/>
    <n v="7414000005"/>
  </r>
  <r>
    <x v="151"/>
    <s v="BBVA BANCOMER SA F470914 SUBCTA 2 DIREC"/>
    <x v="163"/>
    <s v="NORMAL"/>
    <s v="MXN"/>
    <n v="451511"/>
    <n v="92.468708000000007"/>
    <n v="41750638.817787997"/>
    <n v="98.484768880000004"/>
    <n v="-2716317.6639896799"/>
    <n v="0"/>
    <n v="0"/>
    <n v="0"/>
    <n v="0"/>
    <n v="451511"/>
    <n v="41750638.817787997"/>
    <s v="EPER"/>
    <n v="7414000005"/>
  </r>
  <r>
    <x v="151"/>
    <s v="BBVA BANCOMER SA F470914 SUBCTA 2 DIREC"/>
    <x v="164"/>
    <s v="NORMAL"/>
    <s v="MXN"/>
    <n v="413372"/>
    <n v="91.505291999999997"/>
    <n v="37825725.564623997"/>
    <n v="100.00000423"/>
    <n v="-3511476.1839395599"/>
    <n v="0"/>
    <n v="0"/>
    <n v="0"/>
    <n v="0"/>
    <n v="413372"/>
    <n v="37825725.564623997"/>
    <s v="EPER"/>
    <n v="7414000005"/>
  </r>
  <r>
    <x v="151"/>
    <s v="BBVA BANCOMER SA F470914 SUBCTA 2 DIREC"/>
    <x v="31"/>
    <s v="NORMAL"/>
    <s v="MXN"/>
    <n v="608050"/>
    <n v="93.314192000000006"/>
    <n v="56739694.445600003"/>
    <n v="110.16760435222153"/>
    <n v="-10247717.380768299"/>
    <n v="0"/>
    <n v="0"/>
    <n v="0"/>
    <n v="0"/>
    <n v="608050"/>
    <n v="56739694.445600003"/>
    <s v="EPER"/>
    <n v="7414000005"/>
  </r>
  <r>
    <x v="151"/>
    <s v="BBVA BANCOMER SA F470914 SUBCTA 2 DIREC"/>
    <x v="33"/>
    <s v="NORMAL"/>
    <s v="MXN"/>
    <n v="3359452"/>
    <n v="94.870157000000006"/>
    <n v="318711738.67396402"/>
    <n v="98.254289750684009"/>
    <n v="-11368831.53755088"/>
    <n v="0"/>
    <n v="0"/>
    <n v="0"/>
    <n v="0"/>
    <n v="3359452"/>
    <n v="318711738.67396402"/>
    <s v="EPER"/>
    <n v="7414000005"/>
  </r>
  <r>
    <x v="151"/>
    <s v="BBVA BANCOMER SA F470914 SUBCTA 2 DIREC"/>
    <x v="34"/>
    <s v="NORMAL"/>
    <s v="MXN"/>
    <n v="3987641"/>
    <n v="89.489464999999996"/>
    <n v="356851859.70206499"/>
    <n v="91.739808376252356"/>
    <n v="-8973561.5112223402"/>
    <n v="0"/>
    <n v="0"/>
    <n v="0"/>
    <n v="0"/>
    <n v="3987641"/>
    <n v="356851859.70206499"/>
    <s v="EPER"/>
    <n v="7414000005"/>
  </r>
  <r>
    <x v="151"/>
    <s v="BBVA BANCOMER SA F470914 SUBCTA 2 DIREC"/>
    <x v="35"/>
    <s v="NORMAL"/>
    <s v="MXN"/>
    <n v="2950940"/>
    <n v="86.197128000000006"/>
    <n v="254362552.90031999"/>
    <n v="90.365245438784896"/>
    <n v="-12299864.474807899"/>
    <n v="0"/>
    <n v="0"/>
    <n v="0"/>
    <n v="0"/>
    <n v="2950940"/>
    <n v="254362552.90031999"/>
    <s v="EPER"/>
    <n v="7414000005"/>
  </r>
  <r>
    <x v="151"/>
    <s v="BBVA BANCOMER SA F470914 SUBCTA 2 DIREC"/>
    <x v="36"/>
    <s v="NORMAL"/>
    <s v="MXN"/>
    <n v="455830"/>
    <n v="86.469353999999996"/>
    <n v="39415325.633819997"/>
    <n v="89.838096089999993"/>
    <n v="-1535573.7068847001"/>
    <n v="0"/>
    <n v="0"/>
    <n v="0"/>
    <n v="0"/>
    <n v="455830"/>
    <n v="39415325.633819997"/>
    <s v="EPER"/>
    <n v="7414000005"/>
  </r>
  <r>
    <x v="151"/>
    <s v="BBVA BANCOMER SA F470914 SUBCTA 2 DIREC"/>
    <x v="165"/>
    <s v="NORMAL"/>
    <s v="MXN"/>
    <n v="372066"/>
    <n v="93.083737999999997"/>
    <n v="34633294.062707998"/>
    <n v="100"/>
    <n v="-2573305.9372919998"/>
    <n v="0"/>
    <n v="0"/>
    <n v="0"/>
    <n v="0"/>
    <n v="372066"/>
    <n v="34633294.062707998"/>
    <s v="EPER"/>
    <n v="7414000005"/>
  </r>
  <r>
    <x v="151"/>
    <s v="BBVA BANCOMER SA F470914 SUBCTA 2 DIREC"/>
    <x v="166"/>
    <s v="NORMAL"/>
    <s v="MXN"/>
    <n v="186033"/>
    <n v="92.321154000000007"/>
    <n v="17174781.242082"/>
    <n v="100"/>
    <n v="-1428518.757918"/>
    <n v="0"/>
    <n v="0"/>
    <n v="0"/>
    <n v="0"/>
    <n v="186033"/>
    <n v="17174781.242082"/>
    <s v="EPER"/>
    <n v="7414000005"/>
  </r>
  <r>
    <x v="151"/>
    <s v="BBVA BANCOMER SA F470914 SUBCTA 2 DIREC"/>
    <x v="88"/>
    <s v="NORMAL"/>
    <s v="MXN"/>
    <n v="957110"/>
    <n v="98.007834000000003"/>
    <n v="93804277.999740005"/>
    <n v="92.201123724699144"/>
    <n v="5557660.4715932002"/>
    <n v="0"/>
    <n v="0"/>
    <n v="0"/>
    <n v="0"/>
    <n v="957110"/>
    <n v="93804277.999740005"/>
    <s v="EPER"/>
    <n v="7414000005"/>
  </r>
  <r>
    <x v="151"/>
    <s v="BBVA BANCOMER SA F470914 SUBCTA 2 DIREC"/>
    <x v="167"/>
    <s v="NORMAL"/>
    <s v="MXN"/>
    <n v="161365"/>
    <n v="80.194873000000001"/>
    <n v="12940645.681645"/>
    <n v="97.241272269999996"/>
    <n v="-2750692.2182035502"/>
    <n v="0"/>
    <n v="0"/>
    <n v="0"/>
    <n v="0"/>
    <n v="161365"/>
    <n v="12940645.681645"/>
    <s v="EPER"/>
    <n v="7414000005"/>
  </r>
  <r>
    <x v="151"/>
    <s v="BBVA BANCOMER SA F470914 SUBCTA 2 DIREC"/>
    <x v="51"/>
    <s v="NORMAL"/>
    <s v="MXN"/>
    <n v="96866"/>
    <n v="775.69178699999998"/>
    <n v="75138160.639541999"/>
    <n v="700.92797722962575"/>
    <n v="7242071.1972170696"/>
    <n v="0"/>
    <n v="0"/>
    <n v="0"/>
    <n v="0"/>
    <n v="96866"/>
    <n v="75138160.639541999"/>
    <s v="EPER"/>
    <n v="7414000005"/>
  </r>
  <r>
    <x v="151"/>
    <s v="BBVA BANCOMER SA F470914 SUBCTA 2 DIREC"/>
    <x v="53"/>
    <s v="NORMAL"/>
    <s v="MXN"/>
    <n v="315757"/>
    <n v="765.92388300000005"/>
    <n v="241845827.52443099"/>
    <n v="720.84939207989862"/>
    <n v="14232586.029458441"/>
    <n v="0"/>
    <n v="0"/>
    <n v="0"/>
    <n v="0"/>
    <n v="315757"/>
    <n v="241845827.52443099"/>
    <s v="EPER"/>
    <n v="7414000005"/>
  </r>
  <r>
    <x v="151"/>
    <s v="BBVA BANCOMER SA F470914 SUBCTA 2 DIREC"/>
    <x v="54"/>
    <s v="NORMAL"/>
    <s v="MXN"/>
    <n v="1303272"/>
    <n v="684.88915799999995"/>
    <n v="892596862.72497594"/>
    <n v="680.37312381453808"/>
    <n v="5885620.9049553601"/>
    <n v="0"/>
    <n v="0"/>
    <n v="0"/>
    <n v="0"/>
    <n v="1303272"/>
    <n v="892596862.72497594"/>
    <s v="EPER"/>
    <n v="7414000005"/>
  </r>
  <r>
    <x v="152"/>
    <s v="ADMINISTRADORA FONDO DE AHORRO PALACE RE"/>
    <x v="0"/>
    <s v="NORMAL"/>
    <s v="MXN"/>
    <n v="64582159"/>
    <n v="3.3967719999999999"/>
    <n v="219370869.39074799"/>
    <n v="3.3099701106307085"/>
    <n v="5605853.420748"/>
    <n v="0"/>
    <n v="0"/>
    <n v="0"/>
    <n v="0"/>
    <n v="64582159"/>
    <n v="219370869.39074799"/>
    <s v="EPER"/>
    <n v="7414000005"/>
  </r>
  <r>
    <x v="153"/>
    <s v="BANCO SANTANDER MEXICO SA FIDEICOMISO F"/>
    <x v="168"/>
    <s v="NORMAL"/>
    <s v="MXN"/>
    <n v="130000"/>
    <n v="2.9440539999999999"/>
    <n v="382727.02"/>
    <n v="3.0539399999999999"/>
    <n v="-14285.18"/>
    <n v="0"/>
    <n v="0"/>
    <n v="0"/>
    <n v="0"/>
    <n v="130000"/>
    <n v="382727.02"/>
    <s v="EPER"/>
    <n v="7414000005"/>
  </r>
  <r>
    <x v="153"/>
    <s v="BANCO SANTANDER MEXICO SA FIDEICOMISO F"/>
    <x v="130"/>
    <s v="NORMAL"/>
    <s v="MXN"/>
    <n v="532955"/>
    <n v="4.5848760000000004"/>
    <n v="2443532.5885800002"/>
    <n v="4.5043092193524785"/>
    <n v="42938.468580000001"/>
    <n v="0"/>
    <n v="0"/>
    <n v="0"/>
    <n v="0"/>
    <n v="532955"/>
    <n v="2443532.5885800002"/>
    <s v="EPER"/>
    <n v="7414000005"/>
  </r>
  <r>
    <x v="153"/>
    <s v="BANCO SANTANDER MEXICO SA FIDEICOMISO F"/>
    <x v="0"/>
    <s v="NORMAL"/>
    <s v="MXN"/>
    <n v="1432577"/>
    <n v="3.3967719999999999"/>
    <n v="4866137.4414440002"/>
    <n v="3.3318918634042012"/>
    <n v="92945.791444000002"/>
    <n v="0"/>
    <n v="0"/>
    <n v="0"/>
    <n v="0"/>
    <n v="1432577"/>
    <n v="4866137.4414440002"/>
    <s v="EPER"/>
    <n v="7414000005"/>
  </r>
  <r>
    <x v="153"/>
    <s v="BANCO SANTANDER MEXICO SA FIDEICOMISO F"/>
    <x v="64"/>
    <s v="NORMAL"/>
    <s v="MXN"/>
    <n v="4983656"/>
    <n v="2.7668819999999998"/>
    <n v="13789188.080592001"/>
    <n v="2.7844124775064731"/>
    <n v="-87365.869407999999"/>
    <n v="0"/>
    <n v="0"/>
    <n v="0"/>
    <n v="0"/>
    <n v="4983656"/>
    <n v="13789188.080592001"/>
    <s v="EPER"/>
    <n v="7414000005"/>
  </r>
  <r>
    <x v="154"/>
    <s v="BANCO SANTANDER MEXICO SA FIDEICOMISO F"/>
    <x v="130"/>
    <s v="NORMAL"/>
    <s v="MXN"/>
    <n v="285498"/>
    <n v="4.5848760000000004"/>
    <n v="1308972.9282480001"/>
    <n v="4.4467832699353407"/>
    <n v="39425.198248000001"/>
    <n v="0"/>
    <n v="0"/>
    <n v="0"/>
    <n v="0"/>
    <n v="285498"/>
    <n v="1308972.9282480001"/>
    <s v="EPER"/>
    <n v="7414000005"/>
  </r>
  <r>
    <x v="154"/>
    <s v="BANCO SANTANDER MEXICO SA FIDEICOMISO F"/>
    <x v="0"/>
    <s v="NORMAL"/>
    <s v="MXN"/>
    <n v="827180"/>
    <n v="3.3967719999999999"/>
    <n v="2809741.8629600001"/>
    <n v="3.3318899030440776"/>
    <n v="53669.172960000004"/>
    <n v="0"/>
    <n v="0"/>
    <n v="0"/>
    <n v="0"/>
    <n v="827180"/>
    <n v="2809741.8629600001"/>
    <s v="EPER"/>
    <n v="7414000005"/>
  </r>
  <r>
    <x v="154"/>
    <s v="BANCO SANTANDER MEXICO SA FIDEICOMISO F"/>
    <x v="64"/>
    <s v="NORMAL"/>
    <s v="MXN"/>
    <n v="2667938"/>
    <n v="2.7668819999999998"/>
    <n v="7381869.6293160003"/>
    <n v="2.753500643568179"/>
    <n v="35700.629315999999"/>
    <n v="0"/>
    <n v="0"/>
    <n v="0"/>
    <n v="0"/>
    <n v="2667938"/>
    <n v="7381869.6293160003"/>
    <s v="EPER"/>
    <n v="7414000005"/>
  </r>
  <r>
    <x v="155"/>
    <s v="BANCO SANTANDER MEXICO SA FIDEICOMISO F"/>
    <x v="130"/>
    <s v="NORMAL"/>
    <s v="MXN"/>
    <n v="2802321"/>
    <n v="4.5848760000000004"/>
    <n v="12848294.297196001"/>
    <n v="3.8009839343886727"/>
    <n v="2196717.1971959998"/>
    <n v="0"/>
    <n v="0"/>
    <n v="0"/>
    <n v="0"/>
    <n v="2802321"/>
    <n v="12848294.297196001"/>
    <s v="EPER"/>
    <n v="7414000005"/>
  </r>
  <r>
    <x v="155"/>
    <s v="BANCO SANTANDER MEXICO SA FIDEICOMISO F"/>
    <x v="0"/>
    <s v="NORMAL"/>
    <s v="MXN"/>
    <n v="7999846"/>
    <n v="3.3967719999999999"/>
    <n v="27173652.897112001"/>
    <n v="3.0149077419740329"/>
    <n v="3054855.2571120001"/>
    <n v="0"/>
    <n v="0"/>
    <n v="0"/>
    <n v="0"/>
    <n v="7999846"/>
    <n v="27173652.897112001"/>
    <s v="EPER"/>
    <n v="7414000005"/>
  </r>
  <r>
    <x v="155"/>
    <s v="BANCO SANTANDER MEXICO SA FIDEICOMISO F"/>
    <x v="64"/>
    <s v="NORMAL"/>
    <s v="MXN"/>
    <n v="26007587"/>
    <n v="2.7668819999999998"/>
    <n v="71959924.333734006"/>
    <n v="2.3800462268952516"/>
    <n v="10060665.023734"/>
    <n v="0"/>
    <n v="0"/>
    <n v="0"/>
    <n v="0"/>
    <n v="26007587"/>
    <n v="71959924.333734006"/>
    <s v="EPER"/>
    <n v="7414000005"/>
  </r>
  <r>
    <x v="156"/>
    <s v="BANCO SANTANDER MEXICO SA FIDEICOMISO F"/>
    <x v="130"/>
    <s v="NORMAL"/>
    <s v="MXN"/>
    <n v="1387386"/>
    <n v="4.5848760000000004"/>
    <n v="6360992.7741360003"/>
    <n v="3.7480388010258139"/>
    <n v="1161016.214136"/>
    <n v="0"/>
    <n v="0"/>
    <n v="0"/>
    <n v="0"/>
    <n v="1387386"/>
    <n v="6360992.7741360003"/>
    <s v="EPER"/>
    <n v="7414000005"/>
  </r>
  <r>
    <x v="156"/>
    <s v="BANCO SANTANDER MEXICO SA FIDEICOMISO F"/>
    <x v="0"/>
    <s v="NORMAL"/>
    <s v="MXN"/>
    <n v="3959730"/>
    <n v="3.3967719999999999"/>
    <n v="13450299.991560001"/>
    <n v="2.9583808618264378"/>
    <n v="1735910.54156"/>
    <n v="0"/>
    <n v="0"/>
    <n v="0"/>
    <n v="0"/>
    <n v="3959730"/>
    <n v="13450299.991560001"/>
    <s v="EPER"/>
    <n v="7414000005"/>
  </r>
  <r>
    <x v="156"/>
    <s v="BANCO SANTANDER MEXICO SA FIDEICOMISO F"/>
    <x v="64"/>
    <s v="NORMAL"/>
    <s v="MXN"/>
    <n v="12874573"/>
    <n v="2.7668819999999998"/>
    <n v="35622424.291386001"/>
    <n v="2.3518498330002866"/>
    <n v="5343361.9313859995"/>
    <n v="0"/>
    <n v="0"/>
    <n v="0"/>
    <n v="0"/>
    <n v="12874573"/>
    <n v="35622424.291386001"/>
    <s v="EPER"/>
    <n v="7414000005"/>
  </r>
  <r>
    <x v="157"/>
    <s v="BANCO SANTANDER MEXICO SA FIDEICOMISO F"/>
    <x v="130"/>
    <s v="NORMAL"/>
    <s v="MXN"/>
    <n v="1831441"/>
    <n v="4.5848760000000004"/>
    <n v="8396929.8863159996"/>
    <n v="4.3415386736455064"/>
    <n v="445657.95631600003"/>
    <n v="0"/>
    <n v="0"/>
    <n v="0"/>
    <n v="0"/>
    <n v="1831441"/>
    <n v="8396929.8863159996"/>
    <s v="EPER"/>
    <n v="7414000005"/>
  </r>
  <r>
    <x v="157"/>
    <s v="BANCO SANTANDER MEXICO SA FIDEICOMISO F"/>
    <x v="0"/>
    <s v="NORMAL"/>
    <s v="MXN"/>
    <n v="5271949"/>
    <n v="3.3967719999999999"/>
    <n v="17907608.748628002"/>
    <n v="3.3318869795591723"/>
    <n v="342070.51862799999"/>
    <n v="0"/>
    <n v="0"/>
    <n v="0"/>
    <n v="0"/>
    <n v="5271949"/>
    <n v="17907608.748628002"/>
    <s v="EPER"/>
    <n v="7414000005"/>
  </r>
  <r>
    <x v="157"/>
    <s v="BANCO SANTANDER MEXICO SA FIDEICOMISO F"/>
    <x v="64"/>
    <s v="NORMAL"/>
    <s v="MXN"/>
    <n v="17064907"/>
    <n v="2.7668819999999998"/>
    <n v="47216584.009974003"/>
    <n v="2.6774071051192956"/>
    <n v="1526880.759974"/>
    <n v="0"/>
    <n v="0"/>
    <n v="0"/>
    <n v="0"/>
    <n v="17064907"/>
    <n v="47216584.009974003"/>
    <s v="EPER"/>
    <n v="7414000005"/>
  </r>
  <r>
    <x v="158"/>
    <s v="BANCO SANTANDER MEXICO SA FIDEICOMISO F"/>
    <x v="130"/>
    <s v="NORMAL"/>
    <s v="MXN"/>
    <n v="11635107"/>
    <n v="4.5848760000000004"/>
    <n v="53345522.841732003"/>
    <n v="3.7227900061426165"/>
    <n v="10030462.781732"/>
    <n v="0"/>
    <n v="0"/>
    <n v="0"/>
    <n v="0"/>
    <n v="11635107"/>
    <n v="53345522.841732003"/>
    <s v="EPER"/>
    <n v="7414000005"/>
  </r>
  <r>
    <x v="158"/>
    <s v="BANCO SANTANDER MEXICO SA FIDEICOMISO F"/>
    <x v="0"/>
    <s v="NORMAL"/>
    <s v="MXN"/>
    <n v="33209896"/>
    <n v="3.3967719999999999"/>
    <n v="112806444.855712"/>
    <n v="2.9672430982620361"/>
    <n v="14264610.155711999"/>
    <n v="0"/>
    <n v="0"/>
    <n v="0"/>
    <n v="0"/>
    <n v="33209896"/>
    <n v="112806444.855712"/>
    <s v="EPER"/>
    <n v="7414000005"/>
  </r>
  <r>
    <x v="158"/>
    <s v="BANCO SANTANDER MEXICO SA FIDEICOMISO F"/>
    <x v="64"/>
    <s v="NORMAL"/>
    <s v="MXN"/>
    <n v="107976322"/>
    <n v="2.7668819999999998"/>
    <n v="298757741.768004"/>
    <n v="2.3352240353213736"/>
    <n v="46608839.388003998"/>
    <n v="0"/>
    <n v="0"/>
    <n v="0"/>
    <n v="0"/>
    <n v="107976322"/>
    <n v="298757741.768004"/>
    <s v="EPER"/>
    <n v="7414000005"/>
  </r>
  <r>
    <x v="159"/>
    <s v="BANCO SANTANDER MEXICO FID F2001422-1"/>
    <x v="0"/>
    <s v="NORMAL"/>
    <s v="MXN"/>
    <n v="879732"/>
    <n v="3.3967719999999999"/>
    <n v="2988249.0251039998"/>
    <n v="2.8911910786466786"/>
    <n v="444775.715104"/>
    <n v="0"/>
    <n v="0"/>
    <n v="0"/>
    <n v="0"/>
    <n v="879732"/>
    <n v="2988249.0251039998"/>
    <s v="EPER"/>
    <n v="7414000005"/>
  </r>
  <r>
    <x v="160"/>
    <s v="SINDICATO DE LOS TRAB DEL INST TEC SUP D"/>
    <x v="129"/>
    <s v="NORMAL"/>
    <s v="MXN"/>
    <n v="1552"/>
    <n v="3.137273"/>
    <n v="4869.0476959999996"/>
    <n v="3.1160953608247421"/>
    <n v="32.867696000000002"/>
    <n v="0"/>
    <n v="0"/>
    <n v="0"/>
    <n v="0"/>
    <n v="1552"/>
    <n v="4869.0476959999996"/>
    <s v="EPER"/>
    <n v="7414000005"/>
  </r>
  <r>
    <x v="160"/>
    <s v="SINDICATO DE LOS TRAB DEL INST TEC SUP D"/>
    <x v="169"/>
    <s v="NORMAL"/>
    <s v="MXN"/>
    <n v="419"/>
    <n v="129.376824"/>
    <n v="54208.889256000002"/>
    <n v="123.22701670644392"/>
    <n v="2576.769256"/>
    <n v="0"/>
    <n v="0"/>
    <n v="0"/>
    <n v="0"/>
    <n v="419"/>
    <n v="54208.889256000002"/>
    <s v="EPER"/>
    <n v="7414000005"/>
  </r>
  <r>
    <x v="160"/>
    <s v="SINDICATO DE LOS TRAB DEL INST TEC SUP D"/>
    <x v="170"/>
    <s v="NORMAL"/>
    <s v="MXN"/>
    <n v="1068227"/>
    <n v="3.4740350000000002"/>
    <n v="3711057.9859449998"/>
    <n v="3.2980464451844038"/>
    <n v="187995.72594500001"/>
    <n v="0"/>
    <n v="0"/>
    <n v="0"/>
    <n v="0"/>
    <n v="1068227"/>
    <n v="3711057.9859449998"/>
    <s v="EPER"/>
    <n v="7414000005"/>
  </r>
  <r>
    <x v="160"/>
    <s v="SINDICATO DE LOS TRAB DEL INST TEC SUP D"/>
    <x v="171"/>
    <s v="NORMAL"/>
    <s v="MXN"/>
    <n v="789642"/>
    <n v="2.0364629999999999"/>
    <n v="1608076.716246"/>
    <n v="1.9263570200166658"/>
    <n v="86944.306245999993"/>
    <n v="0"/>
    <n v="0"/>
    <n v="0"/>
    <n v="0"/>
    <n v="789642"/>
    <n v="1608076.716246"/>
    <s v="EPER"/>
    <n v="7414000005"/>
  </r>
  <r>
    <x v="160"/>
    <s v="SINDICATO DE LOS TRAB DEL INST TEC SUP D"/>
    <x v="172"/>
    <s v="NORMAL"/>
    <s v="MXN"/>
    <n v="173600"/>
    <n v="2.7063139999999999"/>
    <n v="469816.11040000001"/>
    <n v="2.5012903801843316"/>
    <n v="35592.100400000003"/>
    <n v="0"/>
    <n v="0"/>
    <n v="0"/>
    <n v="0"/>
    <n v="173600"/>
    <n v="469816.11040000001"/>
    <s v="EPER"/>
    <n v="7414000005"/>
  </r>
  <r>
    <x v="161"/>
    <s v="BANCO SANTANDER MEXICO SA FIDEICOMISO F"/>
    <x v="0"/>
    <s v="NORMAL"/>
    <s v="MXN"/>
    <n v="57965254"/>
    <n v="3.3967719999999999"/>
    <n v="196894751.760088"/>
    <n v="3.23347832220316"/>
    <n v="9465359.5100880004"/>
    <n v="0"/>
    <n v="0"/>
    <n v="0"/>
    <n v="0"/>
    <n v="57965254"/>
    <n v="196894751.760088"/>
    <s v="EPER"/>
    <n v="7414000005"/>
  </r>
  <r>
    <x v="162"/>
    <s v="CASA LEY SAPI DE CV"/>
    <x v="0"/>
    <s v="NORMAL"/>
    <s v="MXN"/>
    <n v="450176"/>
    <n v="3.3967719999999999"/>
    <n v="1529145.231872"/>
    <n v="3.3304544666974696"/>
    <n v="29854.561871999998"/>
    <n v="0"/>
    <n v="0"/>
    <n v="0"/>
    <n v="0"/>
    <n v="450176"/>
    <n v="1529145.231872"/>
    <s v="EPER"/>
    <n v="7414000005"/>
  </r>
  <r>
    <x v="163"/>
    <s v="CASA LEY SAPI DE CV"/>
    <x v="0"/>
    <s v="NORMAL"/>
    <s v="MXN"/>
    <n v="28406006"/>
    <n v="3.3967719999999999"/>
    <n v="96488725.812631994"/>
    <n v="2.601587642768223"/>
    <n v="22588011.622632001"/>
    <n v="0"/>
    <n v="0"/>
    <n v="0"/>
    <n v="0"/>
    <n v="28406006"/>
    <n v="96488725.812631994"/>
    <s v="EPER"/>
    <n v="7414000005"/>
  </r>
  <r>
    <x v="164"/>
    <s v="CASA LEY SAPI DE CV"/>
    <x v="0"/>
    <s v="NORMAL"/>
    <s v="MXN"/>
    <n v="445515"/>
    <n v="3.3967719999999999"/>
    <n v="1513312.8775800001"/>
    <n v="2.4735245502396102"/>
    <n v="411320.58757999999"/>
    <n v="0"/>
    <n v="0"/>
    <n v="0"/>
    <n v="0"/>
    <n v="445515"/>
    <n v="1513312.8775800001"/>
    <s v="EPER"/>
    <n v="7414000005"/>
  </r>
  <r>
    <x v="165"/>
    <s v="BANCO SANTANDER MEXICO SA FIDEICOMISO F2"/>
    <x v="0"/>
    <s v="NORMAL"/>
    <s v="MXN"/>
    <n v="16916396"/>
    <n v="3.3967719999999999"/>
    <n v="57461140.273712002"/>
    <n v="3.3456553180712962"/>
    <n v="864710.033712"/>
    <n v="0"/>
    <n v="0"/>
    <n v="0"/>
    <n v="0"/>
    <n v="16916396"/>
    <n v="57461140.273712002"/>
    <s v="EPER"/>
    <n v="7414000005"/>
  </r>
  <r>
    <x v="166"/>
    <s v="ARCELORMITTAL MEXICO SA DE CV"/>
    <x v="0"/>
    <s v="NORMAL"/>
    <s v="MXN"/>
    <n v="16882061"/>
    <n v="3.3967719999999999"/>
    <n v="57344512.107092001"/>
    <n v="3.3294955124258823"/>
    <n v="1135765.767092"/>
    <n v="0"/>
    <n v="0"/>
    <n v="0"/>
    <n v="0"/>
    <n v="16882061"/>
    <n v="57344512.107092001"/>
    <s v="EPER"/>
    <n v="7414000005"/>
  </r>
  <r>
    <x v="167"/>
    <s v="ARCELORMITTAL PORTUARIOS SA DE CV"/>
    <x v="0"/>
    <s v="NORMAL"/>
    <s v="MXN"/>
    <n v="64153"/>
    <n v="3.3967719999999999"/>
    <n v="217913.11411600001"/>
    <n v="3.3211028322915528"/>
    <n v="4854.4041159999997"/>
    <n v="0"/>
    <n v="0"/>
    <n v="0"/>
    <n v="0"/>
    <n v="64153"/>
    <n v="217913.11411600001"/>
    <s v="EPER"/>
    <n v="7414000005"/>
  </r>
  <r>
    <x v="168"/>
    <s v="CORPORACION DEL BALSAS SA DE CV"/>
    <x v="0"/>
    <s v="NORMAL"/>
    <s v="MXN"/>
    <n v="175118"/>
    <n v="3.3967719999999999"/>
    <n v="594835.91909600003"/>
    <n v="3.31741973983257"/>
    <n v="13896.009096"/>
    <n v="0"/>
    <n v="0"/>
    <n v="0"/>
    <n v="0"/>
    <n v="175118"/>
    <n v="594835.91909600003"/>
    <s v="EPER"/>
    <n v="7414000005"/>
  </r>
  <r>
    <x v="169"/>
    <s v="ARCELORMITTAL LAS TRUCHAS SA DE CV"/>
    <x v="0"/>
    <s v="NORMAL"/>
    <s v="MXN"/>
    <n v="376064"/>
    <n v="3.3967719999999999"/>
    <n v="1277403.6654079999"/>
    <n v="3.3285112640401633"/>
    <n v="25670.405407999999"/>
    <n v="0"/>
    <n v="0"/>
    <n v="0"/>
    <n v="0"/>
    <n v="376064"/>
    <n v="1277403.6654079999"/>
    <s v="EPER"/>
    <n v="7414000005"/>
  </r>
  <r>
    <x v="170"/>
    <s v="COMERCIAL CITY FRESKO S DE RL DE CV"/>
    <x v="0"/>
    <s v="NORMAL"/>
    <s v="MXN"/>
    <n v="2498775"/>
    <n v="3.3967719999999999"/>
    <n v="8487768.9542999994"/>
    <n v="3.3423505997938991"/>
    <n v="135986.83429999999"/>
    <n v="0"/>
    <n v="0"/>
    <n v="0"/>
    <n v="0"/>
    <n v="2498775"/>
    <n v="8487768.9542999994"/>
    <s v="EPER"/>
    <n v="7414000005"/>
  </r>
  <r>
    <x v="171"/>
    <s v="COMERCIAL CITY FRESKO S DE RL DE CV"/>
    <x v="0"/>
    <s v="NORMAL"/>
    <s v="MXN"/>
    <n v="48461742"/>
    <n v="3.3967719999999999"/>
    <n v="164613488.29682401"/>
    <n v="3.3139702411027652"/>
    <n v="4012717.476824"/>
    <n v="0"/>
    <n v="0"/>
    <n v="0"/>
    <n v="0"/>
    <n v="48461742"/>
    <n v="164613488.29682401"/>
    <s v="EPER"/>
    <n v="7414000005"/>
  </r>
  <r>
    <x v="172"/>
    <s v="COMERCIAL CITY FRESKO S DE RL DE CV"/>
    <x v="0"/>
    <s v="NORMAL"/>
    <s v="MXN"/>
    <n v="1810947"/>
    <n v="3.3967719999999999"/>
    <n v="6151374.0630839998"/>
    <n v="3.3214509811717297"/>
    <n v="136402.37308399999"/>
    <n v="0"/>
    <n v="0"/>
    <n v="0"/>
    <n v="0"/>
    <n v="1810947"/>
    <n v="6151374.0630839998"/>
    <s v="EPER"/>
    <n v="7414000005"/>
  </r>
  <r>
    <x v="173"/>
    <s v="COMERCIAL CITY FRESKO S DE RL DE CV"/>
    <x v="0"/>
    <s v="NORMAL"/>
    <s v="MXN"/>
    <n v="1974510"/>
    <n v="3.3967719999999999"/>
    <n v="6706960.2817200003"/>
    <n v="3.2991268213379521"/>
    <n v="192801.38172"/>
    <n v="0"/>
    <n v="0"/>
    <n v="0"/>
    <n v="0"/>
    <n v="1974510"/>
    <n v="6706960.2817200003"/>
    <s v="EPER"/>
    <n v="7414000005"/>
  </r>
  <r>
    <x v="1"/>
    <s v="CONTROLADORA MABE SA DE CV"/>
    <x v="173"/>
    <s v="NORMAL"/>
    <s v="USD"/>
    <n v="600"/>
    <n v="16601.967289"/>
    <n v="9961180.3734000009"/>
    <n v="21701.96"/>
    <n v="-3059995.6266000001"/>
    <n v="0"/>
    <n v="0"/>
    <n v="0"/>
    <n v="0"/>
    <n v="600"/>
    <n v="9961180.3734000009"/>
    <s v="EPER"/>
    <n v="7414000005"/>
  </r>
  <r>
    <x v="1"/>
    <s v="CONTROLADORA MABE SA DE CV"/>
    <x v="174"/>
    <s v="NORMAL"/>
    <s v="USD"/>
    <n v="253805"/>
    <n v="15.408367"/>
    <n v="3910720.5864349999"/>
    <n v="20.56"/>
    <n v="-1307510.2135650001"/>
    <n v="0"/>
    <n v="0"/>
    <n v="0"/>
    <n v="0"/>
    <n v="253805"/>
    <n v="3910720.5864349999"/>
    <s v="EPER"/>
    <n v="7414000005"/>
  </r>
  <r>
    <x v="174"/>
    <s v="ASEGURADORA ASERTA SA DE CV"/>
    <x v="66"/>
    <s v="NORMAL"/>
    <s v="USD"/>
    <n v="0"/>
    <n v="0"/>
    <n v="8938949.8599999994"/>
    <n v="0"/>
    <n v="0"/>
    <n v="0"/>
    <n v="0"/>
    <n v="0"/>
    <n v="0"/>
    <n v="0"/>
    <n v="8938949.8599999994"/>
    <s v="EPER"/>
    <n v="7414000005"/>
  </r>
  <r>
    <x v="175"/>
    <s v="BANCO SANTANDER MEXICO FIDEICOMISO F/2001815 5"/>
    <x v="66"/>
    <s v="NORMAL"/>
    <s v="USD"/>
    <n v="0"/>
    <n v="0"/>
    <n v="30469637.100000001"/>
    <n v="0"/>
    <n v="0"/>
    <n v="0"/>
    <n v="0"/>
    <n v="0"/>
    <n v="0"/>
    <n v="0"/>
    <n v="30469637.100000001"/>
    <s v="EPER"/>
    <n v="7414000005"/>
  </r>
  <r>
    <x v="176"/>
    <s v="BANCO SANTANDER MEXICO FIDEICOMISO F/2001815 6"/>
    <x v="66"/>
    <s v="NORMAL"/>
    <s v="USD"/>
    <n v="0"/>
    <n v="0"/>
    <n v="2673834.7000000002"/>
    <n v="0"/>
    <n v="0"/>
    <n v="0"/>
    <n v="0"/>
    <n v="0"/>
    <n v="0"/>
    <n v="0"/>
    <n v="2673834.7000000002"/>
    <s v="EPER"/>
    <n v="7414000005"/>
  </r>
  <r>
    <x v="177"/>
    <s v="ASEGURADORA INSURGENTES SA DE CV"/>
    <x v="66"/>
    <s v="NORMAL"/>
    <s v="USD"/>
    <n v="0"/>
    <n v="0"/>
    <n v="4309.26"/>
    <n v="0"/>
    <n v="0"/>
    <n v="0"/>
    <n v="0"/>
    <n v="0"/>
    <n v="0"/>
    <n v="0"/>
    <n v="4309.26"/>
    <s v="EPER"/>
    <n v="7414000005"/>
  </r>
  <r>
    <x v="178"/>
    <s v="ASEGURADORA ASERTA SA DE CV"/>
    <x v="66"/>
    <s v="NORMAL"/>
    <s v="USD"/>
    <n v="0"/>
    <n v="0"/>
    <n v="59838.68"/>
    <n v="0"/>
    <n v="0"/>
    <n v="0"/>
    <n v="0"/>
    <n v="0"/>
    <n v="0"/>
    <n v="0"/>
    <n v="59838.68"/>
    <s v="EPER"/>
    <n v="7414000005"/>
  </r>
  <r>
    <x v="179"/>
    <s v="ASEGURADORA ASERTA SA DE CV"/>
    <x v="66"/>
    <s v="NORMAL"/>
    <s v="USD"/>
    <n v="0"/>
    <n v="0"/>
    <n v="2957355.92"/>
    <n v="0"/>
    <n v="0"/>
    <n v="0"/>
    <n v="0"/>
    <n v="0"/>
    <n v="0"/>
    <n v="0"/>
    <n v="2957355.92"/>
    <s v="EPER"/>
    <n v="7414000005"/>
  </r>
  <r>
    <x v="180"/>
    <s v="ASEGURADORA INSURGENTES SA DE CV"/>
    <x v="66"/>
    <s v="NORMAL"/>
    <s v="USD"/>
    <n v="0"/>
    <n v="0"/>
    <n v="1058388.8999999999"/>
    <n v="0"/>
    <n v="0"/>
    <n v="0"/>
    <n v="0"/>
    <n v="0"/>
    <n v="0"/>
    <n v="0"/>
    <n v="1058388.8999999999"/>
    <s v="EPER"/>
    <n v="7414000005"/>
  </r>
  <r>
    <x v="181"/>
    <s v="ASEGURADORA INSURGENTES SA DE CV"/>
    <x v="66"/>
    <s v="NORMAL"/>
    <s v="USD"/>
    <n v="0"/>
    <n v="0"/>
    <n v="208796.14"/>
    <n v="0"/>
    <n v="0"/>
    <n v="0"/>
    <n v="0"/>
    <n v="0"/>
    <n v="0"/>
    <n v="0"/>
    <n v="208796.14"/>
    <s v="EPER"/>
    <n v="7414000005"/>
  </r>
  <r>
    <x v="182"/>
    <s v="SCOTIABANK INVERLAT, S.A. FID. 11032679  (FDO. DE PENS. PMI)"/>
    <x v="17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4"/>
    <s v="GESBAN MEXICO SERVICIOS ADMINISTRATIVOS GLOBALES SA CV CAJA DE AHORRO"/>
    <x v="75"/>
    <s v="NORMAL"/>
    <s v="MXN"/>
    <n v="2061"/>
    <n v="3.612981"/>
    <n v="7446.3538410000001"/>
    <n v="3.6055361475012129"/>
    <n v="15.343840999999999"/>
    <n v="0"/>
    <n v="0"/>
    <n v="0"/>
    <n v="0"/>
    <n v="2061"/>
    <n v="7446.3538410000001"/>
    <s v="EPER"/>
    <n v="7414000005"/>
  </r>
  <r>
    <x v="184"/>
    <s v="GESBAN MEXICO SERVICIOS ADMINISTRATIVOS GLOBALES SA CV CAJA DE AHORRO"/>
    <x v="79"/>
    <s v="NORMAL"/>
    <s v="MXN"/>
    <n v="1741"/>
    <n v="2.8149250000000001"/>
    <n v="4900.7844249999998"/>
    <n v="2.8372429638139001"/>
    <n v="-38.855575000000002"/>
    <n v="0"/>
    <n v="0"/>
    <n v="0"/>
    <n v="0"/>
    <n v="1741"/>
    <n v="4900.7844249999998"/>
    <s v="EPER"/>
    <n v="7414000005"/>
  </r>
  <r>
    <x v="185"/>
    <s v="GESBAN MEXICO SERVICIOS ADMINISTRATIVOS GLOBALES SA DE CV FDO PENS CD"/>
    <x v="75"/>
    <s v="NORMAL"/>
    <s v="MXN"/>
    <n v="20082"/>
    <n v="3.612981"/>
    <n v="72555.884441999995"/>
    <n v="3.6043003684891941"/>
    <n v="174.324442"/>
    <n v="0"/>
    <n v="0"/>
    <n v="0"/>
    <n v="0"/>
    <n v="20082"/>
    <n v="72555.884441999995"/>
    <s v="EPER"/>
    <n v="7414000005"/>
  </r>
  <r>
    <x v="185"/>
    <s v="GESBAN MEXICO SERVICIOS ADMINISTRATIVOS GLOBALES SA DE CV FDO PENS CD"/>
    <x v="76"/>
    <s v="NORMAL"/>
    <s v="MXN"/>
    <n v="38519"/>
    <n v="137.04691399999999"/>
    <n v="5278910.0803659996"/>
    <n v="119.20162465276876"/>
    <n v="687382.70036599995"/>
    <n v="0"/>
    <n v="0"/>
    <n v="0"/>
    <n v="0"/>
    <n v="38519"/>
    <n v="5278910.0803659996"/>
    <s v="EPER"/>
    <n v="7414000005"/>
  </r>
  <r>
    <x v="185"/>
    <s v="GESBAN MEXICO SERVICIOS ADMINISTRATIVOS GLOBALES SA DE CV FDO PENS CD"/>
    <x v="77"/>
    <s v="NORMAL"/>
    <s v="MXN"/>
    <n v="1960672"/>
    <n v="3.6364960000000002"/>
    <n v="7129975.8853120003"/>
    <n v="3.0051340614850419"/>
    <n v="1237893.6747119999"/>
    <n v="0"/>
    <n v="0"/>
    <n v="0"/>
    <n v="0"/>
    <n v="1960672"/>
    <n v="7129975.8853120003"/>
    <s v="EPER"/>
    <n v="7414000005"/>
  </r>
  <r>
    <x v="185"/>
    <s v="GESBAN MEXICO SERVICIOS ADMINISTRATIVOS GLOBALES SA DE CV FDO PENS CD"/>
    <x v="78"/>
    <s v="NORMAL"/>
    <s v="MXN"/>
    <n v="10838422"/>
    <n v="2.1315040000000001"/>
    <n v="23102139.846687999"/>
    <n v="1.5000867578693651"/>
    <n v="6843566.5282880003"/>
    <n v="0"/>
    <n v="0"/>
    <n v="0"/>
    <n v="0"/>
    <n v="10838422"/>
    <n v="23102139.846687999"/>
    <s v="EPER"/>
    <n v="7414000005"/>
  </r>
  <r>
    <x v="185"/>
    <s v="GESBAN MEXICO SERVICIOS ADMINISTRATIVOS GLOBALES SA DE CV FDO PENS CD"/>
    <x v="79"/>
    <s v="NORMAL"/>
    <s v="MXN"/>
    <n v="263563"/>
    <n v="2.8149250000000001"/>
    <n v="741910.07777500001"/>
    <n v="2.6900590371182602"/>
    <n v="32910.047774999999"/>
    <n v="0"/>
    <n v="0"/>
    <n v="0"/>
    <n v="0"/>
    <n v="263563"/>
    <n v="741910.07777500001"/>
    <s v="EPER"/>
    <n v="7414000005"/>
  </r>
  <r>
    <x v="186"/>
    <s v="BANCO SANTANDER MEXICO FIDEICOMISO F/2000712 2"/>
    <x v="75"/>
    <s v="NORMAL"/>
    <s v="MXN"/>
    <n v="1599852"/>
    <n v="3.612981"/>
    <n v="5780234.8788120002"/>
    <n v="3.6018284378805041"/>
    <n v="17842.448811999999"/>
    <n v="0"/>
    <n v="0"/>
    <n v="0"/>
    <n v="0"/>
    <n v="1599852"/>
    <n v="5780234.8788120002"/>
    <s v="EPER"/>
    <n v="7414000005"/>
  </r>
  <r>
    <x v="186"/>
    <s v="BANCO SANTANDER MEXICO FIDEICOMISO F/2000712 2"/>
    <x v="77"/>
    <s v="NORMAL"/>
    <s v="MXN"/>
    <n v="252109277"/>
    <n v="3.6364960000000002"/>
    <n v="916794377.37339199"/>
    <n v="2.9731525374213024"/>
    <n v="167235040.75339201"/>
    <n v="0"/>
    <n v="0"/>
    <n v="0"/>
    <n v="0"/>
    <n v="252109277"/>
    <n v="916794377.37339199"/>
    <s v="EPER"/>
    <n v="7414000005"/>
  </r>
  <r>
    <x v="187"/>
    <s v="BANCO SANTANDER MEXICO FIDEICOMISO F/2000712 3"/>
    <x v="75"/>
    <s v="NORMAL"/>
    <s v="MXN"/>
    <n v="464463"/>
    <n v="3.612981"/>
    <n v="1678095.9942030001"/>
    <n v="3.6024266518538615"/>
    <n v="4902.1042029999999"/>
    <n v="0"/>
    <n v="0"/>
    <n v="0"/>
    <n v="0"/>
    <n v="464463"/>
    <n v="1678095.9942030001"/>
    <s v="EPER"/>
    <n v="7414000005"/>
  </r>
  <r>
    <x v="187"/>
    <s v="BANCO SANTANDER MEXICO FIDEICOMISO F/2000712 3"/>
    <x v="78"/>
    <s v="NORMAL"/>
    <s v="MXN"/>
    <n v="123442237"/>
    <n v="2.1315040000000001"/>
    <n v="263117621.934448"/>
    <n v="1.9068421608399724"/>
    <n v="27732759.994447999"/>
    <n v="0"/>
    <n v="0"/>
    <n v="0"/>
    <n v="0"/>
    <n v="123442237"/>
    <n v="263117621.934448"/>
    <s v="EPER"/>
    <n v="7414000005"/>
  </r>
  <r>
    <x v="188"/>
    <s v="BANCO SANTANDER MEXICO FIDEICOMISO F/2000712 4"/>
    <x v="75"/>
    <s v="NORMAL"/>
    <s v="MXN"/>
    <n v="182031"/>
    <n v="3.612981"/>
    <n v="657674.54441099998"/>
    <n v="3.6061048942213141"/>
    <n v="1251.664411"/>
    <n v="0"/>
    <n v="0"/>
    <n v="0"/>
    <n v="0"/>
    <n v="182031"/>
    <n v="657674.54441099998"/>
    <s v="EPER"/>
    <n v="7414000005"/>
  </r>
  <r>
    <x v="188"/>
    <s v="BANCO SANTANDER MEXICO FIDEICOMISO F/2000712 4"/>
    <x v="79"/>
    <s v="NORMAL"/>
    <s v="MXN"/>
    <n v="55059379"/>
    <n v="2.8149250000000001"/>
    <n v="154988022.431575"/>
    <n v="2.6229636790854469"/>
    <n v="10569271.121575"/>
    <n v="0"/>
    <n v="0"/>
    <n v="0"/>
    <n v="0"/>
    <n v="55059379"/>
    <n v="154988022.431575"/>
    <s v="EPER"/>
    <n v="7414000005"/>
  </r>
  <r>
    <x v="189"/>
    <s v="BANCO SANTANDER MEXICO FIDEICOMISO F/2000713 2"/>
    <x v="77"/>
    <s v="NORMAL"/>
    <s v="MXN"/>
    <n v="651583020"/>
    <n v="3.6364960000000002"/>
    <n v="2369479045.8979201"/>
    <n v="2.1459041310959885"/>
    <n v="971244351.52792001"/>
    <n v="0"/>
    <n v="0"/>
    <n v="0"/>
    <n v="0"/>
    <n v="651583020"/>
    <n v="2369479045.8979201"/>
    <s v="EPER"/>
    <n v="7414000005"/>
  </r>
  <r>
    <x v="190"/>
    <s v="BANCO SANTANDER MEXICO FIDEICOMISO F/2000713 3"/>
    <x v="75"/>
    <s v="NORMAL"/>
    <s v="MXN"/>
    <n v="103618"/>
    <n v="3.612981"/>
    <n v="374369.86525799998"/>
    <n v="3.5933001988071571"/>
    <n v="2039.2852580000001"/>
    <n v="0"/>
    <n v="0"/>
    <n v="0"/>
    <n v="0"/>
    <n v="103618"/>
    <n v="374369.86525799998"/>
    <s v="EPER"/>
    <n v="7414000005"/>
  </r>
  <r>
    <x v="190"/>
    <s v="BANCO SANTANDER MEXICO FIDEICOMISO F/2000713 3"/>
    <x v="78"/>
    <s v="NORMAL"/>
    <s v="MXN"/>
    <n v="314923089"/>
    <n v="2.1315040000000001"/>
    <n v="671259823.89585602"/>
    <n v="1.6281428318836286"/>
    <n v="158520053.945856"/>
    <n v="0"/>
    <n v="0"/>
    <n v="0"/>
    <n v="0"/>
    <n v="314923089"/>
    <n v="671259823.89585602"/>
    <s v="EPER"/>
    <n v="7414000005"/>
  </r>
  <r>
    <x v="191"/>
    <s v="BANCO SANTANDER MEXICO S.A. FIDEICOMISO F/2000713-4"/>
    <x v="75"/>
    <s v="NORMAL"/>
    <s v="MXN"/>
    <n v="619170"/>
    <n v="3.612981"/>
    <n v="2237049.4457700001"/>
    <n v="3.6079857228224883"/>
    <n v="3092.9257699999998"/>
    <n v="0"/>
    <n v="0"/>
    <n v="0"/>
    <n v="0"/>
    <n v="619170"/>
    <n v="2237049.4457700001"/>
    <s v="EPER"/>
    <n v="7414000005"/>
  </r>
  <r>
    <x v="191"/>
    <s v="BANCO SANTANDER MEXICO S.A. FIDEICOMISO F/2000713-4"/>
    <x v="79"/>
    <s v="NORMAL"/>
    <s v="MXN"/>
    <n v="140047631"/>
    <n v="2.8149250000000001"/>
    <n v="394223577.69267499"/>
    <n v="2.4446640054196989"/>
    <n v="51854175.142674997"/>
    <n v="0"/>
    <n v="0"/>
    <n v="0"/>
    <n v="0"/>
    <n v="140047631"/>
    <n v="394223577.69267499"/>
    <s v="EPER"/>
    <n v="7414000005"/>
  </r>
  <r>
    <x v="192"/>
    <s v="BANCO NACIONAL DE MEXICO SA FIDEICOMISO F/140021"/>
    <x v="183"/>
    <s v="NORMAL"/>
    <s v="MXN"/>
    <n v="0"/>
    <n v="0"/>
    <n v="0"/>
    <n v="0"/>
    <n v="0"/>
    <n v="0"/>
    <n v="0"/>
    <n v="0"/>
    <n v="0"/>
    <n v="0"/>
    <n v="0"/>
    <s v="EPER"/>
    <n v="7414000005"/>
  </r>
  <r>
    <x v="193"/>
    <s v="GESBAN MEXICO SERVICOS ADMINISTRATIVOS GLOBALES, SA DE CV PRIMA DE ANT"/>
    <x v="75"/>
    <s v="NORMAL"/>
    <s v="MXN"/>
    <n v="364499"/>
    <n v="3.612981"/>
    <n v="1316927.9615189999"/>
    <n v="3.5483489940987494"/>
    <n v="23558.301519000001"/>
    <n v="0"/>
    <n v="0"/>
    <n v="0"/>
    <n v="0"/>
    <n v="364499"/>
    <n v="1316927.9615189999"/>
    <s v="EPER"/>
    <n v="7414000005"/>
  </r>
  <r>
    <x v="194"/>
    <s v="ORGANIZACION FR MEXICO SA CV FDO. PENS."/>
    <x v="0"/>
    <s v="NORMAL"/>
    <s v="MXN"/>
    <n v="277356"/>
    <n v="3.3967719999999999"/>
    <n v="942115.09483199997"/>
    <n v="2.1671337919496962"/>
    <n v="341047.53483199998"/>
    <n v="0"/>
    <n v="0"/>
    <n v="0"/>
    <n v="0"/>
    <n v="277356"/>
    <n v="942115.09483199997"/>
    <s v="EPER"/>
    <n v="7414000005"/>
  </r>
  <r>
    <x v="194"/>
    <s v="ORGANIZACION FR MEXICO SA CV FDO. PENS."/>
    <x v="80"/>
    <s v="NORMAL"/>
    <s v="MXN"/>
    <n v="20088"/>
    <n v="3.8832339999999999"/>
    <n v="78006.404592000006"/>
    <n v="2.8342851453604143"/>
    <n v="21071.284592"/>
    <n v="0"/>
    <n v="0"/>
    <n v="0"/>
    <n v="0"/>
    <n v="20088"/>
    <n v="78006.404592000006"/>
    <s v="EPER"/>
    <n v="7414000005"/>
  </r>
  <r>
    <x v="195"/>
    <s v="CASA DE BOLSA, S.A. DE C.V., CAJA DE AHORRO"/>
    <x v="75"/>
    <s v="NORMAL"/>
    <s v="MXN"/>
    <n v="1844"/>
    <n v="3.612981"/>
    <n v="6662.3369640000001"/>
    <n v="3.6077331887201733"/>
    <n v="9.6769639999999999"/>
    <n v="0"/>
    <n v="0"/>
    <n v="0"/>
    <n v="0"/>
    <n v="1844"/>
    <n v="6662.3369640000001"/>
    <s v="EPER"/>
    <n v="7414000005"/>
  </r>
  <r>
    <x v="195"/>
    <s v="CASA DE BOLSA, S.A. DE C.V., CAJA DE AHORRO"/>
    <x v="76"/>
    <s v="NORMAL"/>
    <s v="MXN"/>
    <n v="4583"/>
    <n v="137.04691399999999"/>
    <n v="628086.00686199998"/>
    <n v="128.52627318350426"/>
    <n v="39050.096861999999"/>
    <n v="0"/>
    <n v="0"/>
    <n v="0"/>
    <n v="0"/>
    <n v="4583"/>
    <n v="628086.00686199998"/>
    <s v="EPER"/>
    <n v="7414000005"/>
  </r>
  <r>
    <x v="195"/>
    <s v="CASA DE BOLSA, S.A. DE C.V., CAJA DE AHORRO"/>
    <x v="77"/>
    <s v="NORMAL"/>
    <s v="MXN"/>
    <n v="315137"/>
    <n v="3.6364960000000002"/>
    <n v="1145994.439952"/>
    <n v="3.4306661547200106"/>
    <n v="64864.599951999997"/>
    <n v="0"/>
    <n v="0"/>
    <n v="0"/>
    <n v="0"/>
    <n v="315137"/>
    <n v="1145994.439952"/>
    <s v="EPER"/>
    <n v="7414000005"/>
  </r>
  <r>
    <x v="195"/>
    <s v="CASA DE BOLSA, S.A. DE C.V., CAJA DE AHORRO"/>
    <x v="78"/>
    <s v="NORMAL"/>
    <s v="MXN"/>
    <n v="144"/>
    <n v="2.1315040000000001"/>
    <n v="306.936576"/>
    <n v="2.029236111111111"/>
    <n v="14.726576"/>
    <n v="0"/>
    <n v="0"/>
    <n v="0"/>
    <n v="0"/>
    <n v="144"/>
    <n v="306.936576"/>
    <s v="EPER"/>
    <n v="7414000005"/>
  </r>
  <r>
    <x v="195"/>
    <s v="CASA DE BOLSA, S.A. DE C.V., CAJA DE AHORRO"/>
    <x v="79"/>
    <s v="NORMAL"/>
    <s v="MXN"/>
    <n v="37927"/>
    <n v="2.8149250000000001"/>
    <n v="106761.660475"/>
    <n v="2.6867529728161994"/>
    <n v="4861.1804750000001"/>
    <n v="0"/>
    <n v="0"/>
    <n v="0"/>
    <n v="0"/>
    <n v="37927"/>
    <n v="106761.660475"/>
    <s v="EPER"/>
    <n v="7414000005"/>
  </r>
  <r>
    <x v="196"/>
    <s v="CASA DE BOLSA, S.A. DE C.V., PLAN DE PENSIONES"/>
    <x v="75"/>
    <s v="NORMAL"/>
    <s v="MXN"/>
    <n v="2269"/>
    <n v="3.612981"/>
    <n v="8197.853889"/>
    <n v="3.6077302776553548"/>
    <n v="11.913888999999999"/>
    <n v="0"/>
    <n v="0"/>
    <n v="0"/>
    <n v="0"/>
    <n v="2269"/>
    <n v="8197.853889"/>
    <s v="EPER"/>
    <n v="7414000005"/>
  </r>
  <r>
    <x v="196"/>
    <s v="CASA DE BOLSA, S.A. DE C.V., PLAN DE PENSIONES"/>
    <x v="76"/>
    <s v="NORMAL"/>
    <s v="MXN"/>
    <n v="11840"/>
    <n v="137.04691399999999"/>
    <n v="1622635.4617600001"/>
    <n v="129.15627195945945"/>
    <n v="93425.201759999996"/>
    <n v="0"/>
    <n v="0"/>
    <n v="0"/>
    <n v="0"/>
    <n v="11840"/>
    <n v="1622635.4617600001"/>
    <s v="EPER"/>
    <n v="7414000005"/>
  </r>
  <r>
    <x v="196"/>
    <s v="CASA DE BOLSA, S.A. DE C.V., PLAN DE PENSIONES"/>
    <x v="77"/>
    <s v="NORMAL"/>
    <s v="MXN"/>
    <n v="713424"/>
    <n v="3.6364960000000002"/>
    <n v="2594363.5223039999"/>
    <n v="3.4416374133754961"/>
    <n v="139016.792304"/>
    <n v="0"/>
    <n v="0"/>
    <n v="0"/>
    <n v="0"/>
    <n v="713424"/>
    <n v="2594363.5223039999"/>
    <s v="EPER"/>
    <n v="7414000005"/>
  </r>
  <r>
    <x v="196"/>
    <s v="CASA DE BOLSA, S.A. DE C.V., PLAN DE PENSIONES"/>
    <x v="78"/>
    <s v="NORMAL"/>
    <s v="MXN"/>
    <n v="415"/>
    <n v="2.1315040000000001"/>
    <n v="884.57416000000001"/>
    <n v="2.0292530120481929"/>
    <n v="42.434159999999999"/>
    <n v="0"/>
    <n v="0"/>
    <n v="0"/>
    <n v="0"/>
    <n v="415"/>
    <n v="884.57416000000001"/>
    <s v="EPER"/>
    <n v="7414000005"/>
  </r>
  <r>
    <x v="196"/>
    <s v="CASA DE BOLSA, S.A. DE C.V., PLAN DE PENSIONES"/>
    <x v="79"/>
    <s v="NORMAL"/>
    <s v="MXN"/>
    <n v="77178"/>
    <n v="2.8149250000000001"/>
    <n v="217250.28164999999"/>
    <n v="2.6871612376584002"/>
    <n v="9860.5516499999994"/>
    <n v="0"/>
    <n v="0"/>
    <n v="0"/>
    <n v="0"/>
    <n v="77178"/>
    <n v="217250.28164999999"/>
    <s v="EPER"/>
    <n v="7414000005"/>
  </r>
  <r>
    <x v="197"/>
    <s v="ORGANIZACION FR MEXICO S.A DE C.V. FDO. PENS. CD"/>
    <x v="0"/>
    <s v="NORMAL"/>
    <s v="MXN"/>
    <n v="5347049"/>
    <n v="3.3967719999999999"/>
    <n v="18162706.325828001"/>
    <n v="2.9602450753677401"/>
    <n v="2334130.8558280002"/>
    <n v="0"/>
    <n v="0"/>
    <n v="0"/>
    <n v="0"/>
    <n v="5347049"/>
    <n v="18162706.325828001"/>
    <s v="EPER"/>
    <n v="7414000005"/>
  </r>
  <r>
    <x v="197"/>
    <s v="ORGANIZACION FR MEXICO S.A DE C.V. FDO. PENS. CD"/>
    <x v="80"/>
    <s v="NORMAL"/>
    <s v="MXN"/>
    <n v="1365476"/>
    <n v="3.8832339999999999"/>
    <n v="5302462.829384"/>
    <n v="2.8560632336269549"/>
    <n v="1402577.029384"/>
    <n v="0"/>
    <n v="0"/>
    <n v="0"/>
    <n v="0"/>
    <n v="1365476"/>
    <n v="5302462.829384"/>
    <s v="EPER"/>
    <n v="7414000005"/>
  </r>
  <r>
    <x v="197"/>
    <s v="ORGANIZACION FR MEXICO S.A DE C.V. FDO. PENS. CD"/>
    <x v="64"/>
    <s v="NORMAL"/>
    <s v="MXN"/>
    <n v="4145611"/>
    <n v="2.7668819999999998"/>
    <n v="11470416.454902001"/>
    <n v="2.3501809986513447"/>
    <n v="1727480.2549020001"/>
    <n v="0"/>
    <n v="0"/>
    <n v="0"/>
    <n v="0"/>
    <n v="4145611"/>
    <n v="11470416.454902001"/>
    <s v="EPER"/>
    <n v="7414000005"/>
  </r>
  <r>
    <x v="197"/>
    <s v="ORGANIZACION FR MEXICO S.A DE C.V. FDO. PENS. CD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98"/>
    <s v="ORGANIZACION FR MEXICO S.A DE C.V. (N/SIND) FDO. AHORRO"/>
    <x v="90"/>
    <s v="NORMAL"/>
    <s v="MXN"/>
    <n v="6734701"/>
    <n v="3.4005040000000002"/>
    <n v="22901377.689304002"/>
    <n v="3.3474759651542065"/>
    <n v="357127.95930400002"/>
    <n v="0"/>
    <n v="0"/>
    <n v="0"/>
    <n v="0"/>
    <n v="6734701"/>
    <n v="22901377.689304002"/>
    <s v="EPER"/>
    <n v="7414000005"/>
  </r>
  <r>
    <x v="199"/>
    <s v="BANCO SANTANDER MEXICO S.A. FIDEICOMISO F/200189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00"/>
    <s v="LAFON LAUNAY COSMETICS SA DE CV"/>
    <x v="154"/>
    <s v="NORMAL"/>
    <s v="MXN"/>
    <n v="125"/>
    <n v="3.4985729999999999"/>
    <n v="437.32162499999998"/>
    <n v="3.4843999999999999"/>
    <n v="1.771625"/>
    <n v="0"/>
    <n v="0"/>
    <n v="0"/>
    <n v="0"/>
    <n v="125"/>
    <n v="437.32162499999998"/>
    <s v="EPER"/>
    <n v="7414000005"/>
  </r>
  <r>
    <x v="201"/>
    <s v="BANCO SANTANDER MEXICO FIDEICOMISO F/2002126-1"/>
    <x v="0"/>
    <s v="NORMAL"/>
    <s v="MXN"/>
    <n v="4564664"/>
    <n v="3.3967719999999999"/>
    <n v="15505122.864607999"/>
    <n v="1.9208847157205875"/>
    <n v="6736929.5546080004"/>
    <n v="0"/>
    <n v="0"/>
    <n v="0"/>
    <n v="0"/>
    <n v="4564664"/>
    <n v="15505122.864607999"/>
    <s v="EPER"/>
    <n v="7414000005"/>
  </r>
  <r>
    <x v="202"/>
    <s v="SERVICIO PAN AMERICANO DE PROTECCION, S.A. DE C.V. (FONDO DE AHORRO)"/>
    <x v="74"/>
    <s v="NORMAL"/>
    <s v="MXN"/>
    <n v="4515059"/>
    <n v="3.568238"/>
    <n v="16110805.096042"/>
    <n v="3.517068255364991"/>
    <n v="231034.416042"/>
    <n v="0"/>
    <n v="0"/>
    <n v="0"/>
    <n v="0"/>
    <n v="4515059"/>
    <n v="16110805.096042"/>
    <s v="EPER"/>
    <n v="7414000005"/>
  </r>
  <r>
    <x v="203"/>
    <s v="SUPERMERCADOS INTERNACIONALES HEB. S.A. DE C.V"/>
    <x v="0"/>
    <s v="NORMAL"/>
    <s v="MXN"/>
    <n v="2428"/>
    <n v="3.3967719999999999"/>
    <n v="8247.3624159999999"/>
    <n v="3.3638632619439868"/>
    <n v="79.902416000000002"/>
    <n v="0"/>
    <n v="0"/>
    <n v="0"/>
    <n v="0"/>
    <n v="2428"/>
    <n v="8247.3624159999999"/>
    <s v="EPER"/>
    <n v="7414000005"/>
  </r>
  <r>
    <x v="203"/>
    <s v="SUPERMERCADOS INTERNACIONALES HEB. S.A. DE C.V"/>
    <x v="184"/>
    <s v="NORMAL"/>
    <s v="MXN"/>
    <n v="45836"/>
    <n v="136.12787299999999"/>
    <n v="6239557.1868279995"/>
    <n v="105.27408194432324"/>
    <n v="1414214.3668279999"/>
    <n v="0"/>
    <n v="0"/>
    <n v="0"/>
    <n v="0"/>
    <n v="45836"/>
    <n v="6239557.1868279995"/>
    <s v="EPER"/>
    <n v="7414000005"/>
  </r>
  <r>
    <x v="204"/>
    <s v="SUPERMERCADOS INTERNACIONALES HEB. S.A. DE C.V"/>
    <x v="0"/>
    <s v="NORMAL"/>
    <s v="MXN"/>
    <n v="16768"/>
    <n v="3.3967719999999999"/>
    <n v="56957.072895999998"/>
    <n v="3.3640821803435115"/>
    <n v="548.14289599999995"/>
    <n v="0"/>
    <n v="0"/>
    <n v="0"/>
    <n v="0"/>
    <n v="16768"/>
    <n v="56957.072895999998"/>
    <s v="EPER"/>
    <n v="7414000005"/>
  </r>
  <r>
    <x v="204"/>
    <s v="SUPERMERCADOS INTERNACIONALES HEB. S.A. DE C.V"/>
    <x v="153"/>
    <s v="NORMAL"/>
    <s v="MXN"/>
    <n v="7621745"/>
    <n v="3.6141489999999998"/>
    <n v="27546122.070005"/>
    <n v="2.7274093517954223"/>
    <n v="6758503.4800049998"/>
    <n v="0"/>
    <n v="0"/>
    <n v="0"/>
    <n v="0"/>
    <n v="7621745"/>
    <n v="27546122.070005"/>
    <s v="EPER"/>
    <n v="7414000005"/>
  </r>
  <r>
    <x v="205"/>
    <s v="SUPERMERCADOS INTERNACIONALES HEB. S.A. DE C.V"/>
    <x v="0"/>
    <s v="NORMAL"/>
    <s v="MXN"/>
    <n v="10044"/>
    <n v="3.3967719999999999"/>
    <n v="34117.177968000004"/>
    <n v="3.3698855037833533"/>
    <n v="270.04796800000003"/>
    <n v="0"/>
    <n v="0"/>
    <n v="0"/>
    <n v="0"/>
    <n v="10044"/>
    <n v="34117.177968000004"/>
    <s v="EPER"/>
    <n v="7414000005"/>
  </r>
  <r>
    <x v="205"/>
    <s v="SUPERMERCADOS INTERNACIONALES HEB. S.A. DE C.V"/>
    <x v="83"/>
    <s v="NORMAL"/>
    <s v="MXN"/>
    <n v="3708375"/>
    <n v="2.106938"/>
    <n v="7813316.2057499997"/>
    <n v="1.7795293652880304"/>
    <n v="1214153.99575"/>
    <n v="0"/>
    <n v="0"/>
    <n v="0"/>
    <n v="0"/>
    <n v="3708375"/>
    <n v="7813316.2057499997"/>
    <s v="EPER"/>
    <n v="7414000005"/>
  </r>
  <r>
    <x v="206"/>
    <s v="SUPERMERCADOS INTERNACIONALES HEB. S.A. DE C.V"/>
    <x v="0"/>
    <s v="NORMAL"/>
    <s v="MXN"/>
    <n v="76238"/>
    <n v="3.3967719999999999"/>
    <n v="258963.10373599999"/>
    <n v="3.3641840027282983"/>
    <n v="2484.4437360000002"/>
    <n v="0"/>
    <n v="0"/>
    <n v="0"/>
    <n v="0"/>
    <n v="76238"/>
    <n v="258963.10373599999"/>
    <s v="EPER"/>
    <n v="7414000005"/>
  </r>
  <r>
    <x v="206"/>
    <s v="SUPERMERCADOS INTERNACIONALES HEB. S.A. DE C.V"/>
    <x v="157"/>
    <s v="NORMAL"/>
    <s v="MXN"/>
    <n v="22007941"/>
    <n v="2.7842250000000002"/>
    <n v="61275059.530725002"/>
    <n v="2.1991865068158809"/>
    <n v="12875492.640725"/>
    <n v="0"/>
    <n v="0"/>
    <n v="0"/>
    <n v="0"/>
    <n v="22007941"/>
    <n v="61275059.530725002"/>
    <s v="EPER"/>
    <n v="7414000005"/>
  </r>
  <r>
    <x v="207"/>
    <s v="SERVICIO PAN AMERICANO DE PROTECCION SA DE CV (FDO. DE PENSIONES B.D.)"/>
    <x v="5"/>
    <s v="NORMAL"/>
    <s v="MXN"/>
    <n v="39"/>
    <n v="1786.5"/>
    <n v="69673.5"/>
    <n v="1284.6120512820512"/>
    <n v="35652.129999999997"/>
    <n v="-9"/>
    <n v="-16236.36"/>
    <n v="0"/>
    <n v="0"/>
    <n v="30"/>
    <n v="53437.14"/>
    <s v="EPER"/>
    <n v="7414000005"/>
  </r>
  <r>
    <x v="207"/>
    <s v="SERVICIO PAN AMERICANO DE PROTECCION SA DE CV (FDO. DE PENSIONES B.D.)"/>
    <x v="130"/>
    <s v="NORMAL"/>
    <s v="MXN"/>
    <n v="46600"/>
    <n v="4.5848760000000004"/>
    <n v="213655.22159999999"/>
    <n v="2.907045278969957"/>
    <n v="137790.2996"/>
    <n v="-13000"/>
    <n v="-59603.39"/>
    <n v="0"/>
    <n v="0"/>
    <n v="33600"/>
    <n v="154051.8316"/>
    <s v="EPER"/>
    <n v="7414000005"/>
  </r>
  <r>
    <x v="207"/>
    <s v="SERVICIO PAN AMERICANO DE PROTECCION SA DE CV (FDO. DE PENSIONES B.D.)"/>
    <x v="0"/>
    <s v="NORMAL"/>
    <s v="MXN"/>
    <n v="97953"/>
    <n v="3.3967719999999999"/>
    <n v="332724.00771600002"/>
    <n v="3.3027279409512724"/>
    <n v="9211.8977159999995"/>
    <n v="0"/>
    <n v="0"/>
    <n v="0"/>
    <n v="0"/>
    <n v="97953"/>
    <n v="332724.00771600002"/>
    <s v="EPER"/>
    <n v="7414000005"/>
  </r>
  <r>
    <x v="207"/>
    <s v="SERVICIO PAN AMERICANO DE PROTECCION SA DE CV (FDO. DE PENSIONES B.D.)"/>
    <x v="64"/>
    <s v="NORMAL"/>
    <s v="MXN"/>
    <n v="275534"/>
    <n v="2.7668819999999998"/>
    <n v="762370.06498799997"/>
    <n v="2.3636919944544048"/>
    <n v="111092.554988"/>
    <n v="0"/>
    <n v="0"/>
    <n v="0"/>
    <n v="0"/>
    <n v="275534"/>
    <n v="762370.06498799997"/>
    <s v="EPER"/>
    <n v="7414000005"/>
  </r>
  <r>
    <x v="208"/>
    <s v="SERVICIO PAN AMERICANO DE PROTECCION SA DE CV (FDO. DE PENSIONES C.D)"/>
    <x v="5"/>
    <s v="NORMAL"/>
    <s v="MXN"/>
    <n v="540"/>
    <n v="1786.5"/>
    <n v="964710"/>
    <n v="1601.684074074074"/>
    <n v="99800.6"/>
    <n v="0"/>
    <n v="0"/>
    <n v="0"/>
    <n v="0"/>
    <n v="540"/>
    <n v="964710"/>
    <s v="EPER"/>
    <n v="7414000005"/>
  </r>
  <r>
    <x v="208"/>
    <s v="SERVICIO PAN AMERICANO DE PROTECCION SA DE CV (FDO. DE PENSIONES C.D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08"/>
    <s v="SERVICIO PAN AMERICANO DE PROTECCION SA DE CV (FDO. DE PENSIONES C.D)"/>
    <x v="130"/>
    <s v="NORMAL"/>
    <s v="MXN"/>
    <n v="630000"/>
    <n v="4.5848760000000004"/>
    <n v="2888471.88"/>
    <n v="4.1732759047619048"/>
    <n v="259308.06"/>
    <n v="0"/>
    <n v="0"/>
    <n v="0"/>
    <n v="0"/>
    <n v="630000"/>
    <n v="2888471.88"/>
    <s v="EPER"/>
    <n v="7414000005"/>
  </r>
  <r>
    <x v="208"/>
    <s v="SERVICIO PAN AMERICANO DE PROTECCION SA DE CV (FDO. DE PENSIONES C.D)"/>
    <x v="0"/>
    <s v="NORMAL"/>
    <s v="MXN"/>
    <n v="2936052"/>
    <n v="3.3967719999999999"/>
    <n v="9973099.2241440006"/>
    <n v="2.8612265484398778"/>
    <n v="1572389.2941439999"/>
    <n v="0"/>
    <n v="0"/>
    <n v="0"/>
    <n v="0"/>
    <n v="2936052"/>
    <n v="9973099.2241440006"/>
    <s v="EPER"/>
    <n v="7414000005"/>
  </r>
  <r>
    <x v="208"/>
    <s v="SERVICIO PAN AMERICANO DE PROTECCION SA DE CV (FDO. DE PENSIONES C.D)"/>
    <x v="64"/>
    <s v="NORMAL"/>
    <s v="MXN"/>
    <n v="4048811"/>
    <n v="2.7668819999999998"/>
    <n v="11202582.277302001"/>
    <n v="2.3636919999476391"/>
    <n v="1632440.107302"/>
    <n v="0"/>
    <n v="0"/>
    <n v="0"/>
    <n v="0"/>
    <n v="4048811"/>
    <n v="11202582.277302001"/>
    <s v="EPER"/>
    <n v="7414000005"/>
  </r>
  <r>
    <x v="209"/>
    <s v="OASIS SOUTH, S. DE R.L. DE C.V. FONDO DE AHORRO"/>
    <x v="154"/>
    <s v="NORMAL"/>
    <s v="MXN"/>
    <n v="6680"/>
    <n v="3.4985729999999999"/>
    <n v="23370.467639999999"/>
    <n v="3.4544176646706588"/>
    <n v="294.95764000000003"/>
    <n v="0"/>
    <n v="0"/>
    <n v="0"/>
    <n v="0"/>
    <n v="6680"/>
    <n v="23370.467639999999"/>
    <s v="EPER"/>
    <n v="7414000005"/>
  </r>
  <r>
    <x v="210"/>
    <s v="CA EMP EJEC Y ADM SERVICIO PAN AMERICANO DE PROTECCION, A.C."/>
    <x v="74"/>
    <s v="NORMAL"/>
    <s v="MXN"/>
    <n v="1262506"/>
    <n v="3.568238"/>
    <n v="4504921.8844280001"/>
    <n v="3.5194257373826341"/>
    <n v="61625.774427999997"/>
    <n v="0"/>
    <n v="0"/>
    <n v="0"/>
    <n v="0"/>
    <n v="1262506"/>
    <n v="4504921.8844280001"/>
    <s v="EPER"/>
    <n v="7414000005"/>
  </r>
  <r>
    <x v="211"/>
    <s v="SERVICIO PAN AMERICANO DE PROTECCION SA DE CV (F.A. PER SIND)"/>
    <x v="74"/>
    <s v="NORMAL"/>
    <s v="MXN"/>
    <n v="1084620"/>
    <n v="3.568238"/>
    <n v="3870182.2995600002"/>
    <n v="3.5339675185779353"/>
    <n v="37170.449560000001"/>
    <n v="0"/>
    <n v="0"/>
    <n v="0"/>
    <n v="0"/>
    <n v="1084620"/>
    <n v="3870182.2995600002"/>
    <s v="EPER"/>
    <n v="7414000005"/>
  </r>
  <r>
    <x v="212"/>
    <s v="BM CONTROL Y ADMON DE PERSONAL SA DE CV (FDO DE AHORRO)"/>
    <x v="74"/>
    <s v="NORMAL"/>
    <s v="MXN"/>
    <n v="42"/>
    <n v="3.568238"/>
    <n v="149.865996"/>
    <n v="3.5033333333333334"/>
    <n v="2.7259959999999999"/>
    <n v="0"/>
    <n v="0"/>
    <n v="0"/>
    <n v="0"/>
    <n v="42"/>
    <n v="149.865996"/>
    <s v="EPER"/>
    <n v="7414000005"/>
  </r>
  <r>
    <x v="213"/>
    <s v="OASIS LATINOAMERICA S DE RL DE CV (FONDO DE AHORRO)"/>
    <x v="154"/>
    <s v="NORMAL"/>
    <s v="MXN"/>
    <n v="1403655"/>
    <n v="3.4985729999999999"/>
    <n v="4910789.4843149995"/>
    <n v="3.4525532556076812"/>
    <n v="64595.844315000002"/>
    <n v="0"/>
    <n v="0"/>
    <n v="0"/>
    <n v="0"/>
    <n v="1403655"/>
    <n v="4910789.4843149995"/>
    <s v="EPER"/>
    <n v="7414000005"/>
  </r>
  <r>
    <x v="214"/>
    <s v="BANCO SANTANDER MEXICO SA FIDEICOMISO F/ 2001213-6"/>
    <x v="5"/>
    <s v="NORMAL"/>
    <s v="MXN"/>
    <n v="470"/>
    <n v="1786.5"/>
    <n v="839655"/>
    <n v="1367.95"/>
    <n v="196718.5"/>
    <n v="0"/>
    <n v="0"/>
    <n v="0"/>
    <n v="0"/>
    <n v="470"/>
    <n v="839655"/>
    <s v="EPER"/>
    <n v="7414000005"/>
  </r>
  <r>
    <x v="214"/>
    <s v="BANCO SANTANDER MEXICO SA FIDEICOMISO F/ 2001213-6"/>
    <x v="185"/>
    <s v="NORMAL"/>
    <s v="MXN"/>
    <n v="47898"/>
    <n v="48.559412999999999"/>
    <n v="2325898.7638739999"/>
    <n v="32.818488037078794"/>
    <n v="753958.82387399999"/>
    <n v="0"/>
    <n v="0"/>
    <n v="0"/>
    <n v="0"/>
    <n v="47898"/>
    <n v="2325898.7638739999"/>
    <s v="EPER"/>
    <n v="7414000005"/>
  </r>
  <r>
    <x v="214"/>
    <s v="BANCO SANTANDER MEXICO SA FIDEICOMISO F/ 2001213-6"/>
    <x v="130"/>
    <s v="NORMAL"/>
    <s v="MXN"/>
    <n v="399680"/>
    <n v="4.5848760000000004"/>
    <n v="1832483.2396800001"/>
    <n v="3.3440324509607686"/>
    <n v="495940.34967999998"/>
    <n v="0"/>
    <n v="0"/>
    <n v="0"/>
    <n v="0"/>
    <n v="399680"/>
    <n v="1832483.2396800001"/>
    <s v="EPER"/>
    <n v="7414000005"/>
  </r>
  <r>
    <x v="214"/>
    <s v="BANCO SANTANDER MEXICO SA FIDEICOMISO F/ 2001213-6"/>
    <x v="186"/>
    <s v="NORMAL"/>
    <s v="MXN"/>
    <n v="637286"/>
    <n v="3.5281129999999998"/>
    <n v="2248417.0213179998"/>
    <n v="2.3012690063801808"/>
    <n v="781850.50131800002"/>
    <n v="0"/>
    <n v="0"/>
    <n v="0"/>
    <n v="0"/>
    <n v="637286"/>
    <n v="2248417.0213179998"/>
    <s v="EPER"/>
    <n v="7414000005"/>
  </r>
  <r>
    <x v="214"/>
    <s v="BANCO SANTANDER MEXICO SA FIDEICOMISO F/ 2001213-6"/>
    <x v="0"/>
    <s v="NORMAL"/>
    <s v="MXN"/>
    <n v="79736"/>
    <n v="3.3967719999999999"/>
    <n v="270845.01219199999"/>
    <n v="2.7001970251831042"/>
    <n v="55542.102191999998"/>
    <n v="0"/>
    <n v="0"/>
    <n v="0"/>
    <n v="0"/>
    <n v="79736"/>
    <n v="270845.01219199999"/>
    <s v="EPER"/>
    <n v="7414000005"/>
  </r>
  <r>
    <x v="215"/>
    <s v="SERVICIO PAN AMERICANO DE PROTECCION SA CV FDO AHORRO PERS SIND INT"/>
    <x v="74"/>
    <s v="NORMAL"/>
    <s v="MXN"/>
    <n v="4313721"/>
    <n v="3.568238"/>
    <n v="15392383.193598"/>
    <n v="3.5358036646319966"/>
    <n v="139912.67359799999"/>
    <n v="0"/>
    <n v="0"/>
    <n v="0"/>
    <n v="0"/>
    <n v="4313721"/>
    <n v="15392383.193598"/>
    <s v="EPER"/>
    <n v="7414000005"/>
  </r>
  <r>
    <x v="216"/>
    <s v="ASOC. DE TRABAJADORES SIND. DE SPAPSA METROPOLITANA AC CAJA DE AHORROS"/>
    <x v="74"/>
    <s v="NORMAL"/>
    <s v="MXN"/>
    <n v="637008"/>
    <n v="3.568238"/>
    <n v="2272996.151904"/>
    <n v="3.5099088551478159"/>
    <n v="37156.131904000002"/>
    <n v="0"/>
    <n v="0"/>
    <n v="0"/>
    <n v="0"/>
    <n v="637008"/>
    <n v="2272996.151904"/>
    <s v="EPER"/>
    <n v="7414000005"/>
  </r>
  <r>
    <x v="217"/>
    <s v="ASOC DE TRABAJADORES SIND DE SPAPSA DEL INT DE LA REP AC CAJA AHORROS"/>
    <x v="74"/>
    <s v="NORMAL"/>
    <s v="MXN"/>
    <n v="3422200"/>
    <n v="3.568238"/>
    <n v="12211224.0836"/>
    <n v="3.5110708111740987"/>
    <n v="195637.55360000001"/>
    <n v="0"/>
    <n v="0"/>
    <n v="0"/>
    <n v="0"/>
    <n v="3422200"/>
    <n v="12211224.0836"/>
    <s v="EPER"/>
    <n v="7414000005"/>
  </r>
  <r>
    <x v="218"/>
    <s v="SERVICIO PAN AMERICANO DE PROTECCION SA DE CV (FDO DE PENSIONES BD)NVO"/>
    <x v="5"/>
    <s v="NORMAL"/>
    <s v="MXN"/>
    <n v="900"/>
    <n v="1786.5"/>
    <n v="1607850"/>
    <n v="1410.5106555555556"/>
    <n v="427715.41"/>
    <n v="-50"/>
    <n v="-90202"/>
    <n v="0"/>
    <n v="0"/>
    <n v="850"/>
    <n v="1517648"/>
    <s v="EPER"/>
    <n v="7414000005"/>
  </r>
  <r>
    <x v="218"/>
    <s v="SERVICIO PAN AMERICANO DE PROTECCION SA DE CV (FDO DE PENSIONES BD)NVO"/>
    <x v="130"/>
    <s v="NORMAL"/>
    <s v="MXN"/>
    <n v="1040000"/>
    <n v="4.5848760000000004"/>
    <n v="4768271.04"/>
    <n v="4.0513652307692309"/>
    <n v="692397.48"/>
    <n v="-30000"/>
    <n v="-137546.28"/>
    <n v="0"/>
    <n v="0"/>
    <n v="1010000"/>
    <n v="4630724.76"/>
    <s v="EPER"/>
    <n v="7414000005"/>
  </r>
  <r>
    <x v="218"/>
    <s v="SERVICIO PAN AMERICANO DE PROTECCION SA DE CV (FDO DE PENSIONES BD)NVO"/>
    <x v="0"/>
    <s v="NORMAL"/>
    <s v="MXN"/>
    <n v="4488918"/>
    <n v="3.3967719999999999"/>
    <n v="15247830.972696001"/>
    <n v="3.1945733715786298"/>
    <n v="907653.06269599998"/>
    <n v="0"/>
    <n v="0"/>
    <n v="0"/>
    <n v="0"/>
    <n v="4488918"/>
    <n v="15247830.972696001"/>
    <s v="EPER"/>
    <n v="7414000005"/>
  </r>
  <r>
    <x v="218"/>
    <s v="SERVICIO PAN AMERICANO DE PROTECCION SA DE CV (FDO DE PENSIONES BD)NVO"/>
    <x v="64"/>
    <s v="NORMAL"/>
    <s v="MXN"/>
    <n v="6664683"/>
    <n v="2.7668819999999998"/>
    <n v="18440391.428406"/>
    <n v="2.3636920000546162"/>
    <n v="2687133.538406"/>
    <n v="0"/>
    <n v="0"/>
    <n v="0"/>
    <n v="0"/>
    <n v="6664683"/>
    <n v="18440391.428406"/>
    <s v="EPER"/>
    <n v="7414000005"/>
  </r>
  <r>
    <x v="219"/>
    <s v="BANCO SANTANDER MEXICO FIDEICOMISO F/2002961-1"/>
    <x v="4"/>
    <s v="NORMAL"/>
    <s v="MXN"/>
    <n v="5200"/>
    <n v="168.64"/>
    <n v="876928"/>
    <n v="177.75180961538462"/>
    <n v="-47381.41"/>
    <n v="0"/>
    <n v="0"/>
    <n v="0"/>
    <n v="0"/>
    <n v="5200"/>
    <n v="876928"/>
    <s v="EPER"/>
    <n v="7414000005"/>
  </r>
  <r>
    <x v="219"/>
    <s v="BANCO SANTANDER MEXICO FIDEICOMISO F/2002961-1"/>
    <x v="187"/>
    <s v="NORMAL"/>
    <s v="MXN"/>
    <n v="16400"/>
    <n v="11.86"/>
    <n v="194504"/>
    <n v="12.184011585365853"/>
    <n v="-5313.79"/>
    <n v="0"/>
    <n v="0"/>
    <n v="0"/>
    <n v="0"/>
    <n v="16400"/>
    <n v="194504"/>
    <s v="EPER"/>
    <n v="7414000005"/>
  </r>
  <r>
    <x v="219"/>
    <s v="BANCO SANTANDER MEXICO FIDEICOMISO F/2002961-1"/>
    <x v="7"/>
    <s v="NORMAL"/>
    <s v="MXN"/>
    <n v="13600"/>
    <n v="73.37"/>
    <n v="997832"/>
    <n v="61.954102941176473"/>
    <n v="155256.20000000001"/>
    <n v="0"/>
    <n v="0"/>
    <n v="0"/>
    <n v="0"/>
    <n v="13600"/>
    <n v="997832"/>
    <s v="EPER"/>
    <n v="7414000005"/>
  </r>
  <r>
    <x v="219"/>
    <s v="BANCO SANTANDER MEXICO FIDEICOMISO F/2002961-1"/>
    <x v="10"/>
    <s v="NORMAL"/>
    <s v="MXN"/>
    <n v="214600"/>
    <n v="15.12"/>
    <n v="3244752"/>
    <n v="16.447551580149113"/>
    <n v="-284892.56910000002"/>
    <n v="0"/>
    <n v="0"/>
    <n v="0"/>
    <n v="0"/>
    <n v="214600"/>
    <n v="3244752"/>
    <s v="EPER"/>
    <n v="7414000005"/>
  </r>
  <r>
    <x v="219"/>
    <s v="BANCO SANTANDER MEXICO FIDEICOMISO F/2002961-1"/>
    <x v="11"/>
    <s v="NORMAL"/>
    <s v="MXN"/>
    <n v="4100"/>
    <n v="525.09"/>
    <n v="2152869"/>
    <n v="491.7044292682927"/>
    <n v="136880.84"/>
    <n v="0"/>
    <n v="0"/>
    <n v="0"/>
    <n v="0"/>
    <n v="4100"/>
    <n v="2152869"/>
    <s v="EPER"/>
    <n v="7414000005"/>
  </r>
  <r>
    <x v="219"/>
    <s v="BANCO SANTANDER MEXICO FIDEICOMISO F/2002961-1"/>
    <x v="12"/>
    <s v="NORMAL"/>
    <s v="MXN"/>
    <n v="9400"/>
    <n v="68.25"/>
    <n v="641550"/>
    <n v="78.644708510638296"/>
    <n v="-97710.26"/>
    <n v="0"/>
    <n v="0"/>
    <n v="0"/>
    <n v="0"/>
    <n v="9400"/>
    <n v="641550"/>
    <s v="EPER"/>
    <n v="7414000005"/>
  </r>
  <r>
    <x v="219"/>
    <s v="BANCO SANTANDER MEXICO FIDEICOMISO F/2002961-1"/>
    <x v="14"/>
    <s v="NORMAL"/>
    <s v="MXN"/>
    <n v="262700"/>
    <n v="14.33"/>
    <n v="3764491"/>
    <n v="12.029771374191093"/>
    <n v="604270.06000000006"/>
    <n v="0"/>
    <n v="0"/>
    <n v="0"/>
    <n v="0"/>
    <n v="262700"/>
    <n v="3764491"/>
    <s v="EPER"/>
    <n v="7414000005"/>
  </r>
  <r>
    <x v="219"/>
    <s v="BANCO SANTANDER MEXICO FIDEICOMISO F/2002961-1"/>
    <x v="188"/>
    <s v="NORMAL"/>
    <s v="MXN"/>
    <n v="5000000"/>
    <n v="9.6141520000000007"/>
    <n v="48070760"/>
    <n v="9.0305956599999995"/>
    <n v="2917781.7"/>
    <n v="0"/>
    <n v="0"/>
    <n v="0"/>
    <n v="0"/>
    <n v="5000000"/>
    <n v="48070760"/>
    <s v="EPER"/>
    <n v="7414000005"/>
  </r>
  <r>
    <x v="219"/>
    <s v="BANCO SANTANDER MEXICO FIDEICOMISO F/2002961-1"/>
    <x v="86"/>
    <s v="NORMAL"/>
    <s v="MXN"/>
    <n v="127633"/>
    <n v="9.4935880000000008"/>
    <n v="1211695.117204"/>
    <n v="8.2405490399999994"/>
    <n v="159929.12158168"/>
    <n v="0"/>
    <n v="0"/>
    <n v="0"/>
    <n v="0"/>
    <n v="127633"/>
    <n v="1211695.117204"/>
    <s v="EPER"/>
    <n v="7414000005"/>
  </r>
  <r>
    <x v="219"/>
    <s v="BANCO SANTANDER MEXICO FIDEICOMISO F/2002961-1"/>
    <x v="72"/>
    <s v="NORMAL"/>
    <s v="MXN"/>
    <n v="636949"/>
    <n v="9.3381629999999998"/>
    <n v="5947933.5846870001"/>
    <n v="8.3209764517660592"/>
    <n v="647895.95471106004"/>
    <n v="0"/>
    <n v="0"/>
    <n v="0"/>
    <n v="0"/>
    <n v="636949"/>
    <n v="5947933.5846870001"/>
    <s v="EPER"/>
    <n v="7414000005"/>
  </r>
  <r>
    <x v="219"/>
    <s v="BANCO SANTANDER MEXICO FIDEICOMISO F/2002961-1"/>
    <x v="15"/>
    <s v="NORMAL"/>
    <s v="MXN"/>
    <n v="659930"/>
    <n v="9.190137"/>
    <n v="6064847.1104100002"/>
    <n v="8.2168159227684754"/>
    <n v="642323.7784974"/>
    <n v="0"/>
    <n v="0"/>
    <n v="0"/>
    <n v="0"/>
    <n v="659930"/>
    <n v="6064847.1104100002"/>
    <s v="EPER"/>
    <n v="7414000005"/>
  </r>
  <r>
    <x v="219"/>
    <s v="BANCO SANTANDER MEXICO FIDEICOMISO F/2002961-1"/>
    <x v="70"/>
    <s v="NORMAL"/>
    <s v="MXN"/>
    <n v="182530"/>
    <n v="9.0112480000000001"/>
    <n v="1644823.0974399999"/>
    <n v="8.9969798000000001"/>
    <n v="2604.374546"/>
    <n v="0"/>
    <n v="0"/>
    <n v="0"/>
    <n v="0"/>
    <n v="182530"/>
    <n v="1644823.0974399999"/>
    <s v="EPER"/>
    <n v="7414000005"/>
  </r>
  <r>
    <x v="219"/>
    <s v="BANCO SANTANDER MEXICO FIDEICOMISO F/2002961-1"/>
    <x v="16"/>
    <s v="NORMAL"/>
    <s v="MXN"/>
    <n v="347450"/>
    <n v="8.2580650000000002"/>
    <n v="2869264.6842499999"/>
    <n v="8.2501711100000001"/>
    <n v="2742.7320804999999"/>
    <n v="0"/>
    <n v="0"/>
    <n v="0"/>
    <n v="0"/>
    <n v="347450"/>
    <n v="2869264.6842499999"/>
    <s v="EPER"/>
    <n v="7414000005"/>
  </r>
  <r>
    <x v="219"/>
    <s v="BANCO SANTANDER MEXICO FIDEICOMISO F/2002961-1"/>
    <x v="20"/>
    <s v="NORMAL"/>
    <s v="MXN"/>
    <n v="19600"/>
    <n v="207.81"/>
    <n v="4073076"/>
    <n v="175.11741887755102"/>
    <n v="640774.59"/>
    <n v="0"/>
    <n v="0"/>
    <n v="0"/>
    <n v="0"/>
    <n v="19600"/>
    <n v="4073076"/>
    <s v="EPER"/>
    <n v="7414000005"/>
  </r>
  <r>
    <x v="219"/>
    <s v="BANCO SANTANDER MEXICO FIDEICOMISO F/2002961-1"/>
    <x v="21"/>
    <s v="NORMAL"/>
    <s v="MXN"/>
    <n v="1700"/>
    <n v="271.94"/>
    <n v="462298"/>
    <n v="287.68018823529411"/>
    <n v="-26758.32"/>
    <n v="0"/>
    <n v="0"/>
    <n v="0"/>
    <n v="0"/>
    <n v="1700"/>
    <n v="462298"/>
    <s v="EPER"/>
    <n v="7414000005"/>
  </r>
  <r>
    <x v="219"/>
    <s v="BANCO SANTANDER MEXICO FIDEICOMISO F/2002961-1"/>
    <x v="22"/>
    <s v="NORMAL"/>
    <s v="MXN"/>
    <n v="6500"/>
    <n v="193.15"/>
    <n v="1255475"/>
    <n v="164.00290153846154"/>
    <n v="189456.14"/>
    <n v="0"/>
    <n v="0"/>
    <n v="0"/>
    <n v="0"/>
    <n v="6500"/>
    <n v="1255475"/>
    <s v="EPER"/>
    <n v="7414000005"/>
  </r>
  <r>
    <x v="219"/>
    <s v="BANCO SANTANDER MEXICO FIDEICOMISO F/2002961-1"/>
    <x v="23"/>
    <s v="NORMAL"/>
    <s v="MXN"/>
    <n v="46900"/>
    <n v="27.12"/>
    <n v="1271928"/>
    <n v="22.59975053304904"/>
    <n v="211999.7"/>
    <n v="0"/>
    <n v="0"/>
    <n v="0"/>
    <n v="0"/>
    <n v="46900"/>
    <n v="1271928"/>
    <s v="EPER"/>
    <n v="7414000005"/>
  </r>
  <r>
    <x v="219"/>
    <s v="BANCO SANTANDER MEXICO FIDEICOMISO F/2002961-1"/>
    <x v="24"/>
    <s v="NORMAL"/>
    <s v="MXN"/>
    <n v="30800"/>
    <n v="176.44"/>
    <n v="5434352"/>
    <n v="151.15674545454544"/>
    <n v="778724.24"/>
    <n v="0"/>
    <n v="0"/>
    <n v="0"/>
    <n v="0"/>
    <n v="30800"/>
    <n v="5434352"/>
    <s v="EPER"/>
    <n v="7414000005"/>
  </r>
  <r>
    <x v="219"/>
    <s v="BANCO SANTANDER MEXICO FIDEICOMISO F/2002961-1"/>
    <x v="25"/>
    <s v="NORMAL"/>
    <s v="MXN"/>
    <n v="36700"/>
    <n v="104.12"/>
    <n v="3821204"/>
    <n v="84.554300272479566"/>
    <n v="718061.18"/>
    <n v="0"/>
    <n v="0"/>
    <n v="0"/>
    <n v="0"/>
    <n v="36700"/>
    <n v="3821204"/>
    <s v="EPER"/>
    <n v="7414000005"/>
  </r>
  <r>
    <x v="219"/>
    <s v="BANCO SANTANDER MEXICO FIDEICOMISO F/2002961-1"/>
    <x v="40"/>
    <s v="NORMAL"/>
    <s v="MXN"/>
    <n v="3300"/>
    <n v="314.42"/>
    <n v="1037586"/>
    <n v="300.61810303030302"/>
    <n v="45546.26"/>
    <n v="0"/>
    <n v="0"/>
    <n v="0"/>
    <n v="0"/>
    <n v="3300"/>
    <n v="1037586"/>
    <s v="EPER"/>
    <n v="7414000005"/>
  </r>
  <r>
    <x v="219"/>
    <s v="BANCO SANTANDER MEXICO FIDEICOMISO F/2002961-1"/>
    <x v="41"/>
    <s v="NORMAL"/>
    <s v="MXN"/>
    <n v="20190"/>
    <n v="43.85"/>
    <n v="885331.5"/>
    <n v="41.152947498761762"/>
    <n v="54453.49"/>
    <n v="0"/>
    <n v="0"/>
    <n v="0"/>
    <n v="0"/>
    <n v="20190"/>
    <n v="885331.5"/>
    <s v="EPER"/>
    <n v="7414000005"/>
  </r>
  <r>
    <x v="219"/>
    <s v="BANCO SANTANDER MEXICO FIDEICOMISO F/200296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19"/>
    <s v="BANCO SANTANDER MEXICO FIDEICOMISO F/2002961-1"/>
    <x v="44"/>
    <s v="NORMAL"/>
    <s v="MXN"/>
    <n v="24200"/>
    <n v="36.28"/>
    <n v="877976"/>
    <n v="39.377865289256199"/>
    <n v="-74968.34"/>
    <n v="0"/>
    <n v="0"/>
    <n v="0"/>
    <n v="0"/>
    <n v="24200"/>
    <n v="877976"/>
    <s v="EPER"/>
    <n v="7414000005"/>
  </r>
  <r>
    <x v="219"/>
    <s v="BANCO SANTANDER MEXICO FIDEICOMISO F/2002961-1"/>
    <x v="45"/>
    <s v="NORMAL"/>
    <s v="MXN"/>
    <n v="3300"/>
    <n v="136.35"/>
    <n v="449955"/>
    <n v="119.05624848484848"/>
    <n v="57069.38"/>
    <n v="0"/>
    <n v="0"/>
    <n v="0"/>
    <n v="0"/>
    <n v="3300"/>
    <n v="449955"/>
    <s v="EPER"/>
    <n v="7414000005"/>
  </r>
  <r>
    <x v="219"/>
    <s v="BANCO SANTANDER MEXICO FIDEICOMISO F/2002961-1"/>
    <x v="48"/>
    <s v="NORMAL"/>
    <s v="MXN"/>
    <n v="5600"/>
    <n v="156"/>
    <n v="873600"/>
    <n v="141.13810535714285"/>
    <n v="83226.61"/>
    <n v="0"/>
    <n v="0"/>
    <n v="0"/>
    <n v="0"/>
    <n v="5600"/>
    <n v="873600"/>
    <s v="EPER"/>
    <n v="7414000005"/>
  </r>
  <r>
    <x v="219"/>
    <s v="BANCO SANTANDER MEXICO FIDEICOMISO F/2002961-1"/>
    <x v="0"/>
    <s v="NORMAL"/>
    <s v="MXN"/>
    <n v="17319553"/>
    <n v="3.3967719999999999"/>
    <n v="58830572.682916"/>
    <n v="3.2498033165174642"/>
    <n v="2545431.9029160002"/>
    <n v="0"/>
    <n v="0"/>
    <n v="0"/>
    <n v="0"/>
    <n v="17319553"/>
    <n v="58830572.682916"/>
    <s v="EPER"/>
    <n v="7414000005"/>
  </r>
  <r>
    <x v="219"/>
    <s v="BANCO SANTANDER MEXICO FIDEICOMISO F/2002961-1"/>
    <x v="50"/>
    <s v="NORMAL"/>
    <s v="MXN"/>
    <n v="31700"/>
    <n v="31.41"/>
    <n v="995697"/>
    <n v="32.104099053627763"/>
    <n v="-22002.94"/>
    <n v="0"/>
    <n v="0"/>
    <n v="0"/>
    <n v="0"/>
    <n v="31700"/>
    <n v="995697"/>
    <s v="EPER"/>
    <n v="7414000005"/>
  </r>
  <r>
    <x v="219"/>
    <s v="BANCO SANTANDER MEXICO FIDEICOMISO F/2002961-1"/>
    <x v="60"/>
    <s v="NORMAL"/>
    <s v="MXN"/>
    <n v="23700"/>
    <n v="58.67"/>
    <n v="1390479"/>
    <n v="59.723732911392403"/>
    <n v="-24973.47"/>
    <n v="0"/>
    <n v="0"/>
    <n v="0"/>
    <n v="0"/>
    <n v="23700"/>
    <n v="1390479"/>
    <s v="EPER"/>
    <n v="7414000005"/>
  </r>
  <r>
    <x v="219"/>
    <s v="BANCO SANTANDER MEXICO FIDEICOMISO F/2002961-1"/>
    <x v="63"/>
    <s v="NORMAL"/>
    <s v="MXN"/>
    <n v="56300"/>
    <n v="65.260000000000005"/>
    <n v="3674138"/>
    <n v="69.916128419182954"/>
    <n v="-262140.03"/>
    <n v="0"/>
    <n v="0"/>
    <n v="0"/>
    <n v="0"/>
    <n v="56300"/>
    <n v="3674138"/>
    <s v="EPER"/>
    <n v="7414000005"/>
  </r>
  <r>
    <x v="220"/>
    <s v="FABRICA DE JABON LA CORONA SA DE CV (FONDO DE PENSIONES CD)"/>
    <x v="0"/>
    <s v="NORMAL"/>
    <s v="MXN"/>
    <n v="168003841"/>
    <n v="3.3967719999999999"/>
    <n v="570670743.00125206"/>
    <n v="2.4139206622067646"/>
    <n v="165122799.88125199"/>
    <n v="0"/>
    <n v="0"/>
    <n v="0"/>
    <n v="0"/>
    <n v="168003841"/>
    <n v="570670743.00125206"/>
    <s v="EPER"/>
    <n v="7414000005"/>
  </r>
  <r>
    <x v="221"/>
    <s v="INSTITUTO DE ESTUDIOS SUPERIORES DE TAMAULIPAS AC (CAJA DE AHORRO)"/>
    <x v="0"/>
    <s v="NORMAL"/>
    <s v="MXN"/>
    <n v="10852072"/>
    <n v="3.3967719999999999"/>
    <n v="36862014.311584003"/>
    <n v="2.9231567907031946"/>
    <n v="5139706.3515839996"/>
    <n v="0"/>
    <n v="0"/>
    <n v="0"/>
    <n v="0"/>
    <n v="10852072"/>
    <n v="36862014.311584003"/>
    <s v="EPER"/>
    <n v="7414000005"/>
  </r>
  <r>
    <x v="222"/>
    <s v="INST. DE ESTUDIOS SUPERIORES DE TAMAULIPAS AC (PENSIONES CONT.)"/>
    <x v="0"/>
    <s v="NORMAL"/>
    <s v="MXN"/>
    <n v="12701127"/>
    <n v="3.3967719999999999"/>
    <n v="43142832.562044002"/>
    <n v="2.9077468999404541"/>
    <n v="6211169.9020440001"/>
    <n v="0"/>
    <n v="0"/>
    <n v="0"/>
    <n v="0"/>
    <n v="12701127"/>
    <n v="43142832.562044002"/>
    <s v="EPER"/>
    <n v="7414000005"/>
  </r>
  <r>
    <x v="223"/>
    <s v="INSTITUTO DE ESTUDIOS SUPERIORES DE TAMAULIPAS AC (FONDO DE PENSIONES)"/>
    <x v="0"/>
    <s v="NORMAL"/>
    <s v="MXN"/>
    <n v="10920208"/>
    <n v="3.3967719999999999"/>
    <n v="37093456.768576004"/>
    <n v="2.317473671746912"/>
    <n v="11786162.238576001"/>
    <n v="0"/>
    <n v="0"/>
    <n v="0"/>
    <n v="0"/>
    <n v="10920208"/>
    <n v="37093456.768576004"/>
    <s v="EPER"/>
    <n v="7414000005"/>
  </r>
  <r>
    <x v="224"/>
    <s v="KIMBERLY CLARK DE MEXICO S.A.B. DE C.V. (PP)"/>
    <x v="4"/>
    <s v="NORMAL"/>
    <s v="MXN"/>
    <n v="52300"/>
    <n v="168.64"/>
    <n v="8819872"/>
    <n v="1.8209361376673041"/>
    <n v="17544509.039999999"/>
    <n v="-52300"/>
    <n v="-8859937.2400000002"/>
    <n v="0"/>
    <n v="0"/>
    <n v="0"/>
    <n v="-40065.24"/>
    <s v="EPER"/>
    <n v="7414000005"/>
  </r>
  <r>
    <x v="224"/>
    <s v="KIMBERLY CLARK DE MEXICO S.A.B. DE C.V. (PP)"/>
    <x v="5"/>
    <s v="NORMAL"/>
    <s v="MXN"/>
    <n v="900"/>
    <n v="1786.5"/>
    <n v="1607850"/>
    <n v="135.04"/>
    <n v="3337236"/>
    <n v="-900"/>
    <n v="-1623636"/>
    <n v="0"/>
    <n v="0"/>
    <n v="0"/>
    <n v="-15786"/>
    <s v="EPER"/>
    <n v="7414000005"/>
  </r>
  <r>
    <x v="224"/>
    <s v="KIMBERLY CLARK DE MEXICO S.A.B. DE C.V. (PP)"/>
    <x v="6"/>
    <s v="NORMAL"/>
    <s v="MXN"/>
    <n v="487300"/>
    <n v="12.48"/>
    <n v="6081504"/>
    <n v="1.5463212226554484"/>
    <n v="12916530.331800001"/>
    <n v="-487300"/>
    <n v="-6084240.7800000003"/>
    <n v="0"/>
    <n v="0"/>
    <n v="0"/>
    <n v="-2736.78"/>
    <s v="EPER"/>
    <n v="7414000005"/>
  </r>
  <r>
    <x v="224"/>
    <s v="KIMBERLY CLARK DE MEXICO S.A.B. DE C.V. (PP)"/>
    <x v="7"/>
    <s v="NORMAL"/>
    <s v="MXN"/>
    <n v="86900"/>
    <n v="73.37"/>
    <n v="6375853"/>
    <n v="14.482966052934408"/>
    <n v="8389805.3599999994"/>
    <n v="-44603"/>
    <n v="-3357713.01"/>
    <n v="0"/>
    <n v="0"/>
    <n v="42297"/>
    <n v="3018139.99"/>
    <s v="EPER"/>
    <n v="7414000005"/>
  </r>
  <r>
    <x v="224"/>
    <s v="KIMBERLY CLARK DE MEXICO S.A.B. DE C.V. (PP)"/>
    <x v="10"/>
    <s v="NORMAL"/>
    <s v="MXN"/>
    <n v="1801000"/>
    <n v="15.12"/>
    <n v="27231120"/>
    <n v="1.9793292781787895"/>
    <n v="50897467.969999999"/>
    <n v="-1801000"/>
    <n v="-27391444.550000001"/>
    <n v="0"/>
    <n v="0"/>
    <n v="0"/>
    <n v="-160324.54999999999"/>
    <s v="EPER"/>
    <n v="7414000005"/>
  </r>
  <r>
    <x v="224"/>
    <s v="KIMBERLY CLARK DE MEXICO S.A.B. DE C.V. (PP)"/>
    <x v="11"/>
    <s v="NORMAL"/>
    <s v="MXN"/>
    <n v="19500"/>
    <n v="525.09"/>
    <n v="10239255"/>
    <n v="25.061602051282051"/>
    <n v="20967211.239999998"/>
    <n v="-19500"/>
    <n v="-10350904.949999999"/>
    <n v="0"/>
    <n v="0"/>
    <n v="0"/>
    <n v="-111649.95"/>
    <s v="EPER"/>
    <n v="7414000005"/>
  </r>
  <r>
    <x v="224"/>
    <s v="KIMBERLY CLARK DE MEXICO S.A.B. DE C.V. (PP)"/>
    <x v="189"/>
    <s v="NORMAL"/>
    <s v="MXN"/>
    <n v="46686"/>
    <n v="99.999110999999999"/>
    <n v="4668558.496146"/>
    <n v="100.00133401876366"/>
    <n v="-103.78385400000001"/>
    <n v="0"/>
    <n v="0"/>
    <n v="0"/>
    <n v="0"/>
    <n v="46686"/>
    <n v="4668558.496146"/>
    <s v="EPER"/>
    <n v="7414000005"/>
  </r>
  <r>
    <x v="224"/>
    <s v="KIMBERLY CLARK DE MEXICO S.A.B. DE C.V. (PP)"/>
    <x v="12"/>
    <s v="NORMAL"/>
    <s v="MXN"/>
    <n v="90140"/>
    <n v="68.25"/>
    <n v="6152055"/>
    <n v="17.227680054359883"/>
    <n v="10751206.9199"/>
    <n v="-90140"/>
    <n v="-6188620.0300000003"/>
    <n v="0"/>
    <n v="0"/>
    <n v="0"/>
    <n v="-36565.03"/>
    <s v="EPER"/>
    <n v="7414000005"/>
  </r>
  <r>
    <x v="224"/>
    <s v="KIMBERLY CLARK DE MEXICO S.A.B. DE C.V. (PP)"/>
    <x v="190"/>
    <s v="NORMAL"/>
    <s v="MXN"/>
    <n v="11000"/>
    <n v="99.923287000000002"/>
    <n v="1099156.1569999999"/>
    <n v="99.961500909999998"/>
    <n v="-420.35300999999998"/>
    <n v="0"/>
    <n v="0"/>
    <n v="0"/>
    <n v="0"/>
    <n v="11000"/>
    <n v="1099156.1569999999"/>
    <s v="EPER"/>
    <n v="7414000005"/>
  </r>
  <r>
    <x v="224"/>
    <s v="KIMBERLY CLARK DE MEXICO S.A.B. DE C.V. (PP)"/>
    <x v="191"/>
    <s v="NORMAL"/>
    <s v="MXN"/>
    <n v="55340"/>
    <n v="99.908186999999998"/>
    <n v="5528919.0685799997"/>
    <n v="100.00094398248645"/>
    <n v="-5133.1714107999996"/>
    <n v="0"/>
    <n v="0"/>
    <n v="0"/>
    <n v="0"/>
    <n v="55340"/>
    <n v="5528919.0685799997"/>
    <s v="EPER"/>
    <n v="7414000005"/>
  </r>
  <r>
    <x v="224"/>
    <s v="KIMBERLY CLARK DE MEXICO S.A.B. DE C.V. (PP)"/>
    <x v="192"/>
    <s v="NORMAL"/>
    <s v="MXN"/>
    <n v="7837"/>
    <n v="99.882447999999997"/>
    <n v="782778.74497600005"/>
    <n v="100.08703075"/>
    <n v="-1603.3150117499999"/>
    <n v="0"/>
    <n v="0"/>
    <n v="0"/>
    <n v="0"/>
    <n v="7837"/>
    <n v="782778.74497600005"/>
    <s v="EPER"/>
    <n v="7414000005"/>
  </r>
  <r>
    <x v="224"/>
    <s v="KIMBERLY CLARK DE MEXICO S.A.B. DE C.V. (PP)"/>
    <x v="14"/>
    <s v="NORMAL"/>
    <s v="MXN"/>
    <n v="1403000"/>
    <n v="14.33"/>
    <n v="20104990"/>
    <n v="2.3293024875267285"/>
    <n v="43477991.390000001"/>
    <n v="-1403000"/>
    <n v="-20161564.879999999"/>
    <n v="0"/>
    <n v="0"/>
    <n v="0"/>
    <n v="-56574.879999999997"/>
    <s v="EPER"/>
    <n v="7414000005"/>
  </r>
  <r>
    <x v="224"/>
    <s v="KIMBERLY CLARK DE MEXICO S.A.B. DE C.V. (PP)"/>
    <x v="193"/>
    <s v="NORMAL"/>
    <s v="MXN"/>
    <n v="31819"/>
    <n v="99.999204000000006"/>
    <n v="3181874.6720759999"/>
    <n v="100.12310977946353"/>
    <n v="-3942.5579967499998"/>
    <n v="0"/>
    <n v="0"/>
    <n v="0"/>
    <n v="0"/>
    <n v="31819"/>
    <n v="3181874.6720759999"/>
    <s v="EPER"/>
    <n v="7414000005"/>
  </r>
  <r>
    <x v="224"/>
    <s v="KIMBERLY CLARK DE MEXICO S.A.B. DE C.V. (PP)"/>
    <x v="70"/>
    <s v="NORMAL"/>
    <s v="MXN"/>
    <n v="0"/>
    <n v="0"/>
    <n v="0"/>
    <n v="0"/>
    <n v="-96965.79"/>
    <n v="17000000"/>
    <n v="153288181.78999999"/>
    <n v="0"/>
    <n v="0"/>
    <n v="17000000"/>
    <n v="153288181.78999999"/>
    <s v="EPER"/>
    <n v="7414000005"/>
  </r>
  <r>
    <x v="224"/>
    <s v="KIMBERLY CLARK DE MEXICO S.A.B. DE C.V. (PP)"/>
    <x v="124"/>
    <s v="NORMAL"/>
    <s v="MXN"/>
    <n v="17068"/>
    <n v="72.270214999999993"/>
    <n v="1233508.0296199999"/>
    <n v="94.414780289999996"/>
    <n v="-377963.44036971999"/>
    <n v="0"/>
    <n v="0"/>
    <n v="0"/>
    <n v="0"/>
    <n v="17068"/>
    <n v="1233508.0296199999"/>
    <s v="EPER"/>
    <n v="7414000005"/>
  </r>
  <r>
    <x v="224"/>
    <s v="KIMBERLY CLARK DE MEXICO S.A.B. DE C.V. (PP)"/>
    <x v="17"/>
    <s v="NORMAL"/>
    <s v="MXN"/>
    <n v="11400"/>
    <n v="675.38"/>
    <n v="7699332"/>
    <n v="14.298342105263158"/>
    <n v="15235662.9"/>
    <n v="-11400"/>
    <n v="-7743678"/>
    <n v="0"/>
    <n v="0"/>
    <n v="0"/>
    <n v="-44346"/>
    <s v="EPER"/>
    <n v="7414000005"/>
  </r>
  <r>
    <x v="224"/>
    <s v="KIMBERLY CLARK DE MEXICO S.A.B. DE C.V. (PP)"/>
    <x v="18"/>
    <s v="NORMAL"/>
    <s v="MXN"/>
    <n v="2670"/>
    <n v="700.65"/>
    <n v="1870735.5"/>
    <n v="77.856460674157304"/>
    <n v="3533594.25"/>
    <n v="-2670"/>
    <n v="-1870735.5"/>
    <n v="0"/>
    <n v="0"/>
    <n v="0"/>
    <n v="0"/>
    <s v="EPER"/>
    <n v="7414000005"/>
  </r>
  <r>
    <x v="224"/>
    <s v="KIMBERLY CLARK DE MEXICO S.A.B. DE C.V. (PP)"/>
    <x v="19"/>
    <s v="NORMAL"/>
    <s v="MXN"/>
    <n v="4570"/>
    <n v="1151"/>
    <n v="5260070"/>
    <n v="75.800722100656458"/>
    <n v="10866549.300000001"/>
    <n v="-4570"/>
    <n v="-5298549.4000000004"/>
    <n v="0"/>
    <n v="0"/>
    <n v="0"/>
    <n v="-38479.4"/>
    <s v="EPER"/>
    <n v="7414000005"/>
  </r>
  <r>
    <x v="224"/>
    <s v="KIMBERLY CLARK DE MEXICO S.A.B. DE C.V. (PP)"/>
    <x v="20"/>
    <s v="NORMAL"/>
    <s v="MXN"/>
    <n v="155000"/>
    <n v="207.81"/>
    <n v="32210550"/>
    <n v="30.196602516129033"/>
    <n v="69101573.390000001"/>
    <n v="-155000"/>
    <n v="-32234583.870000001"/>
    <n v="0"/>
    <n v="0"/>
    <n v="0"/>
    <n v="-24033.87"/>
    <s v="EPER"/>
    <n v="7414000005"/>
  </r>
  <r>
    <x v="224"/>
    <s v="KIMBERLY CLARK DE MEXICO S.A.B. DE C.V. (PP)"/>
    <x v="194"/>
    <s v="NORMAL"/>
    <s v="MXN"/>
    <n v="72893"/>
    <n v="30.9"/>
    <n v="2252393.7000000002"/>
    <n v="1.0095289876942917"/>
    <n v="4431199.8035000004"/>
    <n v="-72893"/>
    <n v="-2254848.7400000002"/>
    <n v="0"/>
    <n v="0"/>
    <n v="0"/>
    <n v="-2455.04"/>
    <s v="EPER"/>
    <n v="7414000005"/>
  </r>
  <r>
    <x v="224"/>
    <s v="KIMBERLY CLARK DE MEXICO S.A.B. DE C.V. (PP)"/>
    <x v="195"/>
    <s v="NORMAL"/>
    <s v="MXN"/>
    <n v="26599"/>
    <n v="68.83"/>
    <n v="1830809.17"/>
    <n v="6.5107834993796763"/>
    <n v="3834729.8402999998"/>
    <n v="-26598"/>
    <n v="-1828025"/>
    <n v="0"/>
    <n v="0"/>
    <n v="1"/>
    <n v="2784.17"/>
    <s v="EPER"/>
    <n v="7414000005"/>
  </r>
  <r>
    <x v="224"/>
    <s v="KIMBERLY CLARK DE MEXICO S.A.B. DE C.V. (PP)"/>
    <x v="21"/>
    <s v="NORMAL"/>
    <s v="MXN"/>
    <n v="25500"/>
    <n v="271.94"/>
    <n v="6934470"/>
    <n v="25.367385490196078"/>
    <n v="13222071.67"/>
    <n v="-25500"/>
    <n v="-6935048.9100000001"/>
    <n v="0"/>
    <n v="0"/>
    <n v="0"/>
    <n v="-578.91"/>
    <s v="EPER"/>
    <n v="7414000005"/>
  </r>
  <r>
    <x v="224"/>
    <s v="KIMBERLY CLARK DE MEXICO S.A.B. DE C.V. (PP)"/>
    <x v="22"/>
    <s v="NORMAL"/>
    <s v="MXN"/>
    <n v="28100"/>
    <n v="193.15"/>
    <n v="5427515"/>
    <n v="38.678827758007117"/>
    <n v="11941905.060000001"/>
    <n v="-28100"/>
    <n v="-5382315.4100000001"/>
    <n v="0"/>
    <n v="0"/>
    <n v="0"/>
    <n v="45199.59"/>
    <s v="EPER"/>
    <n v="7414000005"/>
  </r>
  <r>
    <x v="224"/>
    <s v="KIMBERLY CLARK DE MEXICO S.A.B. DE C.V. (PP)"/>
    <x v="23"/>
    <s v="NORMAL"/>
    <s v="MXN"/>
    <n v="187500"/>
    <n v="27.12"/>
    <n v="5085000"/>
    <n v="6.719973173333333"/>
    <n v="11429994.970000001"/>
    <n v="-187500"/>
    <n v="-5128199.6900000004"/>
    <n v="0"/>
    <n v="0"/>
    <n v="0"/>
    <n v="-43199.69"/>
    <s v="EPER"/>
    <n v="7414000005"/>
  </r>
  <r>
    <x v="224"/>
    <s v="KIMBERLY CLARK DE MEXICO S.A.B. DE C.V. (PP)"/>
    <x v="24"/>
    <s v="NORMAL"/>
    <s v="MXN"/>
    <n v="208400"/>
    <n v="176.44"/>
    <n v="36770096"/>
    <n v="27.264970681381957"/>
    <n v="79222211.890000001"/>
    <n v="-208400"/>
    <n v="-36743086.380000003"/>
    <n v="0"/>
    <n v="0"/>
    <n v="0"/>
    <n v="27009.62"/>
    <s v="EPER"/>
    <n v="7414000005"/>
  </r>
  <r>
    <x v="224"/>
    <s v="KIMBERLY CLARK DE MEXICO S.A.B. DE C.V. (PP)"/>
    <x v="25"/>
    <s v="NORMAL"/>
    <s v="MXN"/>
    <n v="249100"/>
    <n v="104.12"/>
    <n v="25936292"/>
    <n v="3.2896445202729829"/>
    <n v="48362204.25"/>
    <n v="-207515"/>
    <n v="-21709658.379999999"/>
    <n v="0"/>
    <n v="0"/>
    <n v="41585"/>
    <n v="4226633.62"/>
    <s v="EPER"/>
    <n v="7414000005"/>
  </r>
  <r>
    <x v="224"/>
    <s v="KIMBERLY CLARK DE MEXICO S.A.B. DE C.V. (PP)"/>
    <x v="29"/>
    <s v="NORMAL"/>
    <s v="MXN"/>
    <n v="112820"/>
    <n v="92.954503000000003"/>
    <n v="10487127.02846"/>
    <n v="2.8213604009927319E-2"/>
    <n v="20971070.998115599"/>
    <n v="-112820"/>
    <n v="-10586971.74"/>
    <n v="0"/>
    <n v="0"/>
    <n v="0"/>
    <n v="-99844.711540000004"/>
    <s v="EPER"/>
    <n v="7414000005"/>
  </r>
  <r>
    <x v="224"/>
    <s v="KIMBERLY CLARK DE MEXICO S.A.B. DE C.V. (PP)"/>
    <x v="31"/>
    <s v="NORMAL"/>
    <s v="MXN"/>
    <n v="0"/>
    <n v="0"/>
    <n v="0"/>
    <n v="0"/>
    <n v="-187237.269"/>
    <n v="1700000"/>
    <n v="163460947.00999999"/>
    <n v="0"/>
    <n v="0"/>
    <n v="1700000"/>
    <n v="163460947.00999999"/>
    <s v="EPER"/>
    <n v="7414000005"/>
  </r>
  <r>
    <x v="224"/>
    <s v="KIMBERLY CLARK DE MEXICO S.A.B. DE C.V. (PP)"/>
    <x v="32"/>
    <s v="NORMAL"/>
    <s v="MXN"/>
    <n v="40310"/>
    <n v="94.864168000000006"/>
    <n v="3823974.6120799999"/>
    <n v="1.27952157"/>
    <n v="7596371.7096733004"/>
    <n v="-40310"/>
    <n v="-3866855.95"/>
    <n v="0"/>
    <n v="0"/>
    <n v="0"/>
    <n v="-42881.337919999998"/>
    <s v="EPER"/>
    <n v="7414000005"/>
  </r>
  <r>
    <x v="224"/>
    <s v="KIMBERLY CLARK DE MEXICO S.A.B. DE C.V. (PP)"/>
    <x v="33"/>
    <s v="NORMAL"/>
    <s v="MXN"/>
    <n v="100000"/>
    <n v="94.870157000000006"/>
    <n v="9487015.6999999993"/>
    <n v="3.5547954499999999"/>
    <n v="18618551.855"/>
    <n v="-100000"/>
    <n v="-9795321.1300000008"/>
    <n v="0"/>
    <n v="0"/>
    <n v="0"/>
    <n v="-308305.43"/>
    <s v="EPER"/>
    <n v="7414000005"/>
  </r>
  <r>
    <x v="224"/>
    <s v="KIMBERLY CLARK DE MEXICO S.A.B. DE C.V. (PP)"/>
    <x v="34"/>
    <s v="NORMAL"/>
    <s v="MXN"/>
    <n v="26947"/>
    <n v="89.489464999999996"/>
    <n v="2411472.613355"/>
    <n v="5750.4020487202688"/>
    <n v="-412520.89351009001"/>
    <n v="1700000"/>
    <n v="157269859.53999999"/>
    <n v="0"/>
    <n v="0"/>
    <n v="1726947"/>
    <n v="159681332.153355"/>
    <s v="EPER"/>
    <n v="7414000005"/>
  </r>
  <r>
    <x v="224"/>
    <s v="KIMBERLY CLARK DE MEXICO S.A.B. DE C.V. (PP)"/>
    <x v="35"/>
    <s v="NORMAL"/>
    <s v="MXN"/>
    <n v="67810"/>
    <n v="86.197128000000006"/>
    <n v="5845027.2496800004"/>
    <n v="3.7868230498982451"/>
    <n v="11433270.028346401"/>
    <n v="-67810"/>
    <n v="-6038229.0300000003"/>
    <n v="0"/>
    <n v="0"/>
    <n v="0"/>
    <n v="-193201.78031999999"/>
    <s v="EPER"/>
    <n v="7414000005"/>
  </r>
  <r>
    <x v="224"/>
    <s v="KIMBERLY CLARK DE MEXICO S.A.B. DE C.V. (PP)"/>
    <x v="68"/>
    <s v="NORMAL"/>
    <s v="MXN"/>
    <n v="100000"/>
    <n v="89.643172000000007"/>
    <n v="8964317.1999999993"/>
    <n v="1629.3763166599999"/>
    <n v="-1579922.0660000001"/>
    <n v="1700000"/>
    <n v="158510544.72999999"/>
    <n v="0"/>
    <n v="0"/>
    <n v="1800000"/>
    <n v="167474861.93000001"/>
    <s v="EPER"/>
    <n v="7414000005"/>
  </r>
  <r>
    <x v="224"/>
    <s v="KIMBERLY CLARK DE MEXICO S.A.B. DE C.V. (PP)"/>
    <x v="37"/>
    <s v="NORMAL"/>
    <s v="MXN"/>
    <n v="52046"/>
    <n v="81.738860000000003"/>
    <n v="4254180.70756"/>
    <n v="3.6395684427425739"/>
    <n v="8318936.4359490201"/>
    <n v="-52046"/>
    <n v="-4410656"/>
    <n v="0"/>
    <n v="0"/>
    <n v="0"/>
    <n v="-156475.29243999999"/>
    <s v="EPER"/>
    <n v="7414000005"/>
  </r>
  <r>
    <x v="224"/>
    <s v="KIMBERLY CLARK DE MEXICO S.A.B. DE C.V. (PP)"/>
    <x v="38"/>
    <s v="NORMAL"/>
    <s v="MXN"/>
    <n v="21353"/>
    <n v="83.200761"/>
    <n v="1776585.8496330001"/>
    <n v="6.0626566799999999"/>
    <n v="3423715.7911779601"/>
    <n v="-21353"/>
    <n v="-1839649.01"/>
    <n v="0"/>
    <n v="0"/>
    <n v="0"/>
    <n v="-63063.160366999997"/>
    <s v="EPER"/>
    <n v="7414000005"/>
  </r>
  <r>
    <x v="224"/>
    <s v="KIMBERLY CLARK DE MEXICO S.A.B. DE C.V. (PP)"/>
    <x v="39"/>
    <s v="NORMAL"/>
    <s v="MXN"/>
    <n v="20529"/>
    <n v="82.159907000000004"/>
    <n v="1686660.730803"/>
    <n v="6.2834505600000004"/>
    <n v="3244328.5050597601"/>
    <n v="-20529"/>
    <n v="-1710713.91"/>
    <n v="0"/>
    <n v="0"/>
    <n v="0"/>
    <n v="-24053.179197000001"/>
    <s v="EPER"/>
    <n v="7414000005"/>
  </r>
  <r>
    <x v="224"/>
    <s v="KIMBERLY CLARK DE MEXICO S.A.B. DE C.V. (PP)"/>
    <x v="40"/>
    <s v="NORMAL"/>
    <s v="MXN"/>
    <n v="23400"/>
    <n v="314.42"/>
    <n v="7357428"/>
    <n v="47.647804273504271"/>
    <n v="15829814.619999999"/>
    <n v="-23400"/>
    <n v="-7440317.6200000001"/>
    <n v="0"/>
    <n v="0"/>
    <n v="0"/>
    <n v="-82889.62"/>
    <s v="EPER"/>
    <n v="7414000005"/>
  </r>
  <r>
    <x v="224"/>
    <s v="KIMBERLY CLARK DE MEXICO S.A.B. DE C.V. (PP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4"/>
    <s v="KIMBERLY CLARK DE MEXICO S.A.B. DE C.V. (PP)"/>
    <x v="42"/>
    <s v="NORMAL"/>
    <s v="MXN"/>
    <n v="4450"/>
    <n v="8532.5"/>
    <n v="37969625"/>
    <n v="749.31582022471912"/>
    <n v="79273705.400000006"/>
    <n v="-4450"/>
    <n v="-38402610"/>
    <n v="0"/>
    <n v="0"/>
    <n v="0"/>
    <n v="-432985"/>
    <s v="EPER"/>
    <n v="7414000005"/>
  </r>
  <r>
    <x v="224"/>
    <s v="KIMBERLY CLARK DE MEXICO S.A.B. DE C.V. (PP)"/>
    <x v="196"/>
    <s v="NORMAL"/>
    <s v="MXN"/>
    <n v="114687"/>
    <n v="12.29"/>
    <n v="1409503.23"/>
    <n v="18.874792522256229"/>
    <n v="-755190.1"/>
    <n v="0"/>
    <n v="0"/>
    <n v="0"/>
    <n v="0"/>
    <n v="114687"/>
    <n v="1409503.23"/>
    <s v="EPER"/>
    <n v="7414000005"/>
  </r>
  <r>
    <x v="224"/>
    <s v="KIMBERLY CLARK DE MEXICO S.A.B. DE C.V. (PP)"/>
    <x v="197"/>
    <s v="NORMAL"/>
    <s v="MXN"/>
    <n v="268750"/>
    <n v="92.873472000000007"/>
    <n v="24959745.600000001"/>
    <n v="100"/>
    <n v="-1915254.4"/>
    <n v="0"/>
    <n v="0"/>
    <n v="0"/>
    <n v="0"/>
    <n v="268750"/>
    <n v="24959745.600000001"/>
    <s v="EPER"/>
    <n v="7414000005"/>
  </r>
  <r>
    <x v="224"/>
    <s v="KIMBERLY CLARK DE MEXICO S.A.B. DE C.V. (PP)"/>
    <x v="198"/>
    <s v="NORMAL"/>
    <s v="MXN"/>
    <n v="178200"/>
    <n v="38.369999999999997"/>
    <n v="6837534"/>
    <n v="3.9521592592592594"/>
    <n v="14379342.779999999"/>
    <n v="-178200"/>
    <n v="-6831524.3899999997"/>
    <n v="0"/>
    <n v="0"/>
    <n v="0"/>
    <n v="6009.61"/>
    <s v="EPER"/>
    <n v="7414000005"/>
  </r>
  <r>
    <x v="224"/>
    <s v="KIMBERLY CLARK DE MEXICO S.A.B. DE C.V. (PP)"/>
    <x v="199"/>
    <s v="NORMAL"/>
    <s v="MXN"/>
    <n v="15425"/>
    <n v="99.998991000000004"/>
    <n v="1542484.4361749999"/>
    <n v="100"/>
    <n v="-15.563825"/>
    <n v="0"/>
    <n v="0"/>
    <n v="0"/>
    <n v="0"/>
    <n v="15425"/>
    <n v="1542484.4361749999"/>
    <s v="EPER"/>
    <n v="7414000005"/>
  </r>
  <r>
    <x v="224"/>
    <s v="KIMBERLY CLARK DE MEXICO S.A.B. DE C.V. (PP)"/>
    <x v="43"/>
    <s v="NORMAL"/>
    <s v="MXN"/>
    <n v="35990"/>
    <n v="158.63"/>
    <n v="5709093.7000000002"/>
    <n v="23.735027507641011"/>
    <n v="12272411.039999999"/>
    <n v="-35990"/>
    <n v="-5774051.8499999996"/>
    <n v="0"/>
    <n v="0"/>
    <n v="0"/>
    <n v="-64958.15"/>
    <s v="EPER"/>
    <n v="7414000005"/>
  </r>
  <r>
    <x v="224"/>
    <s v="KIMBERLY CLARK DE MEXICO S.A.B. DE C.V. (PP)"/>
    <x v="48"/>
    <s v="NORMAL"/>
    <s v="MXN"/>
    <n v="32400"/>
    <n v="156"/>
    <n v="5054400"/>
    <n v="17.806790432098765"/>
    <n v="10685740.01"/>
    <n v="-32400"/>
    <n v="-5059432.07"/>
    <n v="0"/>
    <n v="0"/>
    <n v="0"/>
    <n v="-5032.07"/>
    <s v="EPER"/>
    <n v="7414000005"/>
  </r>
  <r>
    <x v="224"/>
    <s v="KIMBERLY CLARK DE MEXICO S.A.B. DE C.V. (PP)"/>
    <x v="49"/>
    <s v="NORMAL"/>
    <s v="MXN"/>
    <n v="17410"/>
    <n v="682.55"/>
    <n v="11883195.5"/>
    <n v="22.827044801838024"/>
    <n v="23368972.149999999"/>
    <n v="-17410"/>
    <n v="-11883195.5"/>
    <n v="0"/>
    <n v="0"/>
    <n v="0"/>
    <n v="0"/>
    <s v="EPER"/>
    <n v="7414000005"/>
  </r>
  <r>
    <x v="224"/>
    <s v="KIMBERLY CLARK DE MEXICO S.A.B. DE C.V. (PP)"/>
    <x v="185"/>
    <s v="NORMAL"/>
    <s v="MXN"/>
    <n v="758611"/>
    <n v="48.559412999999999"/>
    <n v="36837704.855342999"/>
    <n v="5.3953107719239508"/>
    <n v="77768351.810686007"/>
    <n v="-758611"/>
    <n v="-36837704.859999999"/>
    <n v="0"/>
    <n v="0"/>
    <n v="0"/>
    <n v="-4.6569999999999997E-3"/>
    <s v="EPER"/>
    <n v="7414000005"/>
  </r>
  <r>
    <x v="224"/>
    <s v="KIMBERLY CLARK DE MEXICO S.A.B. DE C.V. (PP)"/>
    <x v="186"/>
    <s v="NORMAL"/>
    <s v="MXN"/>
    <n v="11339728"/>
    <n v="3.5281129999999998"/>
    <n v="40007841.773263998"/>
    <n v="0.48951742846036517"/>
    <n v="85566678.036528006"/>
    <n v="-11339728"/>
    <n v="-40007841.770000003"/>
    <n v="0"/>
    <n v="0"/>
    <n v="0"/>
    <n v="3.264E-3"/>
    <s v="EPER"/>
    <n v="7414000005"/>
  </r>
  <r>
    <x v="224"/>
    <s v="KIMBERLY CLARK DE MEXICO S.A.B. DE C.V. (PP)"/>
    <x v="0"/>
    <s v="NORMAL"/>
    <s v="MXN"/>
    <n v="43105121"/>
    <n v="3.3967719999999999"/>
    <n v="146418268.06941199"/>
    <n v="3.2661376435992375"/>
    <n v="5631009.7394120004"/>
    <n v="0"/>
    <n v="0"/>
    <n v="0"/>
    <n v="0"/>
    <n v="43105121"/>
    <n v="146418268.06941199"/>
    <s v="EPER"/>
    <n v="7414000005"/>
  </r>
  <r>
    <x v="224"/>
    <s v="KIMBERLY CLARK DE MEXICO S.A.B. DE C.V. (PP)"/>
    <x v="200"/>
    <s v="NORMAL"/>
    <s v="MXN"/>
    <n v="60600"/>
    <n v="42.3"/>
    <n v="2563380"/>
    <n v="8.8620757425742571"/>
    <n v="5663801.79"/>
    <n v="-60600"/>
    <n v="-2568177.39"/>
    <n v="0"/>
    <n v="0"/>
    <n v="0"/>
    <n v="-4797.3900000000003"/>
    <s v="EPER"/>
    <n v="7414000005"/>
  </r>
  <r>
    <x v="224"/>
    <s v="KIMBERLY CLARK DE MEXICO S.A.B. DE C.V. (PP)"/>
    <x v="51"/>
    <s v="NORMAL"/>
    <s v="MXN"/>
    <n v="1586"/>
    <n v="775.69178699999998"/>
    <n v="1230247.1741820001"/>
    <n v="9.7748114000000008"/>
    <n v="2475997.1992444"/>
    <n v="-1586"/>
    <n v="-1252598.3799999999"/>
    <n v="0"/>
    <n v="0"/>
    <n v="0"/>
    <n v="-22351.205817999999"/>
    <s v="EPER"/>
    <n v="7414000005"/>
  </r>
  <r>
    <x v="224"/>
    <s v="KIMBERLY CLARK DE MEXICO S.A.B. DE C.V. (PP)"/>
    <x v="52"/>
    <s v="NORMAL"/>
    <s v="MXN"/>
    <n v="1315"/>
    <n v="747.17843200000004"/>
    <n v="982539.63807999995"/>
    <n v="17.675020991346006"/>
    <n v="1988321.9287636201"/>
    <n v="-1315"/>
    <n v="-995203.6"/>
    <n v="0"/>
    <n v="0"/>
    <n v="0"/>
    <n v="-12663.96192"/>
    <s v="EPER"/>
    <n v="7414000005"/>
  </r>
  <r>
    <x v="224"/>
    <s v="KIMBERLY CLARK DE MEXICO S.A.B. DE C.V. (PP)"/>
    <x v="53"/>
    <s v="NORMAL"/>
    <s v="MXN"/>
    <n v="1432"/>
    <n v="765.92388300000005"/>
    <n v="1096803.000456"/>
    <n v="5.9096264666689944"/>
    <n v="2202068.5860122698"/>
    <n v="-1432"/>
    <n v="-1115649.07"/>
    <n v="0"/>
    <n v="0"/>
    <n v="0"/>
    <n v="-18846.069544000002"/>
    <s v="EPER"/>
    <n v="7414000005"/>
  </r>
  <r>
    <x v="224"/>
    <s v="KIMBERLY CLARK DE MEXICO S.A.B. DE C.V. (PP)"/>
    <x v="55"/>
    <s v="NORMAL"/>
    <s v="MXN"/>
    <n v="8909"/>
    <n v="772.926965"/>
    <n v="6886006.331185"/>
    <n v="31.998697119999999"/>
    <n v="13486936.269727919"/>
    <n v="-8909"/>
    <n v="-6992006.6399999997"/>
    <n v="0"/>
    <n v="0"/>
    <n v="0"/>
    <n v="-106000.308815"/>
    <s v="EPER"/>
    <n v="7414000005"/>
  </r>
  <r>
    <x v="224"/>
    <s v="KIMBERLY CLARK DE MEXICO S.A.B. DE C.V. (PP)"/>
    <x v="56"/>
    <s v="NORMAL"/>
    <s v="MXN"/>
    <n v="11288"/>
    <n v="721.59464000000003"/>
    <n v="8145360.2963199997"/>
    <n v="25.376388410000001"/>
    <n v="16004271.920267919"/>
    <n v="-11288"/>
    <n v="-8264364.0300000003"/>
    <n v="0"/>
    <n v="0"/>
    <n v="0"/>
    <n v="-119003.73368"/>
    <s v="EPER"/>
    <n v="7414000005"/>
  </r>
  <r>
    <x v="224"/>
    <s v="KIMBERLY CLARK DE MEXICO S.A.B. DE C.V. (PP)"/>
    <x v="57"/>
    <s v="NORMAL"/>
    <s v="MXN"/>
    <n v="794"/>
    <n v="635.96311900000001"/>
    <n v="504954.71648599999"/>
    <n v="38.160738819999999"/>
    <n v="979609.80634891998"/>
    <n v="-794"/>
    <n v="-511907.61"/>
    <n v="0"/>
    <n v="0"/>
    <n v="0"/>
    <n v="-6952.8935140000003"/>
    <s v="EPER"/>
    <n v="7414000005"/>
  </r>
  <r>
    <x v="224"/>
    <s v="KIMBERLY CLARK DE MEXICO S.A.B. DE C.V. (PP)"/>
    <x v="58"/>
    <s v="NORMAL"/>
    <s v="MXN"/>
    <n v="7490"/>
    <n v="709.36974099999998"/>
    <n v="5313179.3600899996"/>
    <n v="58.809078419999999"/>
    <n v="10185878.7228142"/>
    <n v="-7490"/>
    <n v="-5397831.6100000003"/>
    <n v="0"/>
    <n v="0"/>
    <n v="0"/>
    <n v="-84652.249909999999"/>
    <s v="EPER"/>
    <n v="7414000005"/>
  </r>
  <r>
    <x v="224"/>
    <s v="KIMBERLY CLARK DE MEXICO S.A.B. DE C.V. (PP)"/>
    <x v="59"/>
    <s v="NORMAL"/>
    <s v="MXN"/>
    <n v="13932"/>
    <n v="694.41118700000004"/>
    <n v="9674536.6572840009"/>
    <n v="33.238675279839221"/>
    <n v="18885992.09056928"/>
    <n v="-13932"/>
    <n v="-9868932.3100000005"/>
    <n v="0"/>
    <n v="0"/>
    <n v="0"/>
    <n v="-194395.65271600001"/>
    <s v="EPER"/>
    <n v="7414000005"/>
  </r>
  <r>
    <x v="224"/>
    <s v="KIMBERLY CLARK DE MEXICO S.A.B. DE C.V. (PP)"/>
    <x v="60"/>
    <s v="NORMAL"/>
    <s v="MXN"/>
    <n v="110900"/>
    <n v="58.67"/>
    <n v="6506503"/>
    <n v="20.873057530207394"/>
    <n v="7795309.6599000003"/>
    <n v="-61422"/>
    <n v="-3695591.61"/>
    <n v="0"/>
    <n v="0"/>
    <n v="49478"/>
    <n v="2810911.39"/>
    <s v="EPER"/>
    <n v="7414000005"/>
  </r>
  <r>
    <x v="224"/>
    <s v="KIMBERLY CLARK DE MEXICO S.A.B. DE C.V. (PP)"/>
    <x v="61"/>
    <s v="NORMAL"/>
    <s v="MXN"/>
    <n v="10130"/>
    <n v="1090"/>
    <n v="11041700"/>
    <n v="9.3600236920039492"/>
    <n v="21988582.960000001"/>
    <n v="-10130"/>
    <n v="-11083334.300000001"/>
    <n v="0"/>
    <n v="0"/>
    <n v="0"/>
    <n v="-41634.300000000003"/>
    <s v="EPER"/>
    <n v="7414000005"/>
  </r>
  <r>
    <x v="224"/>
    <s v="KIMBERLY CLARK DE MEXICO S.A.B. DE C.V. (PP)"/>
    <x v="63"/>
    <s v="NORMAL"/>
    <s v="MXN"/>
    <n v="350800"/>
    <n v="65.260000000000005"/>
    <n v="22893208"/>
    <n v="3.3676709521094641"/>
    <n v="44605037.030000001"/>
    <n v="-350800"/>
    <n v="-22871663.629999999"/>
    <n v="0"/>
    <n v="0"/>
    <n v="0"/>
    <n v="21544.37"/>
    <s v="EPER"/>
    <n v="7414000005"/>
  </r>
  <r>
    <x v="225"/>
    <s v="KIMBERLY CLARK DE MEXICO S.A.B. DE C.V. (PA)"/>
    <x v="4"/>
    <s v="NORMAL"/>
    <s v="MXN"/>
    <n v="1500"/>
    <n v="168.64"/>
    <n v="252960"/>
    <n v="0.58241333333333334"/>
    <n v="506793.62"/>
    <n v="-1500"/>
    <n v="-254108.89"/>
    <n v="0"/>
    <n v="0"/>
    <n v="0"/>
    <n v="-1148.8900000000001"/>
    <s v="EPER"/>
    <n v="7414000005"/>
  </r>
  <r>
    <x v="225"/>
    <s v="KIMBERLY CLARK DE MEXICO S.A.B. DE C.V. (PA)"/>
    <x v="5"/>
    <s v="NORMAL"/>
    <s v="MXN"/>
    <n v="130"/>
    <n v="1786.5"/>
    <n v="232245"/>
    <n v="171.91230769230771"/>
    <n v="486838.6"/>
    <n v="-130"/>
    <n v="-234525.2"/>
    <n v="0"/>
    <n v="0"/>
    <n v="0"/>
    <n v="-2280.1999999999998"/>
    <s v="EPER"/>
    <n v="7414000005"/>
  </r>
  <r>
    <x v="225"/>
    <s v="KIMBERLY CLARK DE MEXICO S.A.B. DE C.V. (PA)"/>
    <x v="6"/>
    <s v="NORMAL"/>
    <s v="MXN"/>
    <n v="13800"/>
    <n v="12.48"/>
    <n v="172224"/>
    <n v="1.7722623188405797"/>
    <n v="368905.22"/>
    <n v="-13800"/>
    <n v="-172301.4"/>
    <n v="0"/>
    <n v="0"/>
    <n v="0"/>
    <n v="-77.400000000000006"/>
    <s v="EPER"/>
    <n v="7414000005"/>
  </r>
  <r>
    <x v="225"/>
    <s v="KIMBERLY CLARK DE MEXICO S.A.B. DE C.V. (PA)"/>
    <x v="7"/>
    <s v="NORMAL"/>
    <s v="MXN"/>
    <n v="2500"/>
    <n v="73.37"/>
    <n v="183425"/>
    <n v="14.841652"/>
    <n v="240454.58"/>
    <n v="-1283"/>
    <n v="-96584.42"/>
    <n v="0"/>
    <n v="0"/>
    <n v="1217"/>
    <n v="86840.58"/>
    <s v="EPER"/>
    <n v="7414000005"/>
  </r>
  <r>
    <x v="225"/>
    <s v="KIMBERLY CLARK DE MEXICO S.A.B. DE C.V. (PA)"/>
    <x v="10"/>
    <s v="NORMAL"/>
    <s v="MXN"/>
    <n v="51000"/>
    <n v="15.12"/>
    <n v="771120"/>
    <n v="1.3990358803921568"/>
    <n v="1470889.1701"/>
    <n v="-51000"/>
    <n v="-775660.09"/>
    <n v="0"/>
    <n v="0"/>
    <n v="0"/>
    <n v="-4540.09"/>
    <s v="EPER"/>
    <n v="7414000005"/>
  </r>
  <r>
    <x v="225"/>
    <s v="KIMBERLY CLARK DE MEXICO S.A.B. DE C.V. (PA)"/>
    <x v="11"/>
    <s v="NORMAL"/>
    <s v="MXN"/>
    <n v="550"/>
    <n v="525.09"/>
    <n v="288799.5"/>
    <n v="25.065745454545453"/>
    <n v="591385.16"/>
    <n v="-550"/>
    <n v="-291950.15999999997"/>
    <n v="0"/>
    <n v="0"/>
    <n v="0"/>
    <n v="-3150.66"/>
    <s v="EPER"/>
    <n v="7414000005"/>
  </r>
  <r>
    <x v="225"/>
    <s v="KIMBERLY CLARK DE MEXICO S.A.B. DE C.V. (PA)"/>
    <x v="12"/>
    <s v="NORMAL"/>
    <s v="MXN"/>
    <n v="2550"/>
    <n v="68.25"/>
    <n v="174037.5"/>
    <n v="11.36632156862745"/>
    <n v="319090.88"/>
    <n v="-2550"/>
    <n v="-175072.13"/>
    <n v="0"/>
    <n v="0"/>
    <n v="0"/>
    <n v="-1034.6300000000001"/>
    <s v="EPER"/>
    <n v="7414000005"/>
  </r>
  <r>
    <x v="225"/>
    <s v="KIMBERLY CLARK DE MEXICO S.A.B. DE C.V. (PA)"/>
    <x v="14"/>
    <s v="NORMAL"/>
    <s v="MXN"/>
    <n v="40000"/>
    <n v="14.33"/>
    <n v="573200"/>
    <n v="3.0078532500000001"/>
    <n v="1266714.1299999999"/>
    <n v="-40000"/>
    <n v="-574812.94999999995"/>
    <n v="0"/>
    <n v="0"/>
    <n v="0"/>
    <n v="-1612.95"/>
    <s v="EPER"/>
    <n v="7414000005"/>
  </r>
  <r>
    <x v="225"/>
    <s v="KIMBERLY CLARK DE MEXICO S.A.B. DE C.V. (PA)"/>
    <x v="70"/>
    <s v="NORMAL"/>
    <s v="MXN"/>
    <n v="0"/>
    <n v="0"/>
    <n v="0"/>
    <n v="0"/>
    <n v="-1425.9675"/>
    <n v="250000"/>
    <n v="2254237.9700000002"/>
    <n v="0"/>
    <n v="0"/>
    <n v="250000"/>
    <n v="2254237.9700000002"/>
    <s v="EPER"/>
    <n v="7414000005"/>
  </r>
  <r>
    <x v="225"/>
    <s v="KIMBERLY CLARK DE MEXICO S.A.B. DE C.V. (PA)"/>
    <x v="124"/>
    <s v="NORMAL"/>
    <s v="MXN"/>
    <n v="1704"/>
    <n v="72.270214999999993"/>
    <n v="123148.44636"/>
    <n v="94.414778179999999"/>
    <n v="-37734.335658720003"/>
    <n v="0"/>
    <n v="0"/>
    <n v="0"/>
    <n v="0"/>
    <n v="1704"/>
    <n v="123148.44636"/>
    <s v="EPER"/>
    <n v="7414000005"/>
  </r>
  <r>
    <x v="225"/>
    <s v="KIMBERLY CLARK DE MEXICO S.A.B. DE C.V. (PA)"/>
    <x v="17"/>
    <s v="NORMAL"/>
    <s v="MXN"/>
    <n v="300"/>
    <n v="675.38"/>
    <n v="202614"/>
    <n v="104.20343333333334"/>
    <n v="373966.97"/>
    <n v="-300"/>
    <n v="-203781"/>
    <n v="0"/>
    <n v="0"/>
    <n v="0"/>
    <n v="-1167"/>
    <s v="EPER"/>
    <n v="7414000005"/>
  </r>
  <r>
    <x v="225"/>
    <s v="KIMBERLY CLARK DE MEXICO S.A.B. DE C.V. (PA)"/>
    <x v="18"/>
    <s v="NORMAL"/>
    <s v="MXN"/>
    <n v="68"/>
    <n v="700.65"/>
    <n v="47644.2"/>
    <n v="146.34470588235294"/>
    <n v="85336.960000000006"/>
    <n v="-68"/>
    <n v="-47644.2"/>
    <n v="0"/>
    <n v="0"/>
    <n v="0"/>
    <n v="0"/>
    <s v="EPER"/>
    <n v="7414000005"/>
  </r>
  <r>
    <x v="225"/>
    <s v="KIMBERLY CLARK DE MEXICO S.A.B. DE C.V. (PA)"/>
    <x v="19"/>
    <s v="NORMAL"/>
    <s v="MXN"/>
    <n v="120"/>
    <n v="1151"/>
    <n v="138120"/>
    <n v="138.97916666666666"/>
    <n v="292917.5"/>
    <n v="-120"/>
    <n v="-139130.4"/>
    <n v="0"/>
    <n v="0"/>
    <n v="0"/>
    <n v="-1010.4"/>
    <s v="EPER"/>
    <n v="7414000005"/>
  </r>
  <r>
    <x v="225"/>
    <s v="KIMBERLY CLARK DE MEXICO S.A.B. DE C.V. (PA)"/>
    <x v="20"/>
    <s v="NORMAL"/>
    <s v="MXN"/>
    <n v="4400"/>
    <n v="207.81"/>
    <n v="914364"/>
    <n v="37.16596818181818"/>
    <n v="1992258.26"/>
    <n v="-4400"/>
    <n v="-915045.88"/>
    <n v="0"/>
    <n v="0"/>
    <n v="0"/>
    <n v="-681.88"/>
    <s v="EPER"/>
    <n v="7414000005"/>
  </r>
  <r>
    <x v="225"/>
    <s v="KIMBERLY CLARK DE MEXICO S.A.B. DE C.V. (PA)"/>
    <x v="194"/>
    <s v="NORMAL"/>
    <s v="MXN"/>
    <n v="1885"/>
    <n v="30.9"/>
    <n v="58246.5"/>
    <n v="0.77649469496021217"/>
    <n v="115029.3075"/>
    <n v="-1885"/>
    <n v="-58310.29"/>
    <n v="0"/>
    <n v="0"/>
    <n v="0"/>
    <n v="-63.79"/>
    <s v="EPER"/>
    <n v="7414000005"/>
  </r>
  <r>
    <x v="225"/>
    <s v="KIMBERLY CLARK DE MEXICO S.A.B. DE C.V. (PA)"/>
    <x v="195"/>
    <s v="NORMAL"/>
    <s v="MXN"/>
    <n v="819"/>
    <n v="68.83"/>
    <n v="56371.77"/>
    <n v="6.2951002442002446"/>
    <n v="117761.5671"/>
    <n v="-817"/>
    <n v="-56150.61"/>
    <n v="0"/>
    <n v="0"/>
    <n v="2"/>
    <n v="221.16"/>
    <s v="EPER"/>
    <n v="7414000005"/>
  </r>
  <r>
    <x v="225"/>
    <s v="KIMBERLY CLARK DE MEXICO S.A.B. DE C.V. (PA)"/>
    <x v="21"/>
    <s v="NORMAL"/>
    <s v="MXN"/>
    <n v="700"/>
    <n v="271.94"/>
    <n v="190358"/>
    <n v="29.676600000000001"/>
    <n v="359942.38"/>
    <n v="-700"/>
    <n v="-190380.51"/>
    <n v="0"/>
    <n v="0"/>
    <n v="0"/>
    <n v="-22.51"/>
    <s v="EPER"/>
    <n v="7414000005"/>
  </r>
  <r>
    <x v="225"/>
    <s v="KIMBERLY CLARK DE MEXICO S.A.B. DE C.V. (PA)"/>
    <x v="22"/>
    <s v="NORMAL"/>
    <s v="MXN"/>
    <n v="800"/>
    <n v="193.15"/>
    <n v="154520"/>
    <n v="44.399075000000003"/>
    <n v="344559.26"/>
    <n v="-800"/>
    <n v="-153232.23000000001"/>
    <n v="0"/>
    <n v="0"/>
    <n v="0"/>
    <n v="1287.77"/>
    <s v="EPER"/>
    <n v="7414000005"/>
  </r>
  <r>
    <x v="225"/>
    <s v="KIMBERLY CLARK DE MEXICO S.A.B. DE C.V. (PA)"/>
    <x v="23"/>
    <s v="NORMAL"/>
    <s v="MXN"/>
    <n v="5300"/>
    <n v="27.12"/>
    <n v="143736"/>
    <n v="7.5047886792452827"/>
    <n v="327247.38"/>
    <n v="-5300"/>
    <n v="-144956.94"/>
    <n v="0"/>
    <n v="0"/>
    <n v="0"/>
    <n v="-1220.94"/>
    <s v="EPER"/>
    <n v="7414000005"/>
  </r>
  <r>
    <x v="225"/>
    <s v="KIMBERLY CLARK DE MEXICO S.A.B. DE C.V. (PA)"/>
    <x v="201"/>
    <s v="NORMAL"/>
    <s v="MXN"/>
    <n v="1000"/>
    <n v="50.75"/>
    <n v="50750"/>
    <n v="14.14744"/>
    <n v="115647.44"/>
    <n v="-1000"/>
    <n v="-50587.67"/>
    <n v="0"/>
    <n v="0"/>
    <n v="0"/>
    <n v="162.33000000000001"/>
    <s v="EPER"/>
    <n v="7414000005"/>
  </r>
  <r>
    <x v="225"/>
    <s v="KIMBERLY CLARK DE MEXICO S.A.B. DE C.V. (PA)"/>
    <x v="24"/>
    <s v="NORMAL"/>
    <s v="MXN"/>
    <n v="5900"/>
    <n v="176.44"/>
    <n v="1040996"/>
    <n v="34.882522033898304"/>
    <n v="2287798.88"/>
    <n v="-5900"/>
    <n v="-1040230.97"/>
    <n v="0"/>
    <n v="0"/>
    <n v="0"/>
    <n v="765.03"/>
    <s v="EPER"/>
    <n v="7414000005"/>
  </r>
  <r>
    <x v="225"/>
    <s v="KIMBERLY CLARK DE MEXICO S.A.B. DE C.V. (PA)"/>
    <x v="25"/>
    <s v="NORMAL"/>
    <s v="MXN"/>
    <n v="7100"/>
    <n v="104.12"/>
    <n v="739252"/>
    <n v="4.7644338028169013"/>
    <n v="1388949.28"/>
    <n v="-5915"/>
    <n v="-618810.71"/>
    <n v="0"/>
    <n v="0"/>
    <n v="1185"/>
    <n v="120441.29"/>
    <s v="EPER"/>
    <n v="7414000005"/>
  </r>
  <r>
    <x v="225"/>
    <s v="KIMBERLY CLARK DE MEXICO S.A.B. DE C.V. (PA)"/>
    <x v="31"/>
    <s v="NORMAL"/>
    <s v="MXN"/>
    <n v="0"/>
    <n v="0"/>
    <n v="0"/>
    <n v="0"/>
    <n v="-2753.4892500000001"/>
    <n v="25000"/>
    <n v="2403837.46"/>
    <n v="0"/>
    <n v="0"/>
    <n v="25000"/>
    <n v="2403837.46"/>
    <s v="EPER"/>
    <n v="7414000005"/>
  </r>
  <r>
    <x v="225"/>
    <s v="KIMBERLY CLARK DE MEXICO S.A.B. DE C.V. (PA)"/>
    <x v="33"/>
    <s v="NORMAL"/>
    <s v="MXN"/>
    <n v="2190"/>
    <n v="94.870157000000006"/>
    <n v="207765.64382999999"/>
    <n v="1.9151646909589042"/>
    <n v="411337.07698680001"/>
    <n v="-2190"/>
    <n v="-214517.54"/>
    <n v="0"/>
    <n v="0"/>
    <n v="0"/>
    <n v="-6751.89617"/>
    <s v="EPER"/>
    <n v="7414000005"/>
  </r>
  <r>
    <x v="225"/>
    <s v="KIMBERLY CLARK DE MEXICO S.A.B. DE C.V. (PA)"/>
    <x v="34"/>
    <s v="NORMAL"/>
    <s v="MXN"/>
    <n v="843"/>
    <n v="89.489464999999996"/>
    <n v="75439.618994999997"/>
    <n v="2752.6651877773429"/>
    <n v="-7820.5093012999996"/>
    <n v="25000"/>
    <n v="2312792.0499999998"/>
    <n v="0"/>
    <n v="0"/>
    <n v="25843"/>
    <n v="2388231.668995"/>
    <s v="EPER"/>
    <n v="7414000005"/>
  </r>
  <r>
    <x v="225"/>
    <s v="KIMBERLY CLARK DE MEXICO S.A.B. DE C.V. (PA)"/>
    <x v="35"/>
    <s v="NORMAL"/>
    <s v="MXN"/>
    <n v="450"/>
    <n v="86.197128000000006"/>
    <n v="38788.707600000002"/>
    <n v="2.3665609500000002"/>
    <n v="76512.462772500003"/>
    <n v="-450"/>
    <n v="-40070.83"/>
    <n v="0"/>
    <n v="0"/>
    <n v="0"/>
    <n v="-1282.1224"/>
    <s v="EPER"/>
    <n v="7414000005"/>
  </r>
  <r>
    <x v="225"/>
    <s v="KIMBERLY CLARK DE MEXICO S.A.B. DE C.V. (PA)"/>
    <x v="36"/>
    <s v="NORMAL"/>
    <s v="MXN"/>
    <n v="1660"/>
    <n v="86.469353999999996"/>
    <n v="143539.12763999999"/>
    <n v="89.3357706610241"/>
    <n v="-4758.2516573000003"/>
    <n v="0"/>
    <n v="0"/>
    <n v="0"/>
    <n v="0"/>
    <n v="1660"/>
    <n v="143539.12763999999"/>
    <s v="EPER"/>
    <n v="7414000005"/>
  </r>
  <r>
    <x v="225"/>
    <s v="KIMBERLY CLARK DE MEXICO S.A.B. DE C.V. (PA)"/>
    <x v="68"/>
    <s v="NORMAL"/>
    <s v="MXN"/>
    <n v="0"/>
    <n v="0"/>
    <n v="0"/>
    <n v="0"/>
    <n v="-12631.7335"/>
    <n v="25000"/>
    <n v="2331037.42"/>
    <n v="0"/>
    <n v="0"/>
    <n v="25000"/>
    <n v="2331037.42"/>
    <s v="EPER"/>
    <n v="7414000005"/>
  </r>
  <r>
    <x v="225"/>
    <s v="KIMBERLY CLARK DE MEXICO S.A.B. DE C.V. (PA)"/>
    <x v="37"/>
    <s v="NORMAL"/>
    <s v="MXN"/>
    <n v="398"/>
    <n v="81.738860000000003"/>
    <n v="32532.066279999999"/>
    <n v="5.5232792699999997"/>
    <n v="62865.867410539999"/>
    <n v="-398"/>
    <n v="-33728.65"/>
    <n v="0"/>
    <n v="0"/>
    <n v="0"/>
    <n v="-1196.5837200000001"/>
    <s v="EPER"/>
    <n v="7414000005"/>
  </r>
  <r>
    <x v="225"/>
    <s v="KIMBERLY CLARK DE MEXICO S.A.B. DE C.V. (PA)"/>
    <x v="38"/>
    <s v="NORMAL"/>
    <s v="MXN"/>
    <n v="912"/>
    <n v="83.200761"/>
    <n v="75879.094031999994"/>
    <n v="6.0626566799999999"/>
    <n v="146229.04517184"/>
    <n v="-912"/>
    <n v="-78572.56"/>
    <n v="0"/>
    <n v="0"/>
    <n v="0"/>
    <n v="-2693.465968"/>
    <s v="EPER"/>
    <n v="7414000005"/>
  </r>
  <r>
    <x v="225"/>
    <s v="KIMBERLY CLARK DE MEXICO S.A.B. DE C.V. (PA)"/>
    <x v="39"/>
    <s v="NORMAL"/>
    <s v="MXN"/>
    <n v="584"/>
    <n v="82.159907000000004"/>
    <n v="47981.385688000002"/>
    <n v="6.2834505600000004"/>
    <n v="92293.236248960005"/>
    <n v="-584"/>
    <n v="-48665.64"/>
    <n v="0"/>
    <n v="0"/>
    <n v="0"/>
    <n v="-684.25431200000003"/>
    <s v="EPER"/>
    <n v="7414000005"/>
  </r>
  <r>
    <x v="225"/>
    <s v="KIMBERLY CLARK DE MEXICO S.A.B. DE C.V. (PA)"/>
    <x v="40"/>
    <s v="NORMAL"/>
    <s v="MXN"/>
    <n v="700"/>
    <n v="314.42"/>
    <n v="220094"/>
    <n v="55.431371428571431"/>
    <n v="478989.96"/>
    <n v="-700"/>
    <n v="-222571.02"/>
    <n v="0"/>
    <n v="0"/>
    <n v="0"/>
    <n v="-2477.02"/>
    <s v="EPER"/>
    <n v="7414000005"/>
  </r>
  <r>
    <x v="225"/>
    <s v="KIMBERLY CLARK DE MEXICO S.A.B. DE C.V. (PA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5"/>
    <s v="KIMBERLY CLARK DE MEXICO S.A.B. DE C.V. (PA)"/>
    <x v="42"/>
    <s v="NORMAL"/>
    <s v="MXN"/>
    <n v="106"/>
    <n v="8532.5"/>
    <n v="904445"/>
    <n v="3270.1701886792453"/>
    <n v="2155528.04"/>
    <n v="-106"/>
    <n v="-914758.8"/>
    <n v="0"/>
    <n v="0"/>
    <n v="0"/>
    <n v="-10313.799999999999"/>
    <s v="EPER"/>
    <n v="7414000005"/>
  </r>
  <r>
    <x v="225"/>
    <s v="KIMBERLY CLARK DE MEXICO S.A.B. DE C.V. (PA)"/>
    <x v="198"/>
    <s v="NORMAL"/>
    <s v="MXN"/>
    <n v="5000"/>
    <n v="38.369999999999997"/>
    <n v="191850"/>
    <n v="4.390682"/>
    <n v="405653.41"/>
    <n v="-5000"/>
    <n v="-191681.14"/>
    <n v="0"/>
    <n v="0"/>
    <n v="0"/>
    <n v="168.86"/>
    <s v="EPER"/>
    <n v="7414000005"/>
  </r>
  <r>
    <x v="225"/>
    <s v="KIMBERLY CLARK DE MEXICO S.A.B. DE C.V. (PA)"/>
    <x v="43"/>
    <s v="NORMAL"/>
    <s v="MXN"/>
    <n v="1020"/>
    <n v="158.63"/>
    <n v="161802.6"/>
    <n v="25.272147058823528"/>
    <n v="349382.79"/>
    <n v="-1020"/>
    <n v="-163642.03"/>
    <n v="0"/>
    <n v="0"/>
    <n v="0"/>
    <n v="-1839.43"/>
    <s v="EPER"/>
    <n v="7414000005"/>
  </r>
  <r>
    <x v="225"/>
    <s v="KIMBERLY CLARK DE MEXICO S.A.B. DE C.V. (PA)"/>
    <x v="48"/>
    <s v="NORMAL"/>
    <s v="MXN"/>
    <n v="900"/>
    <n v="156"/>
    <n v="140400"/>
    <n v="20.82157777777778"/>
    <n v="299539.42"/>
    <n v="-900"/>
    <n v="-140539.99"/>
    <n v="0"/>
    <n v="0"/>
    <n v="0"/>
    <n v="-139.99"/>
    <s v="EPER"/>
    <n v="7414000005"/>
  </r>
  <r>
    <x v="225"/>
    <s v="KIMBERLY CLARK DE MEXICO S.A.B. DE C.V. (PA)"/>
    <x v="49"/>
    <s v="NORMAL"/>
    <s v="MXN"/>
    <n v="558"/>
    <n v="682.55"/>
    <n v="380862.9"/>
    <n v="90.805448028673837"/>
    <n v="711056.36"/>
    <n v="-558"/>
    <n v="-380862.9"/>
    <n v="0"/>
    <n v="0"/>
    <n v="0"/>
    <n v="0"/>
    <s v="EPER"/>
    <n v="7414000005"/>
  </r>
  <r>
    <x v="225"/>
    <s v="KIMBERLY CLARK DE MEXICO S.A.B. DE C.V. (PA)"/>
    <x v="185"/>
    <s v="NORMAL"/>
    <s v="MXN"/>
    <n v="52794"/>
    <n v="48.559412999999999"/>
    <n v="2563645.6499219998"/>
    <n v="17.163661969163162"/>
    <n v="6033429.6698439997"/>
    <n v="-52794"/>
    <n v="-2563645.65"/>
    <n v="0"/>
    <n v="0"/>
    <n v="0"/>
    <n v="-7.7999999999999999E-5"/>
    <s v="EPER"/>
    <n v="7414000005"/>
  </r>
  <r>
    <x v="225"/>
    <s v="KIMBERLY CLARK DE MEXICO S.A.B. DE C.V. (PA)"/>
    <x v="186"/>
    <s v="NORMAL"/>
    <s v="MXN"/>
    <n v="785136"/>
    <n v="3.5281129999999998"/>
    <n v="2770048.5283679999"/>
    <n v="1.374879995312914"/>
    <n v="6619564.8367360001"/>
    <n v="-785136"/>
    <n v="-2770048.53"/>
    <n v="0"/>
    <n v="0"/>
    <n v="0"/>
    <n v="-1.632E-3"/>
    <s v="EPER"/>
    <n v="7414000005"/>
  </r>
  <r>
    <x v="225"/>
    <s v="KIMBERLY CLARK DE MEXICO S.A.B. DE C.V. (PA)"/>
    <x v="0"/>
    <s v="NORMAL"/>
    <s v="MXN"/>
    <n v="889529"/>
    <n v="3.3967719999999999"/>
    <n v="3021527.2003879999"/>
    <n v="3.1867618930917372"/>
    <n v="186810.080388"/>
    <n v="0"/>
    <n v="0"/>
    <n v="0"/>
    <n v="0"/>
    <n v="889529"/>
    <n v="3021527.2003879999"/>
    <s v="EPER"/>
    <n v="7414000005"/>
  </r>
  <r>
    <x v="225"/>
    <s v="KIMBERLY CLARK DE MEXICO S.A.B. DE C.V. (PA)"/>
    <x v="200"/>
    <s v="NORMAL"/>
    <s v="MXN"/>
    <n v="1700"/>
    <n v="42.3"/>
    <n v="71910"/>
    <n v="10.395082352941177"/>
    <n v="161491.64000000001"/>
    <n v="-1700"/>
    <n v="-72044.45"/>
    <n v="0"/>
    <n v="0"/>
    <n v="0"/>
    <n v="-134.44999999999999"/>
    <s v="EPER"/>
    <n v="7414000005"/>
  </r>
  <r>
    <x v="225"/>
    <s v="KIMBERLY CLARK DE MEXICO S.A.B. DE C.V. (PA)"/>
    <x v="55"/>
    <s v="NORMAL"/>
    <s v="MXN"/>
    <n v="290"/>
    <n v="772.926965"/>
    <n v="224148.81985"/>
    <n v="31.998697119999999"/>
    <n v="439018.01753519999"/>
    <n v="-290"/>
    <n v="-227599.27"/>
    <n v="0"/>
    <n v="0"/>
    <n v="0"/>
    <n v="-3450.4501500000001"/>
    <s v="EPER"/>
    <n v="7414000005"/>
  </r>
  <r>
    <x v="225"/>
    <s v="KIMBERLY CLARK DE MEXICO S.A.B. DE C.V. (PA)"/>
    <x v="56"/>
    <s v="NORMAL"/>
    <s v="MXN"/>
    <n v="233"/>
    <n v="721.59464000000003"/>
    <n v="168131.55111999999"/>
    <n v="35.7096655"/>
    <n v="327942.75017850002"/>
    <n v="-233"/>
    <n v="-170587.95"/>
    <n v="0"/>
    <n v="0"/>
    <n v="0"/>
    <n v="-2456.3988800000002"/>
    <s v="EPER"/>
    <n v="7414000005"/>
  </r>
  <r>
    <x v="225"/>
    <s v="KIMBERLY CLARK DE MEXICO S.A.B. DE C.V. (PA)"/>
    <x v="57"/>
    <s v="NORMAL"/>
    <s v="MXN"/>
    <n v="45"/>
    <n v="635.96311900000001"/>
    <n v="28618.340355"/>
    <n v="38.160738819999999"/>
    <n v="55519.447463099998"/>
    <n v="-45"/>
    <n v="-29012.400000000001"/>
    <n v="0"/>
    <n v="0"/>
    <n v="0"/>
    <n v="-394.05964499999999"/>
    <s v="EPER"/>
    <n v="7414000005"/>
  </r>
  <r>
    <x v="225"/>
    <s v="KIMBERLY CLARK DE MEXICO S.A.B. DE C.V. (PA)"/>
    <x v="58"/>
    <s v="NORMAL"/>
    <s v="MXN"/>
    <n v="232"/>
    <n v="709.36974099999998"/>
    <n v="164573.779912"/>
    <n v="58.809078419999999"/>
    <n v="315503.85363055998"/>
    <n v="-232"/>
    <n v="-167195.85"/>
    <n v="0"/>
    <n v="0"/>
    <n v="0"/>
    <n v="-2622.0700879999999"/>
    <s v="EPER"/>
    <n v="7414000005"/>
  </r>
  <r>
    <x v="225"/>
    <s v="KIMBERLY CLARK DE MEXICO S.A.B. DE C.V. (PA)"/>
    <x v="59"/>
    <s v="NORMAL"/>
    <s v="MXN"/>
    <n v="405"/>
    <n v="694.41118700000004"/>
    <n v="281236.53073499998"/>
    <n v="57.274829279999999"/>
    <n v="539276.75561160001"/>
    <n v="-405"/>
    <n v="-286887.57"/>
    <n v="0"/>
    <n v="0"/>
    <n v="0"/>
    <n v="-5651.0392650000003"/>
    <s v="EPER"/>
    <n v="7414000005"/>
  </r>
  <r>
    <x v="225"/>
    <s v="KIMBERLY CLARK DE MEXICO S.A.B. DE C.V. (PA)"/>
    <x v="60"/>
    <s v="NORMAL"/>
    <s v="MXN"/>
    <n v="3100"/>
    <n v="58.67"/>
    <n v="181877"/>
    <n v="9.4700709677419361"/>
    <n v="253256.17"/>
    <n v="-1717"/>
    <n v="-103307.1"/>
    <n v="0"/>
    <n v="0"/>
    <n v="1383"/>
    <n v="78569.899999999994"/>
    <s v="EPER"/>
    <n v="7414000005"/>
  </r>
  <r>
    <x v="225"/>
    <s v="KIMBERLY CLARK DE MEXICO S.A.B. DE C.V. (PA)"/>
    <x v="61"/>
    <s v="NORMAL"/>
    <s v="MXN"/>
    <n v="260"/>
    <n v="1090"/>
    <n v="283400"/>
    <n v="6.2521538461538464"/>
    <n v="568425.56000000006"/>
    <n v="-260"/>
    <n v="-284468.59999999998"/>
    <n v="0"/>
    <n v="0"/>
    <n v="0"/>
    <n v="-1068.5999999999999"/>
    <s v="EPER"/>
    <n v="7414000005"/>
  </r>
  <r>
    <x v="225"/>
    <s v="KIMBERLY CLARK DE MEXICO S.A.B. DE C.V. (PA)"/>
    <x v="63"/>
    <s v="NORMAL"/>
    <s v="MXN"/>
    <n v="9900"/>
    <n v="65.260000000000005"/>
    <n v="646074"/>
    <n v="4.5554383838383838"/>
    <n v="1247049.1599999999"/>
    <n v="-9900"/>
    <n v="-645466.18000000005"/>
    <n v="0"/>
    <n v="0"/>
    <n v="0"/>
    <n v="607.82000000000005"/>
    <s v="EPER"/>
    <n v="7414000005"/>
  </r>
  <r>
    <x v="226"/>
    <s v="OPERADORA WINGS SA DE CV FONDO DE PENSIONES"/>
    <x v="0"/>
    <s v="NORMAL"/>
    <s v="MXN"/>
    <n v="3886"/>
    <n v="3.3967719999999999"/>
    <n v="13199.855992000001"/>
    <n v="3.3601878538342769"/>
    <n v="142.16599199999999"/>
    <n v="0"/>
    <n v="0"/>
    <n v="0"/>
    <n v="0"/>
    <n v="3886"/>
    <n v="13199.855992000001"/>
    <s v="EPER"/>
    <n v="7414000005"/>
  </r>
  <r>
    <x v="226"/>
    <s v="OPERADORA WINGS SA DE CV FONDO DE PENSIONES"/>
    <x v="64"/>
    <s v="NORMAL"/>
    <s v="MXN"/>
    <n v="8000411"/>
    <n v="2.7668819999999998"/>
    <n v="22136193.188501999"/>
    <n v="1.8965170014390511"/>
    <n v="6963277.7085020002"/>
    <n v="0"/>
    <n v="0"/>
    <n v="0"/>
    <n v="0"/>
    <n v="8000411"/>
    <n v="22136193.188501999"/>
    <s v="EPER"/>
    <n v="7414000005"/>
  </r>
  <r>
    <x v="227"/>
    <s v="BANCO S3 MEXICO SA INSTITUCION DE BANCA MULTIPLE (COMPA?IA)"/>
    <x v="75"/>
    <s v="NORMAL"/>
    <s v="MXN"/>
    <n v="27192"/>
    <n v="3.612981"/>
    <n v="98244.179352000006"/>
    <n v="3.6023749632244777"/>
    <n v="288.39935200000002"/>
    <n v="0"/>
    <n v="0"/>
    <n v="0"/>
    <n v="0"/>
    <n v="27192"/>
    <n v="98244.179352000006"/>
    <s v="EPER"/>
    <n v="7414000005"/>
  </r>
  <r>
    <x v="227"/>
    <s v="BANCO S3 MEXICO SA INSTITUCION DE BANCA MULTIPLE (COMPA?IA)"/>
    <x v="76"/>
    <s v="NORMAL"/>
    <s v="MXN"/>
    <n v="16219"/>
    <n v="137.04691399999999"/>
    <n v="2222763.8981659999"/>
    <n v="119.13608483876935"/>
    <n v="290495.738166"/>
    <n v="0"/>
    <n v="0"/>
    <n v="0"/>
    <n v="0"/>
    <n v="16219"/>
    <n v="2222763.8981659999"/>
    <s v="EPER"/>
    <n v="7414000005"/>
  </r>
  <r>
    <x v="227"/>
    <s v="BANCO S3 MEXICO SA INSTITUCION DE BANCA MULTIPLE (COMPA?IA)"/>
    <x v="77"/>
    <s v="NORMAL"/>
    <s v="MXN"/>
    <n v="2466349"/>
    <n v="3.6364960000000002"/>
    <n v="8968868.2731040008"/>
    <n v="3.048425775468111"/>
    <n v="1450386.4102040001"/>
    <n v="0"/>
    <n v="0"/>
    <n v="0"/>
    <n v="0"/>
    <n v="2466349"/>
    <n v="8968868.2731040008"/>
    <s v="EPER"/>
    <n v="7414000005"/>
  </r>
  <r>
    <x v="227"/>
    <s v="BANCO S3 MEXICO SA INSTITUCION DE BANCA MULTIPLE (COMPA?IA)"/>
    <x v="78"/>
    <s v="NORMAL"/>
    <s v="MXN"/>
    <n v="1218943"/>
    <n v="2.1315040000000001"/>
    <n v="2598181.8802720001"/>
    <n v="1.8717125371736003"/>
    <n v="316670.98507200001"/>
    <n v="0"/>
    <n v="0"/>
    <n v="0"/>
    <n v="0"/>
    <n v="1218943"/>
    <n v="2598181.8802720001"/>
    <s v="EPER"/>
    <n v="7414000005"/>
  </r>
  <r>
    <x v="227"/>
    <s v="BANCO S3 MEXICO SA INSTITUCION DE BANCA MULTIPLE (COMPA?IA)"/>
    <x v="79"/>
    <s v="NORMAL"/>
    <s v="MXN"/>
    <n v="144619"/>
    <n v="2.8149250000000001"/>
    <n v="407091.63857499999"/>
    <n v="2.6742709464178289"/>
    <n v="20341.248575000001"/>
    <n v="0"/>
    <n v="0"/>
    <n v="0"/>
    <n v="0"/>
    <n v="144619"/>
    <n v="407091.63857499999"/>
    <s v="EPER"/>
    <n v="7414000005"/>
  </r>
  <r>
    <x v="228"/>
    <s v="BANCO S3 CACEIS MEXICO SA INSTITUCION DE BANCA MULTIPLE"/>
    <x v="75"/>
    <s v="NORMAL"/>
    <s v="MXN"/>
    <n v="20826"/>
    <n v="3.612981"/>
    <n v="75243.942305999997"/>
    <n v="3.5988355901277251"/>
    <n v="294.59230600000001"/>
    <n v="0"/>
    <n v="0"/>
    <n v="0"/>
    <n v="0"/>
    <n v="20826"/>
    <n v="75243.942305999997"/>
    <s v="EPER"/>
    <n v="7414000005"/>
  </r>
  <r>
    <x v="228"/>
    <s v="BANCO S3 CACEIS MEXICO SA INSTITUCION DE BANCA MULTIPLE"/>
    <x v="76"/>
    <s v="NORMAL"/>
    <s v="MXN"/>
    <n v="7122"/>
    <n v="137.04691399999999"/>
    <n v="976048.12150799995"/>
    <n v="123.00674108396518"/>
    <n v="99994.111508000002"/>
    <n v="0"/>
    <n v="0"/>
    <n v="0"/>
    <n v="0"/>
    <n v="7122"/>
    <n v="976048.12150799995"/>
    <s v="EPER"/>
    <n v="7414000005"/>
  </r>
  <r>
    <x v="228"/>
    <s v="BANCO S3 CACEIS MEXICO SA INSTITUCION DE BANCA MULTIPLE"/>
    <x v="77"/>
    <s v="NORMAL"/>
    <s v="MXN"/>
    <n v="1027729"/>
    <n v="3.6364960000000002"/>
    <n v="3737332.3975840001"/>
    <n v="3.2098839694121701"/>
    <n v="438441.55558400002"/>
    <n v="0"/>
    <n v="0"/>
    <n v="0"/>
    <n v="0"/>
    <n v="1027729"/>
    <n v="3737332.3975840001"/>
    <s v="EPER"/>
    <n v="7414000005"/>
  </r>
  <r>
    <x v="228"/>
    <s v="BANCO S3 CACEIS MEXICO SA INSTITUCION DE BANCA MULTIPLE"/>
    <x v="78"/>
    <s v="NORMAL"/>
    <s v="MXN"/>
    <n v="565222"/>
    <n v="2.1315040000000001"/>
    <n v="1204772.953888"/>
    <n v="1.8977766435135222"/>
    <n v="132107.843888"/>
    <n v="0"/>
    <n v="0"/>
    <n v="0"/>
    <n v="0"/>
    <n v="565222"/>
    <n v="1204772.953888"/>
    <s v="EPER"/>
    <n v="7414000005"/>
  </r>
  <r>
    <x v="228"/>
    <s v="BANCO S3 CACEIS MEXICO SA INSTITUCION DE BANCA MULTIPLE"/>
    <x v="79"/>
    <s v="NORMAL"/>
    <s v="MXN"/>
    <n v="38749"/>
    <n v="2.8149250000000001"/>
    <n v="109075.528825"/>
    <n v="2.7363645513432604"/>
    <n v="3044.138825"/>
    <n v="0"/>
    <n v="0"/>
    <n v="0"/>
    <n v="0"/>
    <n v="38749"/>
    <n v="109075.528825"/>
    <s v="EPER"/>
    <n v="7414000005"/>
  </r>
  <r>
    <x v="229"/>
    <s v="ELEVADORES OTIS S DE RL DE CV FONDO DE AHORRO SINDICALIZADOS"/>
    <x v="154"/>
    <s v="NORMAL"/>
    <s v="MXN"/>
    <n v="3072865"/>
    <n v="3.4985729999999999"/>
    <n v="10750642.521645"/>
    <n v="3.4482346735050191"/>
    <n v="154682.88164499999"/>
    <n v="0"/>
    <n v="0"/>
    <n v="0"/>
    <n v="0"/>
    <n v="3072865"/>
    <n v="10750642.521645"/>
    <s v="EPER"/>
    <n v="7414000005"/>
  </r>
  <r>
    <x v="230"/>
    <s v="ELEVADORES OTIS S DE RL DE CV FONDO DE AHORRO EMPLEADOS"/>
    <x v="154"/>
    <s v="NORMAL"/>
    <s v="MXN"/>
    <n v="1131329"/>
    <n v="3.4985729999999999"/>
    <n v="3958037.0935169999"/>
    <n v="3.4663218303428978"/>
    <n v="36486.683516999998"/>
    <n v="0"/>
    <n v="0"/>
    <n v="0"/>
    <n v="0"/>
    <n v="1131329"/>
    <n v="3958037.0935169999"/>
    <s v="EPER"/>
    <n v="7414000005"/>
  </r>
  <r>
    <x v="231"/>
    <s v="ISSSTE RESERVA FINANCIERA Y ACTUARIAL"/>
    <x v="20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203"/>
    <s v="NORMAL"/>
    <s v="MXN"/>
    <n v="0"/>
    <n v="90.260495000000006"/>
    <n v="0"/>
    <n v="0"/>
    <n v="25508518.491950002"/>
    <n v="0"/>
    <n v="0"/>
    <n v="0"/>
    <n v="0"/>
    <n v="0"/>
    <n v="0"/>
    <s v="EPER"/>
    <n v="7414000005"/>
  </r>
  <r>
    <x v="231"/>
    <s v="ISSSTE RESERVA FINANCIERA Y ACTUARIAL"/>
    <x v="66"/>
    <s v="NORMAL"/>
    <s v="MXN"/>
    <n v="0"/>
    <n v="0"/>
    <n v="-0.02"/>
    <n v="0"/>
    <n v="0"/>
    <n v="0"/>
    <n v="0"/>
    <n v="0"/>
    <n v="0"/>
    <n v="0"/>
    <n v="-0.02"/>
    <s v="EPER"/>
    <n v="7414000005"/>
  </r>
  <r>
    <x v="231"/>
    <s v="ISSSTE RESERVA FINANCIERA Y ACTUARIAL"/>
    <x v="113"/>
    <s v="NORMAL"/>
    <s v="MXN"/>
    <n v="0"/>
    <n v="0"/>
    <n v="0"/>
    <n v="0"/>
    <n v="124860.46386807"/>
    <n v="0"/>
    <n v="0"/>
    <n v="0"/>
    <n v="0"/>
    <n v="0"/>
    <n v="0"/>
    <s v="EPER"/>
    <n v="7414000005"/>
  </r>
  <r>
    <x v="231"/>
    <s v="ISSSTE RESERVA FINANCIERA Y ACTUARIAL"/>
    <x v="31"/>
    <s v="NORMAL"/>
    <s v="MXN"/>
    <n v="0"/>
    <n v="93.314192000000006"/>
    <n v="0"/>
    <n v="0"/>
    <n v="370532934.571024"/>
    <n v="0"/>
    <n v="0"/>
    <n v="0"/>
    <n v="0"/>
    <n v="0"/>
    <n v="0"/>
    <s v="EPER"/>
    <n v="7414000005"/>
  </r>
  <r>
    <x v="231"/>
    <s v="ISSSTE RESERVA FINANCIERA Y ACTUARIAL"/>
    <x v="35"/>
    <s v="NORMAL"/>
    <s v="MXN"/>
    <n v="0"/>
    <n v="86.197128000000006"/>
    <n v="0"/>
    <n v="0"/>
    <n v="482086576.81495911"/>
    <n v="0"/>
    <n v="0"/>
    <n v="0"/>
    <n v="0"/>
    <n v="0"/>
    <n v="0"/>
    <s v="EPER"/>
    <n v="7414000005"/>
  </r>
  <r>
    <x v="231"/>
    <s v="ISSSTE RESERVA FINANCIERA Y ACTUARIAL"/>
    <x v="36"/>
    <s v="NORMAL"/>
    <s v="MXN"/>
    <n v="0"/>
    <n v="86.469353999999996"/>
    <n v="0"/>
    <n v="0"/>
    <n v="599021123.7226541"/>
    <n v="0"/>
    <n v="0"/>
    <n v="0"/>
    <n v="0"/>
    <n v="0"/>
    <n v="0"/>
    <s v="EPER"/>
    <n v="7414000005"/>
  </r>
  <r>
    <x v="231"/>
    <s v="ISSSTE RESERVA FINANCIERA Y ACTUARIAL"/>
    <x v="37"/>
    <s v="NORMAL"/>
    <s v="MXN"/>
    <n v="0"/>
    <n v="81.738860000000003"/>
    <n v="0"/>
    <n v="0"/>
    <n v="86164394.783791006"/>
    <n v="0"/>
    <n v="0"/>
    <n v="0"/>
    <n v="0"/>
    <n v="0"/>
    <n v="0"/>
    <s v="EPER"/>
    <n v="7414000005"/>
  </r>
  <r>
    <x v="231"/>
    <s v="ISSSTE RESERVA FINANCIERA Y ACTUARIAL"/>
    <x v="38"/>
    <s v="NORMAL"/>
    <s v="MXN"/>
    <n v="0"/>
    <n v="83.200761"/>
    <n v="0"/>
    <n v="0"/>
    <n v="40485698.615999997"/>
    <n v="0"/>
    <n v="0"/>
    <n v="0"/>
    <n v="0"/>
    <n v="0"/>
    <n v="0"/>
    <s v="EPER"/>
    <n v="7414000005"/>
  </r>
  <r>
    <x v="231"/>
    <s v="ISSSTE RESERVA FINANCIERA Y ACTUARIAL"/>
    <x v="39"/>
    <s v="NORMAL"/>
    <s v="MXN"/>
    <n v="0"/>
    <n v="82.159907000000004"/>
    <n v="0"/>
    <n v="0"/>
    <n v="114909574.8617579"/>
    <n v="0"/>
    <n v="0"/>
    <n v="0"/>
    <n v="0"/>
    <n v="0"/>
    <n v="0"/>
    <s v="EPER"/>
    <n v="7414000005"/>
  </r>
  <r>
    <x v="231"/>
    <s v="ISSSTE RESERVA FINANCIERA Y ACTUARIAL"/>
    <x v="204"/>
    <s v="NORMAL"/>
    <s v="MXN"/>
    <n v="0"/>
    <n v="6.1107189999999996"/>
    <n v="0"/>
    <n v="0"/>
    <n v="382672399.21622199"/>
    <n v="0"/>
    <n v="0"/>
    <n v="0"/>
    <n v="0"/>
    <n v="0"/>
    <n v="0"/>
    <s v="EPER"/>
    <n v="7414000005"/>
  </r>
  <r>
    <x v="231"/>
    <s v="ISSSTE RESERVA FINANCIERA Y ACTUARIAL"/>
    <x v="205"/>
    <s v="NORMAL"/>
    <s v="MXN"/>
    <n v="0"/>
    <n v="0"/>
    <n v="0"/>
    <n v="0"/>
    <n v="-79887387.25"/>
    <n v="-21725"/>
    <n v="-39978562.25"/>
    <n v="0"/>
    <n v="0"/>
    <n v="-21725"/>
    <n v="-39978562.25"/>
    <s v="EPER"/>
    <n v="7414000005"/>
  </r>
  <r>
    <x v="231"/>
    <s v="ISSSTE RESERVA FINANCIERA Y ACTUARIAL"/>
    <x v="206"/>
    <s v="NORMAL"/>
    <s v="MXN"/>
    <n v="0"/>
    <n v="480.305093"/>
    <n v="0"/>
    <n v="0"/>
    <n v="44531967.001197264"/>
    <n v="0"/>
    <n v="0"/>
    <n v="0"/>
    <n v="0"/>
    <n v="0"/>
    <n v="0"/>
    <s v="EPER"/>
    <n v="7414000005"/>
  </r>
  <r>
    <x v="231"/>
    <s v="ISSSTE RESERVA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54"/>
    <s v="NORMAL"/>
    <s v="MXN"/>
    <n v="0"/>
    <n v="684.88915799999995"/>
    <n v="0"/>
    <n v="0"/>
    <n v="140734698.83358991"/>
    <n v="0"/>
    <n v="0"/>
    <n v="0"/>
    <n v="0"/>
    <n v="0"/>
    <n v="0"/>
    <s v="EPER"/>
    <n v="7414000005"/>
  </r>
  <r>
    <x v="231"/>
    <s v="ISSSTE RESERVA FINANCIERA Y ACTUARIAL"/>
    <x v="207"/>
    <s v="NORMAL"/>
    <s v="MXN"/>
    <n v="0"/>
    <n v="736.86316999999997"/>
    <n v="0"/>
    <n v="0"/>
    <n v="42769408.587140001"/>
    <n v="0"/>
    <n v="0"/>
    <n v="0"/>
    <n v="0"/>
    <n v="0"/>
    <n v="0"/>
    <s v="EPER"/>
    <n v="7414000005"/>
  </r>
  <r>
    <x v="231"/>
    <s v="ISSSTE RESERVA FINANCIERA Y ACTUARIAL"/>
    <x v="55"/>
    <s v="NORMAL"/>
    <s v="MXN"/>
    <n v="0"/>
    <n v="772.926965"/>
    <n v="0"/>
    <n v="0"/>
    <n v="95904004.761646956"/>
    <n v="0"/>
    <n v="0"/>
    <n v="0"/>
    <n v="0"/>
    <n v="0"/>
    <n v="0"/>
    <s v="EPER"/>
    <n v="7414000005"/>
  </r>
  <r>
    <x v="231"/>
    <s v="ISSSTE RESERVA FINANCIERA Y ACTUARIAL"/>
    <x v="57"/>
    <s v="NORMAL"/>
    <s v="MXN"/>
    <n v="0"/>
    <n v="635.96311900000001"/>
    <n v="0"/>
    <n v="0"/>
    <n v="118682537.21480565"/>
    <n v="0"/>
    <n v="0"/>
    <n v="0"/>
    <n v="0"/>
    <n v="0"/>
    <n v="0"/>
    <s v="EPER"/>
    <n v="7414000005"/>
  </r>
  <r>
    <x v="232"/>
    <s v="ISSSTE RESERVA DE OPERACION PARA CONTINGENCIAS Y FINANCIAMIENTO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5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6"/>
    <s v="NORMAL"/>
    <s v="MXN"/>
    <n v="0"/>
    <n v="86.469353999999996"/>
    <n v="0"/>
    <n v="0"/>
    <n v="35403369.963564783"/>
    <n v="0"/>
    <n v="0"/>
    <n v="0"/>
    <n v="0"/>
    <n v="0"/>
    <n v="0"/>
    <s v="EPER"/>
    <n v="7414000005"/>
  </r>
  <r>
    <x v="232"/>
    <s v="ISSSTE RESERVA DE OPERACION PARA CONTINGENCIAS Y FINANCIAMIENTO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7"/>
    <s v="NORMAL"/>
    <s v="MXN"/>
    <n v="0"/>
    <n v="81.738860000000003"/>
    <n v="0"/>
    <n v="0"/>
    <n v="8812406.5590076204"/>
    <n v="0"/>
    <n v="0"/>
    <n v="0"/>
    <n v="0"/>
    <n v="0"/>
    <n v="0"/>
    <s v="EPER"/>
    <n v="7414000005"/>
  </r>
  <r>
    <x v="232"/>
    <s v="ISSSTE RESERVA DE OPERACION PARA CONTINGENCIAS Y FINANCIAMIENTO"/>
    <x v="38"/>
    <s v="NORMAL"/>
    <s v="MXN"/>
    <n v="0"/>
    <n v="83.200761"/>
    <n v="0"/>
    <n v="0"/>
    <n v="3205117.80748"/>
    <n v="0"/>
    <n v="0"/>
    <n v="0"/>
    <n v="0"/>
    <n v="0"/>
    <n v="0"/>
    <s v="EPER"/>
    <n v="7414000005"/>
  </r>
  <r>
    <x v="232"/>
    <s v="ISSSTE RESERVA DE OPERACION PARA CONTINGENCIAS Y FINANCIAMIENTO"/>
    <x v="39"/>
    <s v="NORMAL"/>
    <s v="MXN"/>
    <n v="0"/>
    <n v="82.159907000000004"/>
    <n v="0"/>
    <n v="0"/>
    <n v="30233516.465893801"/>
    <n v="0"/>
    <n v="0"/>
    <n v="0"/>
    <n v="0"/>
    <n v="0"/>
    <n v="0"/>
    <s v="EPER"/>
    <n v="7414000005"/>
  </r>
  <r>
    <x v="232"/>
    <s v="ISSSTE RESERVA DE OPERACION PARA CONTINGENCIAS Y FINANCIAMIENTO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56"/>
    <s v="NORMAL"/>
    <s v="MXN"/>
    <n v="0"/>
    <n v="721.59464000000003"/>
    <n v="0"/>
    <n v="0"/>
    <n v="9858148.6092660502"/>
    <n v="0"/>
    <n v="0"/>
    <n v="0"/>
    <n v="0"/>
    <n v="0"/>
    <n v="0"/>
    <s v="EPER"/>
    <n v="7414000005"/>
  </r>
  <r>
    <x v="232"/>
    <s v="ISSSTE RESERVA DE OPERACION PARA CONTINGENCIAS Y FINANCIAMIENTO"/>
    <x v="57"/>
    <s v="NORMAL"/>
    <s v="MXN"/>
    <n v="0"/>
    <n v="635.96311900000001"/>
    <n v="0"/>
    <n v="0"/>
    <n v="24215283.877147201"/>
    <n v="0"/>
    <n v="0"/>
    <n v="0"/>
    <n v="0"/>
    <n v="0"/>
    <n v="0"/>
    <s v="EPER"/>
    <n v="7414000005"/>
  </r>
  <r>
    <x v="232"/>
    <s v="ISSSTE RESERVA DE OPERACION PARA CONTINGENCIAS Y FINANCIAMIENTO"/>
    <x v="58"/>
    <s v="NORMAL"/>
    <s v="MXN"/>
    <n v="0"/>
    <n v="709.36974099999998"/>
    <n v="0"/>
    <n v="0"/>
    <n v="1717382.53867348"/>
    <n v="0"/>
    <n v="0"/>
    <n v="0"/>
    <n v="0"/>
    <n v="0"/>
    <n v="0"/>
    <s v="EPER"/>
    <n v="7414000005"/>
  </r>
  <r>
    <x v="233"/>
    <s v="ISSSTE RESERVA GENERAL FINANCIERA Y ACTUARIAL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37"/>
    <s v="NORMAL"/>
    <s v="MXN"/>
    <n v="0"/>
    <n v="81.738860000000003"/>
    <n v="0"/>
    <n v="0"/>
    <n v="3131648.4189956998"/>
    <n v="0"/>
    <n v="0"/>
    <n v="0"/>
    <n v="0"/>
    <n v="0"/>
    <n v="0"/>
    <s v="EPER"/>
    <n v="7414000005"/>
  </r>
  <r>
    <x v="233"/>
    <s v="ISSSTE RESERVA GENERAL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4"/>
    <s v="BANCO SANTANDER (MEXICO) FIDEICOMISO F/35732-0"/>
    <x v="85"/>
    <s v="NORMAL"/>
    <s v="MXN"/>
    <n v="274"/>
    <n v="97.654420999999999"/>
    <n v="26757.311354000001"/>
    <n v="98.224185000000006"/>
    <n v="-156.11533600000001"/>
    <n v="0"/>
    <n v="0"/>
    <n v="0"/>
    <n v="0"/>
    <n v="274"/>
    <n v="26757.311354000001"/>
    <s v="EPER"/>
    <n v="7414000005"/>
  </r>
  <r>
    <x v="234"/>
    <s v="BANCO SANTANDER (MEXICO) FIDEICOMISO F/35732-0"/>
    <x v="17"/>
    <s v="NORMAL"/>
    <s v="MXN"/>
    <n v="198"/>
    <n v="675.38"/>
    <n v="133725.24"/>
    <n v="855.79191919191919"/>
    <n v="-35721.56"/>
    <n v="0"/>
    <n v="0"/>
    <n v="0"/>
    <n v="0"/>
    <n v="198"/>
    <n v="133725.24"/>
    <s v="EPER"/>
    <n v="7414000005"/>
  </r>
  <r>
    <x v="234"/>
    <s v="BANCO SANTANDER (MEXICO) FIDEICOMISO F/35732-0"/>
    <x v="18"/>
    <s v="NORMAL"/>
    <s v="MXN"/>
    <n v="46"/>
    <n v="700.65"/>
    <n v="32229.9"/>
    <n v="964.98043478260865"/>
    <n v="-12159.2"/>
    <n v="0"/>
    <n v="0"/>
    <n v="0"/>
    <n v="0"/>
    <n v="46"/>
    <n v="32229.9"/>
    <s v="EPER"/>
    <n v="7414000005"/>
  </r>
  <r>
    <x v="234"/>
    <s v="BANCO SANTANDER (MEXICO) FIDEICOMISO F/35732-0"/>
    <x v="19"/>
    <s v="NORMAL"/>
    <s v="MXN"/>
    <n v="76"/>
    <n v="1151"/>
    <n v="87476"/>
    <n v="1103.3875"/>
    <n v="3618.55"/>
    <n v="0"/>
    <n v="0"/>
    <n v="0"/>
    <n v="0"/>
    <n v="76"/>
    <n v="87476"/>
    <s v="EPER"/>
    <n v="7414000005"/>
  </r>
  <r>
    <x v="234"/>
    <s v="BANCO SANTANDER (MEXICO) FIDEICOMISO F/35732-0"/>
    <x v="26"/>
    <s v="NORMAL"/>
    <s v="MXN"/>
    <n v="714"/>
    <n v="98.730349000000004"/>
    <n v="70493.469186000002"/>
    <n v="104.81191507"/>
    <n v="-4342.2381739800003"/>
    <n v="0"/>
    <n v="0"/>
    <n v="0"/>
    <n v="0"/>
    <n v="714"/>
    <n v="70493.469186000002"/>
    <s v="EPER"/>
    <n v="7414000005"/>
  </r>
  <r>
    <x v="234"/>
    <s v="BANCO SANTANDER (MEXICO) FIDEICOMISO F/35732-0"/>
    <x v="67"/>
    <s v="NORMAL"/>
    <s v="MXN"/>
    <n v="38"/>
    <n v="99.247497999999993"/>
    <n v="3771.4049239999999"/>
    <n v="101.04285588"/>
    <n v="-68.223599440000001"/>
    <n v="0"/>
    <n v="0"/>
    <n v="0"/>
    <n v="0"/>
    <n v="38"/>
    <n v="3771.4049239999999"/>
    <s v="EPER"/>
    <n v="7414000005"/>
  </r>
  <r>
    <x v="234"/>
    <s v="BANCO SANTANDER (MEXICO) FIDEICOMISO F/35732-0"/>
    <x v="27"/>
    <s v="NORMAL"/>
    <s v="MXN"/>
    <n v="250"/>
    <n v="94.973146999999997"/>
    <n v="23743.286749999999"/>
    <n v="89.632459409999996"/>
    <n v="1335.1718974999999"/>
    <n v="0"/>
    <n v="0"/>
    <n v="0"/>
    <n v="0"/>
    <n v="250"/>
    <n v="23743.286749999999"/>
    <s v="EPER"/>
    <n v="7414000005"/>
  </r>
  <r>
    <x v="234"/>
    <s v="BANCO SANTANDER (MEXICO) FIDEICOMISO F/35732-0"/>
    <x v="28"/>
    <s v="NORMAL"/>
    <s v="MXN"/>
    <n v="519"/>
    <n v="91.911821000000003"/>
    <n v="47702.235098999998"/>
    <n v="93.2088459"/>
    <n v="-673.1559231"/>
    <n v="0"/>
    <n v="0"/>
    <n v="0"/>
    <n v="0"/>
    <n v="519"/>
    <n v="47702.235098999998"/>
    <s v="EPER"/>
    <n v="7414000005"/>
  </r>
  <r>
    <x v="234"/>
    <s v="BANCO SANTANDER (MEXICO) FIDEICOMISO F/35732-0"/>
    <x v="29"/>
    <s v="NORMAL"/>
    <s v="MXN"/>
    <n v="430"/>
    <n v="92.954503000000003"/>
    <n v="39970.436289999998"/>
    <n v="93.158888947906973"/>
    <n v="-87.885957599999998"/>
    <n v="0"/>
    <n v="0"/>
    <n v="0"/>
    <n v="0"/>
    <n v="430"/>
    <n v="39970.436289999998"/>
    <s v="EPER"/>
    <n v="7414000005"/>
  </r>
  <r>
    <x v="234"/>
    <s v="BANCO SANTANDER (MEXICO) FIDEICOMISO F/35732-0"/>
    <x v="30"/>
    <s v="NORMAL"/>
    <s v="MXN"/>
    <n v="1088"/>
    <n v="88.698122999999995"/>
    <n v="96503.557824000003"/>
    <n v="85.318791529999999"/>
    <n v="3676.7126393600001"/>
    <n v="0"/>
    <n v="0"/>
    <n v="0"/>
    <n v="0"/>
    <n v="1088"/>
    <n v="96503.557824000003"/>
    <s v="EPER"/>
    <n v="7414000005"/>
  </r>
  <r>
    <x v="234"/>
    <s v="BANCO SANTANDER (MEXICO) FIDEICOMISO F/35732-0"/>
    <x v="31"/>
    <s v="NORMAL"/>
    <s v="MXN"/>
    <n v="470"/>
    <n v="93.314192000000006"/>
    <n v="43857.670239999999"/>
    <n v="93.409382949999994"/>
    <n v="-44.739746500000003"/>
    <n v="0"/>
    <n v="0"/>
    <n v="0"/>
    <n v="0"/>
    <n v="470"/>
    <n v="43857.670239999999"/>
    <s v="EPER"/>
    <n v="7414000005"/>
  </r>
  <r>
    <x v="234"/>
    <s v="BANCO SANTANDER (MEXICO) FIDEICOMISO F/35732-0"/>
    <x v="32"/>
    <s v="NORMAL"/>
    <s v="MXN"/>
    <n v="1980"/>
    <n v="94.864168000000006"/>
    <n v="187831.05264000001"/>
    <n v="96.33213069449495"/>
    <n v="-2906.5661350999999"/>
    <n v="0"/>
    <n v="0"/>
    <n v="0"/>
    <n v="0"/>
    <n v="1980"/>
    <n v="187831.05264000001"/>
    <s v="EPER"/>
    <n v="7414000005"/>
  </r>
  <r>
    <x v="234"/>
    <s v="BANCO SANTANDER (MEXICO) FIDEICOMISO F/35732-0"/>
    <x v="34"/>
    <s v="NORMAL"/>
    <s v="MXN"/>
    <n v="273"/>
    <n v="89.489464999999996"/>
    <n v="24430.623944999999"/>
    <n v="92.049600470000001"/>
    <n v="-698.91698330999998"/>
    <n v="0"/>
    <n v="0"/>
    <n v="0"/>
    <n v="0"/>
    <n v="273"/>
    <n v="24430.623944999999"/>
    <s v="EPER"/>
    <n v="7414000005"/>
  </r>
  <r>
    <x v="234"/>
    <s v="BANCO SANTANDER (MEXICO) FIDEICOMISO F/35732-0"/>
    <x v="35"/>
    <s v="NORMAL"/>
    <s v="MXN"/>
    <n v="591"/>
    <n v="86.197128000000006"/>
    <n v="50942.502648000001"/>
    <n v="88.982927140000001"/>
    <n v="-1646.4072917399999"/>
    <n v="0"/>
    <n v="0"/>
    <n v="0"/>
    <n v="0"/>
    <n v="591"/>
    <n v="50942.502648000001"/>
    <s v="EPER"/>
    <n v="7414000005"/>
  </r>
  <r>
    <x v="234"/>
    <s v="BANCO SANTANDER (MEXICO) FIDEICOMISO F/35732-0"/>
    <x v="36"/>
    <s v="NORMAL"/>
    <s v="MXN"/>
    <n v="1890"/>
    <n v="86.469353999999996"/>
    <n v="163427.07905999999"/>
    <n v="101.00812326962964"/>
    <n v="-27478.2739196"/>
    <n v="0"/>
    <n v="0"/>
    <n v="0"/>
    <n v="0"/>
    <n v="1890"/>
    <n v="163427.07905999999"/>
    <s v="EPER"/>
    <n v="7414000005"/>
  </r>
  <r>
    <x v="234"/>
    <s v="BANCO SANTANDER (MEXICO) FIDEICOMISO F/35732-0"/>
    <x v="81"/>
    <s v="NORMAL"/>
    <s v="MXN"/>
    <n v="450"/>
    <n v="101.45096599999999"/>
    <n v="45652.934699999998"/>
    <n v="114.11447106"/>
    <n v="-5698.5772770000003"/>
    <n v="0"/>
    <n v="0"/>
    <n v="0"/>
    <n v="0"/>
    <n v="450"/>
    <n v="45652.934699999998"/>
    <s v="EPER"/>
    <n v="7414000005"/>
  </r>
  <r>
    <x v="234"/>
    <s v="BANCO SANTANDER (MEXICO) FIDEICOMISO F/35732-0"/>
    <x v="68"/>
    <s v="NORMAL"/>
    <s v="MXN"/>
    <n v="985"/>
    <n v="89.643172000000007"/>
    <n v="88298.524420000002"/>
    <n v="108.47711812999999"/>
    <n v="-18551.436938049999"/>
    <n v="0"/>
    <n v="0"/>
    <n v="0"/>
    <n v="0"/>
    <n v="985"/>
    <n v="88298.524420000002"/>
    <s v="EPER"/>
    <n v="7414000005"/>
  </r>
  <r>
    <x v="234"/>
    <s v="BANCO SANTANDER (MEXICO) FIDEICOMISO F/35732-0"/>
    <x v="37"/>
    <s v="NORMAL"/>
    <s v="MXN"/>
    <n v="1049"/>
    <n v="81.738860000000003"/>
    <n v="85744.064140000002"/>
    <n v="86.108971888846526"/>
    <n v="-4584.2473713999998"/>
    <n v="0"/>
    <n v="0"/>
    <n v="0"/>
    <n v="0"/>
    <n v="1049"/>
    <n v="85744.064140000002"/>
    <s v="EPER"/>
    <n v="7414000005"/>
  </r>
  <r>
    <x v="234"/>
    <s v="BANCO SANTANDER (MEXICO) FIDEICOMISO F/35732-0"/>
    <x v="39"/>
    <s v="NORMAL"/>
    <s v="MXN"/>
    <n v="1636"/>
    <n v="82.159907000000004"/>
    <n v="134413.60785199999"/>
    <n v="86.196740725611249"/>
    <n v="-6604.2599750999998"/>
    <n v="0"/>
    <n v="0"/>
    <n v="0"/>
    <n v="0"/>
    <n v="1636"/>
    <n v="134413.60785199999"/>
    <s v="EPER"/>
    <n v="7414000005"/>
  </r>
  <r>
    <x v="234"/>
    <s v="BANCO SANTANDER (MEXICO) FIDEICOMISO F/35732-0"/>
    <x v="42"/>
    <s v="NORMAL"/>
    <s v="MXN"/>
    <n v="80"/>
    <n v="8532.5"/>
    <n v="682600"/>
    <n v="5867.5510000000004"/>
    <n v="213195.92"/>
    <n v="0"/>
    <n v="0"/>
    <n v="0"/>
    <n v="0"/>
    <n v="80"/>
    <n v="682600"/>
    <s v="EPER"/>
    <n v="7414000005"/>
  </r>
  <r>
    <x v="234"/>
    <s v="BANCO SANTANDER (MEXICO) FIDEICOMISO F/35732-0"/>
    <x v="88"/>
    <s v="NORMAL"/>
    <s v="MXN"/>
    <n v="612"/>
    <n v="98.007834000000003"/>
    <n v="59980.794408000002"/>
    <n v="93.280048030000003"/>
    <n v="2893.4050136400001"/>
    <n v="0"/>
    <n v="0"/>
    <n v="0"/>
    <n v="0"/>
    <n v="612"/>
    <n v="59980.794408000002"/>
    <s v="EPER"/>
    <n v="7414000005"/>
  </r>
  <r>
    <x v="234"/>
    <s v="BANCO SANTANDER (MEXICO) FIDEICOMISO F/35732-0"/>
    <x v="49"/>
    <s v="NORMAL"/>
    <s v="MXN"/>
    <n v="259"/>
    <n v="682.55"/>
    <n v="176780.45"/>
    <n v="770.93235521235522"/>
    <n v="-22891.03"/>
    <n v="0"/>
    <n v="0"/>
    <n v="0"/>
    <n v="0"/>
    <n v="259"/>
    <n v="176780.45"/>
    <s v="EPER"/>
    <n v="7414000005"/>
  </r>
  <r>
    <x v="234"/>
    <s v="BANCO SANTANDER (MEXICO) FIDEICOMISO F/35732-0"/>
    <x v="89"/>
    <s v="NORMAL"/>
    <s v="MXN"/>
    <n v="425160"/>
    <n v="3.1390400000000001"/>
    <n v="1334594.2464000001"/>
    <n v="2.7610731724527238"/>
    <n v="160696.37640000001"/>
    <n v="0"/>
    <n v="0"/>
    <n v="0"/>
    <n v="0"/>
    <n v="425160"/>
    <n v="1334594.2464000001"/>
    <s v="EPER"/>
    <n v="7414000005"/>
  </r>
  <r>
    <x v="234"/>
    <s v="BANCO SANTANDER (MEXICO) FIDEICOMISO F/35732-0"/>
    <x v="0"/>
    <s v="NORMAL"/>
    <s v="MXN"/>
    <n v="609520"/>
    <n v="3.3967719999999999"/>
    <n v="2070400.4694399999"/>
    <n v="3.3023570678566743"/>
    <n v="57547.78944"/>
    <n v="0"/>
    <n v="0"/>
    <n v="0"/>
    <n v="0"/>
    <n v="609520"/>
    <n v="2070400.4694399999"/>
    <s v="EPER"/>
    <n v="7414000005"/>
  </r>
  <r>
    <x v="234"/>
    <s v="BANCO SANTANDER (MEXICO) FIDEICOMISO F/35732-0"/>
    <x v="52"/>
    <s v="NORMAL"/>
    <s v="MXN"/>
    <n v="31"/>
    <n v="747.17843200000004"/>
    <n v="23162.531392000001"/>
    <n v="730.99471579999999"/>
    <n v="501.69520219999998"/>
    <n v="0"/>
    <n v="0"/>
    <n v="0"/>
    <n v="0"/>
    <n v="31"/>
    <n v="23162.531392000001"/>
    <s v="EPER"/>
    <n v="7414000005"/>
  </r>
  <r>
    <x v="234"/>
    <s v="BANCO SANTANDER (MEXICO) FIDEICOMISO F/35732-0"/>
    <x v="53"/>
    <s v="NORMAL"/>
    <s v="MXN"/>
    <n v="158"/>
    <n v="765.92388300000005"/>
    <n v="121015.973514"/>
    <n v="770.8356037525316"/>
    <n v="-776.05187890000002"/>
    <n v="0"/>
    <n v="0"/>
    <n v="0"/>
    <n v="0"/>
    <n v="158"/>
    <n v="121015.973514"/>
    <s v="EPER"/>
    <n v="7414000005"/>
  </r>
  <r>
    <x v="234"/>
    <s v="BANCO SANTANDER (MEXICO) FIDEICOMISO F/35732-0"/>
    <x v="54"/>
    <s v="NORMAL"/>
    <s v="MXN"/>
    <n v="50"/>
    <n v="684.88915799999995"/>
    <n v="34244.457900000001"/>
    <n v="700.97292315000004"/>
    <n v="-804.18825749999996"/>
    <n v="0"/>
    <n v="0"/>
    <n v="0"/>
    <n v="0"/>
    <n v="50"/>
    <n v="34244.457900000001"/>
    <s v="EPER"/>
    <n v="7414000005"/>
  </r>
  <r>
    <x v="234"/>
    <s v="BANCO SANTANDER (MEXICO) FIDEICOMISO F/35732-0"/>
    <x v="55"/>
    <s v="NORMAL"/>
    <s v="MXN"/>
    <n v="7"/>
    <n v="772.926965"/>
    <n v="5410.4887550000003"/>
    <n v="798.93664675000002"/>
    <n v="-182.06777224999999"/>
    <n v="0"/>
    <n v="0"/>
    <n v="0"/>
    <n v="0"/>
    <n v="7"/>
    <n v="5410.4887550000003"/>
    <s v="EPER"/>
    <n v="7414000005"/>
  </r>
  <r>
    <x v="234"/>
    <s v="BANCO SANTANDER (MEXICO) FIDEICOMISO F/35732-0"/>
    <x v="56"/>
    <s v="NORMAL"/>
    <s v="MXN"/>
    <n v="143"/>
    <n v="721.59464000000003"/>
    <n v="103188.03352"/>
    <n v="758.77574809999999"/>
    <n v="-5316.8984583000001"/>
    <n v="0"/>
    <n v="0"/>
    <n v="0"/>
    <n v="0"/>
    <n v="143"/>
    <n v="103188.03352"/>
    <s v="EPER"/>
    <n v="7414000005"/>
  </r>
  <r>
    <x v="234"/>
    <s v="BANCO SANTANDER (MEXICO) FIDEICOMISO F/35732-0"/>
    <x v="57"/>
    <s v="NORMAL"/>
    <s v="MXN"/>
    <n v="77"/>
    <n v="635.96311900000001"/>
    <n v="48969.160163"/>
    <n v="647.93802047999998"/>
    <n v="-922.06741395999995"/>
    <n v="0"/>
    <n v="0"/>
    <n v="0"/>
    <n v="0"/>
    <n v="77"/>
    <n v="48969.160163"/>
    <s v="EPER"/>
    <n v="7414000005"/>
  </r>
  <r>
    <x v="234"/>
    <s v="BANCO SANTANDER (MEXICO) FIDEICOMISO F/35732-0"/>
    <x v="58"/>
    <s v="NORMAL"/>
    <s v="MXN"/>
    <n v="233"/>
    <n v="709.36974099999998"/>
    <n v="165283.149653"/>
    <n v="724.63651936999997"/>
    <n v="-3557.1593602100002"/>
    <n v="0"/>
    <n v="0"/>
    <n v="0"/>
    <n v="0"/>
    <n v="233"/>
    <n v="165283.149653"/>
    <s v="EPER"/>
    <n v="7414000005"/>
  </r>
  <r>
    <x v="234"/>
    <s v="BANCO SANTANDER (MEXICO) FIDEICOMISO F/35732-0"/>
    <x v="59"/>
    <s v="NORMAL"/>
    <s v="MXN"/>
    <n v="378"/>
    <n v="694.41118700000004"/>
    <n v="262487.428686"/>
    <n v="714.8753082628042"/>
    <n v="-7735.4378373400004"/>
    <n v="0"/>
    <n v="0"/>
    <n v="0"/>
    <n v="0"/>
    <n v="378"/>
    <n v="262487.428686"/>
    <s v="EPER"/>
    <n v="7414000005"/>
  </r>
  <r>
    <x v="234"/>
    <s v="BANCO SANTANDER (MEXICO) FIDEICOMISO F/35732-0"/>
    <x v="61"/>
    <s v="NORMAL"/>
    <s v="MXN"/>
    <n v="175"/>
    <n v="1090"/>
    <n v="190750"/>
    <n v="1153.8654285714285"/>
    <n v="-11176.45"/>
    <n v="0"/>
    <n v="0"/>
    <n v="0"/>
    <n v="0"/>
    <n v="175"/>
    <n v="190750"/>
    <s v="EPER"/>
    <n v="7414000005"/>
  </r>
  <r>
    <x v="235"/>
    <s v="BANCO SANTANDER (MEXICO) FIDEICOMISO F/35740-0"/>
    <x v="4"/>
    <s v="NORMAL"/>
    <s v="MXN"/>
    <n v="7000"/>
    <n v="168.64"/>
    <n v="1180480"/>
    <n v="178.26642142857142"/>
    <n v="-67384.95"/>
    <n v="0"/>
    <n v="0"/>
    <n v="0"/>
    <n v="0"/>
    <n v="7000"/>
    <n v="1180480"/>
    <s v="EPER"/>
    <n v="7414000005"/>
  </r>
  <r>
    <x v="235"/>
    <s v="BANCO SANTANDER (MEXICO) FIDEICOMISO F/35740-0"/>
    <x v="187"/>
    <s v="NORMAL"/>
    <s v="MXN"/>
    <n v="22000"/>
    <n v="11.86"/>
    <n v="260920"/>
    <n v="12.184018636363636"/>
    <n v="-7128.41"/>
    <n v="0"/>
    <n v="0"/>
    <n v="0"/>
    <n v="0"/>
    <n v="22000"/>
    <n v="260920"/>
    <s v="EPER"/>
    <n v="7414000005"/>
  </r>
  <r>
    <x v="235"/>
    <s v="BANCO SANTANDER (MEXICO) FIDEICOMISO F/35740-0"/>
    <x v="7"/>
    <s v="NORMAL"/>
    <s v="MXN"/>
    <n v="19300"/>
    <n v="73.37"/>
    <n v="1416041"/>
    <n v="62.082834715025903"/>
    <n v="217842.29"/>
    <n v="0"/>
    <n v="0"/>
    <n v="0"/>
    <n v="0"/>
    <n v="19300"/>
    <n v="1416041"/>
    <s v="EPER"/>
    <n v="7414000005"/>
  </r>
  <r>
    <x v="235"/>
    <s v="BANCO SANTANDER (MEXICO) FIDEICOMISO F/35740-0"/>
    <x v="10"/>
    <s v="NORMAL"/>
    <s v="MXN"/>
    <n v="295000"/>
    <n v="15.12"/>
    <n v="4460400"/>
    <n v="16.053986748813561"/>
    <n v="-275526.09090000001"/>
    <n v="0"/>
    <n v="0"/>
    <n v="0"/>
    <n v="0"/>
    <n v="295000"/>
    <n v="4460400"/>
    <s v="EPER"/>
    <n v="7414000005"/>
  </r>
  <r>
    <x v="235"/>
    <s v="BANCO SANTANDER (MEXICO) FIDEICOMISO F/35740-0"/>
    <x v="11"/>
    <s v="NORMAL"/>
    <s v="MXN"/>
    <n v="5500"/>
    <n v="525.09"/>
    <n v="2887995"/>
    <n v="490.90909818181819"/>
    <n v="187994.96"/>
    <n v="0"/>
    <n v="0"/>
    <n v="0"/>
    <n v="0"/>
    <n v="5500"/>
    <n v="2887995"/>
    <s v="EPER"/>
    <n v="7414000005"/>
  </r>
  <r>
    <x v="235"/>
    <s v="BANCO SANTANDER (MEXICO) FIDEICOMISO F/35740-0"/>
    <x v="12"/>
    <s v="NORMAL"/>
    <s v="MXN"/>
    <n v="12800"/>
    <n v="68.25"/>
    <n v="873600"/>
    <n v="78.649984375000003"/>
    <n v="-133119.79999999999"/>
    <n v="0"/>
    <n v="0"/>
    <n v="0"/>
    <n v="0"/>
    <n v="12800"/>
    <n v="873600"/>
    <s v="EPER"/>
    <n v="7414000005"/>
  </r>
  <r>
    <x v="235"/>
    <s v="BANCO SANTANDER (MEXICO) FIDEICOMISO F/35740-0"/>
    <x v="14"/>
    <s v="NORMAL"/>
    <s v="MXN"/>
    <n v="358800"/>
    <n v="14.33"/>
    <n v="5141604"/>
    <n v="11.913910953177258"/>
    <n v="866892.75"/>
    <n v="0"/>
    <n v="0"/>
    <n v="0"/>
    <n v="0"/>
    <n v="358800"/>
    <n v="5141604"/>
    <s v="EPER"/>
    <n v="7414000005"/>
  </r>
  <r>
    <x v="235"/>
    <s v="BANCO SANTANDER (MEXICO) FIDEICOMISO F/35740-0"/>
    <x v="85"/>
    <s v="NORMAL"/>
    <s v="MXN"/>
    <n v="4144"/>
    <n v="97.654420999999999"/>
    <n v="404679.92062400002"/>
    <n v="98.224185000000006"/>
    <n v="-2361.1020159999998"/>
    <n v="0"/>
    <n v="0"/>
    <n v="0"/>
    <n v="0"/>
    <n v="4144"/>
    <n v="404679.92062400002"/>
    <s v="EPER"/>
    <n v="7414000005"/>
  </r>
  <r>
    <x v="235"/>
    <s v="BANCO SANTANDER (MEXICO) FIDEICOMISO F/35740-0"/>
    <x v="86"/>
    <s v="NORMAL"/>
    <s v="MXN"/>
    <n v="496336"/>
    <n v="9.4935880000000008"/>
    <n v="4712009.4935680004"/>
    <n v="8.4405498100000003"/>
    <n v="522660.76307183999"/>
    <n v="0"/>
    <n v="0"/>
    <n v="0"/>
    <n v="0"/>
    <n v="496336"/>
    <n v="4712009.4935680004"/>
    <s v="EPER"/>
    <n v="7414000005"/>
  </r>
  <r>
    <x v="235"/>
    <s v="BANCO SANTANDER (MEXICO) FIDEICOMISO F/35740-0"/>
    <x v="17"/>
    <s v="NORMAL"/>
    <s v="MXN"/>
    <n v="7900"/>
    <n v="675.38"/>
    <n v="5335502"/>
    <n v="796.61193670886075"/>
    <n v="-957732.3"/>
    <n v="0"/>
    <n v="0"/>
    <n v="0"/>
    <n v="0"/>
    <n v="7900"/>
    <n v="5335502"/>
    <s v="EPER"/>
    <n v="7414000005"/>
  </r>
  <r>
    <x v="235"/>
    <s v="BANCO SANTANDER (MEXICO) FIDEICOMISO F/35740-0"/>
    <x v="208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18"/>
    <s v="NORMAL"/>
    <s v="MXN"/>
    <n v="1840"/>
    <n v="700.65"/>
    <n v="1289196"/>
    <n v="813.60809782608692"/>
    <n v="-207842.9"/>
    <n v="0"/>
    <n v="0"/>
    <n v="0"/>
    <n v="0"/>
    <n v="1840"/>
    <n v="1289196"/>
    <s v="EPER"/>
    <n v="7414000005"/>
  </r>
  <r>
    <x v="235"/>
    <s v="BANCO SANTANDER (MEXICO) FIDEICOMISO F/35740-0"/>
    <x v="19"/>
    <s v="NORMAL"/>
    <s v="MXN"/>
    <n v="3240"/>
    <n v="1151"/>
    <n v="3729240"/>
    <n v="1007.5558302469136"/>
    <n v="464759.11"/>
    <n v="0"/>
    <n v="0"/>
    <n v="0"/>
    <n v="0"/>
    <n v="3240"/>
    <n v="3729240"/>
    <s v="EPER"/>
    <n v="7414000005"/>
  </r>
  <r>
    <x v="235"/>
    <s v="BANCO SANTANDER (MEXICO) FIDEICOMISO F/35740-0"/>
    <x v="20"/>
    <s v="NORMAL"/>
    <s v="MXN"/>
    <n v="26700"/>
    <n v="207.81"/>
    <n v="5548527"/>
    <n v="174.63543595505618"/>
    <n v="885760.86"/>
    <n v="0"/>
    <n v="0"/>
    <n v="0"/>
    <n v="0"/>
    <n v="26700"/>
    <n v="5548527"/>
    <s v="EPER"/>
    <n v="7414000005"/>
  </r>
  <r>
    <x v="235"/>
    <s v="BANCO SANTANDER (MEXICO) FIDEICOMISO F/35740-0"/>
    <x v="209"/>
    <s v="NORMAL"/>
    <s v="MXN"/>
    <n v="26"/>
    <n v="29"/>
    <n v="754"/>
    <n v="47.323461538461537"/>
    <n v="-476.41"/>
    <n v="0"/>
    <n v="0"/>
    <n v="0"/>
    <n v="0"/>
    <n v="26"/>
    <n v="754"/>
    <s v="EPER"/>
    <n v="7414000005"/>
  </r>
  <r>
    <x v="235"/>
    <s v="BANCO SANTANDER (MEXICO) FIDEICOMISO F/35740-0"/>
    <x v="21"/>
    <s v="NORMAL"/>
    <s v="MXN"/>
    <n v="2800"/>
    <n v="271.94"/>
    <n v="761432"/>
    <n v="295.71850000000001"/>
    <n v="-66579.8"/>
    <n v="0"/>
    <n v="0"/>
    <n v="0"/>
    <n v="0"/>
    <n v="2800"/>
    <n v="761432"/>
    <s v="EPER"/>
    <n v="7414000005"/>
  </r>
  <r>
    <x v="235"/>
    <s v="BANCO SANTANDER (MEXICO) FIDEICOMISO F/35740-0"/>
    <x v="22"/>
    <s v="NORMAL"/>
    <s v="MXN"/>
    <n v="10000"/>
    <n v="193.15"/>
    <n v="1931500"/>
    <n v="162.51302699999999"/>
    <n v="306369.73"/>
    <n v="0"/>
    <n v="0"/>
    <n v="0"/>
    <n v="0"/>
    <n v="10000"/>
    <n v="1931500"/>
    <s v="EPER"/>
    <n v="7414000005"/>
  </r>
  <r>
    <x v="235"/>
    <s v="BANCO SANTANDER (MEXICO) FIDEICOMISO F/35740-0"/>
    <x v="23"/>
    <s v="NORMAL"/>
    <s v="MXN"/>
    <n v="70000"/>
    <n v="27.12"/>
    <n v="1898400"/>
    <n v="22.283150857142857"/>
    <n v="338579.44"/>
    <n v="0"/>
    <n v="0"/>
    <n v="0"/>
    <n v="0"/>
    <n v="70000"/>
    <n v="1898400"/>
    <s v="EPER"/>
    <n v="7414000005"/>
  </r>
  <r>
    <x v="235"/>
    <s v="BANCO SANTANDER (MEXICO) FIDEICOMISO F/35740-0"/>
    <x v="24"/>
    <s v="NORMAL"/>
    <s v="MXN"/>
    <n v="42000"/>
    <n v="176.44"/>
    <n v="7410480"/>
    <n v="149.58617595238096"/>
    <n v="1127860.6100000001"/>
    <n v="0"/>
    <n v="0"/>
    <n v="0"/>
    <n v="0"/>
    <n v="42000"/>
    <n v="7410480"/>
    <s v="EPER"/>
    <n v="7414000005"/>
  </r>
  <r>
    <x v="235"/>
    <s v="BANCO SANTANDER (MEXICO) FIDEICOMISO F/35740-0"/>
    <x v="210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25"/>
    <s v="NORMAL"/>
    <s v="MXN"/>
    <n v="53500"/>
    <n v="104.12"/>
    <n v="5570420"/>
    <n v="83.734060747663548"/>
    <n v="1090647.75"/>
    <n v="0"/>
    <n v="0"/>
    <n v="0"/>
    <n v="0"/>
    <n v="53500"/>
    <n v="5570420"/>
    <s v="EPER"/>
    <n v="7414000005"/>
  </r>
  <r>
    <x v="235"/>
    <s v="BANCO SANTANDER (MEXICO) FIDEICOMISO F/35740-0"/>
    <x v="26"/>
    <s v="NORMAL"/>
    <s v="MXN"/>
    <n v="16870"/>
    <n v="98.730349000000004"/>
    <n v="1665580.9876300001"/>
    <n v="104.81191507"/>
    <n v="-102596.01960090001"/>
    <n v="0"/>
    <n v="0"/>
    <n v="0"/>
    <n v="0"/>
    <n v="16870"/>
    <n v="1665580.9876300001"/>
    <s v="EPER"/>
    <n v="7414000005"/>
  </r>
  <r>
    <x v="235"/>
    <s v="BANCO SANTANDER (MEXICO) FIDEICOMISO F/35740-0"/>
    <x v="67"/>
    <s v="NORMAL"/>
    <s v="MXN"/>
    <n v="61213"/>
    <n v="99.247497999999993"/>
    <n v="6075237.0950739998"/>
    <n v="112.18854429897604"/>
    <n v="-792160.26709921996"/>
    <n v="0"/>
    <n v="0"/>
    <n v="0"/>
    <n v="0"/>
    <n v="61213"/>
    <n v="6075237.0950739998"/>
    <s v="EPER"/>
    <n v="7414000005"/>
  </r>
  <r>
    <x v="235"/>
    <s v="BANCO SANTANDER (MEXICO) FIDEICOMISO F/35740-0"/>
    <x v="27"/>
    <s v="NORMAL"/>
    <s v="MXN"/>
    <n v="15900"/>
    <n v="94.973146999999997"/>
    <n v="1510073.0373"/>
    <n v="89.738008707484283"/>
    <n v="83238.698850999994"/>
    <n v="0"/>
    <n v="0"/>
    <n v="0"/>
    <n v="0"/>
    <n v="15900"/>
    <n v="1510073.0373"/>
    <s v="EPER"/>
    <n v="7414000005"/>
  </r>
  <r>
    <x v="235"/>
    <s v="BANCO SANTANDER (MEXICO) FIDEICOMISO F/35740-0"/>
    <x v="28"/>
    <s v="NORMAL"/>
    <s v="MXN"/>
    <n v="81931"/>
    <n v="91.911821000000003"/>
    <n v="7530427.4063510001"/>
    <n v="93.2088459"/>
    <n v="-106266.5470819"/>
    <n v="0"/>
    <n v="0"/>
    <n v="0"/>
    <n v="0"/>
    <n v="81931"/>
    <n v="7530427.4063510001"/>
    <s v="EPER"/>
    <n v="7414000005"/>
  </r>
  <r>
    <x v="235"/>
    <s v="BANCO SANTANDER (MEXICO) FIDEICOMISO F/35740-0"/>
    <x v="29"/>
    <s v="NORMAL"/>
    <s v="MXN"/>
    <n v="27710"/>
    <n v="92.954503000000003"/>
    <n v="2575769.27813"/>
    <n v="93.326365911183686"/>
    <n v="-10304.321268899999"/>
    <n v="0"/>
    <n v="0"/>
    <n v="0"/>
    <n v="0"/>
    <n v="27710"/>
    <n v="2575769.27813"/>
    <s v="EPER"/>
    <n v="7414000005"/>
  </r>
  <r>
    <x v="235"/>
    <s v="BANCO SANTANDER (MEXICO) FIDEICOMISO F/35740-0"/>
    <x v="30"/>
    <s v="NORMAL"/>
    <s v="MXN"/>
    <n v="33345"/>
    <n v="88.698122999999995"/>
    <n v="2957638.9114350001"/>
    <n v="85.578866967004046"/>
    <n v="104011.59242025"/>
    <n v="0"/>
    <n v="0"/>
    <n v="0"/>
    <n v="0"/>
    <n v="33345"/>
    <n v="2957638.9114350001"/>
    <s v="EPER"/>
    <n v="7414000005"/>
  </r>
  <r>
    <x v="235"/>
    <s v="BANCO SANTANDER (MEXICO) FIDEICOMISO F/35740-0"/>
    <x v="31"/>
    <s v="NORMAL"/>
    <s v="MXN"/>
    <n v="70810"/>
    <n v="93.314192000000006"/>
    <n v="6607577.9355199998"/>
    <n v="99.815062490608668"/>
    <n v="-460326.63944"/>
    <n v="0"/>
    <n v="0"/>
    <n v="0"/>
    <n v="0"/>
    <n v="70810"/>
    <n v="6607577.9355199998"/>
    <s v="EPER"/>
    <n v="7414000005"/>
  </r>
  <r>
    <x v="235"/>
    <s v="BANCO SANTANDER (MEXICO) FIDEICOMISO F/35740-0"/>
    <x v="32"/>
    <s v="NORMAL"/>
    <s v="MXN"/>
    <n v="15230"/>
    <n v="94.864168000000006"/>
    <n v="1444781.2786399999"/>
    <n v="96.596719710000002"/>
    <n v="-26386.762543299999"/>
    <n v="0"/>
    <n v="0"/>
    <n v="0"/>
    <n v="0"/>
    <n v="15230"/>
    <n v="1444781.2786399999"/>
    <s v="EPER"/>
    <n v="7414000005"/>
  </r>
  <r>
    <x v="235"/>
    <s v="BANCO SANTANDER (MEXICO) FIDEICOMISO F/35740-0"/>
    <x v="33"/>
    <s v="NORMAL"/>
    <s v="MXN"/>
    <n v="123071"/>
    <n v="94.870157000000006"/>
    <n v="11675765.092147"/>
    <n v="96.987526756170098"/>
    <n v="-260586.81326160999"/>
    <n v="0"/>
    <n v="0"/>
    <n v="0"/>
    <n v="0"/>
    <n v="123071"/>
    <n v="11675765.092147"/>
    <s v="EPER"/>
    <n v="7414000005"/>
  </r>
  <r>
    <x v="235"/>
    <s v="BANCO SANTANDER (MEXICO) FIDEICOMISO F/35740-0"/>
    <x v="34"/>
    <s v="NORMAL"/>
    <s v="MXN"/>
    <n v="57611"/>
    <n v="89.489464999999996"/>
    <n v="5155577.5681149997"/>
    <n v="92.773634099999995"/>
    <n v="-189204.26602010001"/>
    <n v="0"/>
    <n v="0"/>
    <n v="0"/>
    <n v="0"/>
    <n v="57611"/>
    <n v="5155577.5681149997"/>
    <s v="EPER"/>
    <n v="7414000005"/>
  </r>
  <r>
    <x v="235"/>
    <s v="BANCO SANTANDER (MEXICO) FIDEICOMISO F/35740-0"/>
    <x v="35"/>
    <s v="NORMAL"/>
    <s v="MXN"/>
    <n v="101568"/>
    <n v="86.197128000000006"/>
    <n v="8754869.8967039995"/>
    <n v="89.792510955853814"/>
    <n v="-365175.85606015997"/>
    <n v="0"/>
    <n v="0"/>
    <n v="0"/>
    <n v="0"/>
    <n v="101568"/>
    <n v="8754869.8967039995"/>
    <s v="EPER"/>
    <n v="7414000005"/>
  </r>
  <r>
    <x v="235"/>
    <s v="BANCO SANTANDER (MEXICO) FIDEICOMISO F/35740-0"/>
    <x v="36"/>
    <s v="NORMAL"/>
    <s v="MXN"/>
    <n v="81398"/>
    <n v="86.469353999999996"/>
    <n v="7038432.4768920001"/>
    <n v="91.628784022628807"/>
    <n v="-419967.28498194"/>
    <n v="0"/>
    <n v="0"/>
    <n v="0"/>
    <n v="0"/>
    <n v="81398"/>
    <n v="7038432.4768920001"/>
    <s v="EPER"/>
    <n v="7414000005"/>
  </r>
  <r>
    <x v="235"/>
    <s v="BANCO SANTANDER (MEXICO) FIDEICOMISO F/35740-0"/>
    <x v="81"/>
    <s v="NORMAL"/>
    <s v="MXN"/>
    <n v="6218"/>
    <n v="101.45096599999999"/>
    <n v="630822.10658799997"/>
    <n v="114.11447106"/>
    <n v="-78741.674463079995"/>
    <n v="0"/>
    <n v="0"/>
    <n v="0"/>
    <n v="0"/>
    <n v="6218"/>
    <n v="630822.10658799997"/>
    <s v="EPER"/>
    <n v="7414000005"/>
  </r>
  <r>
    <x v="235"/>
    <s v="BANCO SANTANDER (MEXICO) FIDEICOMISO F/35740-0"/>
    <x v="68"/>
    <s v="NORMAL"/>
    <s v="MXN"/>
    <n v="8901"/>
    <n v="89.643172000000007"/>
    <n v="797913.87397199997"/>
    <n v="108.51503560664307"/>
    <n v="-167978.45796273"/>
    <n v="0"/>
    <n v="0"/>
    <n v="0"/>
    <n v="0"/>
    <n v="8901"/>
    <n v="797913.87397199997"/>
    <s v="EPER"/>
    <n v="7414000005"/>
  </r>
  <r>
    <x v="235"/>
    <s v="BANCO SANTANDER (MEXICO) FIDEICOMISO F/35740-0"/>
    <x v="37"/>
    <s v="NORMAL"/>
    <s v="MXN"/>
    <n v="44784"/>
    <n v="81.738860000000003"/>
    <n v="3660593.1062400001"/>
    <n v="86.36497088574491"/>
    <n v="-207175.74990719999"/>
    <n v="0"/>
    <n v="0"/>
    <n v="0"/>
    <n v="0"/>
    <n v="44784"/>
    <n v="3660593.1062400001"/>
    <s v="EPER"/>
    <n v="7414000005"/>
  </r>
  <r>
    <x v="235"/>
    <s v="BANCO SANTANDER (MEXICO) FIDEICOMISO F/35740-0"/>
    <x v="38"/>
    <s v="NORMAL"/>
    <s v="MXN"/>
    <n v="25156"/>
    <n v="83.200761"/>
    <n v="2092998.343716"/>
    <n v="94.635641742949588"/>
    <n v="-287655.85996963998"/>
    <n v="0"/>
    <n v="0"/>
    <n v="0"/>
    <n v="0"/>
    <n v="25156"/>
    <n v="2092998.343716"/>
    <s v="EPER"/>
    <n v="7414000005"/>
  </r>
  <r>
    <x v="235"/>
    <s v="BANCO SANTANDER (MEXICO) FIDEICOMISO F/35740-0"/>
    <x v="39"/>
    <s v="NORMAL"/>
    <s v="MXN"/>
    <n v="91319"/>
    <n v="82.159907000000004"/>
    <n v="7502760.5473330002"/>
    <n v="84.284051838287539"/>
    <n v="-193974.78248758"/>
    <n v="0"/>
    <n v="0"/>
    <n v="0"/>
    <n v="0"/>
    <n v="91319"/>
    <n v="7502760.5473330002"/>
    <s v="EPER"/>
    <n v="7414000005"/>
  </r>
  <r>
    <x v="235"/>
    <s v="BANCO SANTANDER (MEXICO) FIDEICOMISO F/35740-0"/>
    <x v="40"/>
    <s v="NORMAL"/>
    <s v="MXN"/>
    <n v="4600"/>
    <n v="314.42"/>
    <n v="1446332"/>
    <n v="287.3367108695652"/>
    <n v="124583.13"/>
    <n v="0"/>
    <n v="0"/>
    <n v="0"/>
    <n v="0"/>
    <n v="4600"/>
    <n v="1446332"/>
    <s v="EPER"/>
    <n v="7414000005"/>
  </r>
  <r>
    <x v="235"/>
    <s v="BANCO SANTANDER (MEXICO) FIDEICOMISO F/35740-0"/>
    <x v="41"/>
    <s v="NORMAL"/>
    <s v="MXN"/>
    <n v="30700"/>
    <n v="43.85"/>
    <n v="1346195"/>
    <n v="40.844398371335508"/>
    <n v="92271.97"/>
    <n v="0"/>
    <n v="0"/>
    <n v="0"/>
    <n v="0"/>
    <n v="30700"/>
    <n v="1346195"/>
    <s v="EPER"/>
    <n v="7414000005"/>
  </r>
  <r>
    <x v="235"/>
    <s v="BANCO SANTANDER (MEXICO) FIDEICOMISO F/3574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42"/>
    <s v="NORMAL"/>
    <s v="MXN"/>
    <n v="3330"/>
    <n v="8532.5"/>
    <n v="28413225"/>
    <n v="5514.3290570570571"/>
    <n v="10050509.24"/>
    <n v="0"/>
    <n v="0"/>
    <n v="0"/>
    <n v="0"/>
    <n v="3330"/>
    <n v="28413225"/>
    <s v="EPER"/>
    <n v="7414000005"/>
  </r>
  <r>
    <x v="235"/>
    <s v="BANCO SANTANDER (MEXICO) FIDEICOMISO F/35740-0"/>
    <x v="44"/>
    <s v="NORMAL"/>
    <s v="MXN"/>
    <n v="33000"/>
    <n v="36.28"/>
    <n v="1197240"/>
    <n v="39.186360000000001"/>
    <n v="-95909.88"/>
    <n v="0"/>
    <n v="0"/>
    <n v="0"/>
    <n v="0"/>
    <n v="33000"/>
    <n v="1197240"/>
    <s v="EPER"/>
    <n v="7414000005"/>
  </r>
  <r>
    <x v="235"/>
    <s v="BANCO SANTANDER (MEXICO) FIDEICOMISO F/35740-0"/>
    <x v="45"/>
    <s v="NORMAL"/>
    <s v="MXN"/>
    <n v="4600"/>
    <n v="136.35"/>
    <n v="627210"/>
    <n v="118.93737826086956"/>
    <n v="80098.06"/>
    <n v="0"/>
    <n v="0"/>
    <n v="0"/>
    <n v="0"/>
    <n v="4600"/>
    <n v="627210"/>
    <s v="EPER"/>
    <n v="7414000005"/>
  </r>
  <r>
    <x v="235"/>
    <s v="BANCO SANTANDER (MEXICO) FIDEICOMISO F/35740-0"/>
    <x v="211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88"/>
    <s v="NORMAL"/>
    <s v="MXN"/>
    <n v="118588"/>
    <n v="98.007834000000003"/>
    <n v="11622553.018392"/>
    <n v="92.071456745435285"/>
    <n v="703983.10586431995"/>
    <n v="0"/>
    <n v="0"/>
    <n v="0"/>
    <n v="0"/>
    <n v="118588"/>
    <n v="11622553.018392"/>
    <s v="EPER"/>
    <n v="7414000005"/>
  </r>
  <r>
    <x v="235"/>
    <s v="BANCO SANTANDER (MEXICO) FIDEICOMISO F/35740-0"/>
    <x v="48"/>
    <s v="NORMAL"/>
    <s v="MXN"/>
    <n v="10700"/>
    <n v="156"/>
    <n v="1669200"/>
    <n v="134.10337850467289"/>
    <n v="234293.85"/>
    <n v="0"/>
    <n v="0"/>
    <n v="0"/>
    <n v="0"/>
    <n v="10700"/>
    <n v="1669200"/>
    <s v="EPER"/>
    <n v="7414000005"/>
  </r>
  <r>
    <x v="235"/>
    <s v="BANCO SANTANDER (MEXICO) FIDEICOMISO F/35740-0"/>
    <x v="49"/>
    <s v="NORMAL"/>
    <s v="MXN"/>
    <n v="9130"/>
    <n v="682.55"/>
    <n v="6231681.5"/>
    <n v="884.47982037239865"/>
    <n v="-1843619.26"/>
    <n v="0"/>
    <n v="0"/>
    <n v="0"/>
    <n v="0"/>
    <n v="9130"/>
    <n v="6231681.5"/>
    <s v="EPER"/>
    <n v="7414000005"/>
  </r>
  <r>
    <x v="235"/>
    <s v="BANCO SANTANDER (MEXICO) FIDEICOMISO F/35740-0"/>
    <x v="0"/>
    <s v="NORMAL"/>
    <s v="MXN"/>
    <n v="508260"/>
    <n v="3.3967719999999999"/>
    <n v="1726443.33672"/>
    <n v="3.3867270491480737"/>
    <n v="5105.4467199999999"/>
    <n v="0"/>
    <n v="0"/>
    <n v="0"/>
    <n v="0"/>
    <n v="508260"/>
    <n v="1726443.33672"/>
    <s v="EPER"/>
    <n v="7414000005"/>
  </r>
  <r>
    <x v="235"/>
    <s v="BANCO SANTANDER (MEXICO) FIDEICOMISO F/35740-0"/>
    <x v="50"/>
    <s v="NORMAL"/>
    <s v="MXN"/>
    <n v="44000"/>
    <n v="31.41"/>
    <n v="1382040"/>
    <n v="32.24076454090909"/>
    <n v="-36553.639799999997"/>
    <n v="0"/>
    <n v="0"/>
    <n v="0"/>
    <n v="0"/>
    <n v="44000"/>
    <n v="1382040"/>
    <s v="EPER"/>
    <n v="7414000005"/>
  </r>
  <r>
    <x v="235"/>
    <s v="BANCO SANTANDER (MEXICO) FIDEICOMISO F/35740-0"/>
    <x v="51"/>
    <s v="NORMAL"/>
    <s v="MXN"/>
    <n v="6904"/>
    <n v="775.69178699999998"/>
    <n v="5355376.0974479998"/>
    <n v="766.69784126000002"/>
    <n v="62094.201388959998"/>
    <n v="0"/>
    <n v="0"/>
    <n v="0"/>
    <n v="0"/>
    <n v="6904"/>
    <n v="5355376.0974479998"/>
    <s v="EPER"/>
    <n v="7414000005"/>
  </r>
  <r>
    <x v="235"/>
    <s v="BANCO SANTANDER (MEXICO) FIDEICOMISO F/35740-0"/>
    <x v="52"/>
    <s v="NORMAL"/>
    <s v="MXN"/>
    <n v="18689"/>
    <n v="747.17843200000004"/>
    <n v="13964017.715647999"/>
    <n v="722.34527569465456"/>
    <n v="464106.8581906"/>
    <n v="0"/>
    <n v="0"/>
    <n v="0"/>
    <n v="0"/>
    <n v="18689"/>
    <n v="13964017.715647999"/>
    <s v="EPER"/>
    <n v="7414000005"/>
  </r>
  <r>
    <x v="235"/>
    <s v="BANCO SANTANDER (MEXICO) FIDEICOMISO F/35740-0"/>
    <x v="53"/>
    <s v="NORMAL"/>
    <s v="MXN"/>
    <n v="7111"/>
    <n v="765.92388300000005"/>
    <n v="5446484.7320130002"/>
    <n v="758.40105674026017"/>
    <n v="53494.817533009998"/>
    <n v="0"/>
    <n v="0"/>
    <n v="0"/>
    <n v="0"/>
    <n v="7111"/>
    <n v="5446484.7320130002"/>
    <s v="EPER"/>
    <n v="7414000005"/>
  </r>
  <r>
    <x v="235"/>
    <s v="BANCO SANTANDER (MEXICO) FIDEICOMISO F/35740-0"/>
    <x v="54"/>
    <s v="NORMAL"/>
    <s v="MXN"/>
    <n v="9323"/>
    <n v="684.88915799999995"/>
    <n v="6385221.6200339999"/>
    <n v="680.54355096886195"/>
    <n v="40514.094351300002"/>
    <n v="0"/>
    <n v="0"/>
    <n v="0"/>
    <n v="0"/>
    <n v="9323"/>
    <n v="6385221.6200339999"/>
    <s v="EPER"/>
    <n v="7414000005"/>
  </r>
  <r>
    <x v="235"/>
    <s v="BANCO SANTANDER (MEXICO) FIDEICOMISO F/35740-0"/>
    <x v="55"/>
    <s v="NORMAL"/>
    <s v="MXN"/>
    <n v="3822"/>
    <n v="772.926965"/>
    <n v="2954126.8602300002"/>
    <n v="798.93664675000002"/>
    <n v="-99409.003648500002"/>
    <n v="0"/>
    <n v="0"/>
    <n v="0"/>
    <n v="0"/>
    <n v="3822"/>
    <n v="2954126.8602300002"/>
    <s v="EPER"/>
    <n v="7414000005"/>
  </r>
  <r>
    <x v="235"/>
    <s v="BANCO SANTANDER (MEXICO) FIDEICOMISO F/35740-0"/>
    <x v="56"/>
    <s v="NORMAL"/>
    <s v="MXN"/>
    <n v="9412"/>
    <n v="721.59464000000003"/>
    <n v="6791648.7516799998"/>
    <n v="756.80876154499254"/>
    <n v="-331435.31198146997"/>
    <n v="0"/>
    <n v="0"/>
    <n v="0"/>
    <n v="0"/>
    <n v="9412"/>
    <n v="6791648.7516799998"/>
    <s v="EPER"/>
    <n v="7414000005"/>
  </r>
  <r>
    <x v="235"/>
    <s v="BANCO SANTANDER (MEXICO) FIDEICOMISO F/35740-0"/>
    <x v="57"/>
    <s v="NORMAL"/>
    <s v="MXN"/>
    <n v="3117"/>
    <n v="635.96311900000001"/>
    <n v="1982297.041923"/>
    <n v="647.93802047999998"/>
    <n v="-37325.767913160002"/>
    <n v="0"/>
    <n v="0"/>
    <n v="0"/>
    <n v="0"/>
    <n v="3117"/>
    <n v="1982297.041923"/>
    <s v="EPER"/>
    <n v="7414000005"/>
  </r>
  <r>
    <x v="235"/>
    <s v="BANCO SANTANDER (MEXICO) FIDEICOMISO F/35740-0"/>
    <x v="58"/>
    <s v="NORMAL"/>
    <s v="MXN"/>
    <n v="9760"/>
    <n v="709.36974099999998"/>
    <n v="6923448.6721599996"/>
    <n v="724.63651936999997"/>
    <n v="-149003.7568912"/>
    <n v="0"/>
    <n v="0"/>
    <n v="0"/>
    <n v="0"/>
    <n v="9760"/>
    <n v="6923448.6721599996"/>
    <s v="EPER"/>
    <n v="7414000005"/>
  </r>
  <r>
    <x v="235"/>
    <s v="BANCO SANTANDER (MEXICO) FIDEICOMISO F/35740-0"/>
    <x v="59"/>
    <s v="NORMAL"/>
    <s v="MXN"/>
    <n v="11554"/>
    <n v="694.41118700000004"/>
    <n v="8023226.8545979997"/>
    <n v="740.88292840283623"/>
    <n v="-536934.50016836997"/>
    <n v="0"/>
    <n v="0"/>
    <n v="0"/>
    <n v="0"/>
    <n v="11554"/>
    <n v="8023226.8545979997"/>
    <s v="EPER"/>
    <n v="7414000005"/>
  </r>
  <r>
    <x v="235"/>
    <s v="BANCO SANTANDER (MEXICO) FIDEICOMISO F/35740-0"/>
    <x v="60"/>
    <s v="NORMAL"/>
    <s v="MXN"/>
    <n v="35000"/>
    <n v="58.67"/>
    <n v="2053450"/>
    <n v="59.246843428571431"/>
    <n v="-20189.52"/>
    <n v="0"/>
    <n v="0"/>
    <n v="0"/>
    <n v="0"/>
    <n v="35000"/>
    <n v="2053450"/>
    <s v="EPER"/>
    <n v="7414000005"/>
  </r>
  <r>
    <x v="235"/>
    <s v="BANCO SANTANDER (MEXICO) FIDEICOMISO F/35740-0"/>
    <x v="61"/>
    <s v="NORMAL"/>
    <s v="MXN"/>
    <n v="6900"/>
    <n v="1090"/>
    <n v="7521000"/>
    <n v="1149.3202898550724"/>
    <n v="-409310"/>
    <n v="0"/>
    <n v="0"/>
    <n v="0"/>
    <n v="0"/>
    <n v="6900"/>
    <n v="7521000"/>
    <s v="EPER"/>
    <n v="7414000005"/>
  </r>
  <r>
    <x v="235"/>
    <s v="BANCO SANTANDER (MEXICO) FIDEICOMISO F/35740-0"/>
    <x v="63"/>
    <s v="NORMAL"/>
    <s v="MXN"/>
    <n v="77200"/>
    <n v="65.260000000000005"/>
    <n v="5038072"/>
    <n v="69.310226943005176"/>
    <n v="-312677.52"/>
    <n v="0"/>
    <n v="0"/>
    <n v="0"/>
    <n v="0"/>
    <n v="77200"/>
    <n v="5038072"/>
    <s v="EPER"/>
    <n v="7414000005"/>
  </r>
  <r>
    <x v="236"/>
    <s v="BANCO SANTANDER (MEXICO) FIDEICOMISO F/100078-0"/>
    <x v="5"/>
    <s v="NORMAL"/>
    <s v="MXN"/>
    <n v="20"/>
    <n v="1786.5"/>
    <n v="35730"/>
    <n v="1644.453"/>
    <n v="2840.94"/>
    <n v="0"/>
    <n v="0"/>
    <n v="0"/>
    <n v="0"/>
    <n v="20"/>
    <n v="35730"/>
    <s v="EPER"/>
    <n v="7414000005"/>
  </r>
  <r>
    <x v="236"/>
    <s v="BANCO SANTANDER (MEXICO) FIDEICOMISO F/100078-0"/>
    <x v="85"/>
    <s v="NORMAL"/>
    <s v="MXN"/>
    <n v="24"/>
    <n v="97.654420999999999"/>
    <n v="2343.7061039999999"/>
    <n v="98.224185000000006"/>
    <n v="-13.674336"/>
    <n v="0"/>
    <n v="0"/>
    <n v="0"/>
    <n v="0"/>
    <n v="24"/>
    <n v="2343.7061039999999"/>
    <s v="EPER"/>
    <n v="7414000005"/>
  </r>
  <r>
    <x v="236"/>
    <s v="BANCO SANTANDER (MEXICO) FIDEICOMISO F/100078-0"/>
    <x v="89"/>
    <s v="NORMAL"/>
    <s v="MXN"/>
    <n v="11400"/>
    <n v="3.1390400000000001"/>
    <n v="35785.055999999997"/>
    <n v="2.8219964912280702"/>
    <n v="3614.2959999999998"/>
    <n v="0"/>
    <n v="0"/>
    <n v="0"/>
    <n v="0"/>
    <n v="11400"/>
    <n v="35785.055999999997"/>
    <s v="EPER"/>
    <n v="7414000005"/>
  </r>
  <r>
    <x v="236"/>
    <s v="BANCO SANTANDER (MEXICO) FIDEICOMISO F/100078-0"/>
    <x v="0"/>
    <s v="NORMAL"/>
    <s v="MXN"/>
    <n v="34239"/>
    <n v="3.3967719999999999"/>
    <n v="116302.076508"/>
    <n v="3.3151429656239961"/>
    <n v="2794.8965079999998"/>
    <n v="0"/>
    <n v="0"/>
    <n v="0"/>
    <n v="0"/>
    <n v="34239"/>
    <n v="116302.076508"/>
    <s v="EPER"/>
    <n v="7414000005"/>
  </r>
  <r>
    <x v="237"/>
    <s v="BANCO SANTANDER (MEXICO) FIDEICOMISO F/100079-0"/>
    <x v="4"/>
    <s v="NORMAL"/>
    <s v="MXN"/>
    <n v="4700"/>
    <n v="168.64"/>
    <n v="792608"/>
    <n v="178.07922978723406"/>
    <n v="-44364.38"/>
    <n v="0"/>
    <n v="0"/>
    <n v="0"/>
    <n v="0"/>
    <n v="4700"/>
    <n v="792608"/>
    <s v="EPER"/>
    <n v="7414000005"/>
  </r>
  <r>
    <x v="237"/>
    <s v="BANCO SANTANDER (MEXICO) FIDEICOMISO F/100079-0"/>
    <x v="5"/>
    <s v="NORMAL"/>
    <s v="MXN"/>
    <n v="4520"/>
    <n v="1786.5"/>
    <n v="8074980"/>
    <n v="1828.7583738938054"/>
    <n v="-191007.85"/>
    <n v="0"/>
    <n v="0"/>
    <n v="0"/>
    <n v="0"/>
    <n v="4520"/>
    <n v="8074980"/>
    <s v="EPER"/>
    <n v="7414000005"/>
  </r>
  <r>
    <x v="237"/>
    <s v="BANCO SANTANDER (MEXICO) FIDEICOMISO F/100079-0"/>
    <x v="187"/>
    <s v="NORMAL"/>
    <s v="MXN"/>
    <n v="14900"/>
    <n v="11.86"/>
    <n v="176714"/>
    <n v="12.184013422818792"/>
    <n v="-4827.8"/>
    <n v="0"/>
    <n v="0"/>
    <n v="0"/>
    <n v="0"/>
    <n v="14900"/>
    <n v="176714"/>
    <s v="EPER"/>
    <n v="7414000005"/>
  </r>
  <r>
    <x v="237"/>
    <s v="BANCO SANTANDER (MEXICO) FIDEICOMISO F/100079-0"/>
    <x v="7"/>
    <s v="NORMAL"/>
    <s v="MXN"/>
    <n v="13200"/>
    <n v="73.37"/>
    <n v="968484"/>
    <n v="61.983649242424242"/>
    <n v="150299.82999999999"/>
    <n v="0"/>
    <n v="0"/>
    <n v="0"/>
    <n v="0"/>
    <n v="13200"/>
    <n v="968484"/>
    <s v="EPER"/>
    <n v="7414000005"/>
  </r>
  <r>
    <x v="237"/>
    <s v="BANCO SANTANDER (MEXICO) FIDEICOMISO F/100079-0"/>
    <x v="10"/>
    <s v="NORMAL"/>
    <s v="MXN"/>
    <n v="197000"/>
    <n v="15.12"/>
    <n v="2978640"/>
    <n v="16.152912687309644"/>
    <n v="-203483.79939999999"/>
    <n v="0"/>
    <n v="0"/>
    <n v="0"/>
    <n v="0"/>
    <n v="197000"/>
    <n v="2978640"/>
    <s v="EPER"/>
    <n v="7414000005"/>
  </r>
  <r>
    <x v="237"/>
    <s v="BANCO SANTANDER (MEXICO) FIDEICOMISO F/100079-0"/>
    <x v="11"/>
    <s v="NORMAL"/>
    <s v="MXN"/>
    <n v="3600"/>
    <n v="525.09"/>
    <n v="1890324"/>
    <n v="491.51876944444444"/>
    <n v="120856.43"/>
    <n v="0"/>
    <n v="0"/>
    <n v="0"/>
    <n v="0"/>
    <n v="3600"/>
    <n v="1890324"/>
    <s v="EPER"/>
    <n v="7414000005"/>
  </r>
  <r>
    <x v="237"/>
    <s v="BANCO SANTANDER (MEXICO) FIDEICOMISO F/100079-0"/>
    <x v="12"/>
    <s v="NORMAL"/>
    <s v="MXN"/>
    <n v="8500"/>
    <n v="68.25"/>
    <n v="580125"/>
    <n v="78.641038823529414"/>
    <n v="-88323.83"/>
    <n v="0"/>
    <n v="0"/>
    <n v="0"/>
    <n v="0"/>
    <n v="8500"/>
    <n v="580125"/>
    <s v="EPER"/>
    <n v="7414000005"/>
  </r>
  <r>
    <x v="237"/>
    <s v="BANCO SANTANDER (MEXICO) FIDEICOMISO F/100079-0"/>
    <x v="14"/>
    <s v="NORMAL"/>
    <s v="MXN"/>
    <n v="238500"/>
    <n v="14.33"/>
    <n v="3417705"/>
    <n v="12.137728930817611"/>
    <n v="522856.65"/>
    <n v="0"/>
    <n v="0"/>
    <n v="0"/>
    <n v="0"/>
    <n v="238500"/>
    <n v="3417705"/>
    <s v="EPER"/>
    <n v="7414000005"/>
  </r>
  <r>
    <x v="237"/>
    <s v="BANCO SANTANDER (MEXICO) FIDEICOMISO F/100079-0"/>
    <x v="85"/>
    <s v="NORMAL"/>
    <s v="MXN"/>
    <n v="1692"/>
    <n v="97.654420999999999"/>
    <n v="165231.28033199999"/>
    <n v="98.224185000000006"/>
    <n v="-964.04068800000005"/>
    <n v="0"/>
    <n v="0"/>
    <n v="0"/>
    <n v="0"/>
    <n v="1692"/>
    <n v="165231.28033199999"/>
    <s v="EPER"/>
    <n v="7414000005"/>
  </r>
  <r>
    <x v="237"/>
    <s v="BANCO SANTANDER (MEXICO) FIDEICOMISO F/100079-0"/>
    <x v="86"/>
    <s v="NORMAL"/>
    <s v="MXN"/>
    <n v="359901"/>
    <n v="9.4935880000000008"/>
    <n v="3416751.8147880002"/>
    <n v="8.4405498100000003"/>
    <n v="378989.49761919002"/>
    <n v="0"/>
    <n v="0"/>
    <n v="0"/>
    <n v="0"/>
    <n v="359901"/>
    <n v="3416751.8147880002"/>
    <s v="EPER"/>
    <n v="7414000005"/>
  </r>
  <r>
    <x v="237"/>
    <s v="BANCO SANTANDER (MEXICO) FIDEICOMISO F/100079-0"/>
    <x v="72"/>
    <s v="NORMAL"/>
    <s v="MXN"/>
    <n v="490130"/>
    <n v="9.3381629999999998"/>
    <n v="4576913.8311900003"/>
    <n v="8.3307969100000001"/>
    <n v="493740.34169169998"/>
    <n v="0"/>
    <n v="0"/>
    <n v="0"/>
    <n v="0"/>
    <n v="490130"/>
    <n v="4576913.8311900003"/>
    <s v="EPER"/>
    <n v="7414000005"/>
  </r>
  <r>
    <x v="237"/>
    <s v="BANCO SANTANDER (MEXICO) FIDEICOMISO F/100079-0"/>
    <x v="17"/>
    <s v="NORMAL"/>
    <s v="MXN"/>
    <n v="4000"/>
    <n v="675.38"/>
    <n v="2701520"/>
    <n v="752.82341250000002"/>
    <n v="-309773.65000000002"/>
    <n v="0"/>
    <n v="0"/>
    <n v="0"/>
    <n v="0"/>
    <n v="4000"/>
    <n v="2701520"/>
    <s v="EPER"/>
    <n v="7414000005"/>
  </r>
  <r>
    <x v="237"/>
    <s v="BANCO SANTANDER (MEXICO) FIDEICOMISO F/100079-0"/>
    <x v="18"/>
    <s v="NORMAL"/>
    <s v="MXN"/>
    <n v="890"/>
    <n v="700.65"/>
    <n v="623578.5"/>
    <n v="762.20196629213478"/>
    <n v="-54781.25"/>
    <n v="0"/>
    <n v="0"/>
    <n v="0"/>
    <n v="0"/>
    <n v="890"/>
    <n v="623578.5"/>
    <s v="EPER"/>
    <n v="7414000005"/>
  </r>
  <r>
    <x v="237"/>
    <s v="BANCO SANTANDER (MEXICO) FIDEICOMISO F/100079-0"/>
    <x v="19"/>
    <s v="NORMAL"/>
    <s v="MXN"/>
    <n v="1720"/>
    <n v="1151"/>
    <n v="1979720"/>
    <n v="982.34045348837208"/>
    <n v="290094.42"/>
    <n v="0"/>
    <n v="0"/>
    <n v="0"/>
    <n v="0"/>
    <n v="1720"/>
    <n v="1979720"/>
    <s v="EPER"/>
    <n v="7414000005"/>
  </r>
  <r>
    <x v="237"/>
    <s v="BANCO SANTANDER (MEXICO) FIDEICOMISO F/100079-0"/>
    <x v="20"/>
    <s v="NORMAL"/>
    <s v="MXN"/>
    <n v="17800"/>
    <n v="207.81"/>
    <n v="3699018"/>
    <n v="177.93453595505619"/>
    <n v="531783.26"/>
    <n v="0"/>
    <n v="0"/>
    <n v="0"/>
    <n v="0"/>
    <n v="17800"/>
    <n v="3699018"/>
    <s v="EPER"/>
    <n v="7414000005"/>
  </r>
  <r>
    <x v="237"/>
    <s v="BANCO SANTANDER (MEXICO) FIDEICOMISO F/100079-0"/>
    <x v="21"/>
    <s v="NORMAL"/>
    <s v="MXN"/>
    <n v="1900"/>
    <n v="271.94"/>
    <n v="516686"/>
    <n v="290.68908947368419"/>
    <n v="-35623.269999999997"/>
    <n v="0"/>
    <n v="0"/>
    <n v="0"/>
    <n v="0"/>
    <n v="1900"/>
    <n v="516686"/>
    <s v="EPER"/>
    <n v="7414000005"/>
  </r>
  <r>
    <x v="237"/>
    <s v="BANCO SANTANDER (MEXICO) FIDEICOMISO F/100079-0"/>
    <x v="22"/>
    <s v="NORMAL"/>
    <s v="MXN"/>
    <n v="6000"/>
    <n v="193.15"/>
    <n v="1158900"/>
    <n v="163.59802833333333"/>
    <n v="177311.83"/>
    <n v="0"/>
    <n v="0"/>
    <n v="0"/>
    <n v="0"/>
    <n v="6000"/>
    <n v="1158900"/>
    <s v="EPER"/>
    <n v="7414000005"/>
  </r>
  <r>
    <x v="237"/>
    <s v="BANCO SANTANDER (MEXICO) FIDEICOMISO F/100079-0"/>
    <x v="23"/>
    <s v="NORMAL"/>
    <s v="MXN"/>
    <n v="45000"/>
    <n v="27.12"/>
    <n v="1220400"/>
    <n v="22.565322444444444"/>
    <n v="204960.49"/>
    <n v="0"/>
    <n v="0"/>
    <n v="0"/>
    <n v="0"/>
    <n v="45000"/>
    <n v="1220400"/>
    <s v="EPER"/>
    <n v="7414000005"/>
  </r>
  <r>
    <x v="237"/>
    <s v="BANCO SANTANDER (MEXICO) FIDEICOMISO F/100079-0"/>
    <x v="24"/>
    <s v="NORMAL"/>
    <s v="MXN"/>
    <n v="28100"/>
    <n v="176.44"/>
    <n v="4957964"/>
    <n v="147.64830604982205"/>
    <n v="809046.6"/>
    <n v="0"/>
    <n v="0"/>
    <n v="0"/>
    <n v="0"/>
    <n v="28100"/>
    <n v="4957964"/>
    <s v="EPER"/>
    <n v="7414000005"/>
  </r>
  <r>
    <x v="237"/>
    <s v="BANCO SANTANDER (MEXICO) FIDEICOMISO F/100079-0"/>
    <x v="25"/>
    <s v="NORMAL"/>
    <s v="MXN"/>
    <n v="35600"/>
    <n v="104.12"/>
    <n v="3706672"/>
    <n v="83.802376123595508"/>
    <n v="723307.41"/>
    <n v="0"/>
    <n v="0"/>
    <n v="0"/>
    <n v="0"/>
    <n v="35600"/>
    <n v="3706672"/>
    <s v="EPER"/>
    <n v="7414000005"/>
  </r>
  <r>
    <x v="237"/>
    <s v="BANCO SANTANDER (MEXICO) FIDEICOMISO F/100079-0"/>
    <x v="26"/>
    <s v="NORMAL"/>
    <s v="MXN"/>
    <n v="23840"/>
    <n v="98.730349000000004"/>
    <n v="2353731.5201599998"/>
    <n v="104.24610289529782"/>
    <n v="-131495.57286389999"/>
    <n v="0"/>
    <n v="0"/>
    <n v="0"/>
    <n v="0"/>
    <n v="23840"/>
    <n v="2353731.5201599998"/>
    <s v="EPER"/>
    <n v="7414000005"/>
  </r>
  <r>
    <x v="237"/>
    <s v="BANCO SANTANDER (MEXICO) FIDEICOMISO F/100079-0"/>
    <x v="67"/>
    <s v="NORMAL"/>
    <s v="MXN"/>
    <n v="27222"/>
    <n v="99.247497999999993"/>
    <n v="2701715.3905560002"/>
    <n v="112.43067486209904"/>
    <n v="-358872.44054005999"/>
    <n v="0"/>
    <n v="0"/>
    <n v="0"/>
    <n v="0"/>
    <n v="27222"/>
    <n v="2701715.3905560002"/>
    <s v="EPER"/>
    <n v="7414000005"/>
  </r>
  <r>
    <x v="237"/>
    <s v="BANCO SANTANDER (MEXICO) FIDEICOMISO F/100079-0"/>
    <x v="27"/>
    <s v="NORMAL"/>
    <s v="MXN"/>
    <n v="8490"/>
    <n v="94.973146999999997"/>
    <n v="806322.01803000004"/>
    <n v="89.77783047021201"/>
    <n v="44108.237337899998"/>
    <n v="0"/>
    <n v="0"/>
    <n v="0"/>
    <n v="0"/>
    <n v="8490"/>
    <n v="806322.01803000004"/>
    <s v="EPER"/>
    <n v="7414000005"/>
  </r>
  <r>
    <x v="237"/>
    <s v="BANCO SANTANDER (MEXICO) FIDEICOMISO F/100079-0"/>
    <x v="28"/>
    <s v="NORMAL"/>
    <s v="MXN"/>
    <n v="29069"/>
    <n v="91.911821000000003"/>
    <n v="2671784.724649"/>
    <n v="93.2088459"/>
    <n v="-37703.216818100002"/>
    <n v="0"/>
    <n v="0"/>
    <n v="0"/>
    <n v="0"/>
    <n v="29069"/>
    <n v="2671784.724649"/>
    <s v="EPER"/>
    <n v="7414000005"/>
  </r>
  <r>
    <x v="237"/>
    <s v="BANCO SANTANDER (MEXICO) FIDEICOMISO F/100079-0"/>
    <x v="29"/>
    <s v="NORMAL"/>
    <s v="MXN"/>
    <n v="14810"/>
    <n v="92.954503000000003"/>
    <n v="1376656.18943"/>
    <n v="93.326521780931799"/>
    <n v="-5509.5981456"/>
    <n v="0"/>
    <n v="0"/>
    <n v="0"/>
    <n v="0"/>
    <n v="14810"/>
    <n v="1376656.18943"/>
    <s v="EPER"/>
    <n v="7414000005"/>
  </r>
  <r>
    <x v="237"/>
    <s v="BANCO SANTANDER (MEXICO) FIDEICOMISO F/100079-0"/>
    <x v="30"/>
    <s v="NORMAL"/>
    <s v="MXN"/>
    <n v="14718"/>
    <n v="88.698122999999995"/>
    <n v="1305458.974314"/>
    <n v="85.579178033424384"/>
    <n v="45904.632018060001"/>
    <n v="0"/>
    <n v="0"/>
    <n v="0"/>
    <n v="0"/>
    <n v="14718"/>
    <n v="1305458.974314"/>
    <s v="EPER"/>
    <n v="7414000005"/>
  </r>
  <r>
    <x v="237"/>
    <s v="BANCO SANTANDER (MEXICO) FIDEICOMISO F/100079-0"/>
    <x v="31"/>
    <s v="NORMAL"/>
    <s v="MXN"/>
    <n v="30790"/>
    <n v="93.314192000000006"/>
    <n v="2873143.97168"/>
    <n v="99.098739295319902"/>
    <n v="-178106.21122289999"/>
    <n v="0"/>
    <n v="0"/>
    <n v="0"/>
    <n v="0"/>
    <n v="30790"/>
    <n v="2873143.97168"/>
    <s v="EPER"/>
    <n v="7414000005"/>
  </r>
  <r>
    <x v="237"/>
    <s v="BANCO SANTANDER (MEXICO) FIDEICOMISO F/100079-0"/>
    <x v="32"/>
    <s v="NORMAL"/>
    <s v="MXN"/>
    <n v="26160"/>
    <n v="94.864168000000006"/>
    <n v="2481646.6348799998"/>
    <n v="96.400284050443432"/>
    <n v="-40184.795879600002"/>
    <n v="0"/>
    <n v="0"/>
    <n v="0"/>
    <n v="0"/>
    <n v="26160"/>
    <n v="2481646.6348799998"/>
    <s v="EPER"/>
    <n v="7414000005"/>
  </r>
  <r>
    <x v="237"/>
    <s v="BANCO SANTANDER (MEXICO) FIDEICOMISO F/100079-0"/>
    <x v="33"/>
    <s v="NORMAL"/>
    <s v="MXN"/>
    <n v="74693"/>
    <n v="94.870157000000006"/>
    <n v="7086136.6368009998"/>
    <n v="96.757260273500862"/>
    <n v="-140953.40480759999"/>
    <n v="0"/>
    <n v="0"/>
    <n v="0"/>
    <n v="0"/>
    <n v="74693"/>
    <n v="7086136.6368009998"/>
    <s v="EPER"/>
    <n v="7414000005"/>
  </r>
  <r>
    <x v="237"/>
    <s v="BANCO SANTANDER (MEXICO) FIDEICOMISO F/100079-0"/>
    <x v="34"/>
    <s v="NORMAL"/>
    <s v="MXN"/>
    <n v="37617"/>
    <n v="89.489464999999996"/>
    <n v="3366325.204905"/>
    <n v="91.229590010315547"/>
    <n v="-65458.282513040002"/>
    <n v="0"/>
    <n v="0"/>
    <n v="0"/>
    <n v="0"/>
    <n v="37617"/>
    <n v="3366325.204905"/>
    <s v="EPER"/>
    <n v="7414000005"/>
  </r>
  <r>
    <x v="237"/>
    <s v="BANCO SANTANDER (MEXICO) FIDEICOMISO F/100079-0"/>
    <x v="35"/>
    <s v="NORMAL"/>
    <s v="MXN"/>
    <n v="73602"/>
    <n v="86.197128000000006"/>
    <n v="6344281.0150560001"/>
    <n v="89.410812547518276"/>
    <n v="-236533.61006643999"/>
    <n v="0"/>
    <n v="0"/>
    <n v="0"/>
    <n v="0"/>
    <n v="73602"/>
    <n v="6344281.0150560001"/>
    <s v="EPER"/>
    <n v="7414000005"/>
  </r>
  <r>
    <x v="237"/>
    <s v="BANCO SANTANDER (MEXICO) FIDEICOMISO F/100079-0"/>
    <x v="36"/>
    <s v="NORMAL"/>
    <s v="MXN"/>
    <n v="54592"/>
    <n v="86.469353999999996"/>
    <n v="4720534.9735679999"/>
    <n v="90.725366333467903"/>
    <n v="-232344.22530868"/>
    <n v="0"/>
    <n v="0"/>
    <n v="0"/>
    <n v="0"/>
    <n v="54592"/>
    <n v="4720534.9735679999"/>
    <s v="EPER"/>
    <n v="7414000005"/>
  </r>
  <r>
    <x v="237"/>
    <s v="BANCO SANTANDER (MEXICO) FIDEICOMISO F/100079-0"/>
    <x v="81"/>
    <s v="NORMAL"/>
    <s v="MXN"/>
    <n v="2384"/>
    <n v="101.45096599999999"/>
    <n v="241859.10294400001"/>
    <n v="114.11447106"/>
    <n v="-30189.796063040001"/>
    <n v="0"/>
    <n v="0"/>
    <n v="0"/>
    <n v="0"/>
    <n v="2384"/>
    <n v="241859.10294400001"/>
    <s v="EPER"/>
    <n v="7414000005"/>
  </r>
  <r>
    <x v="237"/>
    <s v="BANCO SANTANDER (MEXICO) FIDEICOMISO F/100079-0"/>
    <x v="68"/>
    <s v="NORMAL"/>
    <s v="MXN"/>
    <n v="2262"/>
    <n v="89.643172000000007"/>
    <n v="202772.855064"/>
    <n v="108.47711812999999"/>
    <n v="-42602.386146060002"/>
    <n v="0"/>
    <n v="0"/>
    <n v="0"/>
    <n v="0"/>
    <n v="2262"/>
    <n v="202772.855064"/>
    <s v="EPER"/>
    <n v="7414000005"/>
  </r>
  <r>
    <x v="237"/>
    <s v="BANCO SANTANDER (MEXICO) FIDEICOMISO F/100079-0"/>
    <x v="37"/>
    <s v="NORMAL"/>
    <s v="MXN"/>
    <n v="57197"/>
    <n v="81.738860000000003"/>
    <n v="4675217.5754199997"/>
    <n v="86.571683953352803"/>
    <n v="-276423.03165992"/>
    <n v="0"/>
    <n v="0"/>
    <n v="0"/>
    <n v="0"/>
    <n v="57197"/>
    <n v="4675217.5754199997"/>
    <s v="EPER"/>
    <n v="7414000005"/>
  </r>
  <r>
    <x v="237"/>
    <s v="BANCO SANTANDER (MEXICO) FIDEICOMISO F/100079-0"/>
    <x v="38"/>
    <s v="NORMAL"/>
    <s v="MXN"/>
    <n v="7361"/>
    <n v="83.200761"/>
    <n v="612440.801721"/>
    <n v="89.577829020963179"/>
    <n v="-46941.597702309999"/>
    <n v="0"/>
    <n v="0"/>
    <n v="0"/>
    <n v="0"/>
    <n v="7361"/>
    <n v="612440.801721"/>
    <s v="EPER"/>
    <n v="7414000005"/>
  </r>
  <r>
    <x v="237"/>
    <s v="BANCO SANTANDER (MEXICO) FIDEICOMISO F/100079-0"/>
    <x v="39"/>
    <s v="NORMAL"/>
    <s v="MXN"/>
    <n v="66857"/>
    <n v="82.159907000000004"/>
    <n v="5492964.902299"/>
    <n v="84.03741826646035"/>
    <n v="-125524.77074173999"/>
    <n v="0"/>
    <n v="0"/>
    <n v="0"/>
    <n v="0"/>
    <n v="66857"/>
    <n v="5492964.902299"/>
    <s v="EPER"/>
    <n v="7414000005"/>
  </r>
  <r>
    <x v="237"/>
    <s v="BANCO SANTANDER (MEXICO) FIDEICOMISO F/100079-0"/>
    <x v="40"/>
    <s v="NORMAL"/>
    <s v="MXN"/>
    <n v="3000"/>
    <n v="314.42"/>
    <n v="943260"/>
    <n v="294.54498000000001"/>
    <n v="59625.06"/>
    <n v="0"/>
    <n v="0"/>
    <n v="0"/>
    <n v="0"/>
    <n v="3000"/>
    <n v="943260"/>
    <s v="EPER"/>
    <n v="7414000005"/>
  </r>
  <r>
    <x v="237"/>
    <s v="BANCO SANTANDER (MEXICO) FIDEICOMISO F/100079-0"/>
    <x v="41"/>
    <s v="NORMAL"/>
    <s v="MXN"/>
    <n v="18200"/>
    <n v="43.85"/>
    <n v="798070"/>
    <n v="41.234807142857143"/>
    <n v="47596.51"/>
    <n v="0"/>
    <n v="0"/>
    <n v="0"/>
    <n v="0"/>
    <n v="18200"/>
    <n v="798070"/>
    <s v="EPER"/>
    <n v="7414000005"/>
  </r>
  <r>
    <x v="237"/>
    <s v="BANCO SANTANDER (MEXICO) FIDEICOMISO F/100079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7"/>
    <s v="BANCO SANTANDER (MEXICO) FIDEICOMISO F/100079-0"/>
    <x v="42"/>
    <s v="NORMAL"/>
    <s v="MXN"/>
    <n v="1550"/>
    <n v="8532.5"/>
    <n v="13225375"/>
    <n v="5148.3243354838705"/>
    <n v="5245472.28"/>
    <n v="0"/>
    <n v="0"/>
    <n v="0"/>
    <n v="0"/>
    <n v="1550"/>
    <n v="13225375"/>
    <s v="EPER"/>
    <n v="7414000005"/>
  </r>
  <r>
    <x v="237"/>
    <s v="BANCO SANTANDER (MEXICO) FIDEICOMISO F/100079-0"/>
    <x v="44"/>
    <s v="NORMAL"/>
    <s v="MXN"/>
    <n v="22000"/>
    <n v="36.28"/>
    <n v="798160"/>
    <n v="39.126048636363635"/>
    <n v="-62613.07"/>
    <n v="0"/>
    <n v="0"/>
    <n v="0"/>
    <n v="0"/>
    <n v="22000"/>
    <n v="798160"/>
    <s v="EPER"/>
    <n v="7414000005"/>
  </r>
  <r>
    <x v="237"/>
    <s v="BANCO SANTANDER (MEXICO) FIDEICOMISO F/100079-0"/>
    <x v="45"/>
    <s v="NORMAL"/>
    <s v="MXN"/>
    <n v="2900"/>
    <n v="136.35"/>
    <n v="395415"/>
    <n v="119.04779655172413"/>
    <n v="50176.39"/>
    <n v="0"/>
    <n v="0"/>
    <n v="0"/>
    <n v="0"/>
    <n v="2900"/>
    <n v="395415"/>
    <s v="EPER"/>
    <n v="7414000005"/>
  </r>
  <r>
    <x v="237"/>
    <s v="BANCO SANTANDER (MEXICO) FIDEICOMISO F/100079-0"/>
    <x v="88"/>
    <s v="NORMAL"/>
    <s v="MXN"/>
    <n v="63259"/>
    <n v="98.007834000000003"/>
    <n v="6199877.571006"/>
    <n v="89.805592068469934"/>
    <n v="518865.62234666001"/>
    <n v="0"/>
    <n v="0"/>
    <n v="0"/>
    <n v="0"/>
    <n v="63259"/>
    <n v="6199877.571006"/>
    <s v="EPER"/>
    <n v="7414000005"/>
  </r>
  <r>
    <x v="237"/>
    <s v="BANCO SANTANDER (MEXICO) FIDEICOMISO F/100079-0"/>
    <x v="48"/>
    <s v="NORMAL"/>
    <s v="MXN"/>
    <n v="6800"/>
    <n v="156"/>
    <n v="1060800"/>
    <n v="138.83542499999999"/>
    <n v="116719.11"/>
    <n v="0"/>
    <n v="0"/>
    <n v="0"/>
    <n v="0"/>
    <n v="6800"/>
    <n v="1060800"/>
    <s v="EPER"/>
    <n v="7414000005"/>
  </r>
  <r>
    <x v="237"/>
    <s v="BANCO SANTANDER (MEXICO) FIDEICOMISO F/100079-0"/>
    <x v="49"/>
    <s v="NORMAL"/>
    <s v="MXN"/>
    <n v="6194"/>
    <n v="682.55"/>
    <n v="4227714.7"/>
    <n v="835.07776235066194"/>
    <n v="-944756.96"/>
    <n v="0"/>
    <n v="0"/>
    <n v="0"/>
    <n v="0"/>
    <n v="6194"/>
    <n v="4227714.7"/>
    <s v="EPER"/>
    <n v="7414000005"/>
  </r>
  <r>
    <x v="237"/>
    <s v="BANCO SANTANDER (MEXICO) FIDEICOMISO F/100079-0"/>
    <x v="0"/>
    <s v="NORMAL"/>
    <s v="MXN"/>
    <n v="2407062"/>
    <n v="3.3967719999999999"/>
    <n v="8176240.8038640004"/>
    <n v="3.3083477201667426"/>
    <n v="212842.723864"/>
    <n v="0"/>
    <n v="0"/>
    <n v="0"/>
    <n v="0"/>
    <n v="2407062"/>
    <n v="8176240.8038640004"/>
    <s v="EPER"/>
    <n v="7414000005"/>
  </r>
  <r>
    <x v="237"/>
    <s v="BANCO SANTANDER (MEXICO) FIDEICOMISO F/100079-0"/>
    <x v="50"/>
    <s v="NORMAL"/>
    <s v="MXN"/>
    <n v="28000"/>
    <n v="31.41"/>
    <n v="879480"/>
    <n v="32.117416071428572"/>
    <n v="-19807.650000000001"/>
    <n v="0"/>
    <n v="0"/>
    <n v="0"/>
    <n v="0"/>
    <n v="28000"/>
    <n v="879480"/>
    <s v="EPER"/>
    <n v="7414000005"/>
  </r>
  <r>
    <x v="237"/>
    <s v="BANCO SANTANDER (MEXICO) FIDEICOMISO F/100079-0"/>
    <x v="51"/>
    <s v="NORMAL"/>
    <s v="MXN"/>
    <n v="5030"/>
    <n v="775.69178699999998"/>
    <n v="3901729.6886100001"/>
    <n v="766.69784126000002"/>
    <n v="45239.547072200003"/>
    <n v="0"/>
    <n v="0"/>
    <n v="0"/>
    <n v="0"/>
    <n v="5030"/>
    <n v="3901729.6886100001"/>
    <s v="EPER"/>
    <n v="7414000005"/>
  </r>
  <r>
    <x v="237"/>
    <s v="BANCO SANTANDER (MEXICO) FIDEICOMISO F/100079-0"/>
    <x v="52"/>
    <s v="NORMAL"/>
    <s v="MXN"/>
    <n v="10032"/>
    <n v="747.17843200000004"/>
    <n v="7495694.0298239999"/>
    <n v="723.75155451396529"/>
    <n v="235018.43493990001"/>
    <n v="0"/>
    <n v="0"/>
    <n v="0"/>
    <n v="0"/>
    <n v="10032"/>
    <n v="7495694.0298239999"/>
    <s v="EPER"/>
    <n v="7414000005"/>
  </r>
  <r>
    <x v="237"/>
    <s v="BANCO SANTANDER (MEXICO) FIDEICOMISO F/100079-0"/>
    <x v="53"/>
    <s v="NORMAL"/>
    <s v="MXN"/>
    <n v="1902"/>
    <n v="765.92388300000005"/>
    <n v="1456787.2254659999"/>
    <n v="765.89755263676125"/>
    <n v="50.080350879999997"/>
    <n v="0"/>
    <n v="0"/>
    <n v="0"/>
    <n v="0"/>
    <n v="1902"/>
    <n v="1456787.2254659999"/>
    <s v="EPER"/>
    <n v="7414000005"/>
  </r>
  <r>
    <x v="237"/>
    <s v="BANCO SANTANDER (MEXICO) FIDEICOMISO F/100079-0"/>
    <x v="54"/>
    <s v="NORMAL"/>
    <s v="MXN"/>
    <n v="5656"/>
    <n v="684.88915799999995"/>
    <n v="3873733.0776479999"/>
    <n v="680.55460066909473"/>
    <n v="24516.2562636"/>
    <n v="0"/>
    <n v="0"/>
    <n v="0"/>
    <n v="0"/>
    <n v="5656"/>
    <n v="3873733.0776479999"/>
    <s v="EPER"/>
    <n v="7414000005"/>
  </r>
  <r>
    <x v="237"/>
    <s v="BANCO SANTANDER (MEXICO) FIDEICOMISO F/100079-0"/>
    <x v="55"/>
    <s v="NORMAL"/>
    <s v="MXN"/>
    <n v="3325"/>
    <n v="772.926965"/>
    <n v="2569982.1586250002"/>
    <n v="801.63496955084815"/>
    <n v="-95454.115131569997"/>
    <n v="0"/>
    <n v="0"/>
    <n v="0"/>
    <n v="0"/>
    <n v="3325"/>
    <n v="2569982.1586250002"/>
    <s v="EPER"/>
    <n v="7414000005"/>
  </r>
  <r>
    <x v="237"/>
    <s v="BANCO SANTANDER (MEXICO) FIDEICOMISO F/100079-0"/>
    <x v="56"/>
    <s v="NORMAL"/>
    <s v="MXN"/>
    <n v="3866"/>
    <n v="721.59464000000003"/>
    <n v="2789684.87824"/>
    <n v="757.1144535833057"/>
    <n v="-137319.59931306"/>
    <n v="0"/>
    <n v="0"/>
    <n v="0"/>
    <n v="0"/>
    <n v="3866"/>
    <n v="2789684.87824"/>
    <s v="EPER"/>
    <n v="7414000005"/>
  </r>
  <r>
    <x v="237"/>
    <s v="BANCO SANTANDER (MEXICO) FIDEICOMISO F/100079-0"/>
    <x v="57"/>
    <s v="NORMAL"/>
    <s v="MXN"/>
    <n v="1894"/>
    <n v="635.96311900000001"/>
    <n v="1204514.147386"/>
    <n v="647.93802047999998"/>
    <n v="-22680.46340312"/>
    <n v="0"/>
    <n v="0"/>
    <n v="0"/>
    <n v="0"/>
    <n v="1894"/>
    <n v="1204514.147386"/>
    <s v="EPER"/>
    <n v="7414000005"/>
  </r>
  <r>
    <x v="237"/>
    <s v="BANCO SANTANDER (MEXICO) FIDEICOMISO F/100079-0"/>
    <x v="58"/>
    <s v="NORMAL"/>
    <s v="MXN"/>
    <n v="4441"/>
    <n v="709.36974099999998"/>
    <n v="3150311.019781"/>
    <n v="724.76234885034899"/>
    <n v="-68358.571463400003"/>
    <n v="0"/>
    <n v="0"/>
    <n v="0"/>
    <n v="0"/>
    <n v="4441"/>
    <n v="3150311.019781"/>
    <s v="EPER"/>
    <n v="7414000005"/>
  </r>
  <r>
    <x v="237"/>
    <s v="BANCO SANTANDER (MEXICO) FIDEICOMISO F/100079-0"/>
    <x v="59"/>
    <s v="NORMAL"/>
    <s v="MXN"/>
    <n v="7642"/>
    <n v="694.41118700000004"/>
    <n v="5306690.2910540001"/>
    <n v="725.7674862182439"/>
    <n v="-239624.83862582"/>
    <n v="0"/>
    <n v="0"/>
    <n v="0"/>
    <n v="0"/>
    <n v="7642"/>
    <n v="5306690.2910540001"/>
    <s v="EPER"/>
    <n v="7414000005"/>
  </r>
  <r>
    <x v="237"/>
    <s v="BANCO SANTANDER (MEXICO) FIDEICOMISO F/100079-0"/>
    <x v="60"/>
    <s v="NORMAL"/>
    <s v="MXN"/>
    <n v="22000"/>
    <n v="58.67"/>
    <n v="1290740"/>
    <n v="59.69390772727273"/>
    <n v="-22525.97"/>
    <n v="0"/>
    <n v="0"/>
    <n v="0"/>
    <n v="0"/>
    <n v="22000"/>
    <n v="1290740"/>
    <s v="EPER"/>
    <n v="7414000005"/>
  </r>
  <r>
    <x v="237"/>
    <s v="BANCO SANTANDER (MEXICO) FIDEICOMISO F/100079-0"/>
    <x v="61"/>
    <s v="NORMAL"/>
    <s v="MXN"/>
    <n v="3440"/>
    <n v="1090"/>
    <n v="3749600"/>
    <n v="1086.9790523255815"/>
    <n v="10392.06"/>
    <n v="0"/>
    <n v="0"/>
    <n v="0"/>
    <n v="0"/>
    <n v="3440"/>
    <n v="3749600"/>
    <s v="EPER"/>
    <n v="7414000005"/>
  </r>
  <r>
    <x v="237"/>
    <s v="BANCO SANTANDER (MEXICO) FIDEICOMISO F/100079-0"/>
    <x v="63"/>
    <s v="NORMAL"/>
    <s v="MXN"/>
    <n v="51500"/>
    <n v="65.260000000000005"/>
    <n v="3360890"/>
    <n v="69.374553203883494"/>
    <n v="-211899.49"/>
    <n v="0"/>
    <n v="0"/>
    <n v="0"/>
    <n v="0"/>
    <n v="51500"/>
    <n v="3360890"/>
    <s v="EPER"/>
    <n v="7414000005"/>
  </r>
  <r>
    <x v="238"/>
    <s v="BANCO SANTANDER (MEXICO) FIDEICOMISO F/2321501-1"/>
    <x v="188"/>
    <s v="NORMAL"/>
    <s v="MXN"/>
    <n v="500000"/>
    <n v="9.6141520000000007"/>
    <n v="4807076"/>
    <n v="9.0305956599999995"/>
    <n v="291778.17"/>
    <n v="0"/>
    <n v="0"/>
    <n v="0"/>
    <n v="0"/>
    <n v="500000"/>
    <n v="4807076"/>
    <s v="EPER"/>
    <n v="7414000005"/>
  </r>
  <r>
    <x v="238"/>
    <s v="BANCO SANTANDER (MEXICO) FIDEICOMISO F/2321501-1"/>
    <x v="86"/>
    <s v="NORMAL"/>
    <s v="MXN"/>
    <n v="31388"/>
    <n v="9.4935880000000008"/>
    <n v="297984.74014399998"/>
    <n v="8.2405490399999994"/>
    <n v="39330.386876479999"/>
    <n v="0"/>
    <n v="0"/>
    <n v="0"/>
    <n v="0"/>
    <n v="31388"/>
    <n v="297984.74014399998"/>
    <s v="EPER"/>
    <n v="7414000005"/>
  </r>
  <r>
    <x v="238"/>
    <s v="BANCO SANTANDER (MEXICO) FIDEICOMISO F/2321501-1"/>
    <x v="72"/>
    <s v="NORMAL"/>
    <s v="MXN"/>
    <n v="152677"/>
    <n v="9.3381629999999998"/>
    <n v="1425722.7123509999"/>
    <n v="8.320664959323409"/>
    <n v="155348.54835637999"/>
    <n v="0"/>
    <n v="0"/>
    <n v="0"/>
    <n v="0"/>
    <n v="152677"/>
    <n v="1425722.7123509999"/>
    <s v="EPER"/>
    <n v="7414000005"/>
  </r>
  <r>
    <x v="238"/>
    <s v="BANCO SANTANDER (MEXICO) FIDEICOMISO F/2321501-1"/>
    <x v="15"/>
    <s v="NORMAL"/>
    <s v="MXN"/>
    <n v="156950"/>
    <n v="9.190137"/>
    <n v="1442392.0021500001"/>
    <n v="8.2168121392634603"/>
    <n v="152763.3368926"/>
    <n v="0"/>
    <n v="0"/>
    <n v="0"/>
    <n v="0"/>
    <n v="156950"/>
    <n v="1442392.0021500001"/>
    <s v="EPER"/>
    <n v="7414000005"/>
  </r>
  <r>
    <x v="238"/>
    <s v="BANCO SANTANDER (MEXICO) FIDEICOMISO F/2321501-1"/>
    <x v="70"/>
    <s v="NORMAL"/>
    <s v="MXN"/>
    <n v="34040"/>
    <n v="9.0112480000000001"/>
    <n v="306742.88192000001"/>
    <n v="8.9969798000000001"/>
    <n v="485.689528"/>
    <n v="0"/>
    <n v="0"/>
    <n v="0"/>
    <n v="0"/>
    <n v="34040"/>
    <n v="306742.88192000001"/>
    <s v="EPER"/>
    <n v="7414000005"/>
  </r>
  <r>
    <x v="238"/>
    <s v="BANCO SANTANDER (MEXICO) FIDEICOMISO F/2321501-1"/>
    <x v="16"/>
    <s v="NORMAL"/>
    <s v="MXN"/>
    <n v="64300"/>
    <n v="8.2580650000000002"/>
    <n v="530993.57949999999"/>
    <n v="8.2501711100000001"/>
    <n v="507.57712700000002"/>
    <n v="0"/>
    <n v="0"/>
    <n v="0"/>
    <n v="0"/>
    <n v="64300"/>
    <n v="530993.57949999999"/>
    <s v="EPER"/>
    <n v="7414000005"/>
  </r>
  <r>
    <x v="238"/>
    <s v="BANCO SANTANDER (MEXICO) FIDEICOMISO F/232150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8"/>
    <s v="BANCO SANTANDER (MEXICO) FIDEICOMISO F/2321501-1"/>
    <x v="130"/>
    <s v="NORMAL"/>
    <s v="MXN"/>
    <n v="2030000"/>
    <n v="4.5848760000000004"/>
    <n v="9307298.2799999993"/>
    <n v="3.9648600394088671"/>
    <n v="1717120"/>
    <n v="-100000"/>
    <n v="-458487.6"/>
    <n v="0"/>
    <n v="0"/>
    <n v="1930000"/>
    <n v="8848810.6799999997"/>
    <s v="EPER"/>
    <n v="7414000005"/>
  </r>
  <r>
    <x v="238"/>
    <s v="BANCO SANTANDER (MEXICO) FIDEICOMISO F/2321501-1"/>
    <x v="0"/>
    <s v="NORMAL"/>
    <s v="MXN"/>
    <n v="3551953"/>
    <n v="3.3967719999999999"/>
    <n v="12065174.495716"/>
    <n v="3.2156814546814103"/>
    <n v="643225.10571599996"/>
    <n v="0"/>
    <n v="0"/>
    <n v="0"/>
    <n v="0"/>
    <n v="3551953"/>
    <n v="12065174.495716"/>
    <s v="EPER"/>
    <n v="7414000005"/>
  </r>
  <r>
    <x v="239"/>
    <s v="BANCO SANTANDER (MEXICO) FIDEICOMISO F/3199-0"/>
    <x v="212"/>
    <s v="NORMAL"/>
    <s v="MXN"/>
    <n v="4000"/>
    <n v="9.9999999999999995E-7"/>
    <n v="4.0000000000000001E-3"/>
    <n v="0.87"/>
    <n v="-3479.9960000000001"/>
    <n v="0"/>
    <n v="0"/>
    <n v="0"/>
    <n v="0"/>
    <n v="4000"/>
    <n v="4.0000000000000001E-3"/>
    <s v="EPER"/>
    <n v="7414000005"/>
  </r>
  <r>
    <x v="239"/>
    <s v="BANCO SANTANDER (MEXICO) FIDEICOMISO F/3199-0"/>
    <x v="213"/>
    <s v="NORMAL"/>
    <s v="MXN"/>
    <n v="67"/>
    <n v="55.2"/>
    <n v="3698.4"/>
    <n v="0"/>
    <n v="3698.4"/>
    <n v="0"/>
    <n v="0"/>
    <n v="0"/>
    <n v="0"/>
    <n v="67"/>
    <n v="3698.4"/>
    <s v="EPER"/>
    <n v="7414000005"/>
  </r>
  <r>
    <x v="239"/>
    <s v="BANCO SANTANDER (MEXICO) FIDEICOMISO F/3199-0"/>
    <x v="214"/>
    <s v="NORMAL"/>
    <s v="MXN"/>
    <n v="75420"/>
    <n v="162"/>
    <n v="12218040"/>
    <n v="42.333333333333336"/>
    <n v="9025260"/>
    <n v="0"/>
    <n v="0"/>
    <n v="0"/>
    <n v="0"/>
    <n v="75420"/>
    <n v="12218040"/>
    <s v="EPER"/>
    <n v="7414000005"/>
  </r>
  <r>
    <x v="239"/>
    <s v="BANCO SANTANDER (MEXICO) FIDEICOMISO F/3199-0"/>
    <x v="129"/>
    <s v="NORMAL"/>
    <s v="MXN"/>
    <n v="154874"/>
    <n v="3.137273"/>
    <n v="485882.01860200003"/>
    <n v="3.07793315856761"/>
    <n v="9190.1986020000004"/>
    <n v="0"/>
    <n v="0"/>
    <n v="0"/>
    <n v="0"/>
    <n v="154874"/>
    <n v="485882.01860200003"/>
    <s v="EPER"/>
    <n v="7414000005"/>
  </r>
  <r>
    <x v="239"/>
    <s v="BANCO SANTANDER (MEXICO) FIDEICOMISO F/3199-0"/>
    <x v="215"/>
    <s v="NORMAL"/>
    <s v="MXN"/>
    <n v="1042"/>
    <n v="9.9999999999999995E-7"/>
    <n v="1.042E-3"/>
    <n v="0.96"/>
    <n v="-1000.318958"/>
    <n v="0"/>
    <n v="0"/>
    <n v="0"/>
    <n v="0"/>
    <n v="1042"/>
    <n v="1.042E-3"/>
    <s v="EPER"/>
    <n v="7414000005"/>
  </r>
  <r>
    <x v="240"/>
    <s v="BANCO SANTANDER (MEXICO) FIDEICOMISO F/3210-0"/>
    <x v="4"/>
    <s v="NORMAL"/>
    <s v="MXN"/>
    <n v="10"/>
    <n v="168.64"/>
    <n v="1686.4"/>
    <n v="182.41300000000001"/>
    <n v="-137.72999999999999"/>
    <n v="0"/>
    <n v="0"/>
    <n v="0"/>
    <n v="0"/>
    <n v="10"/>
    <n v="1686.4"/>
    <s v="EPER"/>
    <n v="7414000005"/>
  </r>
  <r>
    <x v="240"/>
    <s v="BANCO SANTANDER (MEXICO) FIDEICOMISO F/3210-0"/>
    <x v="187"/>
    <s v="NORMAL"/>
    <s v="MXN"/>
    <n v="31"/>
    <n v="11.86"/>
    <n v="367.66"/>
    <n v="12.180645161290322"/>
    <n v="-9.94"/>
    <n v="0"/>
    <n v="0"/>
    <n v="0"/>
    <n v="0"/>
    <n v="31"/>
    <n v="367.66"/>
    <s v="EPER"/>
    <n v="7414000005"/>
  </r>
  <r>
    <x v="240"/>
    <s v="BANCO SANTANDER (MEXICO) FIDEICOMISO F/3210-0"/>
    <x v="7"/>
    <s v="NORMAL"/>
    <s v="MXN"/>
    <n v="27"/>
    <n v="73.37"/>
    <n v="1980.99"/>
    <n v="60.647777777777776"/>
    <n v="343.5"/>
    <n v="0"/>
    <n v="0"/>
    <n v="0"/>
    <n v="0"/>
    <n v="27"/>
    <n v="1980.99"/>
    <s v="EPER"/>
    <n v="7414000005"/>
  </r>
  <r>
    <x v="240"/>
    <s v="BANCO SANTANDER (MEXICO) FIDEICOMISO F/3210-0"/>
    <x v="10"/>
    <s v="NORMAL"/>
    <s v="MXN"/>
    <n v="401"/>
    <n v="15.12"/>
    <n v="6063.12"/>
    <n v="16.028852867830423"/>
    <n v="-364.45"/>
    <n v="0"/>
    <n v="0"/>
    <n v="0"/>
    <n v="0"/>
    <n v="401"/>
    <n v="6063.12"/>
    <s v="EPER"/>
    <n v="7414000005"/>
  </r>
  <r>
    <x v="240"/>
    <s v="BANCO SANTANDER (MEXICO) FIDEICOMISO F/3210-0"/>
    <x v="11"/>
    <s v="NORMAL"/>
    <s v="MXN"/>
    <n v="8"/>
    <n v="525.09"/>
    <n v="4200.72"/>
    <n v="486.16125"/>
    <n v="311.43"/>
    <n v="0"/>
    <n v="0"/>
    <n v="0"/>
    <n v="0"/>
    <n v="8"/>
    <n v="4200.72"/>
    <s v="EPER"/>
    <n v="7414000005"/>
  </r>
  <r>
    <x v="240"/>
    <s v="BANCO SANTANDER (MEXICO) FIDEICOMISO F/3210-0"/>
    <x v="12"/>
    <s v="NORMAL"/>
    <s v="MXN"/>
    <n v="18"/>
    <n v="68.25"/>
    <n v="1228.5"/>
    <n v="73.893333333333331"/>
    <n v="-101.58"/>
    <n v="0"/>
    <n v="0"/>
    <n v="0"/>
    <n v="0"/>
    <n v="18"/>
    <n v="1228.5"/>
    <s v="EPER"/>
    <n v="7414000005"/>
  </r>
  <r>
    <x v="240"/>
    <s v="BANCO SANTANDER (MEXICO) FIDEICOMISO F/3210-0"/>
    <x v="14"/>
    <s v="NORMAL"/>
    <s v="MXN"/>
    <n v="493"/>
    <n v="14.33"/>
    <n v="7064.69"/>
    <n v="11.934908722109533"/>
    <n v="1180.78"/>
    <n v="0"/>
    <n v="0"/>
    <n v="0"/>
    <n v="0"/>
    <n v="493"/>
    <n v="7064.69"/>
    <s v="EPER"/>
    <n v="7414000005"/>
  </r>
  <r>
    <x v="240"/>
    <s v="BANCO SANTANDER (MEXICO) FIDEICOMISO F/3210-0"/>
    <x v="216"/>
    <s v="NORMAL"/>
    <s v="MXN"/>
    <n v="109"/>
    <n v="9.9999999999999995E-7"/>
    <n v="1.0900000000000001E-4"/>
    <n v="0"/>
    <n v="1.0900000000000001E-4"/>
    <n v="0"/>
    <n v="0"/>
    <n v="0"/>
    <n v="0"/>
    <n v="109"/>
    <n v="1.0900000000000001E-4"/>
    <s v="EPER"/>
    <n v="7414000005"/>
  </r>
  <r>
    <x v="240"/>
    <s v="BANCO SANTANDER (MEXICO) FIDEICOMISO F/3210-0"/>
    <x v="20"/>
    <s v="NORMAL"/>
    <s v="MXN"/>
    <n v="37"/>
    <n v="207.81"/>
    <n v="7688.97"/>
    <n v="172.5072972972973"/>
    <n v="1306.2"/>
    <n v="0"/>
    <n v="0"/>
    <n v="0"/>
    <n v="0"/>
    <n v="37"/>
    <n v="7688.97"/>
    <s v="EPER"/>
    <n v="7414000005"/>
  </r>
  <r>
    <x v="240"/>
    <s v="BANCO SANTANDER (MEXICO) FIDEICOMISO F/3210-0"/>
    <x v="21"/>
    <s v="NORMAL"/>
    <s v="MXN"/>
    <n v="4"/>
    <n v="271.94"/>
    <n v="1087.76"/>
    <n v="283.35000000000002"/>
    <n v="-45.64"/>
    <n v="0"/>
    <n v="0"/>
    <n v="0"/>
    <n v="0"/>
    <n v="4"/>
    <n v="1087.76"/>
    <s v="EPER"/>
    <n v="7414000005"/>
  </r>
  <r>
    <x v="240"/>
    <s v="BANCO SANTANDER (MEXICO) FIDEICOMISO F/3210-0"/>
    <x v="22"/>
    <s v="NORMAL"/>
    <s v="MXN"/>
    <n v="13"/>
    <n v="193.15"/>
    <n v="2510.9499999999998"/>
    <n v="163.40769230769232"/>
    <n v="386.65"/>
    <n v="0"/>
    <n v="0"/>
    <n v="0"/>
    <n v="0"/>
    <n v="13"/>
    <n v="2510.9499999999998"/>
    <s v="EPER"/>
    <n v="7414000005"/>
  </r>
  <r>
    <x v="240"/>
    <s v="BANCO SANTANDER (MEXICO) FIDEICOMISO F/3210-0"/>
    <x v="23"/>
    <s v="NORMAL"/>
    <s v="MXN"/>
    <n v="91"/>
    <n v="27.12"/>
    <n v="2467.92"/>
    <n v="21.994175824175823"/>
    <n v="466.45"/>
    <n v="0"/>
    <n v="0"/>
    <n v="0"/>
    <n v="0"/>
    <n v="91"/>
    <n v="2467.92"/>
    <s v="EPER"/>
    <n v="7414000005"/>
  </r>
  <r>
    <x v="240"/>
    <s v="BANCO SANTANDER (MEXICO) FIDEICOMISO F/3210-0"/>
    <x v="24"/>
    <s v="NORMAL"/>
    <s v="MXN"/>
    <n v="58"/>
    <n v="176.44"/>
    <n v="10233.52"/>
    <n v="155.64327586206898"/>
    <n v="1206.21"/>
    <n v="0"/>
    <n v="0"/>
    <n v="0"/>
    <n v="0"/>
    <n v="58"/>
    <n v="10233.52"/>
    <s v="EPER"/>
    <n v="7414000005"/>
  </r>
  <r>
    <x v="240"/>
    <s v="BANCO SANTANDER (MEXICO) FIDEICOMISO F/3210-0"/>
    <x v="25"/>
    <s v="NORMAL"/>
    <s v="MXN"/>
    <n v="74"/>
    <n v="104.12"/>
    <n v="7704.88"/>
    <n v="81.302972972972967"/>
    <n v="1688.46"/>
    <n v="0"/>
    <n v="0"/>
    <n v="0"/>
    <n v="0"/>
    <n v="74"/>
    <n v="7704.88"/>
    <s v="EPER"/>
    <n v="7414000005"/>
  </r>
  <r>
    <x v="240"/>
    <s v="BANCO SANTANDER (MEXICO) FIDEICOMISO F/3210-0"/>
    <x v="40"/>
    <s v="NORMAL"/>
    <s v="MXN"/>
    <n v="6"/>
    <n v="314.42"/>
    <n v="1886.52"/>
    <n v="281.48500000000001"/>
    <n v="197.61"/>
    <n v="0"/>
    <n v="0"/>
    <n v="0"/>
    <n v="0"/>
    <n v="6"/>
    <n v="1886.52"/>
    <s v="EPER"/>
    <n v="7414000005"/>
  </r>
  <r>
    <x v="240"/>
    <s v="BANCO SANTANDER (MEXICO) FIDEICOMISO F/3210-0"/>
    <x v="41"/>
    <s v="NORMAL"/>
    <s v="MXN"/>
    <n v="41"/>
    <n v="43.85"/>
    <n v="1797.85"/>
    <n v="41.809024390243906"/>
    <n v="83.68"/>
    <n v="0"/>
    <n v="0"/>
    <n v="0"/>
    <n v="0"/>
    <n v="41"/>
    <n v="1797.85"/>
    <s v="EPER"/>
    <n v="7414000005"/>
  </r>
  <r>
    <x v="240"/>
    <s v="BANCO SANTANDER (MEXICO) FIDEICOMISO F/321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0"/>
    <s v="BANCO SANTANDER (MEXICO) FIDEICOMISO F/3210-0"/>
    <x v="44"/>
    <s v="NORMAL"/>
    <s v="MXN"/>
    <n v="45"/>
    <n v="36.28"/>
    <n v="1632.6"/>
    <n v="39.894444444444446"/>
    <n v="-162.65"/>
    <n v="0"/>
    <n v="0"/>
    <n v="0"/>
    <n v="0"/>
    <n v="45"/>
    <n v="1632.6"/>
    <s v="EPER"/>
    <n v="7414000005"/>
  </r>
  <r>
    <x v="240"/>
    <s v="BANCO SANTANDER (MEXICO) FIDEICOMISO F/3210-0"/>
    <x v="45"/>
    <s v="NORMAL"/>
    <s v="MXN"/>
    <n v="6"/>
    <n v="136.35"/>
    <n v="818.1"/>
    <n v="119.82666666666667"/>
    <n v="99.14"/>
    <n v="0"/>
    <n v="0"/>
    <n v="0"/>
    <n v="0"/>
    <n v="6"/>
    <n v="818.1"/>
    <s v="EPER"/>
    <n v="7414000005"/>
  </r>
  <r>
    <x v="240"/>
    <s v="BANCO SANTANDER (MEXICO) FIDEICOMISO F/3210-0"/>
    <x v="48"/>
    <s v="NORMAL"/>
    <s v="MXN"/>
    <n v="14"/>
    <n v="156"/>
    <n v="2184"/>
    <n v="157.48857142857142"/>
    <n v="-20.84"/>
    <n v="0"/>
    <n v="0"/>
    <n v="0"/>
    <n v="0"/>
    <n v="14"/>
    <n v="2184"/>
    <s v="EPER"/>
    <n v="7414000005"/>
  </r>
  <r>
    <x v="240"/>
    <s v="BANCO SANTANDER (MEXICO) FIDEICOMISO F/3210-0"/>
    <x v="217"/>
    <s v="NORMAL"/>
    <s v="MXN"/>
    <n v="82879"/>
    <n v="3.5222039999999999"/>
    <n v="291916.74531600002"/>
    <n v="3.4572158206542065"/>
    <n v="5386.1553160000003"/>
    <n v="0"/>
    <n v="0"/>
    <n v="0"/>
    <n v="0"/>
    <n v="82879"/>
    <n v="291916.74531600002"/>
    <s v="EPER"/>
    <n v="7414000005"/>
  </r>
  <r>
    <x v="240"/>
    <s v="BANCO SANTANDER (MEXICO) FIDEICOMISO F/3210-0"/>
    <x v="50"/>
    <s v="NORMAL"/>
    <s v="MXN"/>
    <n v="58"/>
    <n v="31.41"/>
    <n v="1821.78"/>
    <n v="32.163103448275862"/>
    <n v="-43.68"/>
    <n v="0"/>
    <n v="0"/>
    <n v="0"/>
    <n v="0"/>
    <n v="58"/>
    <n v="1821.78"/>
    <s v="EPER"/>
    <n v="7414000005"/>
  </r>
  <r>
    <x v="240"/>
    <s v="BANCO SANTANDER (MEXICO) FIDEICOMISO F/3210-0"/>
    <x v="60"/>
    <s v="NORMAL"/>
    <s v="MXN"/>
    <n v="46"/>
    <n v="58.67"/>
    <n v="2698.82"/>
    <n v="44.979130434782611"/>
    <n v="629.78"/>
    <n v="0"/>
    <n v="0"/>
    <n v="0"/>
    <n v="0"/>
    <n v="46"/>
    <n v="2698.82"/>
    <s v="EPER"/>
    <n v="7414000005"/>
  </r>
  <r>
    <x v="240"/>
    <s v="BANCO SANTANDER (MEXICO) FIDEICOMISO F/3210-0"/>
    <x v="63"/>
    <s v="NORMAL"/>
    <s v="MXN"/>
    <n v="105"/>
    <n v="65.260000000000005"/>
    <n v="6852.3"/>
    <n v="71.204761904761909"/>
    <n v="-624.20000000000005"/>
    <n v="0"/>
    <n v="0"/>
    <n v="0"/>
    <n v="0"/>
    <n v="105"/>
    <n v="6852.3"/>
    <s v="EPER"/>
    <n v="7414000005"/>
  </r>
  <r>
    <x v="241"/>
    <s v="BANCO SANTANDER (MEXICO) FIDEICOMISO F/2010190-1"/>
    <x v="218"/>
    <s v="NORMAL"/>
    <s v="MXN"/>
    <n v="4300"/>
    <n v="9.9999999999999995E-7"/>
    <n v="4.3E-3"/>
    <n v="100.07"/>
    <n v="-430300.99570000003"/>
    <n v="0"/>
    <n v="0"/>
    <n v="0"/>
    <n v="0"/>
    <n v="4300"/>
    <n v="4.3E-3"/>
    <s v="EPER"/>
    <n v="7414000005"/>
  </r>
  <r>
    <x v="241"/>
    <s v="BANCO SANTANDER (MEXICO) FIDEICOMISO F/2010190-1"/>
    <x v="0"/>
    <s v="NORMAL"/>
    <s v="MXN"/>
    <n v="103815"/>
    <n v="3.3967719999999999"/>
    <n v="352635.88517999998"/>
    <n v="3.3719921013341039"/>
    <n v="2572.5251800000001"/>
    <n v="0"/>
    <n v="0"/>
    <n v="0"/>
    <n v="0"/>
    <n v="103815"/>
    <n v="352635.88517999998"/>
    <s v="EPER"/>
    <n v="7414000005"/>
  </r>
  <r>
    <x v="241"/>
    <s v="BANCO SANTANDER (MEXICO) FIDEICOMISO F/2010190-1"/>
    <x v="2"/>
    <s v="NORMAL"/>
    <s v="MXN"/>
    <n v="1405059"/>
    <n v="3.6096119999999998"/>
    <n v="5071717.8271080004"/>
    <n v="2.9150258957097175"/>
    <n v="975934.45710799994"/>
    <n v="0"/>
    <n v="0"/>
    <n v="0"/>
    <n v="0"/>
    <n v="1405059"/>
    <n v="5071717.8271080004"/>
    <s v="EPER"/>
    <n v="7414000005"/>
  </r>
  <r>
    <x v="241"/>
    <s v="BANCO SANTANDER (MEXICO) FIDEICOMISO F/2010190-1"/>
    <x v="64"/>
    <s v="NORMAL"/>
    <s v="MXN"/>
    <n v="595924"/>
    <n v="2.7668819999999998"/>
    <n v="1648851.388968"/>
    <n v="2.4074613709130697"/>
    <n v="214187.378968"/>
    <n v="0"/>
    <n v="0"/>
    <n v="0"/>
    <n v="0"/>
    <n v="595924"/>
    <n v="1648851.388968"/>
    <s v="EPER"/>
    <n v="7414000005"/>
  </r>
  <r>
    <x v="242"/>
    <s v="BANCO SANTANDER (MEXICO) FIDEICOMISO F/2010331-1."/>
    <x v="26"/>
    <s v="NORMAL"/>
    <s v="MXN"/>
    <n v="5910"/>
    <n v="98.730349000000004"/>
    <n v="583496.36259000003"/>
    <n v="104.81191507"/>
    <n v="-35942.055473699998"/>
    <n v="0"/>
    <n v="0"/>
    <n v="0"/>
    <n v="0"/>
    <n v="5910"/>
    <n v="583496.36259000003"/>
    <s v="EPER"/>
    <n v="7414000005"/>
  </r>
  <r>
    <x v="242"/>
    <s v="BANCO SANTANDER (MEXICO) FIDEICOMISO F/2010331-1."/>
    <x v="67"/>
    <s v="NORMAL"/>
    <s v="MXN"/>
    <n v="1120"/>
    <n v="99.247497999999993"/>
    <n v="111157.19776"/>
    <n v="315.84649010082143"/>
    <n v="464905.26667292003"/>
    <n v="0"/>
    <n v="0"/>
    <n v="0"/>
    <n v="0"/>
    <n v="1120"/>
    <n v="111157.19776"/>
    <s v="EPER"/>
    <n v="7414000005"/>
  </r>
  <r>
    <x v="242"/>
    <s v="BANCO SANTANDER (MEXICO) FIDEICOMISO F/2010331-1."/>
    <x v="27"/>
    <s v="NORMAL"/>
    <s v="MXN"/>
    <n v="10000"/>
    <n v="94.973146999999997"/>
    <n v="949731.47"/>
    <n v="89.268734649999999"/>
    <n v="57044.123500000002"/>
    <n v="0"/>
    <n v="0"/>
    <n v="0"/>
    <n v="0"/>
    <n v="10000"/>
    <n v="949731.47"/>
    <s v="EPER"/>
    <n v="7414000005"/>
  </r>
  <r>
    <x v="242"/>
    <s v="BANCO SANTANDER (MEXICO) FIDEICOMISO F/2010331-1."/>
    <x v="28"/>
    <s v="NORMAL"/>
    <s v="MXN"/>
    <n v="25555"/>
    <n v="91.911821000000003"/>
    <n v="2348806.5856550001"/>
    <n v="93.2088459"/>
    <n v="-33145.4713195"/>
    <n v="0"/>
    <n v="0"/>
    <n v="0"/>
    <n v="0"/>
    <n v="25555"/>
    <n v="2348806.5856550001"/>
    <s v="EPER"/>
    <n v="7414000005"/>
  </r>
  <r>
    <x v="242"/>
    <s v="BANCO SANTANDER (MEXICO) FIDEICOMISO F/2010331-1."/>
    <x v="30"/>
    <s v="NORMAL"/>
    <s v="MXN"/>
    <n v="2010"/>
    <n v="88.698122999999995"/>
    <n v="178283.22722999999"/>
    <n v="90.900324080000004"/>
    <n v="-4426.4241708"/>
    <n v="0"/>
    <n v="0"/>
    <n v="0"/>
    <n v="0"/>
    <n v="2010"/>
    <n v="178283.22722999999"/>
    <s v="EPER"/>
    <n v="7414000005"/>
  </r>
  <r>
    <x v="242"/>
    <s v="BANCO SANTANDER (MEXICO) FIDEICOMISO F/2010331-1."/>
    <x v="31"/>
    <s v="NORMAL"/>
    <s v="MXN"/>
    <n v="20130"/>
    <n v="93.314192000000006"/>
    <n v="1878414.68496"/>
    <n v="94.420573836751117"/>
    <n v="-22271.466373800002"/>
    <n v="0"/>
    <n v="0"/>
    <n v="0"/>
    <n v="0"/>
    <n v="20130"/>
    <n v="1878414.68496"/>
    <s v="EPER"/>
    <n v="7414000005"/>
  </r>
  <r>
    <x v="242"/>
    <s v="BANCO SANTANDER (MEXICO) FIDEICOMISO F/2010331-1."/>
    <x v="33"/>
    <s v="NORMAL"/>
    <s v="MXN"/>
    <n v="980"/>
    <n v="94.870157000000006"/>
    <n v="92972.753859999997"/>
    <n v="110.15461827"/>
    <n v="-14978.7720446"/>
    <n v="0"/>
    <n v="0"/>
    <n v="0"/>
    <n v="0"/>
    <n v="980"/>
    <n v="92972.753859999997"/>
    <s v="EPER"/>
    <n v="7414000005"/>
  </r>
  <r>
    <x v="242"/>
    <s v="BANCO SANTANDER (MEXICO) FIDEICOMISO F/2010331-1."/>
    <x v="34"/>
    <s v="NORMAL"/>
    <s v="MXN"/>
    <n v="15123"/>
    <n v="89.489464999999996"/>
    <n v="1353349.1791950001"/>
    <n v="83.461737027988491"/>
    <n v="91157.330120729996"/>
    <n v="0"/>
    <n v="0"/>
    <n v="0"/>
    <n v="0"/>
    <n v="15123"/>
    <n v="1353349.1791950001"/>
    <s v="EPER"/>
    <n v="7414000005"/>
  </r>
  <r>
    <x v="242"/>
    <s v="BANCO SANTANDER (MEXICO) FIDEICOMISO F/2010331-1."/>
    <x v="36"/>
    <s v="NORMAL"/>
    <s v="MXN"/>
    <n v="2735"/>
    <n v="86.469353999999996"/>
    <n v="236493.68319000001"/>
    <n v="113.4670266"/>
    <n v="-73838.634560999999"/>
    <n v="0"/>
    <n v="0"/>
    <n v="0"/>
    <n v="0"/>
    <n v="2735"/>
    <n v="236493.68319000001"/>
    <s v="EPER"/>
    <n v="7414000005"/>
  </r>
  <r>
    <x v="242"/>
    <s v="BANCO SANTANDER (MEXICO) FIDEICOMISO F/2010331-1."/>
    <x v="81"/>
    <s v="NORMAL"/>
    <s v="MXN"/>
    <n v="950"/>
    <n v="101.45096599999999"/>
    <n v="96378.417700000005"/>
    <n v="126.46131133"/>
    <n v="-23759.828063500001"/>
    <n v="0"/>
    <n v="0"/>
    <n v="0"/>
    <n v="0"/>
    <n v="950"/>
    <n v="96378.417700000005"/>
    <s v="EPER"/>
    <n v="7414000005"/>
  </r>
  <r>
    <x v="242"/>
    <s v="BANCO SANTANDER (MEXICO) FIDEICOMISO F/2010331-1."/>
    <x v="68"/>
    <s v="NORMAL"/>
    <s v="MXN"/>
    <n v="605"/>
    <n v="89.643172000000007"/>
    <n v="54234.119059999997"/>
    <n v="103.43579450999999"/>
    <n v="-8344.5366185500006"/>
    <n v="0"/>
    <n v="0"/>
    <n v="0"/>
    <n v="0"/>
    <n v="605"/>
    <n v="54234.119059999997"/>
    <s v="EPER"/>
    <n v="7414000005"/>
  </r>
  <r>
    <x v="242"/>
    <s v="BANCO SANTANDER (MEXICO) FIDEICOMISO F/2010331-1."/>
    <x v="37"/>
    <s v="NORMAL"/>
    <s v="MXN"/>
    <n v="1843"/>
    <n v="81.738860000000003"/>
    <n v="150644.71898000001"/>
    <n v="98.027098190000004"/>
    <n v="-30019.222984169999"/>
    <n v="0"/>
    <n v="0"/>
    <n v="0"/>
    <n v="0"/>
    <n v="1843"/>
    <n v="150644.71898000001"/>
    <s v="EPER"/>
    <n v="7414000005"/>
  </r>
  <r>
    <x v="242"/>
    <s v="BANCO SANTANDER (MEXICO) FIDEICOMISO F/2010331-1."/>
    <x v="38"/>
    <s v="NORMAL"/>
    <s v="MXN"/>
    <n v="85"/>
    <n v="83.200761"/>
    <n v="7072.0646850000003"/>
    <n v="102.56996688"/>
    <n v="-1646.3824998"/>
    <n v="0"/>
    <n v="0"/>
    <n v="0"/>
    <n v="0"/>
    <n v="85"/>
    <n v="7072.0646850000003"/>
    <s v="EPER"/>
    <n v="7414000005"/>
  </r>
  <r>
    <x v="242"/>
    <s v="BANCO SANTANDER (MEXICO) FIDEICOMISO F/2010331-1."/>
    <x v="88"/>
    <s v="NORMAL"/>
    <s v="MXN"/>
    <n v="10000"/>
    <n v="98.007834000000003"/>
    <n v="980078.34"/>
    <n v="86.248249549999997"/>
    <n v="117595.84450000001"/>
    <n v="0"/>
    <n v="0"/>
    <n v="0"/>
    <n v="0"/>
    <n v="10000"/>
    <n v="980078.34"/>
    <s v="EPER"/>
    <n v="7414000005"/>
  </r>
  <r>
    <x v="242"/>
    <s v="BANCO SANTANDER (MEXICO) FIDEICOMISO F/2010331-1."/>
    <x v="0"/>
    <s v="NORMAL"/>
    <s v="MXN"/>
    <n v="15736059"/>
    <n v="3.3967719999999999"/>
    <n v="53451804.601548001"/>
    <n v="2.8005271173678237"/>
    <n v="9382544.6515480001"/>
    <n v="0"/>
    <n v="0"/>
    <n v="0"/>
    <n v="0"/>
    <n v="15736059"/>
    <n v="53451804.601548001"/>
    <s v="EPER"/>
    <n v="7414000005"/>
  </r>
  <r>
    <x v="242"/>
    <s v="BANCO SANTANDER (MEXICO) FIDEICOMISO F/2010331-1."/>
    <x v="157"/>
    <s v="NORMAL"/>
    <s v="MXN"/>
    <n v="4763003"/>
    <n v="2.7842250000000002"/>
    <n v="13261272.027674999"/>
    <n v="1.4806143519120185"/>
    <n v="6209101.4276750004"/>
    <n v="0"/>
    <n v="0"/>
    <n v="0"/>
    <n v="0"/>
    <n v="4763003"/>
    <n v="13261272.027674999"/>
    <s v="EPER"/>
    <n v="7414000005"/>
  </r>
  <r>
    <x v="242"/>
    <s v="BANCO SANTANDER (MEXICO) FIDEICOMISO F/2010331-1."/>
    <x v="141"/>
    <s v="NORMAL"/>
    <s v="MXN"/>
    <n v="564"/>
    <n v="256.05011500000001"/>
    <n v="144412.26486"/>
    <n v="487.32003911999999"/>
    <n v="-130436.23720367999"/>
    <n v="0"/>
    <n v="0"/>
    <n v="0"/>
    <n v="0"/>
    <n v="564"/>
    <n v="144412.26486"/>
    <s v="EPER"/>
    <n v="7414000005"/>
  </r>
  <r>
    <x v="242"/>
    <s v="BANCO SANTANDER (MEXICO) FIDEICOMISO F/2010331-1."/>
    <x v="51"/>
    <s v="NORMAL"/>
    <s v="MXN"/>
    <n v="1840"/>
    <n v="775.69178699999998"/>
    <n v="1427272.8880799999"/>
    <n v="619.14773060902178"/>
    <n v="288041.06375939999"/>
    <n v="0"/>
    <n v="0"/>
    <n v="0"/>
    <n v="0"/>
    <n v="1840"/>
    <n v="1427272.8880799999"/>
    <s v="EPER"/>
    <n v="7414000005"/>
  </r>
  <r>
    <x v="242"/>
    <s v="BANCO SANTANDER (MEXICO) FIDEICOMISO F/2010331-1."/>
    <x v="52"/>
    <s v="NORMAL"/>
    <s v="MXN"/>
    <n v="1540"/>
    <n v="747.17843200000004"/>
    <n v="1150654.78528"/>
    <n v="712.00273322876626"/>
    <n v="54170.576107699999"/>
    <n v="0"/>
    <n v="0"/>
    <n v="0"/>
    <n v="0"/>
    <n v="1540"/>
    <n v="1150654.78528"/>
    <s v="EPER"/>
    <n v="7414000005"/>
  </r>
  <r>
    <x v="242"/>
    <s v="BANCO SANTANDER (MEXICO) FIDEICOMISO F/2010331-1."/>
    <x v="53"/>
    <s v="NORMAL"/>
    <s v="MXN"/>
    <n v="2320"/>
    <n v="765.92388300000005"/>
    <n v="1776943.4085599999"/>
    <n v="608.64914745525857"/>
    <n v="364877.38646379998"/>
    <n v="0"/>
    <n v="0"/>
    <n v="0"/>
    <n v="0"/>
    <n v="2320"/>
    <n v="1776943.4085599999"/>
    <s v="EPER"/>
    <n v="7414000005"/>
  </r>
  <r>
    <x v="242"/>
    <s v="BANCO SANTANDER (MEXICO) FIDEICOMISO F/2010331-1."/>
    <x v="54"/>
    <s v="NORMAL"/>
    <s v="MXN"/>
    <n v="570"/>
    <n v="684.88915799999995"/>
    <n v="390386.82006"/>
    <n v="666.02637400000003"/>
    <n v="10751.78688"/>
    <n v="0"/>
    <n v="0"/>
    <n v="0"/>
    <n v="0"/>
    <n v="570"/>
    <n v="390386.82006"/>
    <s v="EPER"/>
    <n v="7414000005"/>
  </r>
  <r>
    <x v="242"/>
    <s v="BANCO SANTANDER (MEXICO) FIDEICOMISO F/2010331-1."/>
    <x v="55"/>
    <s v="NORMAL"/>
    <s v="MXN"/>
    <n v="408"/>
    <n v="772.926965"/>
    <n v="315354.20172000001"/>
    <n v="586.09956034000004"/>
    <n v="76225.581101279997"/>
    <n v="0"/>
    <n v="0"/>
    <n v="0"/>
    <n v="0"/>
    <n v="408"/>
    <n v="315354.20172000001"/>
    <s v="EPER"/>
    <n v="7414000005"/>
  </r>
  <r>
    <x v="242"/>
    <s v="BANCO SANTANDER (MEXICO) FIDEICOMISO F/2010331-1.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2"/>
    <s v="BANCO SANTANDER (MEXICO) FIDEICOMISO F/2010331-1."/>
    <x v="57"/>
    <s v="NORMAL"/>
    <s v="MXN"/>
    <n v="2867"/>
    <n v="635.96311900000001"/>
    <n v="1823306.262173"/>
    <n v="647.93802047999998"/>
    <n v="-34332.042543160002"/>
    <n v="0"/>
    <n v="0"/>
    <n v="0"/>
    <n v="0"/>
    <n v="2867"/>
    <n v="1823306.262173"/>
    <s v="EPER"/>
    <n v="7414000005"/>
  </r>
  <r>
    <x v="242"/>
    <s v="BANCO SANTANDER (MEXICO) FIDEICOMISO F/2010331-1."/>
    <x v="58"/>
    <s v="NORMAL"/>
    <s v="MXN"/>
    <n v="872"/>
    <n v="709.36974099999998"/>
    <n v="618570.41415199998"/>
    <n v="653.27192515000002"/>
    <n v="48917.295421199997"/>
    <n v="0"/>
    <n v="0"/>
    <n v="0"/>
    <n v="0"/>
    <n v="872"/>
    <n v="618570.41415199998"/>
    <s v="EPER"/>
    <n v="7414000005"/>
  </r>
  <r>
    <x v="242"/>
    <s v="BANCO SANTANDER (MEXICO) FIDEICOMISO F/2010331-1."/>
    <x v="59"/>
    <s v="NORMAL"/>
    <s v="MXN"/>
    <n v="3237"/>
    <n v="694.41118700000004"/>
    <n v="2247809.012319"/>
    <n v="726.98370775236947"/>
    <n v="-105437.24967542"/>
    <n v="0"/>
    <n v="0"/>
    <n v="0"/>
    <n v="0"/>
    <n v="3237"/>
    <n v="2247809.012319"/>
    <s v="EPER"/>
    <n v="7414000005"/>
  </r>
  <r>
    <x v="243"/>
    <s v="BANCO SANTANDER (MEXICO) FIDEICOMISO F/2112253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6"/>
    <s v="BANCO SANTANDER (MEXICO) FIDEICOMISO F/100574-0"/>
    <x v="5"/>
    <s v="NORMAL"/>
    <s v="MXN"/>
    <n v="65"/>
    <n v="1786.5"/>
    <n v="116122.5"/>
    <n v="1492.6649230769231"/>
    <n v="19099.28"/>
    <n v="0"/>
    <n v="0"/>
    <n v="0"/>
    <n v="0"/>
    <n v="65"/>
    <n v="116122.5"/>
    <s v="EPER"/>
    <n v="7414000005"/>
  </r>
  <r>
    <x v="246"/>
    <s v="BANCO SANTANDER (MEXICO) FIDEICOMISO F/100574-0"/>
    <x v="85"/>
    <s v="NORMAL"/>
    <s v="MXN"/>
    <n v="10"/>
    <n v="97.654420999999999"/>
    <n v="976.54421000000002"/>
    <n v="98.224185000000006"/>
    <n v="-5.6976399999999998"/>
    <n v="0"/>
    <n v="0"/>
    <n v="0"/>
    <n v="0"/>
    <n v="10"/>
    <n v="976.54421000000002"/>
    <s v="EPER"/>
    <n v="7414000005"/>
  </r>
  <r>
    <x v="246"/>
    <s v="BANCO SANTANDER (MEXICO) FIDEICOMISO F/100574-0"/>
    <x v="86"/>
    <s v="NORMAL"/>
    <s v="MXN"/>
    <n v="1149"/>
    <n v="9.4935880000000008"/>
    <n v="10908.132611999999"/>
    <n v="8.4405498100000003"/>
    <n v="1209.94088031"/>
    <n v="0"/>
    <n v="0"/>
    <n v="0"/>
    <n v="0"/>
    <n v="1149"/>
    <n v="10908.132611999999"/>
    <s v="EPER"/>
    <n v="7414000005"/>
  </r>
  <r>
    <x v="246"/>
    <s v="BANCO SANTANDER (MEXICO) FIDEICOMISO F/100574-0"/>
    <x v="72"/>
    <s v="NORMAL"/>
    <s v="MXN"/>
    <n v="1600"/>
    <n v="9.3381629999999998"/>
    <n v="14941.060799999999"/>
    <n v="8.3307969100000001"/>
    <n v="1611.785744"/>
    <n v="0"/>
    <n v="0"/>
    <n v="0"/>
    <n v="0"/>
    <n v="1600"/>
    <n v="14941.060799999999"/>
    <s v="EPER"/>
    <n v="7414000005"/>
  </r>
  <r>
    <x v="246"/>
    <s v="BANCO SANTANDER (MEXICO) FIDEICOMISO F/100574-0"/>
    <x v="26"/>
    <s v="NORMAL"/>
    <s v="MXN"/>
    <n v="13"/>
    <n v="98.730349000000004"/>
    <n v="1283.494537"/>
    <n v="100.3572301"/>
    <n v="-21.149454299999999"/>
    <n v="0"/>
    <n v="0"/>
    <n v="0"/>
    <n v="0"/>
    <n v="13"/>
    <n v="1283.494537"/>
    <s v="EPER"/>
    <n v="7414000005"/>
  </r>
  <r>
    <x v="246"/>
    <s v="BANCO SANTANDER (MEXICO) FIDEICOMISO F/100574-0"/>
    <x v="67"/>
    <s v="NORMAL"/>
    <s v="MXN"/>
    <n v="70"/>
    <n v="99.247497999999993"/>
    <n v="6947.3248599999997"/>
    <n v="111.35703942857143"/>
    <n v="-847.66790000000003"/>
    <n v="0"/>
    <n v="0"/>
    <n v="0"/>
    <n v="0"/>
    <n v="70"/>
    <n v="6947.3248599999997"/>
    <s v="EPER"/>
    <n v="7414000005"/>
  </r>
  <r>
    <x v="246"/>
    <s v="BANCO SANTANDER (MEXICO) FIDEICOMISO F/100574-0"/>
    <x v="27"/>
    <s v="NORMAL"/>
    <s v="MXN"/>
    <n v="20"/>
    <n v="94.973146999999997"/>
    <n v="1899.4629399999999"/>
    <n v="89.754779659999997"/>
    <n v="104.36734680000001"/>
    <n v="0"/>
    <n v="0"/>
    <n v="0"/>
    <n v="0"/>
    <n v="20"/>
    <n v="1899.4629399999999"/>
    <s v="EPER"/>
    <n v="7414000005"/>
  </r>
  <r>
    <x v="246"/>
    <s v="BANCO SANTANDER (MEXICO) FIDEICOMISO F/100574-0"/>
    <x v="28"/>
    <s v="NORMAL"/>
    <s v="MXN"/>
    <n v="88"/>
    <n v="91.911821000000003"/>
    <n v="8088.2402480000001"/>
    <n v="93.2088459"/>
    <n v="-114.13819119999999"/>
    <n v="0"/>
    <n v="0"/>
    <n v="0"/>
    <n v="0"/>
    <n v="88"/>
    <n v="8088.2402480000001"/>
    <s v="EPER"/>
    <n v="7414000005"/>
  </r>
  <r>
    <x v="246"/>
    <s v="BANCO SANTANDER (MEXICO) FIDEICOMISO F/100574-0"/>
    <x v="29"/>
    <s v="NORMAL"/>
    <s v="MXN"/>
    <n v="50"/>
    <n v="92.954503000000003"/>
    <n v="4647.7251500000002"/>
    <n v="93.270420958000003"/>
    <n v="-15.7958979"/>
    <n v="0"/>
    <n v="0"/>
    <n v="0"/>
    <n v="0"/>
    <n v="50"/>
    <n v="4647.7251500000002"/>
    <s v="EPER"/>
    <n v="7414000005"/>
  </r>
  <r>
    <x v="246"/>
    <s v="BANCO SANTANDER (MEXICO) FIDEICOMISO F/100574-0"/>
    <x v="30"/>
    <s v="NORMAL"/>
    <s v="MXN"/>
    <n v="49"/>
    <n v="88.698122999999995"/>
    <n v="4346.2080269999997"/>
    <n v="85.58755992591837"/>
    <n v="152.41759063000001"/>
    <n v="0"/>
    <n v="0"/>
    <n v="0"/>
    <n v="0"/>
    <n v="49"/>
    <n v="4346.2080269999997"/>
    <s v="EPER"/>
    <n v="7414000005"/>
  </r>
  <r>
    <x v="246"/>
    <s v="BANCO SANTANDER (MEXICO) FIDEICOMISO F/100574-0"/>
    <x v="31"/>
    <s v="NORMAL"/>
    <s v="MXN"/>
    <n v="141"/>
    <n v="93.314192000000006"/>
    <n v="13157.301072"/>
    <n v="94.238964733120568"/>
    <n v="-130.39295537000001"/>
    <n v="0"/>
    <n v="0"/>
    <n v="0"/>
    <n v="0"/>
    <n v="141"/>
    <n v="13157.301072"/>
    <s v="EPER"/>
    <n v="7414000005"/>
  </r>
  <r>
    <x v="246"/>
    <s v="BANCO SANTANDER (MEXICO) FIDEICOMISO F/100574-0"/>
    <x v="32"/>
    <s v="NORMAL"/>
    <s v="MXN"/>
    <n v="39"/>
    <n v="94.864168000000006"/>
    <n v="3699.7025520000002"/>
    <n v="96.596719710000002"/>
    <n v="-67.56951669"/>
    <n v="0"/>
    <n v="0"/>
    <n v="0"/>
    <n v="0"/>
    <n v="39"/>
    <n v="3699.7025520000002"/>
    <s v="EPER"/>
    <n v="7414000005"/>
  </r>
  <r>
    <x v="246"/>
    <s v="BANCO SANTANDER (MEXICO) FIDEICOMISO F/100574-0"/>
    <x v="33"/>
    <s v="NORMAL"/>
    <s v="MXN"/>
    <n v="313"/>
    <n v="94.870157000000006"/>
    <n v="29694.359141000001"/>
    <n v="97.013094704568687"/>
    <n v="-670.73950152999998"/>
    <n v="0"/>
    <n v="0"/>
    <n v="0"/>
    <n v="0"/>
    <n v="313"/>
    <n v="29694.359141000001"/>
    <s v="EPER"/>
    <n v="7414000005"/>
  </r>
  <r>
    <x v="246"/>
    <s v="BANCO SANTANDER (MEXICO) FIDEICOMISO F/100574-0"/>
    <x v="34"/>
    <s v="NORMAL"/>
    <s v="MXN"/>
    <n v="154"/>
    <n v="89.489464999999996"/>
    <n v="13781.37761"/>
    <n v="89.354387602207794"/>
    <n v="20.801919259999998"/>
    <n v="0"/>
    <n v="0"/>
    <n v="0"/>
    <n v="0"/>
    <n v="154"/>
    <n v="13781.37761"/>
    <s v="EPER"/>
    <n v="7414000005"/>
  </r>
  <r>
    <x v="246"/>
    <s v="BANCO SANTANDER (MEXICO) FIDEICOMISO F/100574-0"/>
    <x v="35"/>
    <s v="NORMAL"/>
    <s v="MXN"/>
    <n v="270"/>
    <n v="86.197128000000006"/>
    <n v="23273.224559999999"/>
    <n v="89.686593819999999"/>
    <n v="-942.15577140000005"/>
    <n v="0"/>
    <n v="0"/>
    <n v="0"/>
    <n v="0"/>
    <n v="270"/>
    <n v="23273.224559999999"/>
    <s v="EPER"/>
    <n v="7414000005"/>
  </r>
  <r>
    <x v="246"/>
    <s v="BANCO SANTANDER (MEXICO) FIDEICOMISO F/100574-0"/>
    <x v="36"/>
    <s v="NORMAL"/>
    <s v="MXN"/>
    <n v="133"/>
    <n v="86.469353999999996"/>
    <n v="11500.424082"/>
    <n v="91.365268857894733"/>
    <n v="-651.15667610000003"/>
    <n v="0"/>
    <n v="0"/>
    <n v="0"/>
    <n v="0"/>
    <n v="133"/>
    <n v="11500.424082"/>
    <s v="EPER"/>
    <n v="7414000005"/>
  </r>
  <r>
    <x v="246"/>
    <s v="BANCO SANTANDER (MEXICO) FIDEICOMISO F/100574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6"/>
    <s v="BANCO SANTANDER (MEXICO) FIDEICOMISO F/100574-0"/>
    <x v="68"/>
    <s v="NORMAL"/>
    <s v="MXN"/>
    <n v="5"/>
    <n v="89.643172000000007"/>
    <n v="448.21586000000002"/>
    <n v="108.47711812999999"/>
    <n v="-94.169730650000005"/>
    <n v="0"/>
    <n v="0"/>
    <n v="0"/>
    <n v="0"/>
    <n v="5"/>
    <n v="448.21586000000002"/>
    <s v="EPER"/>
    <n v="7414000005"/>
  </r>
  <r>
    <x v="246"/>
    <s v="BANCO SANTANDER (MEXICO) FIDEICOMISO F/100574-0"/>
    <x v="37"/>
    <s v="NORMAL"/>
    <s v="MXN"/>
    <n v="202"/>
    <n v="81.738860000000003"/>
    <n v="16511.24972"/>
    <n v="86.643181343564351"/>
    <n v="-990.67291139999998"/>
    <n v="0"/>
    <n v="0"/>
    <n v="0"/>
    <n v="0"/>
    <n v="202"/>
    <n v="16511.24972"/>
    <s v="EPER"/>
    <n v="7414000005"/>
  </r>
  <r>
    <x v="246"/>
    <s v="BANCO SANTANDER (MEXICO) FIDEICOMISO F/100574-0"/>
    <x v="38"/>
    <s v="NORMAL"/>
    <s v="MXN"/>
    <n v="53"/>
    <n v="83.200761"/>
    <n v="4409.6403330000003"/>
    <n v="93.041834525849055"/>
    <n v="-521.57689687000004"/>
    <n v="0"/>
    <n v="0"/>
    <n v="0"/>
    <n v="0"/>
    <n v="53"/>
    <n v="4409.6403330000003"/>
    <s v="EPER"/>
    <n v="7414000005"/>
  </r>
  <r>
    <x v="246"/>
    <s v="BANCO SANTANDER (MEXICO) FIDEICOMISO F/100574-0"/>
    <x v="39"/>
    <s v="NORMAL"/>
    <s v="MXN"/>
    <n v="42"/>
    <n v="82.159907000000004"/>
    <n v="3450.7160939999999"/>
    <n v="86.420874420000004"/>
    <n v="-178.96063164"/>
    <n v="0"/>
    <n v="0"/>
    <n v="0"/>
    <n v="0"/>
    <n v="42"/>
    <n v="3450.7160939999999"/>
    <s v="EPER"/>
    <n v="7414000005"/>
  </r>
  <r>
    <x v="246"/>
    <s v="BANCO SANTANDER (MEXICO) FIDEICOMISO F/100574-0"/>
    <x v="89"/>
    <s v="NORMAL"/>
    <s v="MXN"/>
    <n v="37900"/>
    <n v="3.1390400000000001"/>
    <n v="118969.61599999999"/>
    <n v="2.3708472295514511"/>
    <n v="29114.506000000001"/>
    <n v="0"/>
    <n v="0"/>
    <n v="0"/>
    <n v="0"/>
    <n v="37900"/>
    <n v="118969.61599999999"/>
    <s v="EPER"/>
    <n v="7414000005"/>
  </r>
  <r>
    <x v="246"/>
    <s v="BANCO SANTANDER (MEXICO) FIDEICOMISO F/100574-0"/>
    <x v="0"/>
    <s v="NORMAL"/>
    <s v="MXN"/>
    <n v="28105"/>
    <n v="3.3967719999999999"/>
    <n v="95466.277059999993"/>
    <n v="3.2662109944849669"/>
    <n v="3669.4170600000002"/>
    <n v="0"/>
    <n v="0"/>
    <n v="0"/>
    <n v="0"/>
    <n v="28105"/>
    <n v="95466.277059999993"/>
    <s v="EPER"/>
    <n v="7414000005"/>
  </r>
  <r>
    <x v="246"/>
    <s v="BANCO SANTANDER (MEXICO) FIDEICOMISO F/100574-0"/>
    <x v="51"/>
    <s v="NORMAL"/>
    <s v="MXN"/>
    <n v="6"/>
    <n v="775.69178699999998"/>
    <n v="4654.1507220000003"/>
    <n v="766.69784126000002"/>
    <n v="53.963674439999998"/>
    <n v="0"/>
    <n v="0"/>
    <n v="0"/>
    <n v="0"/>
    <n v="6"/>
    <n v="4654.1507220000003"/>
    <s v="EPER"/>
    <n v="7414000005"/>
  </r>
  <r>
    <x v="246"/>
    <s v="BANCO SANTANDER (MEXICO) FIDEICOMISO F/100574-0"/>
    <x v="52"/>
    <s v="NORMAL"/>
    <s v="MXN"/>
    <n v="12"/>
    <n v="747.17843200000004"/>
    <n v="8966.1411840000001"/>
    <n v="730.99471579999999"/>
    <n v="194.20459439999999"/>
    <n v="0"/>
    <n v="0"/>
    <n v="0"/>
    <n v="0"/>
    <n v="12"/>
    <n v="8966.1411840000001"/>
    <s v="EPER"/>
    <n v="7414000005"/>
  </r>
  <r>
    <x v="246"/>
    <s v="BANCO SANTANDER (MEXICO) FIDEICOMISO F/100574-0"/>
    <x v="53"/>
    <s v="NORMAL"/>
    <s v="MXN"/>
    <n v="3"/>
    <n v="765.92388300000005"/>
    <n v="2297.7716489999998"/>
    <n v="634.98991012333329"/>
    <n v="392.80191862999999"/>
    <n v="0"/>
    <n v="0"/>
    <n v="0"/>
    <n v="0"/>
    <n v="3"/>
    <n v="2297.7716489999998"/>
    <s v="EPER"/>
    <n v="7414000005"/>
  </r>
  <r>
    <x v="246"/>
    <s v="BANCO SANTANDER (MEXICO) FIDEICOMISO F/100574-0"/>
    <x v="54"/>
    <s v="NORMAL"/>
    <s v="MXN"/>
    <n v="22"/>
    <n v="684.88915799999995"/>
    <n v="15067.561476000001"/>
    <n v="674.82119490000002"/>
    <n v="221.4951882"/>
    <n v="0"/>
    <n v="0"/>
    <n v="0"/>
    <n v="0"/>
    <n v="22"/>
    <n v="15067.561476000001"/>
    <s v="EPER"/>
    <n v="7414000005"/>
  </r>
  <r>
    <x v="246"/>
    <s v="BANCO SANTANDER (MEXICO) FIDEICOMISO F/100574-0"/>
    <x v="55"/>
    <s v="NORMAL"/>
    <s v="MXN"/>
    <n v="13"/>
    <n v="772.926965"/>
    <n v="10048.050545"/>
    <n v="803.51182437"/>
    <n v="-397.60317180999999"/>
    <n v="0"/>
    <n v="0"/>
    <n v="0"/>
    <n v="0"/>
    <n v="13"/>
    <n v="10048.050545"/>
    <s v="EPER"/>
    <n v="7414000005"/>
  </r>
  <r>
    <x v="246"/>
    <s v="BANCO SANTANDER (MEXICO) FIDEICOMISO F/100574-0"/>
    <x v="56"/>
    <s v="NORMAL"/>
    <s v="MXN"/>
    <n v="13"/>
    <n v="721.59464000000003"/>
    <n v="9380.7303200000006"/>
    <n v="756.22640349384619"/>
    <n v="-450.21292541999998"/>
    <n v="0"/>
    <n v="0"/>
    <n v="0"/>
    <n v="0"/>
    <n v="13"/>
    <n v="9380.7303200000006"/>
    <s v="EPER"/>
    <n v="7414000005"/>
  </r>
  <r>
    <x v="246"/>
    <s v="BANCO SANTANDER (MEXICO) FIDEICOMISO F/100574-0"/>
    <x v="57"/>
    <s v="NORMAL"/>
    <s v="MXN"/>
    <n v="3"/>
    <n v="635.96311900000001"/>
    <n v="1907.889357"/>
    <n v="673.26646482000001"/>
    <n v="-111.91003746"/>
    <n v="0"/>
    <n v="0"/>
    <n v="0"/>
    <n v="0"/>
    <n v="3"/>
    <n v="1907.889357"/>
    <s v="EPER"/>
    <n v="7414000005"/>
  </r>
  <r>
    <x v="246"/>
    <s v="BANCO SANTANDER (MEXICO) FIDEICOMISO F/100574-0"/>
    <x v="58"/>
    <s v="NORMAL"/>
    <s v="MXN"/>
    <n v="15"/>
    <n v="709.36974099999998"/>
    <n v="10640.546114999999"/>
    <n v="725.54515143866672"/>
    <n v="-242.63115658000001"/>
    <n v="0"/>
    <n v="0"/>
    <n v="0"/>
    <n v="0"/>
    <n v="15"/>
    <n v="10640.546114999999"/>
    <s v="EPER"/>
    <n v="7414000005"/>
  </r>
  <r>
    <x v="246"/>
    <s v="BANCO SANTANDER (MEXICO) FIDEICOMISO F/100574-0"/>
    <x v="59"/>
    <s v="NORMAL"/>
    <s v="MXN"/>
    <n v="33"/>
    <n v="694.41118700000004"/>
    <n v="22915.569170999999"/>
    <n v="722.62972981424241"/>
    <n v="-931.21191286999999"/>
    <n v="0"/>
    <n v="0"/>
    <n v="0"/>
    <n v="0"/>
    <n v="33"/>
    <n v="22915.569170999999"/>
    <s v="EPER"/>
    <n v="7414000005"/>
  </r>
  <r>
    <x v="247"/>
    <s v="BANCO SANTANDER (MEXICO) FIDEICOMISO F/100575-0"/>
    <x v="4"/>
    <s v="NORMAL"/>
    <s v="MXN"/>
    <n v="3100"/>
    <n v="168.64"/>
    <n v="522784"/>
    <n v="178.5266935483871"/>
    <n v="-30648.75"/>
    <n v="0"/>
    <n v="0"/>
    <n v="0"/>
    <n v="0"/>
    <n v="3100"/>
    <n v="522784"/>
    <s v="EPER"/>
    <n v="7414000005"/>
  </r>
  <r>
    <x v="247"/>
    <s v="BANCO SANTANDER (MEXICO) FIDEICOMISO F/100575-0"/>
    <x v="5"/>
    <s v="NORMAL"/>
    <s v="MXN"/>
    <n v="3700"/>
    <n v="1786.5"/>
    <n v="6610050"/>
    <n v="1826.7352432432433"/>
    <n v="-148870.39999999999"/>
    <n v="0"/>
    <n v="0"/>
    <n v="0"/>
    <n v="0"/>
    <n v="3700"/>
    <n v="6610050"/>
    <s v="EPER"/>
    <n v="7414000005"/>
  </r>
  <r>
    <x v="247"/>
    <s v="BANCO SANTANDER (MEXICO) FIDEICOMISO F/100575-0"/>
    <x v="187"/>
    <s v="NORMAL"/>
    <s v="MXN"/>
    <n v="9800"/>
    <n v="11.86"/>
    <n v="116228"/>
    <n v="12.184011224489796"/>
    <n v="-3175.31"/>
    <n v="0"/>
    <n v="0"/>
    <n v="0"/>
    <n v="0"/>
    <n v="9800"/>
    <n v="116228"/>
    <s v="EPER"/>
    <n v="7414000005"/>
  </r>
  <r>
    <x v="247"/>
    <s v="BANCO SANTANDER (MEXICO) FIDEICOMISO F/100575-0"/>
    <x v="7"/>
    <s v="NORMAL"/>
    <s v="MXN"/>
    <n v="8600"/>
    <n v="73.37"/>
    <n v="630982"/>
    <n v="61.993534883720933"/>
    <n v="97837.6"/>
    <n v="0"/>
    <n v="0"/>
    <n v="0"/>
    <n v="0"/>
    <n v="8600"/>
    <n v="630982"/>
    <s v="EPER"/>
    <n v="7414000005"/>
  </r>
  <r>
    <x v="247"/>
    <s v="BANCO SANTANDER (MEXICO) FIDEICOMISO F/100575-0"/>
    <x v="10"/>
    <s v="NORMAL"/>
    <s v="MXN"/>
    <n v="129000"/>
    <n v="15.12"/>
    <n v="1950480"/>
    <n v="16.199368839534884"/>
    <n v="-139238.5803"/>
    <n v="0"/>
    <n v="0"/>
    <n v="0"/>
    <n v="0"/>
    <n v="129000"/>
    <n v="1950480"/>
    <s v="EPER"/>
    <n v="7414000005"/>
  </r>
  <r>
    <x v="247"/>
    <s v="BANCO SANTANDER (MEXICO) FIDEICOMISO F/100575-0"/>
    <x v="11"/>
    <s v="NORMAL"/>
    <s v="MXN"/>
    <n v="2400"/>
    <n v="525.09"/>
    <n v="1260216"/>
    <n v="492.05947083333331"/>
    <n v="79273.27"/>
    <n v="0"/>
    <n v="0"/>
    <n v="0"/>
    <n v="0"/>
    <n v="2400"/>
    <n v="1260216"/>
    <s v="EPER"/>
    <n v="7414000005"/>
  </r>
  <r>
    <x v="247"/>
    <s v="BANCO SANTANDER (MEXICO) FIDEICOMISO F/100575-0"/>
    <x v="12"/>
    <s v="NORMAL"/>
    <s v="MXN"/>
    <n v="5600"/>
    <n v="68.25"/>
    <n v="382200"/>
    <n v="78.630969642857139"/>
    <n v="-58133.43"/>
    <n v="0"/>
    <n v="0"/>
    <n v="0"/>
    <n v="0"/>
    <n v="5600"/>
    <n v="382200"/>
    <s v="EPER"/>
    <n v="7414000005"/>
  </r>
  <r>
    <x v="247"/>
    <s v="BANCO SANTANDER (MEXICO) FIDEICOMISO F/100575-0"/>
    <x v="14"/>
    <s v="NORMAL"/>
    <s v="MXN"/>
    <n v="156400"/>
    <n v="14.33"/>
    <n v="2241212"/>
    <n v="12.104430370843989"/>
    <n v="348079.09"/>
    <n v="0"/>
    <n v="0"/>
    <n v="0"/>
    <n v="0"/>
    <n v="156400"/>
    <n v="2241212"/>
    <s v="EPER"/>
    <n v="7414000005"/>
  </r>
  <r>
    <x v="247"/>
    <s v="BANCO SANTANDER (MEXICO) FIDEICOMISO F/100575-0"/>
    <x v="85"/>
    <s v="NORMAL"/>
    <s v="MXN"/>
    <n v="1072"/>
    <n v="97.654420999999999"/>
    <n v="104685.53931199999"/>
    <n v="98.224185000000006"/>
    <n v="-610.78700800000001"/>
    <n v="0"/>
    <n v="0"/>
    <n v="0"/>
    <n v="0"/>
    <n v="1072"/>
    <n v="104685.53931199999"/>
    <s v="EPER"/>
    <n v="7414000005"/>
  </r>
  <r>
    <x v="247"/>
    <s v="BANCO SANTANDER (MEXICO) FIDEICOMISO F/100575-0"/>
    <x v="86"/>
    <s v="NORMAL"/>
    <s v="MXN"/>
    <n v="228935"/>
    <n v="9.4935880000000008"/>
    <n v="2173414.5687799999"/>
    <n v="8.4405498100000003"/>
    <n v="241077.29802764999"/>
    <n v="0"/>
    <n v="0"/>
    <n v="0"/>
    <n v="0"/>
    <n v="228935"/>
    <n v="2173414.5687799999"/>
    <s v="EPER"/>
    <n v="7414000005"/>
  </r>
  <r>
    <x v="247"/>
    <s v="BANCO SANTANDER (MEXICO) FIDEICOMISO F/100575-0"/>
    <x v="72"/>
    <s v="NORMAL"/>
    <s v="MXN"/>
    <n v="311790"/>
    <n v="9.3381629999999998"/>
    <n v="2911545.8417699998"/>
    <n v="8.3307969100000001"/>
    <n v="314086.67320110003"/>
    <n v="0"/>
    <n v="0"/>
    <n v="0"/>
    <n v="0"/>
    <n v="311790"/>
    <n v="2911545.8417699998"/>
    <s v="EPER"/>
    <n v="7414000005"/>
  </r>
  <r>
    <x v="247"/>
    <s v="BANCO SANTANDER (MEXICO) FIDEICOMISO F/100575-0"/>
    <x v="17"/>
    <s v="NORMAL"/>
    <s v="MXN"/>
    <n v="2430"/>
    <n v="675.38"/>
    <n v="1641173.4"/>
    <n v="749.08651028806582"/>
    <n v="-179106.82"/>
    <n v="0"/>
    <n v="0"/>
    <n v="0"/>
    <n v="0"/>
    <n v="2430"/>
    <n v="1641173.4"/>
    <s v="EPER"/>
    <n v="7414000005"/>
  </r>
  <r>
    <x v="247"/>
    <s v="BANCO SANTANDER (MEXICO) FIDEICOMISO F/100575-0"/>
    <x v="18"/>
    <s v="NORMAL"/>
    <s v="MXN"/>
    <n v="525"/>
    <n v="700.65"/>
    <n v="367841.25"/>
    <n v="742.85199999999998"/>
    <n v="-22156.05"/>
    <n v="0"/>
    <n v="0"/>
    <n v="0"/>
    <n v="0"/>
    <n v="525"/>
    <n v="367841.25"/>
    <s v="EPER"/>
    <n v="7414000005"/>
  </r>
  <r>
    <x v="247"/>
    <s v="BANCO SANTANDER (MEXICO) FIDEICOMISO F/100575-0"/>
    <x v="19"/>
    <s v="NORMAL"/>
    <s v="MXN"/>
    <n v="1080"/>
    <n v="1151"/>
    <n v="1243080"/>
    <n v="968.06100000000004"/>
    <n v="197574.12"/>
    <n v="0"/>
    <n v="0"/>
    <n v="0"/>
    <n v="0"/>
    <n v="1080"/>
    <n v="1243080"/>
    <s v="EPER"/>
    <n v="7414000005"/>
  </r>
  <r>
    <x v="247"/>
    <s v="BANCO SANTANDER (MEXICO) FIDEICOMISO F/100575-0"/>
    <x v="20"/>
    <s v="NORMAL"/>
    <s v="MXN"/>
    <n v="11600"/>
    <n v="207.81"/>
    <n v="2410596"/>
    <n v="177.41442931034481"/>
    <n v="352588.62"/>
    <n v="0"/>
    <n v="0"/>
    <n v="0"/>
    <n v="0"/>
    <n v="11600"/>
    <n v="2410596"/>
    <s v="EPER"/>
    <n v="7414000005"/>
  </r>
  <r>
    <x v="247"/>
    <s v="BANCO SANTANDER (MEXICO) FIDEICOMISO F/100575-0"/>
    <x v="21"/>
    <s v="NORMAL"/>
    <s v="MXN"/>
    <n v="1200"/>
    <n v="271.94"/>
    <n v="326328"/>
    <n v="293.563875"/>
    <n v="-25948.65"/>
    <n v="0"/>
    <n v="0"/>
    <n v="0"/>
    <n v="0"/>
    <n v="1200"/>
    <n v="326328"/>
    <s v="EPER"/>
    <n v="7414000005"/>
  </r>
  <r>
    <x v="247"/>
    <s v="BANCO SANTANDER (MEXICO) FIDEICOMISO F/100575-0"/>
    <x v="22"/>
    <s v="NORMAL"/>
    <s v="MXN"/>
    <n v="4000"/>
    <n v="193.15"/>
    <n v="772600"/>
    <n v="163.350145"/>
    <n v="119199.42"/>
    <n v="0"/>
    <n v="0"/>
    <n v="0"/>
    <n v="0"/>
    <n v="4000"/>
    <n v="772600"/>
    <s v="EPER"/>
    <n v="7414000005"/>
  </r>
  <r>
    <x v="247"/>
    <s v="BANCO SANTANDER (MEXICO) FIDEICOMISO F/100575-0"/>
    <x v="23"/>
    <s v="NORMAL"/>
    <s v="MXN"/>
    <n v="29000"/>
    <n v="27.12"/>
    <n v="786480"/>
    <n v="22.472498620689656"/>
    <n v="134777.54"/>
    <n v="0"/>
    <n v="0"/>
    <n v="0"/>
    <n v="0"/>
    <n v="29000"/>
    <n v="786480"/>
    <s v="EPER"/>
    <n v="7414000005"/>
  </r>
  <r>
    <x v="247"/>
    <s v="BANCO SANTANDER (MEXICO) FIDEICOMISO F/100575-0"/>
    <x v="24"/>
    <s v="NORMAL"/>
    <s v="MXN"/>
    <n v="18400"/>
    <n v="176.44"/>
    <n v="3246496"/>
    <n v="148.34452989130435"/>
    <n v="516956.65"/>
    <n v="0"/>
    <n v="0"/>
    <n v="0"/>
    <n v="0"/>
    <n v="18400"/>
    <n v="3246496"/>
    <s v="EPER"/>
    <n v="7414000005"/>
  </r>
  <r>
    <x v="247"/>
    <s v="BANCO SANTANDER (MEXICO) FIDEICOMISO F/100575-0"/>
    <x v="25"/>
    <s v="NORMAL"/>
    <s v="MXN"/>
    <n v="23300"/>
    <n v="104.12"/>
    <n v="2425996"/>
    <n v="83.804112875536475"/>
    <n v="473360.17"/>
    <n v="0"/>
    <n v="0"/>
    <n v="0"/>
    <n v="0"/>
    <n v="23300"/>
    <n v="2425996"/>
    <s v="EPER"/>
    <n v="7414000005"/>
  </r>
  <r>
    <x v="247"/>
    <s v="BANCO SANTANDER (MEXICO) FIDEICOMISO F/100575-0"/>
    <x v="26"/>
    <s v="NORMAL"/>
    <s v="MXN"/>
    <n v="15697"/>
    <n v="98.730349000000004"/>
    <n v="1549770.288253"/>
    <n v="104.03952863687456"/>
    <n v="-83338.19276002"/>
    <n v="0"/>
    <n v="0"/>
    <n v="0"/>
    <n v="0"/>
    <n v="15697"/>
    <n v="1549770.288253"/>
    <s v="EPER"/>
    <n v="7414000005"/>
  </r>
  <r>
    <x v="247"/>
    <s v="BANCO SANTANDER (MEXICO) FIDEICOMISO F/100575-0"/>
    <x v="67"/>
    <s v="NORMAL"/>
    <s v="MXN"/>
    <n v="17750"/>
    <n v="99.247497999999993"/>
    <n v="1761643.0895"/>
    <n v="112.3990265691245"/>
    <n v="-233439.63210196001"/>
    <n v="0"/>
    <n v="0"/>
    <n v="0"/>
    <n v="0"/>
    <n v="17750"/>
    <n v="1761643.0895"/>
    <s v="EPER"/>
    <n v="7414000005"/>
  </r>
  <r>
    <x v="247"/>
    <s v="BANCO SANTANDER (MEXICO) FIDEICOMISO F/100575-0"/>
    <x v="27"/>
    <s v="NORMAL"/>
    <s v="MXN"/>
    <n v="5330"/>
    <n v="94.973146999999997"/>
    <n v="506206.87351"/>
    <n v="89.776596093696057"/>
    <n v="27697.616330600002"/>
    <n v="0"/>
    <n v="0"/>
    <n v="0"/>
    <n v="0"/>
    <n v="5330"/>
    <n v="506206.87351"/>
    <s v="EPER"/>
    <n v="7414000005"/>
  </r>
  <r>
    <x v="247"/>
    <s v="BANCO SANTANDER (MEXICO) FIDEICOMISO F/100575-0"/>
    <x v="28"/>
    <s v="NORMAL"/>
    <s v="MXN"/>
    <n v="18336"/>
    <n v="91.911821000000003"/>
    <n v="1685295.149856"/>
    <n v="93.2088459"/>
    <n v="-23782.248566400001"/>
    <n v="0"/>
    <n v="0"/>
    <n v="0"/>
    <n v="0"/>
    <n v="18336"/>
    <n v="1685295.149856"/>
    <s v="EPER"/>
    <n v="7414000005"/>
  </r>
  <r>
    <x v="247"/>
    <s v="BANCO SANTANDER (MEXICO) FIDEICOMISO F/100575-0"/>
    <x v="29"/>
    <s v="NORMAL"/>
    <s v="MXN"/>
    <n v="9390"/>
    <n v="92.954503000000003"/>
    <n v="872842.78316999995"/>
    <n v="93.326188568146961"/>
    <n v="-3490.1274849000001"/>
    <n v="0"/>
    <n v="0"/>
    <n v="0"/>
    <n v="0"/>
    <n v="9390"/>
    <n v="872842.78316999995"/>
    <s v="EPER"/>
    <n v="7414000005"/>
  </r>
  <r>
    <x v="247"/>
    <s v="BANCO SANTANDER (MEXICO) FIDEICOMISO F/100575-0"/>
    <x v="30"/>
    <s v="NORMAL"/>
    <s v="MXN"/>
    <n v="9384"/>
    <n v="88.698122999999995"/>
    <n v="832343.18623200001"/>
    <n v="85.582633650971871"/>
    <n v="29235.75205128"/>
    <n v="0"/>
    <n v="0"/>
    <n v="0"/>
    <n v="0"/>
    <n v="9384"/>
    <n v="832343.18623200001"/>
    <s v="EPER"/>
    <n v="7414000005"/>
  </r>
  <r>
    <x v="247"/>
    <s v="BANCO SANTANDER (MEXICO) FIDEICOMISO F/100575-0"/>
    <x v="31"/>
    <s v="NORMAL"/>
    <s v="MXN"/>
    <n v="18740"/>
    <n v="93.314192000000006"/>
    <n v="1748707.95808"/>
    <n v="98.84379737696905"/>
    <n v="-103624.8047644"/>
    <n v="0"/>
    <n v="0"/>
    <n v="0"/>
    <n v="0"/>
    <n v="18740"/>
    <n v="1748707.95808"/>
    <s v="EPER"/>
    <n v="7414000005"/>
  </r>
  <r>
    <x v="247"/>
    <s v="BANCO SANTANDER (MEXICO) FIDEICOMISO F/100575-0"/>
    <x v="32"/>
    <s v="NORMAL"/>
    <s v="MXN"/>
    <n v="16620"/>
    <n v="94.864168000000006"/>
    <n v="1576642.4721599999"/>
    <n v="96.405382591450064"/>
    <n v="-25614.986509900002"/>
    <n v="0"/>
    <n v="0"/>
    <n v="0"/>
    <n v="0"/>
    <n v="16620"/>
    <n v="1576642.4721599999"/>
    <s v="EPER"/>
    <n v="7414000005"/>
  </r>
  <r>
    <x v="247"/>
    <s v="BANCO SANTANDER (MEXICO) FIDEICOMISO F/100575-0"/>
    <x v="33"/>
    <s v="NORMAL"/>
    <s v="MXN"/>
    <n v="46662"/>
    <n v="94.870157000000006"/>
    <n v="4426831.2659339998"/>
    <n v="96.755545584115552"/>
    <n v="-87976.002112000002"/>
    <n v="0"/>
    <n v="0"/>
    <n v="0"/>
    <n v="0"/>
    <n v="46662"/>
    <n v="4426831.2659339998"/>
    <s v="EPER"/>
    <n v="7414000005"/>
  </r>
  <r>
    <x v="247"/>
    <s v="BANCO SANTANDER (MEXICO) FIDEICOMISO F/100575-0"/>
    <x v="34"/>
    <s v="NORMAL"/>
    <s v="MXN"/>
    <n v="31021"/>
    <n v="89.489464999999996"/>
    <n v="2776052.693765"/>
    <n v="91.625033696637118"/>
    <n v="-66247.476538379997"/>
    <n v="0"/>
    <n v="0"/>
    <n v="0"/>
    <n v="0"/>
    <n v="31021"/>
    <n v="2776052.693765"/>
    <s v="EPER"/>
    <n v="7414000005"/>
  </r>
  <r>
    <x v="247"/>
    <s v="BANCO SANTANDER (MEXICO) FIDEICOMISO F/100575-0"/>
    <x v="35"/>
    <s v="NORMAL"/>
    <s v="MXN"/>
    <n v="46364"/>
    <n v="86.197128000000006"/>
    <n v="3996443.6425919998"/>
    <n v="89.230285410432657"/>
    <n v="-140629.31017730001"/>
    <n v="0"/>
    <n v="0"/>
    <n v="0"/>
    <n v="0"/>
    <n v="46364"/>
    <n v="3996443.6425919998"/>
    <s v="EPER"/>
    <n v="7414000005"/>
  </r>
  <r>
    <x v="247"/>
    <s v="BANCO SANTANDER (MEXICO) FIDEICOMISO F/100575-0"/>
    <x v="36"/>
    <s v="NORMAL"/>
    <s v="MXN"/>
    <n v="31170"/>
    <n v="86.469353999999996"/>
    <n v="2695249.7641799999"/>
    <n v="90.753331323054212"/>
    <n v="-133531.5731596"/>
    <n v="0"/>
    <n v="0"/>
    <n v="0"/>
    <n v="0"/>
    <n v="31170"/>
    <n v="2695249.7641799999"/>
    <s v="EPER"/>
    <n v="7414000005"/>
  </r>
  <r>
    <x v="247"/>
    <s v="BANCO SANTANDER (MEXICO) FIDEICOMISO F/100575-0"/>
    <x v="81"/>
    <s v="NORMAL"/>
    <s v="MXN"/>
    <n v="1504"/>
    <n v="101.45096599999999"/>
    <n v="152582.25286400001"/>
    <n v="114.11447106"/>
    <n v="-19045.91161024"/>
    <n v="0"/>
    <n v="0"/>
    <n v="0"/>
    <n v="0"/>
    <n v="1504"/>
    <n v="152582.25286400001"/>
    <s v="EPER"/>
    <n v="7414000005"/>
  </r>
  <r>
    <x v="247"/>
    <s v="BANCO SANTANDER (MEXICO) FIDEICOMISO F/100575-0"/>
    <x v="68"/>
    <s v="NORMAL"/>
    <s v="MXN"/>
    <n v="1379"/>
    <n v="89.643172000000007"/>
    <n v="123617.934188"/>
    <n v="108.47711812999999"/>
    <n v="-25972.01171327"/>
    <n v="0"/>
    <n v="0"/>
    <n v="0"/>
    <n v="0"/>
    <n v="1379"/>
    <n v="123617.934188"/>
    <s v="EPER"/>
    <n v="7414000005"/>
  </r>
  <r>
    <x v="247"/>
    <s v="BANCO SANTANDER (MEXICO) FIDEICOMISO F/100575-0"/>
    <x v="37"/>
    <s v="NORMAL"/>
    <s v="MXN"/>
    <n v="37318"/>
    <n v="81.738860000000003"/>
    <n v="3050330.7774800002"/>
    <n v="86.583587935914039"/>
    <n v="-180795.55711244"/>
    <n v="0"/>
    <n v="0"/>
    <n v="0"/>
    <n v="0"/>
    <n v="37318"/>
    <n v="3050330.7774800002"/>
    <s v="EPER"/>
    <n v="7414000005"/>
  </r>
  <r>
    <x v="247"/>
    <s v="BANCO SANTANDER (MEXICO) FIDEICOMISO F/100575-0"/>
    <x v="38"/>
    <s v="NORMAL"/>
    <s v="MXN"/>
    <n v="5580"/>
    <n v="83.200761"/>
    <n v="464260.24638000003"/>
    <n v="94.43845025129032"/>
    <n v="-62706.306022199999"/>
    <n v="0"/>
    <n v="0"/>
    <n v="0"/>
    <n v="0"/>
    <n v="5580"/>
    <n v="464260.24638000003"/>
    <s v="EPER"/>
    <n v="7414000005"/>
  </r>
  <r>
    <x v="247"/>
    <s v="BANCO SANTANDER (MEXICO) FIDEICOMISO F/100575-0"/>
    <x v="39"/>
    <s v="NORMAL"/>
    <s v="MXN"/>
    <n v="45593"/>
    <n v="82.159907000000004"/>
    <n v="3745916.6398510002"/>
    <n v="83.99904384907903"/>
    <n v="-83851.766360060006"/>
    <n v="0"/>
    <n v="0"/>
    <n v="0"/>
    <n v="0"/>
    <n v="45593"/>
    <n v="3745916.6398510002"/>
    <s v="EPER"/>
    <n v="7414000005"/>
  </r>
  <r>
    <x v="247"/>
    <s v="BANCO SANTANDER (MEXICO) FIDEICOMISO F/100575-0"/>
    <x v="40"/>
    <s v="NORMAL"/>
    <s v="MXN"/>
    <n v="2000"/>
    <n v="314.42"/>
    <n v="628840"/>
    <n v="283.67239000000001"/>
    <n v="61495.22"/>
    <n v="0"/>
    <n v="0"/>
    <n v="0"/>
    <n v="0"/>
    <n v="2000"/>
    <n v="628840"/>
    <s v="EPER"/>
    <n v="7414000005"/>
  </r>
  <r>
    <x v="247"/>
    <s v="BANCO SANTANDER (MEXICO) FIDEICOMISO F/100575-0"/>
    <x v="41"/>
    <s v="NORMAL"/>
    <s v="MXN"/>
    <n v="11900"/>
    <n v="43.85"/>
    <n v="521815"/>
    <n v="41.431910924369745"/>
    <n v="28775.26"/>
    <n v="0"/>
    <n v="0"/>
    <n v="0"/>
    <n v="0"/>
    <n v="11900"/>
    <n v="521815"/>
    <s v="EPER"/>
    <n v="7414000005"/>
  </r>
  <r>
    <x v="247"/>
    <s v="BANCO SANTANDER (MEXICO) FIDEICOMISO F/100575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7"/>
    <s v="BANCO SANTANDER (MEXICO) FIDEICOMISO F/100575-0"/>
    <x v="42"/>
    <s v="NORMAL"/>
    <s v="MXN"/>
    <n v="946"/>
    <n v="8532.5"/>
    <n v="8071745"/>
    <n v="4566.3986469344609"/>
    <n v="3751931.88"/>
    <n v="0"/>
    <n v="0"/>
    <n v="0"/>
    <n v="0"/>
    <n v="946"/>
    <n v="8071745"/>
    <s v="EPER"/>
    <n v="7414000005"/>
  </r>
  <r>
    <x v="247"/>
    <s v="BANCO SANTANDER (MEXICO) FIDEICOMISO F/100575-0"/>
    <x v="44"/>
    <s v="NORMAL"/>
    <s v="MXN"/>
    <n v="14400"/>
    <n v="36.28"/>
    <n v="522432"/>
    <n v="39.117790277777779"/>
    <n v="-40864.18"/>
    <n v="0"/>
    <n v="0"/>
    <n v="0"/>
    <n v="0"/>
    <n v="14400"/>
    <n v="522432"/>
    <s v="EPER"/>
    <n v="7414000005"/>
  </r>
  <r>
    <x v="247"/>
    <s v="BANCO SANTANDER (MEXICO) FIDEICOMISO F/100575-0"/>
    <x v="45"/>
    <s v="NORMAL"/>
    <s v="MXN"/>
    <n v="1900"/>
    <n v="136.35"/>
    <n v="259065"/>
    <n v="119.00934736842105"/>
    <n v="32947.24"/>
    <n v="0"/>
    <n v="0"/>
    <n v="0"/>
    <n v="0"/>
    <n v="1900"/>
    <n v="259065"/>
    <s v="EPER"/>
    <n v="7414000005"/>
  </r>
  <r>
    <x v="247"/>
    <s v="BANCO SANTANDER (MEXICO) FIDEICOMISO F/100575-0"/>
    <x v="88"/>
    <s v="NORMAL"/>
    <s v="MXN"/>
    <n v="40257"/>
    <n v="98.007834000000003"/>
    <n v="3945501.3733379999"/>
    <n v="89.792370106188244"/>
    <n v="330729.92997318"/>
    <n v="0"/>
    <n v="0"/>
    <n v="0"/>
    <n v="0"/>
    <n v="40257"/>
    <n v="3945501.3733379999"/>
    <s v="EPER"/>
    <n v="7414000005"/>
  </r>
  <r>
    <x v="247"/>
    <s v="BANCO SANTANDER (MEXICO) FIDEICOMISO F/100575-0"/>
    <x v="48"/>
    <s v="NORMAL"/>
    <s v="MXN"/>
    <n v="4500"/>
    <n v="156"/>
    <n v="702000"/>
    <n v="139.65624222222223"/>
    <n v="73546.91"/>
    <n v="0"/>
    <n v="0"/>
    <n v="0"/>
    <n v="0"/>
    <n v="4500"/>
    <n v="702000"/>
    <s v="EPER"/>
    <n v="7414000005"/>
  </r>
  <r>
    <x v="247"/>
    <s v="BANCO SANTANDER (MEXICO) FIDEICOMISO F/100575-0"/>
    <x v="49"/>
    <s v="NORMAL"/>
    <s v="MXN"/>
    <n v="3621"/>
    <n v="682.55"/>
    <n v="2471513.5499999998"/>
    <n v="846.22250483291907"/>
    <n v="-592658.14"/>
    <n v="0"/>
    <n v="0"/>
    <n v="0"/>
    <n v="0"/>
    <n v="3621"/>
    <n v="2471513.5499999998"/>
    <s v="EPER"/>
    <n v="7414000005"/>
  </r>
  <r>
    <x v="247"/>
    <s v="BANCO SANTANDER (MEXICO) FIDEICOMISO F/100575-0"/>
    <x v="0"/>
    <s v="NORMAL"/>
    <s v="MXN"/>
    <n v="1728933"/>
    <n v="3.3967719999999999"/>
    <n v="5872791.2042760001"/>
    <n v="3.3033328417006329"/>
    <n v="161550.044276"/>
    <n v="0"/>
    <n v="0"/>
    <n v="0"/>
    <n v="0"/>
    <n v="1728933"/>
    <n v="5872791.2042760001"/>
    <s v="EPER"/>
    <n v="7414000005"/>
  </r>
  <r>
    <x v="247"/>
    <s v="BANCO SANTANDER (MEXICO) FIDEICOMISO F/100575-0"/>
    <x v="50"/>
    <s v="NORMAL"/>
    <s v="MXN"/>
    <n v="19000"/>
    <n v="31.41"/>
    <n v="596790"/>
    <n v="32.11050946842105"/>
    <n v="-13309.679899999999"/>
    <n v="0"/>
    <n v="0"/>
    <n v="0"/>
    <n v="0"/>
    <n v="19000"/>
    <n v="596790"/>
    <s v="EPER"/>
    <n v="7414000005"/>
  </r>
  <r>
    <x v="247"/>
    <s v="BANCO SANTANDER (MEXICO) FIDEICOMISO F/100575-0"/>
    <x v="51"/>
    <s v="NORMAL"/>
    <s v="MXN"/>
    <n v="3169"/>
    <n v="775.69178699999998"/>
    <n v="2458167.2730029998"/>
    <n v="766.69784126000002"/>
    <n v="28501.814050059998"/>
    <n v="0"/>
    <n v="0"/>
    <n v="0"/>
    <n v="0"/>
    <n v="3169"/>
    <n v="2458167.2730029998"/>
    <s v="EPER"/>
    <n v="7414000005"/>
  </r>
  <r>
    <x v="247"/>
    <s v="BANCO SANTANDER (MEXICO) FIDEICOMISO F/100575-0"/>
    <x v="52"/>
    <s v="NORMAL"/>
    <s v="MXN"/>
    <n v="6500"/>
    <n v="747.17843200000004"/>
    <n v="4856659.8080000002"/>
    <n v="723.82397457606157"/>
    <n v="151803.97325559999"/>
    <n v="0"/>
    <n v="0"/>
    <n v="0"/>
    <n v="0"/>
    <n v="6500"/>
    <n v="4856659.8080000002"/>
    <s v="EPER"/>
    <n v="7414000005"/>
  </r>
  <r>
    <x v="247"/>
    <s v="BANCO SANTANDER (MEXICO) FIDEICOMISO F/100575-0"/>
    <x v="53"/>
    <s v="NORMAL"/>
    <s v="MXN"/>
    <n v="2128"/>
    <n v="765.92388300000005"/>
    <n v="1629886.023024"/>
    <n v="752.63389081660716"/>
    <n v="28281.103366259998"/>
    <n v="0"/>
    <n v="0"/>
    <n v="0"/>
    <n v="0"/>
    <n v="2128"/>
    <n v="1629886.023024"/>
    <s v="EPER"/>
    <n v="7414000005"/>
  </r>
  <r>
    <x v="247"/>
    <s v="BANCO SANTANDER (MEXICO) FIDEICOMISO F/100575-0"/>
    <x v="54"/>
    <s v="NORMAL"/>
    <s v="MXN"/>
    <n v="3718"/>
    <n v="684.88915799999995"/>
    <n v="2546417.8894440001"/>
    <n v="680.58892409983866"/>
    <n v="15988.269640799999"/>
    <n v="0"/>
    <n v="0"/>
    <n v="0"/>
    <n v="0"/>
    <n v="3718"/>
    <n v="2546417.8894440001"/>
    <s v="EPER"/>
    <n v="7414000005"/>
  </r>
  <r>
    <x v="247"/>
    <s v="BANCO SANTANDER (MEXICO) FIDEICOMISO F/100575-0"/>
    <x v="55"/>
    <s v="NORMAL"/>
    <s v="MXN"/>
    <n v="2212"/>
    <n v="772.926965"/>
    <n v="1709714.44658"/>
    <n v="801.58205912612118"/>
    <n v="-63385.068206980002"/>
    <n v="0"/>
    <n v="0"/>
    <n v="0"/>
    <n v="0"/>
    <n v="2212"/>
    <n v="1709714.44658"/>
    <s v="EPER"/>
    <n v="7414000005"/>
  </r>
  <r>
    <x v="247"/>
    <s v="BANCO SANTANDER (MEXICO) FIDEICOMISO F/100575-0"/>
    <x v="56"/>
    <s v="NORMAL"/>
    <s v="MXN"/>
    <n v="2373"/>
    <n v="721.59464000000003"/>
    <n v="1712344.08072"/>
    <n v="757.17561373745468"/>
    <n v="-84433.650678980004"/>
    <n v="0"/>
    <n v="0"/>
    <n v="0"/>
    <n v="0"/>
    <n v="2373"/>
    <n v="1712344.08072"/>
    <s v="EPER"/>
    <n v="7414000005"/>
  </r>
  <r>
    <x v="247"/>
    <s v="BANCO SANTANDER (MEXICO) FIDEICOMISO F/100575-0"/>
    <x v="57"/>
    <s v="NORMAL"/>
    <s v="MXN"/>
    <n v="1222"/>
    <n v="635.96311900000001"/>
    <n v="777146.93141800002"/>
    <n v="647.93802047999998"/>
    <n v="-14633.32960856"/>
    <n v="0"/>
    <n v="0"/>
    <n v="0"/>
    <n v="0"/>
    <n v="1222"/>
    <n v="777146.93141800002"/>
    <s v="EPER"/>
    <n v="7414000005"/>
  </r>
  <r>
    <x v="247"/>
    <s v="BANCO SANTANDER (MEXICO) FIDEICOMISO F/100575-0"/>
    <x v="58"/>
    <s v="NORMAL"/>
    <s v="MXN"/>
    <n v="2810"/>
    <n v="709.36974099999998"/>
    <n v="1993328.97221"/>
    <n v="724.76747879626691"/>
    <n v="-43267.643207510002"/>
    <n v="0"/>
    <n v="0"/>
    <n v="0"/>
    <n v="0"/>
    <n v="2810"/>
    <n v="1993328.97221"/>
    <s v="EPER"/>
    <n v="7414000005"/>
  </r>
  <r>
    <x v="247"/>
    <s v="BANCO SANTANDER (MEXICO) FIDEICOMISO F/100575-0"/>
    <x v="59"/>
    <s v="NORMAL"/>
    <s v="MXN"/>
    <n v="5009"/>
    <n v="694.41118700000004"/>
    <n v="3478305.6356830001"/>
    <n v="725.53455074740668"/>
    <n v="-155896.92901076001"/>
    <n v="0"/>
    <n v="0"/>
    <n v="0"/>
    <n v="0"/>
    <n v="5009"/>
    <n v="3478305.6356830001"/>
    <s v="EPER"/>
    <n v="7414000005"/>
  </r>
  <r>
    <x v="247"/>
    <s v="BANCO SANTANDER (MEXICO) FIDEICOMISO F/100575-0"/>
    <x v="60"/>
    <s v="NORMAL"/>
    <s v="MXN"/>
    <n v="15000"/>
    <n v="58.67"/>
    <n v="880050"/>
    <n v="59.627063333333332"/>
    <n v="-14355.95"/>
    <n v="0"/>
    <n v="0"/>
    <n v="0"/>
    <n v="0"/>
    <n v="15000"/>
    <n v="880050"/>
    <s v="EPER"/>
    <n v="7414000005"/>
  </r>
  <r>
    <x v="247"/>
    <s v="BANCO SANTANDER (MEXICO) FIDEICOMISO F/100575-0"/>
    <x v="61"/>
    <s v="NORMAL"/>
    <s v="MXN"/>
    <n v="2035"/>
    <n v="1090"/>
    <n v="2218150"/>
    <n v="1090.9993022113022"/>
    <n v="-2033.58"/>
    <n v="0"/>
    <n v="0"/>
    <n v="0"/>
    <n v="0"/>
    <n v="2035"/>
    <n v="2218150"/>
    <s v="EPER"/>
    <n v="7414000005"/>
  </r>
  <r>
    <x v="247"/>
    <s v="BANCO SANTANDER (MEXICO) FIDEICOMISO F/100575-0"/>
    <x v="63"/>
    <s v="NORMAL"/>
    <s v="MXN"/>
    <n v="33700"/>
    <n v="65.260000000000005"/>
    <n v="2199262"/>
    <n v="69.410171810089025"/>
    <n v="-139860.79"/>
    <n v="0"/>
    <n v="0"/>
    <n v="0"/>
    <n v="0"/>
    <n v="33700"/>
    <n v="2199262"/>
    <s v="EPER"/>
    <n v="7414000005"/>
  </r>
  <r>
    <x v="248"/>
    <s v="BANCO SANTANDER (MEXICO) FIDEICOMISO F/100671-0"/>
    <x v="5"/>
    <s v="NORMAL"/>
    <s v="MXN"/>
    <n v="1352"/>
    <n v="1786.5"/>
    <n v="2415348"/>
    <n v="1814.4898816568048"/>
    <n v="-37842.32"/>
    <n v="0"/>
    <n v="0"/>
    <n v="0"/>
    <n v="0"/>
    <n v="1352"/>
    <n v="2415348"/>
    <s v="EPER"/>
    <n v="7414000005"/>
  </r>
  <r>
    <x v="248"/>
    <s v="BANCO SANTANDER (MEXICO) FIDEICOMISO F/100671-0"/>
    <x v="85"/>
    <s v="NORMAL"/>
    <s v="MXN"/>
    <n v="422"/>
    <n v="97.654420999999999"/>
    <n v="41210.165661999999"/>
    <n v="98.224185000000006"/>
    <n v="-240.44040799999999"/>
    <n v="0"/>
    <n v="0"/>
    <n v="0"/>
    <n v="0"/>
    <n v="422"/>
    <n v="41210.165661999999"/>
    <s v="EPER"/>
    <n v="7414000005"/>
  </r>
  <r>
    <x v="248"/>
    <s v="BANCO SANTANDER (MEXICO) FIDEICOMISO F/100671-0"/>
    <x v="86"/>
    <s v="NORMAL"/>
    <s v="MXN"/>
    <n v="89744"/>
    <n v="9.4935880000000008"/>
    <n v="851992.56147199997"/>
    <n v="8.4405498100000003"/>
    <n v="94503.859323359997"/>
    <n v="0"/>
    <n v="0"/>
    <n v="0"/>
    <n v="0"/>
    <n v="89744"/>
    <n v="851992.56147199997"/>
    <s v="EPER"/>
    <n v="7414000005"/>
  </r>
  <r>
    <x v="248"/>
    <s v="BANCO SANTANDER (MEXICO) FIDEICOMISO F/100671-0"/>
    <x v="72"/>
    <s v="NORMAL"/>
    <s v="MXN"/>
    <n v="122230"/>
    <n v="9.3381629999999998"/>
    <n v="1141403.6634899999"/>
    <n v="8.3307969100000001"/>
    <n v="123130.3571807"/>
    <n v="0"/>
    <n v="0"/>
    <n v="0"/>
    <n v="0"/>
    <n v="122230"/>
    <n v="1141403.6634899999"/>
    <s v="EPER"/>
    <n v="7414000005"/>
  </r>
  <r>
    <x v="248"/>
    <s v="BANCO SANTANDER (MEXICO) FIDEICOMISO F/100671-0"/>
    <x v="17"/>
    <s v="NORMAL"/>
    <s v="MXN"/>
    <n v="970"/>
    <n v="675.38"/>
    <n v="655118.6"/>
    <n v="743.5911340206186"/>
    <n v="-66164.800000000003"/>
    <n v="0"/>
    <n v="0"/>
    <n v="0"/>
    <n v="0"/>
    <n v="970"/>
    <n v="655118.6"/>
    <s v="EPER"/>
    <n v="7414000005"/>
  </r>
  <r>
    <x v="248"/>
    <s v="BANCO SANTANDER (MEXICO) FIDEICOMISO F/100671-0"/>
    <x v="18"/>
    <s v="NORMAL"/>
    <s v="MXN"/>
    <n v="215"/>
    <n v="700.65"/>
    <n v="150639.75"/>
    <n v="752.98093023255819"/>
    <n v="-11251.15"/>
    <n v="0"/>
    <n v="0"/>
    <n v="0"/>
    <n v="0"/>
    <n v="215"/>
    <n v="150639.75"/>
    <s v="EPER"/>
    <n v="7414000005"/>
  </r>
  <r>
    <x v="248"/>
    <s v="BANCO SANTANDER (MEXICO) FIDEICOMISO F/100671-0"/>
    <x v="19"/>
    <s v="NORMAL"/>
    <s v="MXN"/>
    <n v="440"/>
    <n v="1151"/>
    <n v="506440"/>
    <n v="970.12872727272725"/>
    <n v="79583.360000000001"/>
    <n v="0"/>
    <n v="0"/>
    <n v="0"/>
    <n v="0"/>
    <n v="440"/>
    <n v="506440"/>
    <s v="EPER"/>
    <n v="7414000005"/>
  </r>
  <r>
    <x v="248"/>
    <s v="BANCO SANTANDER (MEXICO) FIDEICOMISO F/100671-0"/>
    <x v="26"/>
    <s v="NORMAL"/>
    <s v="MXN"/>
    <n v="6233"/>
    <n v="98.730349000000004"/>
    <n v="615386.26531699998"/>
    <n v="104.13969715082304"/>
    <n v="-33716.467024079997"/>
    <n v="0"/>
    <n v="0"/>
    <n v="0"/>
    <n v="0"/>
    <n v="6233"/>
    <n v="615386.26531699998"/>
    <s v="EPER"/>
    <n v="7414000005"/>
  </r>
  <r>
    <x v="248"/>
    <s v="BANCO SANTANDER (MEXICO) FIDEICOMISO F/100671-0"/>
    <x v="67"/>
    <s v="NORMAL"/>
    <s v="MXN"/>
    <n v="7000"/>
    <n v="99.247497999999993"/>
    <n v="694732.48600000003"/>
    <n v="112.48388743647143"/>
    <n v="-92654.726055299994"/>
    <n v="0"/>
    <n v="0"/>
    <n v="0"/>
    <n v="0"/>
    <n v="7000"/>
    <n v="694732.48600000003"/>
    <s v="EPER"/>
    <n v="7414000005"/>
  </r>
  <r>
    <x v="248"/>
    <s v="BANCO SANTANDER (MEXICO) FIDEICOMISO F/100671-0"/>
    <x v="27"/>
    <s v="NORMAL"/>
    <s v="MXN"/>
    <n v="2110"/>
    <n v="94.973146999999997"/>
    <n v="200393.34017000001"/>
    <n v="89.777631726350705"/>
    <n v="10962.5372274"/>
    <n v="0"/>
    <n v="0"/>
    <n v="0"/>
    <n v="0"/>
    <n v="2110"/>
    <n v="200393.34017000001"/>
    <s v="EPER"/>
    <n v="7414000005"/>
  </r>
  <r>
    <x v="248"/>
    <s v="BANCO SANTANDER (MEXICO) FIDEICOMISO F/100671-0"/>
    <x v="28"/>
    <s v="NORMAL"/>
    <s v="MXN"/>
    <n v="7269"/>
    <n v="91.911821000000003"/>
    <n v="668107.02684900002"/>
    <n v="93.2088459"/>
    <n v="-9428.0739981000006"/>
    <n v="0"/>
    <n v="0"/>
    <n v="0"/>
    <n v="0"/>
    <n v="7269"/>
    <n v="668107.02684900002"/>
    <s v="EPER"/>
    <n v="7414000005"/>
  </r>
  <r>
    <x v="248"/>
    <s v="BANCO SANTANDER (MEXICO) FIDEICOMISO F/100671-0"/>
    <x v="29"/>
    <s v="NORMAL"/>
    <s v="MXN"/>
    <n v="3730"/>
    <n v="92.954503000000003"/>
    <n v="346720.29619000002"/>
    <n v="93.327063799731903"/>
    <n v="-1389.651783"/>
    <n v="0"/>
    <n v="0"/>
    <n v="0"/>
    <n v="0"/>
    <n v="3730"/>
    <n v="346720.29619000002"/>
    <s v="EPER"/>
    <n v="7414000005"/>
  </r>
  <r>
    <x v="248"/>
    <s v="BANCO SANTANDER (MEXICO) FIDEICOMISO F/100671-0"/>
    <x v="30"/>
    <s v="NORMAL"/>
    <s v="MXN"/>
    <n v="3697"/>
    <n v="88.698122999999995"/>
    <n v="327916.960731"/>
    <n v="85.585960546770352"/>
    <n v="11505.66458959"/>
    <n v="0"/>
    <n v="0"/>
    <n v="0"/>
    <n v="0"/>
    <n v="3697"/>
    <n v="327916.960731"/>
    <s v="EPER"/>
    <n v="7414000005"/>
  </r>
  <r>
    <x v="248"/>
    <s v="BANCO SANTANDER (MEXICO) FIDEICOMISO F/100671-0"/>
    <x v="31"/>
    <s v="NORMAL"/>
    <s v="MXN"/>
    <n v="7820"/>
    <n v="93.314192000000006"/>
    <n v="729716.98144"/>
    <n v="98.883737046611259"/>
    <n v="-43553.842264500003"/>
    <n v="0"/>
    <n v="0"/>
    <n v="0"/>
    <n v="0"/>
    <n v="7820"/>
    <n v="729716.98144"/>
    <s v="EPER"/>
    <n v="7414000005"/>
  </r>
  <r>
    <x v="248"/>
    <s v="BANCO SANTANDER (MEXICO) FIDEICOMISO F/100671-0"/>
    <x v="32"/>
    <s v="NORMAL"/>
    <s v="MXN"/>
    <n v="6520"/>
    <n v="94.864168000000006"/>
    <n v="618514.37535999995"/>
    <n v="96.40582293817485"/>
    <n v="-10051.590196900001"/>
    <n v="0"/>
    <n v="0"/>
    <n v="0"/>
    <n v="0"/>
    <n v="6520"/>
    <n v="618514.37535999995"/>
    <s v="EPER"/>
    <n v="7414000005"/>
  </r>
  <r>
    <x v="248"/>
    <s v="BANCO SANTANDER (MEXICO) FIDEICOMISO F/100671-0"/>
    <x v="33"/>
    <s v="NORMAL"/>
    <s v="MXN"/>
    <n v="24003"/>
    <n v="94.870157000000006"/>
    <n v="2277168.3784710001"/>
    <n v="96.986671955228928"/>
    <n v="-50802.708470359998"/>
    <n v="0"/>
    <n v="0"/>
    <n v="0"/>
    <n v="0"/>
    <n v="24003"/>
    <n v="2277168.3784710001"/>
    <s v="EPER"/>
    <n v="7414000005"/>
  </r>
  <r>
    <x v="248"/>
    <s v="BANCO SANTANDER (MEXICO) FIDEICOMISO F/100671-0"/>
    <x v="34"/>
    <s v="NORMAL"/>
    <s v="MXN"/>
    <n v="7354"/>
    <n v="89.489464999999996"/>
    <n v="658105.52561000001"/>
    <n v="90.569192235050309"/>
    <n v="-7940.3140865599999"/>
    <n v="0"/>
    <n v="0"/>
    <n v="0"/>
    <n v="0"/>
    <n v="7354"/>
    <n v="658105.52561000001"/>
    <s v="EPER"/>
    <n v="7414000005"/>
  </r>
  <r>
    <x v="248"/>
    <s v="BANCO SANTANDER (MEXICO) FIDEICOMISO F/100671-0"/>
    <x v="35"/>
    <s v="NORMAL"/>
    <s v="MXN"/>
    <n v="18137"/>
    <n v="86.197128000000006"/>
    <n v="1563357.3105359999"/>
    <n v="89.584872272594694"/>
    <n v="-61443.517872049997"/>
    <n v="0"/>
    <n v="0"/>
    <n v="0"/>
    <n v="0"/>
    <n v="18137"/>
    <n v="1563357.3105359999"/>
    <s v="EPER"/>
    <n v="7414000005"/>
  </r>
  <r>
    <x v="248"/>
    <s v="BANCO SANTANDER (MEXICO) FIDEICOMISO F/100671-0"/>
    <x v="36"/>
    <s v="NORMAL"/>
    <s v="MXN"/>
    <n v="14719"/>
    <n v="86.469353999999996"/>
    <n v="1272742.4215259999"/>
    <n v="90.846223981571441"/>
    <n v="-64423.149258750003"/>
    <n v="0"/>
    <n v="0"/>
    <n v="0"/>
    <n v="0"/>
    <n v="14719"/>
    <n v="1272742.4215259999"/>
    <s v="EPER"/>
    <n v="7414000005"/>
  </r>
  <r>
    <x v="248"/>
    <s v="BANCO SANTANDER (MEXICO) FIDEICOMISO F/100671-0"/>
    <x v="68"/>
    <s v="NORMAL"/>
    <s v="MXN"/>
    <n v="543"/>
    <n v="89.643172000000007"/>
    <n v="48676.242396000001"/>
    <n v="108.47711812999999"/>
    <n v="-10226.832748590001"/>
    <n v="0"/>
    <n v="0"/>
    <n v="0"/>
    <n v="0"/>
    <n v="543"/>
    <n v="48676.242396000001"/>
    <s v="EPER"/>
    <n v="7414000005"/>
  </r>
  <r>
    <x v="248"/>
    <s v="BANCO SANTANDER (MEXICO) FIDEICOMISO F/100671-0"/>
    <x v="37"/>
    <s v="NORMAL"/>
    <s v="MXN"/>
    <n v="11957"/>
    <n v="81.738860000000003"/>
    <n v="977351.54902000003"/>
    <n v="86.357283414535416"/>
    <n v="-55222.4887676"/>
    <n v="0"/>
    <n v="0"/>
    <n v="0"/>
    <n v="0"/>
    <n v="11957"/>
    <n v="977351.54902000003"/>
    <s v="EPER"/>
    <n v="7414000005"/>
  </r>
  <r>
    <x v="248"/>
    <s v="BANCO SANTANDER (MEXICO) FIDEICOMISO F/100671-0"/>
    <x v="38"/>
    <s v="NORMAL"/>
    <s v="MXN"/>
    <n v="2220"/>
    <n v="83.200761"/>
    <n v="184705.68942000001"/>
    <n v="94.454636132162165"/>
    <n v="-24983.602793400001"/>
    <n v="0"/>
    <n v="0"/>
    <n v="0"/>
    <n v="0"/>
    <n v="2220"/>
    <n v="184705.68942000001"/>
    <s v="EPER"/>
    <n v="7414000005"/>
  </r>
  <r>
    <x v="248"/>
    <s v="BANCO SANTANDER (MEXICO) FIDEICOMISO F/100671-0"/>
    <x v="39"/>
    <s v="NORMAL"/>
    <s v="MXN"/>
    <n v="18260"/>
    <n v="82.159907000000004"/>
    <n v="1500239.90182"/>
    <n v="84.026505772606797"/>
    <n v="-34084.093587800002"/>
    <n v="0"/>
    <n v="0"/>
    <n v="0"/>
    <n v="0"/>
    <n v="18260"/>
    <n v="1500239.90182"/>
    <s v="EPER"/>
    <n v="7414000005"/>
  </r>
  <r>
    <x v="248"/>
    <s v="BANCO SANTANDER (MEXICO) FIDEICOMISO F/100671-0"/>
    <x v="42"/>
    <s v="NORMAL"/>
    <s v="MXN"/>
    <n v="389"/>
    <n v="8532.5"/>
    <n v="3319142.5"/>
    <n v="4613.7907969151674"/>
    <n v="1524377.88"/>
    <n v="0"/>
    <n v="0"/>
    <n v="0"/>
    <n v="0"/>
    <n v="389"/>
    <n v="3319142.5"/>
    <s v="EPER"/>
    <n v="7414000005"/>
  </r>
  <r>
    <x v="248"/>
    <s v="BANCO SANTANDER (MEXICO) FIDEICOMISO F/100671-0"/>
    <x v="88"/>
    <s v="NORMAL"/>
    <s v="MXN"/>
    <n v="16462"/>
    <n v="98.007834000000003"/>
    <n v="1613404.963308"/>
    <n v="89.770042304107648"/>
    <n v="135610.52689777999"/>
    <n v="0"/>
    <n v="0"/>
    <n v="0"/>
    <n v="0"/>
    <n v="16462"/>
    <n v="1613404.963308"/>
    <s v="EPER"/>
    <n v="7414000005"/>
  </r>
  <r>
    <x v="248"/>
    <s v="BANCO SANTANDER (MEXICO) FIDEICOMISO F/100671-0"/>
    <x v="49"/>
    <s v="NORMAL"/>
    <s v="MXN"/>
    <n v="1367"/>
    <n v="682.55"/>
    <n v="933045.85"/>
    <n v="848.0099122165326"/>
    <n v="-226183.7"/>
    <n v="0"/>
    <n v="0"/>
    <n v="0"/>
    <n v="0"/>
    <n v="1367"/>
    <n v="933045.85"/>
    <s v="EPER"/>
    <n v="7414000005"/>
  </r>
  <r>
    <x v="248"/>
    <s v="BANCO SANTANDER (MEXICO) FIDEICOMISO F/100671-0"/>
    <x v="89"/>
    <s v="NORMAL"/>
    <s v="MXN"/>
    <n v="2891290"/>
    <n v="3.1390400000000001"/>
    <n v="9075874.9616"/>
    <n v="2.3836754977881847"/>
    <n v="2183977.8316000002"/>
    <n v="0"/>
    <n v="0"/>
    <n v="0"/>
    <n v="0"/>
    <n v="2891290"/>
    <n v="9075874.9616"/>
    <s v="EPER"/>
    <n v="7414000005"/>
  </r>
  <r>
    <x v="248"/>
    <s v="BANCO SANTANDER (MEXICO) FIDEICOMISO F/100671-0"/>
    <x v="0"/>
    <s v="NORMAL"/>
    <s v="MXN"/>
    <n v="667038"/>
    <n v="3.3967719999999999"/>
    <n v="2265776.0013359999"/>
    <n v="3.297121963066572"/>
    <n v="66470.361336000002"/>
    <n v="0"/>
    <n v="0"/>
    <n v="0"/>
    <n v="0"/>
    <n v="667038"/>
    <n v="2265776.0013359999"/>
    <s v="EPER"/>
    <n v="7414000005"/>
  </r>
  <r>
    <x v="248"/>
    <s v="BANCO SANTANDER (MEXICO) FIDEICOMISO F/100671-0"/>
    <x v="51"/>
    <s v="NORMAL"/>
    <s v="MXN"/>
    <n v="1166"/>
    <n v="775.69178699999998"/>
    <n v="904456.62364200002"/>
    <n v="766.69784126000002"/>
    <n v="10486.940732839999"/>
    <n v="0"/>
    <n v="0"/>
    <n v="0"/>
    <n v="0"/>
    <n v="1166"/>
    <n v="904456.62364200002"/>
    <s v="EPER"/>
    <n v="7414000005"/>
  </r>
  <r>
    <x v="248"/>
    <s v="BANCO SANTANDER (MEXICO) FIDEICOMISO F/100671-0"/>
    <x v="52"/>
    <s v="NORMAL"/>
    <s v="MXN"/>
    <n v="2547"/>
    <n v="747.17843200000004"/>
    <n v="1903063.466304"/>
    <n v="723.88630513345117"/>
    <n v="59325.047129099999"/>
    <n v="0"/>
    <n v="0"/>
    <n v="0"/>
    <n v="0"/>
    <n v="2547"/>
    <n v="1903063.466304"/>
    <s v="EPER"/>
    <n v="7414000005"/>
  </r>
  <r>
    <x v="248"/>
    <s v="BANCO SANTANDER (MEXICO) FIDEICOMISO F/100671-0"/>
    <x v="53"/>
    <s v="NORMAL"/>
    <s v="MXN"/>
    <n v="863"/>
    <n v="765.92388300000005"/>
    <n v="660992.31102899997"/>
    <n v="751.72813221592116"/>
    <n v="12250.93292666"/>
    <n v="0"/>
    <n v="0"/>
    <n v="0"/>
    <n v="0"/>
    <n v="863"/>
    <n v="660992.31102899997"/>
    <s v="EPER"/>
    <n v="7414000005"/>
  </r>
  <r>
    <x v="248"/>
    <s v="BANCO SANTANDER (MEXICO) FIDEICOMISO F/100671-0"/>
    <x v="54"/>
    <s v="NORMAL"/>
    <s v="MXN"/>
    <n v="1460"/>
    <n v="684.88915799999995"/>
    <n v="999938.17067999998"/>
    <n v="680.55308054383556"/>
    <n v="6330.6730859999998"/>
    <n v="0"/>
    <n v="0"/>
    <n v="0"/>
    <n v="0"/>
    <n v="1460"/>
    <n v="999938.17067999998"/>
    <s v="EPER"/>
    <n v="7414000005"/>
  </r>
  <r>
    <x v="248"/>
    <s v="BANCO SANTANDER (MEXICO) FIDEICOMISO F/100671-0"/>
    <x v="55"/>
    <s v="NORMAL"/>
    <s v="MXN"/>
    <n v="859"/>
    <n v="772.926965"/>
    <n v="663944.26293500001"/>
    <n v="801.62103501598369"/>
    <n v="-24648.20614373"/>
    <n v="0"/>
    <n v="0"/>
    <n v="0"/>
    <n v="0"/>
    <n v="859"/>
    <n v="663944.26293500001"/>
    <s v="EPER"/>
    <n v="7414000005"/>
  </r>
  <r>
    <x v="248"/>
    <s v="BANCO SANTANDER (MEXICO) FIDEICOMISO F/100671-0"/>
    <x v="56"/>
    <s v="NORMAL"/>
    <s v="MXN"/>
    <n v="1076"/>
    <n v="721.59464000000003"/>
    <n v="776435.83264000004"/>
    <n v="756.87037317208183"/>
    <n v="-37956.688893159997"/>
    <n v="0"/>
    <n v="0"/>
    <n v="0"/>
    <n v="0"/>
    <n v="1076"/>
    <n v="776435.83264000004"/>
    <s v="EPER"/>
    <n v="7414000005"/>
  </r>
  <r>
    <x v="248"/>
    <s v="BANCO SANTANDER (MEXICO) FIDEICOMISO F/100671-0"/>
    <x v="57"/>
    <s v="NORMAL"/>
    <s v="MXN"/>
    <n v="485"/>
    <n v="635.96311900000001"/>
    <n v="308442.112715"/>
    <n v="647.93802047999998"/>
    <n v="-5807.8272177999997"/>
    <n v="0"/>
    <n v="0"/>
    <n v="0"/>
    <n v="0"/>
    <n v="485"/>
    <n v="308442.112715"/>
    <s v="EPER"/>
    <n v="7414000005"/>
  </r>
  <r>
    <x v="248"/>
    <s v="BANCO SANTANDER (MEXICO) FIDEICOMISO F/100671-0"/>
    <x v="58"/>
    <s v="NORMAL"/>
    <s v="MXN"/>
    <n v="1096"/>
    <n v="709.36974099999998"/>
    <n v="777469.23613600002"/>
    <n v="724.72356897511861"/>
    <n v="-16827.795460730002"/>
    <n v="0"/>
    <n v="0"/>
    <n v="0"/>
    <n v="0"/>
    <n v="1096"/>
    <n v="777469.23613600002"/>
    <s v="EPER"/>
    <n v="7414000005"/>
  </r>
  <r>
    <x v="248"/>
    <s v="BANCO SANTANDER (MEXICO) FIDEICOMISO F/100671-0"/>
    <x v="59"/>
    <s v="NORMAL"/>
    <s v="MXN"/>
    <n v="1970"/>
    <n v="694.41118700000004"/>
    <n v="1367990.0383899999"/>
    <n v="725.47381115552287"/>
    <n v="-61193.369586380002"/>
    <n v="0"/>
    <n v="0"/>
    <n v="0"/>
    <n v="0"/>
    <n v="1970"/>
    <n v="1367990.0383899999"/>
    <s v="EPER"/>
    <n v="7414000005"/>
  </r>
  <r>
    <x v="248"/>
    <s v="BANCO SANTANDER (MEXICO) FIDEICOMISO F/100671-0"/>
    <x v="61"/>
    <s v="NORMAL"/>
    <s v="MXN"/>
    <n v="820"/>
    <n v="1090"/>
    <n v="893800"/>
    <n v="1076.4355243902439"/>
    <n v="11122.87"/>
    <n v="0"/>
    <n v="0"/>
    <n v="0"/>
    <n v="0"/>
    <n v="820"/>
    <n v="893800"/>
    <s v="EPER"/>
    <n v="7414000005"/>
  </r>
  <r>
    <x v="249"/>
    <s v="BANCO SANTANDER (MEXICO) FIDEICOMISO F/100672-0"/>
    <x v="5"/>
    <s v="NORMAL"/>
    <s v="MXN"/>
    <n v="8"/>
    <n v="1786.5"/>
    <n v="14292"/>
    <n v="1448.2850000000001"/>
    <n v="2705.72"/>
    <n v="0"/>
    <n v="0"/>
    <n v="0"/>
    <n v="0"/>
    <n v="8"/>
    <n v="14292"/>
    <s v="EPER"/>
    <n v="7414000005"/>
  </r>
  <r>
    <x v="249"/>
    <s v="BANCO SANTANDER (MEXICO) FIDEICOMISO F/100672-0"/>
    <x v="85"/>
    <s v="NORMAL"/>
    <s v="MXN"/>
    <n v="1"/>
    <n v="97.654420999999999"/>
    <n v="97.654420999999999"/>
    <n v="98.224185000000006"/>
    <n v="-0.56976400000000005"/>
    <n v="0"/>
    <n v="0"/>
    <n v="0"/>
    <n v="0"/>
    <n v="1"/>
    <n v="97.654420999999999"/>
    <s v="EPER"/>
    <n v="7414000005"/>
  </r>
  <r>
    <x v="249"/>
    <s v="BANCO SANTANDER (MEXICO) FIDEICOMISO F/100672-0"/>
    <x v="86"/>
    <s v="NORMAL"/>
    <s v="MXN"/>
    <n v="150"/>
    <n v="9.4935880000000008"/>
    <n v="1424.0382"/>
    <n v="8.4405498100000003"/>
    <n v="157.95572849999999"/>
    <n v="0"/>
    <n v="0"/>
    <n v="0"/>
    <n v="0"/>
    <n v="150"/>
    <n v="1424.0382"/>
    <s v="EPER"/>
    <n v="7414000005"/>
  </r>
  <r>
    <x v="249"/>
    <s v="BANCO SANTANDER (MEXICO) FIDEICOMISO F/100672-0"/>
    <x v="72"/>
    <s v="NORMAL"/>
    <s v="MXN"/>
    <n v="240"/>
    <n v="9.3381629999999998"/>
    <n v="2241.1591199999998"/>
    <n v="8.3307969100000001"/>
    <n v="241.7678616"/>
    <n v="0"/>
    <n v="0"/>
    <n v="0"/>
    <n v="0"/>
    <n v="240"/>
    <n v="2241.1591199999998"/>
    <s v="EPER"/>
    <n v="7414000005"/>
  </r>
  <r>
    <x v="249"/>
    <s v="BANCO SANTANDER (MEXICO) FIDEICOMISO F/100672-0"/>
    <x v="26"/>
    <s v="NORMAL"/>
    <s v="MXN"/>
    <n v="9"/>
    <n v="98.730349000000004"/>
    <n v="888.57314099999996"/>
    <n v="100.35646306333334"/>
    <n v="-14.635026570000001"/>
    <n v="0"/>
    <n v="0"/>
    <n v="0"/>
    <n v="0"/>
    <n v="9"/>
    <n v="888.57314099999996"/>
    <s v="EPER"/>
    <n v="7414000005"/>
  </r>
  <r>
    <x v="249"/>
    <s v="BANCO SANTANDER (MEXICO) FIDEICOMISO F/100672-0"/>
    <x v="67"/>
    <s v="NORMAL"/>
    <s v="MXN"/>
    <n v="8"/>
    <n v="99.247497999999993"/>
    <n v="793.97998399999994"/>
    <n v="110.86146857"/>
    <n v="-92.911764559999995"/>
    <n v="0"/>
    <n v="0"/>
    <n v="0"/>
    <n v="0"/>
    <n v="8"/>
    <n v="793.97998399999994"/>
    <s v="EPER"/>
    <n v="7414000005"/>
  </r>
  <r>
    <x v="249"/>
    <s v="BANCO SANTANDER (MEXICO) FIDEICOMISO F/100672-0"/>
    <x v="28"/>
    <s v="NORMAL"/>
    <s v="MXN"/>
    <n v="1"/>
    <n v="91.911821000000003"/>
    <n v="91.911821000000003"/>
    <n v="103.18815141"/>
    <n v="-11.27633041"/>
    <n v="0"/>
    <n v="0"/>
    <n v="0"/>
    <n v="0"/>
    <n v="1"/>
    <n v="91.911821000000003"/>
    <s v="EPER"/>
    <n v="7414000005"/>
  </r>
  <r>
    <x v="249"/>
    <s v="BANCO SANTANDER (MEXICO) FIDEICOMISO F/100672-0"/>
    <x v="29"/>
    <s v="NORMAL"/>
    <s v="MXN"/>
    <n v="10"/>
    <n v="92.954503000000003"/>
    <n v="929.54503"/>
    <n v="93.400039239999998"/>
    <n v="-4.4553624000000003"/>
    <n v="0"/>
    <n v="0"/>
    <n v="0"/>
    <n v="0"/>
    <n v="10"/>
    <n v="929.54503"/>
    <s v="EPER"/>
    <n v="7414000005"/>
  </r>
  <r>
    <x v="249"/>
    <s v="BANCO SANTANDER (MEXICO) FIDEICOMISO F/100672-0"/>
    <x v="30"/>
    <s v="NORMAL"/>
    <s v="MXN"/>
    <n v="4"/>
    <n v="88.698122999999995"/>
    <n v="354.79249199999998"/>
    <n v="85.318791529999999"/>
    <n v="13.51732588"/>
    <n v="0"/>
    <n v="0"/>
    <n v="0"/>
    <n v="0"/>
    <n v="4"/>
    <n v="354.79249199999998"/>
    <s v="EPER"/>
    <n v="7414000005"/>
  </r>
  <r>
    <x v="249"/>
    <s v="BANCO SANTANDER (MEXICO) FIDEICOMISO F/100672-0"/>
    <x v="31"/>
    <s v="NORMAL"/>
    <s v="MXN"/>
    <n v="20"/>
    <n v="93.314192000000006"/>
    <n v="1866.2838400000001"/>
    <n v="95.22442762"/>
    <n v="-38.204712399999998"/>
    <n v="0"/>
    <n v="0"/>
    <n v="0"/>
    <n v="0"/>
    <n v="20"/>
    <n v="1866.2838400000001"/>
    <s v="EPER"/>
    <n v="7414000005"/>
  </r>
  <r>
    <x v="249"/>
    <s v="BANCO SANTANDER (MEXICO) FIDEICOMISO F/100672-0"/>
    <x v="32"/>
    <s v="NORMAL"/>
    <s v="MXN"/>
    <n v="10"/>
    <n v="94.864168000000006"/>
    <n v="948.64167999999995"/>
    <n v="96.263034200000007"/>
    <n v="-13.988662"/>
    <n v="0"/>
    <n v="0"/>
    <n v="0"/>
    <n v="0"/>
    <n v="10"/>
    <n v="948.64167999999995"/>
    <s v="EPER"/>
    <n v="7414000005"/>
  </r>
  <r>
    <x v="249"/>
    <s v="BANCO SANTANDER (MEXICO) FIDEICOMISO F/100672-0"/>
    <x v="33"/>
    <s v="NORMAL"/>
    <s v="MXN"/>
    <n v="32"/>
    <n v="94.870157000000006"/>
    <n v="3035.8450240000002"/>
    <n v="97.769921886874997"/>
    <n v="-92.792476379999997"/>
    <n v="0"/>
    <n v="0"/>
    <n v="0"/>
    <n v="0"/>
    <n v="32"/>
    <n v="3035.8450240000002"/>
    <s v="EPER"/>
    <n v="7414000005"/>
  </r>
  <r>
    <x v="249"/>
    <s v="BANCO SANTANDER (MEXICO) FIDEICOMISO F/100672-0"/>
    <x v="34"/>
    <s v="NORMAL"/>
    <s v="MXN"/>
    <n v="11"/>
    <n v="89.489464999999996"/>
    <n v="984.38411499999995"/>
    <n v="91.710125919090913"/>
    <n v="-24.427270109999998"/>
    <n v="0"/>
    <n v="0"/>
    <n v="0"/>
    <n v="0"/>
    <n v="11"/>
    <n v="984.38411499999995"/>
    <s v="EPER"/>
    <n v="7414000005"/>
  </r>
  <r>
    <x v="249"/>
    <s v="BANCO SANTANDER (MEXICO) FIDEICOMISO F/100672-0"/>
    <x v="35"/>
    <s v="NORMAL"/>
    <s v="MXN"/>
    <n v="45"/>
    <n v="86.197128000000006"/>
    <n v="3878.8707599999998"/>
    <n v="89.62975480555555"/>
    <n v="-154.46820625000001"/>
    <n v="0"/>
    <n v="0"/>
    <n v="0"/>
    <n v="0"/>
    <n v="45"/>
    <n v="3878.8707599999998"/>
    <s v="EPER"/>
    <n v="7414000005"/>
  </r>
  <r>
    <x v="249"/>
    <s v="BANCO SANTANDER (MEXICO) FIDEICOMISO F/100672-0"/>
    <x v="36"/>
    <s v="NORMAL"/>
    <s v="MXN"/>
    <n v="14"/>
    <n v="86.469353999999996"/>
    <n v="1210.570956"/>
    <n v="91.488263128571433"/>
    <n v="-70.264727800000003"/>
    <n v="0"/>
    <n v="0"/>
    <n v="0"/>
    <n v="0"/>
    <n v="14"/>
    <n v="1210.570956"/>
    <s v="EPER"/>
    <n v="7414000005"/>
  </r>
  <r>
    <x v="249"/>
    <s v="BANCO SANTANDER (MEXICO) FIDEICOMISO F/100672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9"/>
    <s v="BANCO SANTANDER (MEXICO) FIDEICOMISO F/100672-0"/>
    <x v="37"/>
    <s v="NORMAL"/>
    <s v="MXN"/>
    <n v="32"/>
    <n v="81.738860000000003"/>
    <n v="2615.6435200000001"/>
    <n v="86.467200957499998"/>
    <n v="-151.30691064000001"/>
    <n v="0"/>
    <n v="0"/>
    <n v="0"/>
    <n v="0"/>
    <n v="32"/>
    <n v="2615.6435200000001"/>
    <s v="EPER"/>
    <n v="7414000005"/>
  </r>
  <r>
    <x v="249"/>
    <s v="BANCO SANTANDER (MEXICO) FIDEICOMISO F/100672-0"/>
    <x v="38"/>
    <s v="NORMAL"/>
    <s v="MXN"/>
    <n v="2"/>
    <n v="83.200761"/>
    <n v="166.401522"/>
    <n v="89.305669589999994"/>
    <n v="-12.20981718"/>
    <n v="0"/>
    <n v="0"/>
    <n v="0"/>
    <n v="0"/>
    <n v="2"/>
    <n v="166.401522"/>
    <s v="EPER"/>
    <n v="7414000005"/>
  </r>
  <r>
    <x v="249"/>
    <s v="BANCO SANTANDER (MEXICO) FIDEICOMISO F/100672-0"/>
    <x v="39"/>
    <s v="NORMAL"/>
    <s v="MXN"/>
    <n v="2"/>
    <n v="82.159907000000004"/>
    <n v="164.31981400000001"/>
    <n v="82.790352400000003"/>
    <n v="-1.2608908000000001"/>
    <n v="0"/>
    <n v="0"/>
    <n v="0"/>
    <n v="0"/>
    <n v="2"/>
    <n v="164.31981400000001"/>
    <s v="EPER"/>
    <n v="7414000005"/>
  </r>
  <r>
    <x v="249"/>
    <s v="BANCO SANTANDER (MEXICO) FIDEICOMISO F/100672-0"/>
    <x v="89"/>
    <s v="NORMAL"/>
    <s v="MXN"/>
    <n v="4870"/>
    <n v="3.1390400000000001"/>
    <n v="15287.1248"/>
    <n v="2.3371252566735112"/>
    <n v="3905.3247999999999"/>
    <n v="0"/>
    <n v="0"/>
    <n v="0"/>
    <n v="0"/>
    <n v="4870"/>
    <n v="15287.1248"/>
    <s v="EPER"/>
    <n v="7414000005"/>
  </r>
  <r>
    <x v="249"/>
    <s v="BANCO SANTANDER (MEXICO) FIDEICOMISO F/100672-0"/>
    <x v="0"/>
    <s v="NORMAL"/>
    <s v="MXN"/>
    <n v="4881"/>
    <n v="3.3967719999999999"/>
    <n v="16579.644132000001"/>
    <n v="3.2792337635730382"/>
    <n v="573.70413199999996"/>
    <n v="0"/>
    <n v="0"/>
    <n v="0"/>
    <n v="0"/>
    <n v="4881"/>
    <n v="16579.644132000001"/>
    <s v="EPER"/>
    <n v="7414000005"/>
  </r>
  <r>
    <x v="249"/>
    <s v="BANCO SANTANDER (MEXICO) FIDEICOMISO F/100672-0"/>
    <x v="51"/>
    <s v="NORMAL"/>
    <s v="MXN"/>
    <n v="2"/>
    <n v="775.69178699999998"/>
    <n v="1551.383574"/>
    <n v="766.69784126000002"/>
    <n v="17.987891479999998"/>
    <n v="0"/>
    <n v="0"/>
    <n v="0"/>
    <n v="0"/>
    <n v="2"/>
    <n v="1551.383574"/>
    <s v="EPER"/>
    <n v="7414000005"/>
  </r>
  <r>
    <x v="249"/>
    <s v="BANCO SANTANDER (MEXICO) FIDEICOMISO F/100672-0"/>
    <x v="52"/>
    <s v="NORMAL"/>
    <s v="MXN"/>
    <n v="1"/>
    <n v="747.17843200000004"/>
    <n v="747.17843200000004"/>
    <n v="730.99471579999999"/>
    <n v="16.183716199999999"/>
    <n v="0"/>
    <n v="0"/>
    <n v="0"/>
    <n v="0"/>
    <n v="1"/>
    <n v="747.17843200000004"/>
    <s v="EPER"/>
    <n v="7414000005"/>
  </r>
  <r>
    <x v="249"/>
    <s v="BANCO SANTANDER (MEXICO) FIDEICOMISO F/100672-0"/>
    <x v="54"/>
    <s v="NORMAL"/>
    <s v="MXN"/>
    <n v="1"/>
    <n v="684.88915799999995"/>
    <n v="684.88915799999995"/>
    <n v="674.82119490000002"/>
    <n v="10.0679631"/>
    <n v="0"/>
    <n v="0"/>
    <n v="0"/>
    <n v="0"/>
    <n v="1"/>
    <n v="684.88915799999995"/>
    <s v="EPER"/>
    <n v="7414000005"/>
  </r>
  <r>
    <x v="249"/>
    <s v="BANCO SANTANDER (MEXICO) FIDEICOMISO F/100672-0"/>
    <x v="55"/>
    <s v="NORMAL"/>
    <s v="MXN"/>
    <n v="1"/>
    <n v="772.926965"/>
    <n v="772.926965"/>
    <n v="798.93664675000002"/>
    <n v="-26.009681749999999"/>
    <n v="0"/>
    <n v="0"/>
    <n v="0"/>
    <n v="0"/>
    <n v="1"/>
    <n v="772.926965"/>
    <s v="EPER"/>
    <n v="7414000005"/>
  </r>
  <r>
    <x v="249"/>
    <s v="BANCO SANTANDER (MEXICO) FIDEICOMISO F/100672-0"/>
    <x v="56"/>
    <s v="NORMAL"/>
    <s v="MXN"/>
    <n v="2"/>
    <n v="721.59464000000003"/>
    <n v="1443.1892800000001"/>
    <n v="664.31076667000002"/>
    <n v="114.56774666"/>
    <n v="0"/>
    <n v="0"/>
    <n v="0"/>
    <n v="0"/>
    <n v="2"/>
    <n v="1443.1892800000001"/>
    <s v="EPER"/>
    <n v="7414000005"/>
  </r>
  <r>
    <x v="249"/>
    <s v="BANCO SANTANDER (MEXICO) FIDEICOMISO F/100672-0"/>
    <x v="58"/>
    <s v="NORMAL"/>
    <s v="MXN"/>
    <n v="1"/>
    <n v="709.36974099999998"/>
    <n v="709.36974099999998"/>
    <n v="724.63651936999997"/>
    <n v="-15.266778370000001"/>
    <n v="0"/>
    <n v="0"/>
    <n v="0"/>
    <n v="0"/>
    <n v="1"/>
    <n v="709.36974099999998"/>
    <s v="EPER"/>
    <n v="7414000005"/>
  </r>
  <r>
    <x v="249"/>
    <s v="BANCO SANTANDER (MEXICO) FIDEICOMISO F/100672-0"/>
    <x v="59"/>
    <s v="NORMAL"/>
    <s v="MXN"/>
    <n v="3"/>
    <n v="694.41118700000004"/>
    <n v="2083.233561"/>
    <n v="723.26483082666664"/>
    <n v="-86.560931479999994"/>
    <n v="0"/>
    <n v="0"/>
    <n v="0"/>
    <n v="0"/>
    <n v="3"/>
    <n v="2083.233561"/>
    <s v="EPER"/>
    <n v="7414000005"/>
  </r>
  <r>
    <x v="250"/>
    <s v="BANCO SANTANDER (MEXICO) FIDEICOMISO F/211235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"/>
    <s v="NORMAL"/>
    <s v="MXN"/>
    <n v="160"/>
    <n v="168.64"/>
    <n v="26982.400000000001"/>
    <n v="151.93293750000001"/>
    <n v="2673.13"/>
    <n v="0"/>
    <n v="0"/>
    <n v="0"/>
    <n v="0"/>
    <n v="160"/>
    <n v="26982.400000000001"/>
    <s v="EPER"/>
    <n v="7414000005"/>
  </r>
  <r>
    <x v="251"/>
    <s v="BANCO SANTANDER (MEXICO) FIDEICOMISO F/2112357-1"/>
    <x v="6"/>
    <s v="NORMAL"/>
    <s v="MXN"/>
    <n v="3870"/>
    <n v="12.48"/>
    <n v="48297.599999999999"/>
    <n v="11.507379844961241"/>
    <n v="3764.04"/>
    <n v="0"/>
    <n v="0"/>
    <n v="0"/>
    <n v="0"/>
    <n v="3870"/>
    <n v="48297.599999999999"/>
    <s v="EPER"/>
    <n v="7414000005"/>
  </r>
  <r>
    <x v="251"/>
    <s v="BANCO SANTANDER (MEXICO) FIDEICOMISO F/2112357-1"/>
    <x v="7"/>
    <s v="NORMAL"/>
    <s v="MXN"/>
    <n v="1070"/>
    <n v="73.37"/>
    <n v="78505.899999999994"/>
    <n v="61.213467289719624"/>
    <n v="13007.49"/>
    <n v="0"/>
    <n v="0"/>
    <n v="0"/>
    <n v="0"/>
    <n v="1070"/>
    <n v="78505.899999999994"/>
    <s v="EPER"/>
    <n v="7414000005"/>
  </r>
  <r>
    <x v="251"/>
    <s v="BANCO SANTANDER (MEXICO) FIDEICOMISO F/2112357-1"/>
    <x v="10"/>
    <s v="NORMAL"/>
    <s v="MXN"/>
    <n v="14690"/>
    <n v="15.12"/>
    <n v="222112.8"/>
    <n v="16.88830768550034"/>
    <n v="-25976.439900000001"/>
    <n v="0"/>
    <n v="0"/>
    <n v="0"/>
    <n v="0"/>
    <n v="14690"/>
    <n v="222112.8"/>
    <s v="EPER"/>
    <n v="7414000005"/>
  </r>
  <r>
    <x v="251"/>
    <s v="BANCO SANTANDER (MEXICO) FIDEICOMISO F/2112357-1"/>
    <x v="11"/>
    <s v="NORMAL"/>
    <s v="MXN"/>
    <n v="190"/>
    <n v="525.09"/>
    <n v="99767.1"/>
    <n v="517.22252631578942"/>
    <n v="1494.82"/>
    <n v="0"/>
    <n v="0"/>
    <n v="0"/>
    <n v="0"/>
    <n v="190"/>
    <n v="99767.1"/>
    <s v="EPER"/>
    <n v="7414000005"/>
  </r>
  <r>
    <x v="251"/>
    <s v="BANCO SANTANDER (MEXICO) FIDEICOMISO F/2112357-1"/>
    <x v="12"/>
    <s v="NORMAL"/>
    <s v="MXN"/>
    <n v="520"/>
    <n v="68.25"/>
    <n v="35490"/>
    <n v="79.080423076923083"/>
    <n v="-5631.82"/>
    <n v="0"/>
    <n v="0"/>
    <n v="0"/>
    <n v="0"/>
    <n v="520"/>
    <n v="35490"/>
    <s v="EPER"/>
    <n v="7414000005"/>
  </r>
  <r>
    <x v="251"/>
    <s v="BANCO SANTANDER (MEXICO) FIDEICOMISO F/2112357-1"/>
    <x v="14"/>
    <s v="NORMAL"/>
    <s v="MXN"/>
    <n v="13160"/>
    <n v="14.33"/>
    <n v="188582.8"/>
    <n v="11.973391337386019"/>
    <n v="31012.97"/>
    <n v="0"/>
    <n v="0"/>
    <n v="0"/>
    <n v="0"/>
    <n v="13160"/>
    <n v="188582.8"/>
    <s v="EPER"/>
    <n v="7414000005"/>
  </r>
  <r>
    <x v="251"/>
    <s v="BANCO SANTANDER (MEXICO) FIDEICOMISO F/2112357-1"/>
    <x v="72"/>
    <s v="NORMAL"/>
    <s v="MXN"/>
    <n v="92910"/>
    <n v="9.3381629999999998"/>
    <n v="867608.72433"/>
    <n v="8.3307969100000001"/>
    <n v="93594.383421899998"/>
    <n v="0"/>
    <n v="0"/>
    <n v="0"/>
    <n v="0"/>
    <n v="92910"/>
    <n v="867608.72433"/>
    <s v="EPER"/>
    <n v="7414000005"/>
  </r>
  <r>
    <x v="251"/>
    <s v="BANCO SANTANDER (MEXICO) FIDEICOMISO F/2112357-1"/>
    <x v="21"/>
    <s v="NORMAL"/>
    <s v="MXN"/>
    <n v="80"/>
    <n v="271.94"/>
    <n v="21755.200000000001"/>
    <n v="308.26662499999998"/>
    <n v="-2906.13"/>
    <n v="0"/>
    <n v="0"/>
    <n v="0"/>
    <n v="0"/>
    <n v="80"/>
    <n v="21755.200000000001"/>
    <s v="EPER"/>
    <n v="7414000005"/>
  </r>
  <r>
    <x v="251"/>
    <s v="BANCO SANTANDER (MEXICO) FIDEICOMISO F/2112357-1"/>
    <x v="22"/>
    <s v="NORMAL"/>
    <s v="MXN"/>
    <n v="510"/>
    <n v="193.15"/>
    <n v="98506.5"/>
    <n v="155.03731372549021"/>
    <n v="19437.47"/>
    <n v="0"/>
    <n v="0"/>
    <n v="0"/>
    <n v="0"/>
    <n v="510"/>
    <n v="98506.5"/>
    <s v="EPER"/>
    <n v="7414000005"/>
  </r>
  <r>
    <x v="251"/>
    <s v="BANCO SANTANDER (MEXICO) FIDEICOMISO F/2112357-1"/>
    <x v="23"/>
    <s v="NORMAL"/>
    <s v="MXN"/>
    <n v="2280"/>
    <n v="27.12"/>
    <n v="61833.599999999999"/>
    <n v="19.816337719298247"/>
    <n v="16652.349999999999"/>
    <n v="0"/>
    <n v="0"/>
    <n v="0"/>
    <n v="0"/>
    <n v="2280"/>
    <n v="61833.599999999999"/>
    <s v="EPER"/>
    <n v="7414000005"/>
  </r>
  <r>
    <x v="251"/>
    <s v="BANCO SANTANDER (MEXICO) FIDEICOMISO F/2112357-1"/>
    <x v="24"/>
    <s v="NORMAL"/>
    <s v="MXN"/>
    <n v="1700"/>
    <n v="176.44"/>
    <n v="299948"/>
    <n v="149.10319411764706"/>
    <n v="46472.57"/>
    <n v="0"/>
    <n v="0"/>
    <n v="0"/>
    <n v="0"/>
    <n v="1700"/>
    <n v="299948"/>
    <s v="EPER"/>
    <n v="7414000005"/>
  </r>
  <r>
    <x v="251"/>
    <s v="BANCO SANTANDER (MEXICO) FIDEICOMISO F/2112357-1"/>
    <x v="25"/>
    <s v="NORMAL"/>
    <s v="MXN"/>
    <n v="2140"/>
    <n v="104.12"/>
    <n v="222816.8"/>
    <n v="82.153672897196259"/>
    <n v="47007.94"/>
    <n v="0"/>
    <n v="0"/>
    <n v="0"/>
    <n v="0"/>
    <n v="2140"/>
    <n v="222816.8"/>
    <s v="EPER"/>
    <n v="7414000005"/>
  </r>
  <r>
    <x v="251"/>
    <s v="BANCO SANTANDER (MEXICO) FIDEICOMISO F/2112357-1"/>
    <x v="26"/>
    <s v="NORMAL"/>
    <s v="MXN"/>
    <n v="4990"/>
    <n v="98.730349000000004"/>
    <n v="492664.44150999998"/>
    <n v="107.55063955478958"/>
    <n v="-44013.249868400002"/>
    <n v="0"/>
    <n v="0"/>
    <n v="0"/>
    <n v="0"/>
    <n v="4990"/>
    <n v="492664.44150999998"/>
    <s v="EPER"/>
    <n v="7414000005"/>
  </r>
  <r>
    <x v="251"/>
    <s v="BANCO SANTANDER (MEXICO) FIDEICOMISO F/2112357-1"/>
    <x v="67"/>
    <s v="NORMAL"/>
    <s v="MXN"/>
    <n v="1321"/>
    <n v="99.247497999999993"/>
    <n v="131105.944858"/>
    <n v="28.061871944776684"/>
    <n v="168175.67769705001"/>
    <n v="0"/>
    <n v="0"/>
    <n v="0"/>
    <n v="0"/>
    <n v="1321"/>
    <n v="131105.944858"/>
    <s v="EPER"/>
    <n v="7414000005"/>
  </r>
  <r>
    <x v="251"/>
    <s v="BANCO SANTANDER (MEXICO) FIDEICOMISO F/2112357-1"/>
    <x v="27"/>
    <s v="NORMAL"/>
    <s v="MXN"/>
    <n v="5320"/>
    <n v="94.973146999999997"/>
    <n v="505257.14204000001"/>
    <n v="89.982256403590227"/>
    <n v="26551.537972900001"/>
    <n v="0"/>
    <n v="0"/>
    <n v="0"/>
    <n v="0"/>
    <n v="5320"/>
    <n v="505257.14204000001"/>
    <s v="EPER"/>
    <n v="7414000005"/>
  </r>
  <r>
    <x v="251"/>
    <s v="BANCO SANTANDER (MEXICO) FIDEICOMISO F/2112357-1"/>
    <x v="28"/>
    <s v="NORMAL"/>
    <s v="MXN"/>
    <n v="3051"/>
    <n v="91.911821000000003"/>
    <n v="280422.96587100002"/>
    <n v="93.2088459"/>
    <n v="-3957.2229699"/>
    <n v="0"/>
    <n v="0"/>
    <n v="0"/>
    <n v="0"/>
    <n v="3051"/>
    <n v="280422.96587100002"/>
    <s v="EPER"/>
    <n v="7414000005"/>
  </r>
  <r>
    <x v="251"/>
    <s v="BANCO SANTANDER (MEXICO) FIDEICOMISO F/2112357-1"/>
    <x v="30"/>
    <s v="NORMAL"/>
    <s v="MXN"/>
    <n v="5564"/>
    <n v="88.698122999999995"/>
    <n v="493516.35637200001"/>
    <n v="88.428377748727527"/>
    <n v="1500.86257808"/>
    <n v="0"/>
    <n v="0"/>
    <n v="0"/>
    <n v="0"/>
    <n v="5564"/>
    <n v="493516.35637200001"/>
    <s v="EPER"/>
    <n v="7414000005"/>
  </r>
  <r>
    <x v="251"/>
    <s v="BANCO SANTANDER (MEXICO) FIDEICOMISO F/2112357-1"/>
    <x v="31"/>
    <s v="NORMAL"/>
    <s v="MXN"/>
    <n v="3909"/>
    <n v="93.314192000000006"/>
    <n v="364765.17652799998"/>
    <n v="100.18644899711691"/>
    <n v="-26863.652601729998"/>
    <n v="0"/>
    <n v="0"/>
    <n v="0"/>
    <n v="0"/>
    <n v="3909"/>
    <n v="364765.17652799998"/>
    <s v="EPER"/>
    <n v="7414000005"/>
  </r>
  <r>
    <x v="251"/>
    <s v="BANCO SANTANDER (MEXICO) FIDEICOMISO F/2112357-1"/>
    <x v="33"/>
    <s v="NORMAL"/>
    <s v="MXN"/>
    <n v="14699"/>
    <n v="94.870157000000006"/>
    <n v="1394496.437743"/>
    <n v="97.301623267432475"/>
    <n v="-35740.122664989998"/>
    <n v="0"/>
    <n v="0"/>
    <n v="0"/>
    <n v="0"/>
    <n v="14699"/>
    <n v="1394496.437743"/>
    <s v="EPER"/>
    <n v="7414000005"/>
  </r>
  <r>
    <x v="251"/>
    <s v="BANCO SANTANDER (MEXICO) FIDEICOMISO F/2112357-1"/>
    <x v="34"/>
    <s v="NORMAL"/>
    <s v="MXN"/>
    <n v="67"/>
    <n v="89.489464999999996"/>
    <n v="5995.7941549999996"/>
    <n v="140.25098242149252"/>
    <n v="15392.609977239999"/>
    <n v="0"/>
    <n v="0"/>
    <n v="0"/>
    <n v="0"/>
    <n v="67"/>
    <n v="5995.7941549999996"/>
    <s v="EPER"/>
    <n v="7414000005"/>
  </r>
  <r>
    <x v="251"/>
    <s v="BANCO SANTANDER (MEXICO) FIDEICOMISO F/2112357-1"/>
    <x v="35"/>
    <s v="NORMAL"/>
    <s v="MXN"/>
    <n v="8610"/>
    <n v="86.197128000000006"/>
    <n v="742157.27208000002"/>
    <n v="90.244415667770028"/>
    <n v="-34847.146819499998"/>
    <n v="0"/>
    <n v="0"/>
    <n v="0"/>
    <n v="0"/>
    <n v="8610"/>
    <n v="742157.27208000002"/>
    <s v="EPER"/>
    <n v="7414000005"/>
  </r>
  <r>
    <x v="251"/>
    <s v="BANCO SANTANDER (MEXICO) FIDEICOMISO F/2112357-1"/>
    <x v="36"/>
    <s v="NORMAL"/>
    <s v="MXN"/>
    <n v="11652"/>
    <n v="86.469353999999996"/>
    <n v="1007540.912808"/>
    <n v="91.173060342068311"/>
    <n v="-54807.586297779999"/>
    <n v="0"/>
    <n v="0"/>
    <n v="0"/>
    <n v="0"/>
    <n v="11652"/>
    <n v="1007540.912808"/>
    <s v="EPER"/>
    <n v="7414000005"/>
  </r>
  <r>
    <x v="251"/>
    <s v="BANCO SANTANDER (MEXICO) FIDEICOMISO F/2112357-1"/>
    <x v="81"/>
    <s v="NORMAL"/>
    <s v="MXN"/>
    <n v="411"/>
    <n v="101.45096599999999"/>
    <n v="41696.347026000003"/>
    <n v="114.11447106"/>
    <n v="-5204.7005796599997"/>
    <n v="0"/>
    <n v="0"/>
    <n v="0"/>
    <n v="0"/>
    <n v="411"/>
    <n v="41696.347026000003"/>
    <s v="EPER"/>
    <n v="7414000005"/>
  </r>
  <r>
    <x v="251"/>
    <s v="BANCO SANTANDER (MEXICO) FIDEICOMISO F/2112357-1"/>
    <x v="68"/>
    <s v="NORMAL"/>
    <s v="MXN"/>
    <n v="327"/>
    <n v="89.643172000000007"/>
    <n v="29313.317244000002"/>
    <n v="108.47711812999999"/>
    <n v="-6158.7003845099998"/>
    <n v="0"/>
    <n v="0"/>
    <n v="0"/>
    <n v="0"/>
    <n v="327"/>
    <n v="29313.317244000002"/>
    <s v="EPER"/>
    <n v="7414000005"/>
  </r>
  <r>
    <x v="251"/>
    <s v="BANCO SANTANDER (MEXICO) FIDEICOMISO F/2112357-1"/>
    <x v="37"/>
    <s v="NORMAL"/>
    <s v="MXN"/>
    <n v="8295"/>
    <n v="81.738860000000003"/>
    <n v="678023.84369999997"/>
    <n v="84.352152406641352"/>
    <n v="-21677.260513090001"/>
    <n v="0"/>
    <n v="0"/>
    <n v="0"/>
    <n v="0"/>
    <n v="8295"/>
    <n v="678023.84369999997"/>
    <s v="EPER"/>
    <n v="7414000005"/>
  </r>
  <r>
    <x v="251"/>
    <s v="BANCO SANTANDER (MEXICO) FIDEICOMISO F/2112357-1"/>
    <x v="38"/>
    <s v="NORMAL"/>
    <s v="MXN"/>
    <n v="1440"/>
    <n v="83.200761"/>
    <n v="119809.09583999999"/>
    <n v="96.799409990000001"/>
    <n v="-19582.0545456"/>
    <n v="0"/>
    <n v="0"/>
    <n v="0"/>
    <n v="0"/>
    <n v="1440"/>
    <n v="119809.09583999999"/>
    <s v="EPER"/>
    <n v="7414000005"/>
  </r>
  <r>
    <x v="251"/>
    <s v="BANCO SANTANDER (MEXICO) FIDEICOMISO F/2112357-1"/>
    <x v="39"/>
    <s v="NORMAL"/>
    <s v="MXN"/>
    <n v="794"/>
    <n v="82.159907000000004"/>
    <n v="65234.966158000003"/>
    <n v="88.605995219999997"/>
    <n v="-5118.1940466799997"/>
    <n v="0"/>
    <n v="0"/>
    <n v="0"/>
    <n v="0"/>
    <n v="794"/>
    <n v="65234.966158000003"/>
    <s v="EPER"/>
    <n v="7414000005"/>
  </r>
  <r>
    <x v="251"/>
    <s v="BANCO SANTANDER (MEXICO) FIDEICOMISO F/2112357-1"/>
    <x v="40"/>
    <s v="NORMAL"/>
    <s v="MXN"/>
    <n v="270"/>
    <n v="314.42"/>
    <n v="84893.4"/>
    <n v="265.38955555555555"/>
    <n v="13238.22"/>
    <n v="0"/>
    <n v="0"/>
    <n v="0"/>
    <n v="0"/>
    <n v="270"/>
    <n v="84893.4"/>
    <s v="EPER"/>
    <n v="7414000005"/>
  </r>
  <r>
    <x v="251"/>
    <s v="BANCO SANTANDER (MEXICO) FIDEICOMISO F/2112357-1"/>
    <x v="41"/>
    <s v="NORMAL"/>
    <s v="MXN"/>
    <n v="760"/>
    <n v="43.85"/>
    <n v="33326"/>
    <n v="39.786986842105264"/>
    <n v="3087.89"/>
    <n v="0"/>
    <n v="0"/>
    <n v="0"/>
    <n v="0"/>
    <n v="760"/>
    <n v="33326"/>
    <s v="EPER"/>
    <n v="7414000005"/>
  </r>
  <r>
    <x v="251"/>
    <s v="BANCO SANTANDER (MEXICO) FIDEICOMISO F/2112357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4"/>
    <s v="NORMAL"/>
    <s v="MXN"/>
    <n v="810"/>
    <n v="36.28"/>
    <n v="29386.799999999999"/>
    <n v="38.549444444444447"/>
    <n v="-1838.25"/>
    <n v="0"/>
    <n v="0"/>
    <n v="0"/>
    <n v="0"/>
    <n v="810"/>
    <n v="29386.799999999999"/>
    <s v="EPER"/>
    <n v="7414000005"/>
  </r>
  <r>
    <x v="251"/>
    <s v="BANCO SANTANDER (MEXICO) FIDEICOMISO F/2112357-1"/>
    <x v="45"/>
    <s v="NORMAL"/>
    <s v="MXN"/>
    <n v="280"/>
    <n v="136.35"/>
    <n v="38178"/>
    <n v="125.99514285714285"/>
    <n v="2899.36"/>
    <n v="0"/>
    <n v="0"/>
    <n v="0"/>
    <n v="0"/>
    <n v="280"/>
    <n v="38178"/>
    <s v="EPER"/>
    <n v="7414000005"/>
  </r>
  <r>
    <x v="251"/>
    <s v="BANCO SANTANDER (MEXICO) FIDEICOMISO F/2112357-1"/>
    <x v="47"/>
    <s v="NORMAL"/>
    <s v="MXN"/>
    <n v="5100"/>
    <n v="2.95"/>
    <n v="15045"/>
    <n v="4.4892352941176474"/>
    <n v="-7850.1"/>
    <n v="0"/>
    <n v="0"/>
    <n v="0"/>
    <n v="0"/>
    <n v="5100"/>
    <n v="15045"/>
    <s v="EPER"/>
    <n v="7414000005"/>
  </r>
  <r>
    <x v="251"/>
    <s v="BANCO SANTANDER (MEXICO) FIDEICOMISO F/2112357-1"/>
    <x v="88"/>
    <s v="NORMAL"/>
    <s v="MXN"/>
    <n v="4205"/>
    <n v="98.007834000000003"/>
    <n v="412122.94196999999"/>
    <n v="91.982023083876342"/>
    <n v="25338.534902300002"/>
    <n v="0"/>
    <n v="0"/>
    <n v="0"/>
    <n v="0"/>
    <n v="4205"/>
    <n v="412122.94196999999"/>
    <s v="EPER"/>
    <n v="7414000005"/>
  </r>
  <r>
    <x v="251"/>
    <s v="BANCO SANTANDER (MEXICO) FIDEICOMISO F/2112357-1"/>
    <x v="48"/>
    <s v="NORMAL"/>
    <s v="MXN"/>
    <n v="450"/>
    <n v="156"/>
    <n v="70200"/>
    <n v="144.7482"/>
    <n v="5063.3100000000004"/>
    <n v="0"/>
    <n v="0"/>
    <n v="0"/>
    <n v="0"/>
    <n v="450"/>
    <n v="70200"/>
    <s v="EPER"/>
    <n v="7414000005"/>
  </r>
  <r>
    <x v="251"/>
    <s v="BANCO SANTANDER (MEXICO) FIDEICOMISO F/2112357-1"/>
    <x v="130"/>
    <s v="NORMAL"/>
    <s v="MXN"/>
    <n v="780000"/>
    <n v="4.5848760000000004"/>
    <n v="3576203.28"/>
    <n v="4.0790305"/>
    <n v="394559.49"/>
    <n v="0"/>
    <n v="0"/>
    <n v="0"/>
    <n v="0"/>
    <n v="780000"/>
    <n v="3576203.28"/>
    <s v="EPER"/>
    <n v="7414000005"/>
  </r>
  <r>
    <x v="251"/>
    <s v="BANCO SANTANDER (MEXICO) FIDEICOMISO F/2112357-1"/>
    <x v="0"/>
    <s v="NORMAL"/>
    <s v="MXN"/>
    <n v="3174398"/>
    <n v="3.3967719999999999"/>
    <n v="10782706.243256001"/>
    <n v="3.2194642637753677"/>
    <n v="562845.32325599995"/>
    <n v="0"/>
    <n v="0"/>
    <n v="0"/>
    <n v="0"/>
    <n v="3174398"/>
    <n v="10782706.243256001"/>
    <s v="EPER"/>
    <n v="7414000005"/>
  </r>
  <r>
    <x v="251"/>
    <s v="BANCO SANTANDER (MEXICO) FIDEICOMISO F/2112357-1"/>
    <x v="50"/>
    <s v="NORMAL"/>
    <s v="MXN"/>
    <n v="1180"/>
    <n v="31.41"/>
    <n v="37063.800000000003"/>
    <n v="32.790262711864408"/>
    <n v="-1628.71"/>
    <n v="0"/>
    <n v="0"/>
    <n v="0"/>
    <n v="0"/>
    <n v="1180"/>
    <n v="37063.800000000003"/>
    <s v="EPER"/>
    <n v="7414000005"/>
  </r>
  <r>
    <x v="251"/>
    <s v="BANCO SANTANDER (MEXICO) FIDEICOMISO F/2112357-1"/>
    <x v="51"/>
    <s v="NORMAL"/>
    <s v="MXN"/>
    <n v="97"/>
    <n v="775.69178699999998"/>
    <n v="75242.103338999994"/>
    <n v="728.26654728000005"/>
    <n v="4600.2482528399996"/>
    <n v="0"/>
    <n v="0"/>
    <n v="0"/>
    <n v="0"/>
    <n v="97"/>
    <n v="75242.103338999994"/>
    <s v="EPER"/>
    <n v="7414000005"/>
  </r>
  <r>
    <x v="251"/>
    <s v="BANCO SANTANDER (MEXICO) FIDEICOMISO F/2112357-1"/>
    <x v="52"/>
    <s v="NORMAL"/>
    <s v="MXN"/>
    <n v="650"/>
    <n v="747.17843200000004"/>
    <n v="485665.98080000002"/>
    <n v="709.71028535646155"/>
    <n v="24354.295318299999"/>
    <n v="0"/>
    <n v="0"/>
    <n v="0"/>
    <n v="0"/>
    <n v="650"/>
    <n v="485665.98080000002"/>
    <s v="EPER"/>
    <n v="7414000005"/>
  </r>
  <r>
    <x v="251"/>
    <s v="BANCO SANTANDER (MEXICO) FIDEICOMISO F/2112357-1"/>
    <x v="53"/>
    <s v="NORMAL"/>
    <s v="MXN"/>
    <n v="328"/>
    <n v="765.92388300000005"/>
    <n v="251223.033624"/>
    <n v="769.82142402981708"/>
    <n v="-1278.3934577800001"/>
    <n v="0"/>
    <n v="0"/>
    <n v="0"/>
    <n v="0"/>
    <n v="328"/>
    <n v="251223.033624"/>
    <s v="EPER"/>
    <n v="7414000005"/>
  </r>
  <r>
    <x v="251"/>
    <s v="BANCO SANTANDER (MEXICO) FIDEICOMISO F/2112357-1"/>
    <x v="54"/>
    <s v="NORMAL"/>
    <s v="MXN"/>
    <n v="208"/>
    <n v="684.88915799999995"/>
    <n v="142456.94486399999"/>
    <n v="674.82119490000002"/>
    <n v="2094.1363247999998"/>
    <n v="0"/>
    <n v="0"/>
    <n v="0"/>
    <n v="0"/>
    <n v="208"/>
    <n v="142456.94486399999"/>
    <s v="EPER"/>
    <n v="7414000005"/>
  </r>
  <r>
    <x v="251"/>
    <s v="BANCO SANTANDER (MEXICO) FIDEICOMISO F/2112357-1"/>
    <x v="55"/>
    <s v="NORMAL"/>
    <s v="MXN"/>
    <n v="206"/>
    <n v="772.926965"/>
    <n v="159222.95478999999"/>
    <n v="798.93664675000002"/>
    <n v="-5357.9944404999997"/>
    <n v="0"/>
    <n v="0"/>
    <n v="0"/>
    <n v="0"/>
    <n v="206"/>
    <n v="159222.95478999999"/>
    <s v="EPER"/>
    <n v="7414000005"/>
  </r>
  <r>
    <x v="251"/>
    <s v="BANCO SANTANDER (MEXICO) FIDEICOMISO F/2112357-1"/>
    <x v="56"/>
    <s v="NORMAL"/>
    <s v="MXN"/>
    <n v="92"/>
    <n v="721.59464000000003"/>
    <n v="66386.706879999998"/>
    <n v="604.35270151641305"/>
    <n v="10786.25834049"/>
    <n v="0"/>
    <n v="0"/>
    <n v="0"/>
    <n v="0"/>
    <n v="92"/>
    <n v="66386.706879999998"/>
    <s v="EPER"/>
    <n v="7414000005"/>
  </r>
  <r>
    <x v="251"/>
    <s v="BANCO SANTANDER (MEXICO) FIDEICOMISO F/2112357-1"/>
    <x v="58"/>
    <s v="NORMAL"/>
    <s v="MXN"/>
    <n v="203"/>
    <n v="709.36974099999998"/>
    <n v="144002.05742299999"/>
    <n v="697.59365855901478"/>
    <n v="2390.5447355199999"/>
    <n v="0"/>
    <n v="0"/>
    <n v="0"/>
    <n v="0"/>
    <n v="203"/>
    <n v="144002.05742299999"/>
    <s v="EPER"/>
    <n v="7414000005"/>
  </r>
  <r>
    <x v="251"/>
    <s v="BANCO SANTANDER (MEXICO) FIDEICOMISO F/2112357-1"/>
    <x v="60"/>
    <s v="NORMAL"/>
    <s v="MXN"/>
    <n v="1930"/>
    <n v="58.67"/>
    <n v="113233.1"/>
    <n v="51.220227979274611"/>
    <n v="14378.06"/>
    <n v="0"/>
    <n v="0"/>
    <n v="0"/>
    <n v="0"/>
    <n v="1930"/>
    <n v="113233.1"/>
    <s v="EPER"/>
    <n v="7414000005"/>
  </r>
  <r>
    <x v="251"/>
    <s v="BANCO SANTANDER (MEXICO) FIDEICOMISO F/2112357-1"/>
    <x v="63"/>
    <s v="NORMAL"/>
    <s v="MXN"/>
    <n v="3000"/>
    <n v="65.260000000000005"/>
    <n v="195780"/>
    <n v="68.574976666666672"/>
    <n v="-9944.93"/>
    <n v="0"/>
    <n v="0"/>
    <n v="0"/>
    <n v="0"/>
    <n v="3000"/>
    <n v="195780"/>
    <s v="EPER"/>
    <n v="7414000005"/>
  </r>
  <r>
    <x v="252"/>
    <s v="BANCO SANTANDER (MEXICO) FIDEICOMISO F/2112369-1"/>
    <x v="4"/>
    <s v="NORMAL"/>
    <s v="MXN"/>
    <n v="11"/>
    <n v="168.64"/>
    <n v="1855.04"/>
    <n v="151.87181818181818"/>
    <n v="184.45"/>
    <n v="0"/>
    <n v="0"/>
    <n v="0"/>
    <n v="0"/>
    <n v="11"/>
    <n v="1855.04"/>
    <s v="EPER"/>
    <n v="7414000005"/>
  </r>
  <r>
    <x v="252"/>
    <s v="BANCO SANTANDER (MEXICO) FIDEICOMISO F/2112369-1"/>
    <x v="6"/>
    <s v="NORMAL"/>
    <s v="MXN"/>
    <n v="258"/>
    <n v="12.48"/>
    <n v="3219.84"/>
    <n v="11.509883720930233"/>
    <n v="250.29"/>
    <n v="0"/>
    <n v="0"/>
    <n v="0"/>
    <n v="0"/>
    <n v="258"/>
    <n v="3219.84"/>
    <s v="EPER"/>
    <n v="7414000005"/>
  </r>
  <r>
    <x v="252"/>
    <s v="BANCO SANTANDER (MEXICO) FIDEICOMISO F/2112369-1"/>
    <x v="7"/>
    <s v="NORMAL"/>
    <s v="MXN"/>
    <n v="71"/>
    <n v="73.37"/>
    <n v="5209.2700000000004"/>
    <n v="62.266197183098591"/>
    <n v="788.37"/>
    <n v="0"/>
    <n v="0"/>
    <n v="0"/>
    <n v="0"/>
    <n v="71"/>
    <n v="5209.2700000000004"/>
    <s v="EPER"/>
    <n v="7414000005"/>
  </r>
  <r>
    <x v="252"/>
    <s v="BANCO SANTANDER (MEXICO) FIDEICOMISO F/2112369-1"/>
    <x v="10"/>
    <s v="NORMAL"/>
    <s v="MXN"/>
    <n v="978"/>
    <n v="15.12"/>
    <n v="14787.36"/>
    <n v="16.722719836400817"/>
    <n v="-1567.46"/>
    <n v="0"/>
    <n v="0"/>
    <n v="0"/>
    <n v="0"/>
    <n v="978"/>
    <n v="14787.36"/>
    <s v="EPER"/>
    <n v="7414000005"/>
  </r>
  <r>
    <x v="252"/>
    <s v="BANCO SANTANDER (MEXICO) FIDEICOMISO F/2112369-1"/>
    <x v="11"/>
    <s v="NORMAL"/>
    <s v="MXN"/>
    <n v="13"/>
    <n v="525.09"/>
    <n v="6826.17"/>
    <n v="517.24538461538464"/>
    <n v="101.98"/>
    <n v="0"/>
    <n v="0"/>
    <n v="0"/>
    <n v="0"/>
    <n v="13"/>
    <n v="6826.17"/>
    <s v="EPER"/>
    <n v="7414000005"/>
  </r>
  <r>
    <x v="252"/>
    <s v="BANCO SANTANDER (MEXICO) FIDEICOMISO F/2112369-1"/>
    <x v="12"/>
    <s v="NORMAL"/>
    <s v="MXN"/>
    <n v="35"/>
    <n v="68.25"/>
    <n v="2388.75"/>
    <n v="79.098571428571432"/>
    <n v="-379.7"/>
    <n v="0"/>
    <n v="0"/>
    <n v="0"/>
    <n v="0"/>
    <n v="35"/>
    <n v="2388.75"/>
    <s v="EPER"/>
    <n v="7414000005"/>
  </r>
  <r>
    <x v="252"/>
    <s v="BANCO SANTANDER (MEXICO) FIDEICOMISO F/2112369-1"/>
    <x v="14"/>
    <s v="NORMAL"/>
    <s v="MXN"/>
    <n v="877"/>
    <n v="14.33"/>
    <n v="12567.41"/>
    <n v="11.760866590649943"/>
    <n v="2253.13"/>
    <n v="0"/>
    <n v="0"/>
    <n v="0"/>
    <n v="0"/>
    <n v="877"/>
    <n v="12567.41"/>
    <s v="EPER"/>
    <n v="7414000005"/>
  </r>
  <r>
    <x v="252"/>
    <s v="BANCO SANTANDER (MEXICO) FIDEICOMISO F/2112369-1"/>
    <x v="72"/>
    <s v="NORMAL"/>
    <s v="MXN"/>
    <n v="7970"/>
    <n v="9.3381629999999998"/>
    <n v="74425.159109999993"/>
    <n v="8.3307969100000001"/>
    <n v="8028.7077373000002"/>
    <n v="0"/>
    <n v="0"/>
    <n v="0"/>
    <n v="0"/>
    <n v="7970"/>
    <n v="74425.159109999993"/>
    <s v="EPER"/>
    <n v="7414000005"/>
  </r>
  <r>
    <x v="252"/>
    <s v="BANCO SANTANDER (MEXICO) FIDEICOMISO F/2112369-1"/>
    <x v="21"/>
    <s v="NORMAL"/>
    <s v="MXN"/>
    <n v="5"/>
    <n v="271.94"/>
    <n v="1359.7"/>
    <n v="246.51"/>
    <n v="127.15"/>
    <n v="0"/>
    <n v="0"/>
    <n v="0"/>
    <n v="0"/>
    <n v="5"/>
    <n v="1359.7"/>
    <s v="EPER"/>
    <n v="7414000005"/>
  </r>
  <r>
    <x v="252"/>
    <s v="BANCO SANTANDER (MEXICO) FIDEICOMISO F/2112369-1"/>
    <x v="22"/>
    <s v="NORMAL"/>
    <s v="MXN"/>
    <n v="34"/>
    <n v="193.15"/>
    <n v="6567.1"/>
    <n v="156.17441176470589"/>
    <n v="1257.17"/>
    <n v="0"/>
    <n v="0"/>
    <n v="0"/>
    <n v="0"/>
    <n v="34"/>
    <n v="6567.1"/>
    <s v="EPER"/>
    <n v="7414000005"/>
  </r>
  <r>
    <x v="252"/>
    <s v="BANCO SANTANDER (MEXICO) FIDEICOMISO F/2112369-1"/>
    <x v="23"/>
    <s v="NORMAL"/>
    <s v="MXN"/>
    <n v="151"/>
    <n v="27.12"/>
    <n v="4095.12"/>
    <n v="20.532649006622517"/>
    <n v="994.69"/>
    <n v="0"/>
    <n v="0"/>
    <n v="0"/>
    <n v="0"/>
    <n v="151"/>
    <n v="4095.12"/>
    <s v="EPER"/>
    <n v="7414000005"/>
  </r>
  <r>
    <x v="252"/>
    <s v="BANCO SANTANDER (MEXICO) FIDEICOMISO F/2112369-1"/>
    <x v="24"/>
    <s v="NORMAL"/>
    <s v="MXN"/>
    <n v="113"/>
    <n v="176.44"/>
    <n v="19937.72"/>
    <n v="148.18530973451328"/>
    <n v="3192.78"/>
    <n v="0"/>
    <n v="0"/>
    <n v="0"/>
    <n v="0"/>
    <n v="113"/>
    <n v="19937.72"/>
    <s v="EPER"/>
    <n v="7414000005"/>
  </r>
  <r>
    <x v="252"/>
    <s v="BANCO SANTANDER (MEXICO) FIDEICOMISO F/2112369-1"/>
    <x v="25"/>
    <s v="NORMAL"/>
    <s v="MXN"/>
    <n v="143"/>
    <n v="104.12"/>
    <n v="14889.16"/>
    <n v="81.289020979020975"/>
    <n v="3264.83"/>
    <n v="0"/>
    <n v="0"/>
    <n v="0"/>
    <n v="0"/>
    <n v="143"/>
    <n v="14889.16"/>
    <s v="EPER"/>
    <n v="7414000005"/>
  </r>
  <r>
    <x v="252"/>
    <s v="BANCO SANTANDER (MEXICO) FIDEICOMISO F/2112369-1"/>
    <x v="26"/>
    <s v="NORMAL"/>
    <s v="MXN"/>
    <n v="480"/>
    <n v="98.730349000000004"/>
    <n v="47390.567519999997"/>
    <n v="107.90983107562499"/>
    <n v="-4406.1513962999998"/>
    <n v="0"/>
    <n v="0"/>
    <n v="0"/>
    <n v="0"/>
    <n v="480"/>
    <n v="47390.567519999997"/>
    <s v="EPER"/>
    <n v="7414000005"/>
  </r>
  <r>
    <x v="252"/>
    <s v="BANCO SANTANDER (MEXICO) FIDEICOMISO F/2112369-1"/>
    <x v="67"/>
    <s v="NORMAL"/>
    <s v="MXN"/>
    <n v="163"/>
    <n v="99.247497999999993"/>
    <n v="16177.342173999999"/>
    <n v="15.363401382269938"/>
    <n v="13673.107748689999"/>
    <n v="0"/>
    <n v="0"/>
    <n v="0"/>
    <n v="0"/>
    <n v="163"/>
    <n v="16177.342173999999"/>
    <s v="EPER"/>
    <n v="7414000005"/>
  </r>
  <r>
    <x v="252"/>
    <s v="BANCO SANTANDER (MEXICO) FIDEICOMISO F/2112369-1"/>
    <x v="27"/>
    <s v="NORMAL"/>
    <s v="MXN"/>
    <n v="440"/>
    <n v="94.973146999999997"/>
    <n v="41788.184679999998"/>
    <n v="89.983426490909096"/>
    <n v="2195.4770239999998"/>
    <n v="0"/>
    <n v="0"/>
    <n v="0"/>
    <n v="0"/>
    <n v="440"/>
    <n v="41788.184679999998"/>
    <s v="EPER"/>
    <n v="7414000005"/>
  </r>
  <r>
    <x v="252"/>
    <s v="BANCO SANTANDER (MEXICO) FIDEICOMISO F/2112369-1"/>
    <x v="28"/>
    <s v="NORMAL"/>
    <s v="MXN"/>
    <n v="351"/>
    <n v="91.911821000000003"/>
    <n v="32261.049170999999"/>
    <n v="93.2088459"/>
    <n v="-455.25573989999998"/>
    <n v="0"/>
    <n v="0"/>
    <n v="0"/>
    <n v="0"/>
    <n v="351"/>
    <n v="32261.049170999999"/>
    <s v="EPER"/>
    <n v="7414000005"/>
  </r>
  <r>
    <x v="252"/>
    <s v="BANCO SANTANDER (MEXICO) FIDEICOMISO F/2112369-1"/>
    <x v="30"/>
    <s v="NORMAL"/>
    <s v="MXN"/>
    <n v="435"/>
    <n v="88.698122999999995"/>
    <n v="38583.683505000001"/>
    <n v="88.303238416896548"/>
    <n v="171.77479364999999"/>
    <n v="0"/>
    <n v="0"/>
    <n v="0"/>
    <n v="0"/>
    <n v="435"/>
    <n v="38583.683505000001"/>
    <s v="EPER"/>
    <n v="7414000005"/>
  </r>
  <r>
    <x v="252"/>
    <s v="BANCO SANTANDER (MEXICO) FIDEICOMISO F/2112369-1"/>
    <x v="31"/>
    <s v="NORMAL"/>
    <s v="MXN"/>
    <n v="356"/>
    <n v="93.314192000000006"/>
    <n v="33219.852352000002"/>
    <n v="100.15160151522471"/>
    <n v="-2434.1177874199998"/>
    <n v="0"/>
    <n v="0"/>
    <n v="0"/>
    <n v="0"/>
    <n v="356"/>
    <n v="33219.852352000002"/>
    <s v="EPER"/>
    <n v="7414000005"/>
  </r>
  <r>
    <x v="252"/>
    <s v="BANCO SANTANDER (MEXICO) FIDEICOMISO F/2112369-1"/>
    <x v="33"/>
    <s v="NORMAL"/>
    <s v="MXN"/>
    <n v="890"/>
    <n v="94.870157000000006"/>
    <n v="84434.439729999998"/>
    <n v="97.423448415730334"/>
    <n v="-2272.4293600000001"/>
    <n v="0"/>
    <n v="0"/>
    <n v="0"/>
    <n v="0"/>
    <n v="890"/>
    <n v="84434.439729999998"/>
    <s v="EPER"/>
    <n v="7414000005"/>
  </r>
  <r>
    <x v="252"/>
    <s v="BANCO SANTANDER (MEXICO) FIDEICOMISO F/2112369-1"/>
    <x v="34"/>
    <s v="NORMAL"/>
    <s v="MXN"/>
    <n v="60"/>
    <n v="89.489464999999996"/>
    <n v="5369.3679000000002"/>
    <n v="63.475725566666668"/>
    <n v="1560.8243660000001"/>
    <n v="0"/>
    <n v="0"/>
    <n v="0"/>
    <n v="0"/>
    <n v="60"/>
    <n v="5369.3679000000002"/>
    <s v="EPER"/>
    <n v="7414000005"/>
  </r>
  <r>
    <x v="252"/>
    <s v="BANCO SANTANDER (MEXICO) FIDEICOMISO F/2112369-1"/>
    <x v="35"/>
    <s v="NORMAL"/>
    <s v="MXN"/>
    <n v="500"/>
    <n v="86.197128000000006"/>
    <n v="43098.563999999998"/>
    <n v="90.403334892399997"/>
    <n v="-2103.1034461999998"/>
    <n v="0"/>
    <n v="0"/>
    <n v="0"/>
    <n v="0"/>
    <n v="500"/>
    <n v="43098.563999999998"/>
    <s v="EPER"/>
    <n v="7414000005"/>
  </r>
  <r>
    <x v="252"/>
    <s v="BANCO SANTANDER (MEXICO) FIDEICOMISO F/2112369-1"/>
    <x v="36"/>
    <s v="NORMAL"/>
    <s v="MXN"/>
    <n v="785"/>
    <n v="86.469353999999996"/>
    <n v="67878.442890000006"/>
    <n v="91.85044536961783"/>
    <n v="-4224.1567251500001"/>
    <n v="0"/>
    <n v="0"/>
    <n v="0"/>
    <n v="0"/>
    <n v="785"/>
    <n v="67878.442890000006"/>
    <s v="EPER"/>
    <n v="7414000005"/>
  </r>
  <r>
    <x v="252"/>
    <s v="BANCO SANTANDER (MEXICO) FIDEICOMISO F/2112369-1"/>
    <x v="81"/>
    <s v="NORMAL"/>
    <s v="MXN"/>
    <n v="34"/>
    <n v="101.45096599999999"/>
    <n v="3449.332844"/>
    <n v="114.11447106"/>
    <n v="-430.55917204000002"/>
    <n v="0"/>
    <n v="0"/>
    <n v="0"/>
    <n v="0"/>
    <n v="34"/>
    <n v="3449.332844"/>
    <s v="EPER"/>
    <n v="7414000005"/>
  </r>
  <r>
    <x v="252"/>
    <s v="BANCO SANTANDER (MEXICO) FIDEICOMISO F/2112369-1"/>
    <x v="68"/>
    <s v="NORMAL"/>
    <s v="MXN"/>
    <n v="28"/>
    <n v="89.643172000000007"/>
    <n v="2510.008816"/>
    <n v="108.47711812999999"/>
    <n v="-527.35049163999997"/>
    <n v="0"/>
    <n v="0"/>
    <n v="0"/>
    <n v="0"/>
    <n v="28"/>
    <n v="2510.008816"/>
    <s v="EPER"/>
    <n v="7414000005"/>
  </r>
  <r>
    <x v="252"/>
    <s v="BANCO SANTANDER (MEXICO) FIDEICOMISO F/2112369-1"/>
    <x v="37"/>
    <s v="NORMAL"/>
    <s v="MXN"/>
    <n v="236"/>
    <n v="81.738860000000003"/>
    <n v="19290.37096"/>
    <n v="87.427712999999997"/>
    <n v="-1342.5693080000001"/>
    <n v="0"/>
    <n v="0"/>
    <n v="0"/>
    <n v="0"/>
    <n v="236"/>
    <n v="19290.37096"/>
    <s v="EPER"/>
    <n v="7414000005"/>
  </r>
  <r>
    <x v="252"/>
    <s v="BANCO SANTANDER (MEXICO) FIDEICOMISO F/2112369-1"/>
    <x v="38"/>
    <s v="NORMAL"/>
    <s v="MXN"/>
    <n v="100"/>
    <n v="83.200761"/>
    <n v="8320.0761000000002"/>
    <n v="96.799409990000001"/>
    <n v="-1359.8648989999999"/>
    <n v="0"/>
    <n v="0"/>
    <n v="0"/>
    <n v="0"/>
    <n v="100"/>
    <n v="8320.0761000000002"/>
    <s v="EPER"/>
    <n v="7414000005"/>
  </r>
  <r>
    <x v="252"/>
    <s v="BANCO SANTANDER (MEXICO) FIDEICOMISO F/2112369-1"/>
    <x v="39"/>
    <s v="NORMAL"/>
    <s v="MXN"/>
    <n v="35"/>
    <n v="82.159907000000004"/>
    <n v="2875.5967449999998"/>
    <n v="88.605995219999997"/>
    <n v="-225.61308769999999"/>
    <n v="0"/>
    <n v="0"/>
    <n v="0"/>
    <n v="0"/>
    <n v="35"/>
    <n v="2875.5967449999998"/>
    <s v="EPER"/>
    <n v="7414000005"/>
  </r>
  <r>
    <x v="252"/>
    <s v="BANCO SANTANDER (MEXICO) FIDEICOMISO F/2112369-1"/>
    <x v="40"/>
    <s v="NORMAL"/>
    <s v="MXN"/>
    <n v="18"/>
    <n v="314.42"/>
    <n v="5659.56"/>
    <n v="259.66333333333336"/>
    <n v="985.62"/>
    <n v="0"/>
    <n v="0"/>
    <n v="0"/>
    <n v="0"/>
    <n v="18"/>
    <n v="5659.56"/>
    <s v="EPER"/>
    <n v="7414000005"/>
  </r>
  <r>
    <x v="252"/>
    <s v="BANCO SANTANDER (MEXICO) FIDEICOMISO F/2112369-1"/>
    <x v="41"/>
    <s v="NORMAL"/>
    <s v="MXN"/>
    <n v="50"/>
    <n v="43.85"/>
    <n v="2192.5"/>
    <n v="39.805799999999998"/>
    <n v="202.21"/>
    <n v="0"/>
    <n v="0"/>
    <n v="0"/>
    <n v="0"/>
    <n v="50"/>
    <n v="2192.5"/>
    <s v="EPER"/>
    <n v="7414000005"/>
  </r>
  <r>
    <x v="252"/>
    <s v="BANCO SANTANDER (MEXICO) FIDEICOMISO F/2112369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4"/>
    <s v="NORMAL"/>
    <s v="MXN"/>
    <n v="54"/>
    <n v="36.28"/>
    <n v="1959.12"/>
    <n v="38.895370370370372"/>
    <n v="-141.22999999999999"/>
    <n v="0"/>
    <n v="0"/>
    <n v="0"/>
    <n v="0"/>
    <n v="54"/>
    <n v="1959.12"/>
    <s v="EPER"/>
    <n v="7414000005"/>
  </r>
  <r>
    <x v="252"/>
    <s v="BANCO SANTANDER (MEXICO) FIDEICOMISO F/2112369-1"/>
    <x v="45"/>
    <s v="NORMAL"/>
    <s v="MXN"/>
    <n v="18"/>
    <n v="136.35"/>
    <n v="2454.3000000000002"/>
    <n v="125.99222222222222"/>
    <n v="186.44"/>
    <n v="0"/>
    <n v="0"/>
    <n v="0"/>
    <n v="0"/>
    <n v="18"/>
    <n v="2454.3000000000002"/>
    <s v="EPER"/>
    <n v="7414000005"/>
  </r>
  <r>
    <x v="252"/>
    <s v="BANCO SANTANDER (MEXICO) FIDEICOMISO F/2112369-1"/>
    <x v="47"/>
    <s v="NORMAL"/>
    <s v="MXN"/>
    <n v="390"/>
    <n v="2.95"/>
    <n v="1150.5"/>
    <n v="4.489179487179487"/>
    <n v="-600.28"/>
    <n v="0"/>
    <n v="0"/>
    <n v="0"/>
    <n v="0"/>
    <n v="390"/>
    <n v="1150.5"/>
    <s v="EPER"/>
    <n v="7414000005"/>
  </r>
  <r>
    <x v="252"/>
    <s v="BANCO SANTANDER (MEXICO) FIDEICOMISO F/2112369-1"/>
    <x v="88"/>
    <s v="NORMAL"/>
    <s v="MXN"/>
    <n v="395"/>
    <n v="98.007834000000003"/>
    <n v="38713.094429999997"/>
    <n v="91.988153008860763"/>
    <n v="2377.7739915000002"/>
    <n v="0"/>
    <n v="0"/>
    <n v="0"/>
    <n v="0"/>
    <n v="395"/>
    <n v="38713.094429999997"/>
    <s v="EPER"/>
    <n v="7414000005"/>
  </r>
  <r>
    <x v="252"/>
    <s v="BANCO SANTANDER (MEXICO) FIDEICOMISO F/2112369-1"/>
    <x v="48"/>
    <s v="NORMAL"/>
    <s v="MXN"/>
    <n v="30"/>
    <n v="156"/>
    <n v="4680"/>
    <n v="144.05133333333333"/>
    <n v="358.46"/>
    <n v="0"/>
    <n v="0"/>
    <n v="0"/>
    <n v="0"/>
    <n v="30"/>
    <n v="4680"/>
    <s v="EPER"/>
    <n v="7414000005"/>
  </r>
  <r>
    <x v="252"/>
    <s v="BANCO SANTANDER (MEXICO) FIDEICOMISO F/2112369-1"/>
    <x v="130"/>
    <s v="NORMAL"/>
    <s v="MXN"/>
    <n v="52000"/>
    <n v="4.5848760000000004"/>
    <n v="238413.552"/>
    <n v="4.0912205769230772"/>
    <n v="25670.081999999999"/>
    <n v="0"/>
    <n v="0"/>
    <n v="0"/>
    <n v="0"/>
    <n v="52000"/>
    <n v="238413.552"/>
    <s v="EPER"/>
    <n v="7414000005"/>
  </r>
  <r>
    <x v="252"/>
    <s v="BANCO SANTANDER (MEXICO) FIDEICOMISO F/2112369-1"/>
    <x v="0"/>
    <s v="NORMAL"/>
    <s v="MXN"/>
    <n v="203484"/>
    <n v="3.3967719999999999"/>
    <n v="691188.75364799995"/>
    <n v="3.266363350435415"/>
    <n v="26536.073648000001"/>
    <n v="0"/>
    <n v="0"/>
    <n v="0"/>
    <n v="0"/>
    <n v="203484"/>
    <n v="691188.75364799995"/>
    <s v="EPER"/>
    <n v="7414000005"/>
  </r>
  <r>
    <x v="252"/>
    <s v="BANCO SANTANDER (MEXICO) FIDEICOMISO F/2112369-1"/>
    <x v="50"/>
    <s v="NORMAL"/>
    <s v="MXN"/>
    <n v="76"/>
    <n v="31.41"/>
    <n v="2387.16"/>
    <n v="33.13144736842105"/>
    <n v="-130.83000000000001"/>
    <n v="0"/>
    <n v="0"/>
    <n v="0"/>
    <n v="0"/>
    <n v="76"/>
    <n v="2387.16"/>
    <s v="EPER"/>
    <n v="7414000005"/>
  </r>
  <r>
    <x v="252"/>
    <s v="BANCO SANTANDER (MEXICO) FIDEICOMISO F/2112369-1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51"/>
    <s v="NORMAL"/>
    <s v="MXN"/>
    <n v="9"/>
    <n v="775.69178699999998"/>
    <n v="6981.2260829999996"/>
    <n v="728.26654728000005"/>
    <n v="426.82715747999998"/>
    <n v="0"/>
    <n v="0"/>
    <n v="0"/>
    <n v="0"/>
    <n v="9"/>
    <n v="6981.2260829999996"/>
    <s v="EPER"/>
    <n v="7414000005"/>
  </r>
  <r>
    <x v="252"/>
    <s v="BANCO SANTANDER (MEXICO) FIDEICOMISO F/2112369-1"/>
    <x v="52"/>
    <s v="NORMAL"/>
    <s v="MXN"/>
    <n v="60"/>
    <n v="747.17843200000004"/>
    <n v="44830.70592"/>
    <n v="709.94684380499996"/>
    <n v="2233.8952917000001"/>
    <n v="0"/>
    <n v="0"/>
    <n v="0"/>
    <n v="0"/>
    <n v="60"/>
    <n v="44830.70592"/>
    <s v="EPER"/>
    <n v="7414000005"/>
  </r>
  <r>
    <x v="252"/>
    <s v="BANCO SANTANDER (MEXICO) FIDEICOMISO F/2112369-1"/>
    <x v="53"/>
    <s v="NORMAL"/>
    <s v="MXN"/>
    <n v="24"/>
    <n v="765.92388300000005"/>
    <n v="18382.173191999998"/>
    <n v="773.79722630833328"/>
    <n v="-188.96023940000001"/>
    <n v="0"/>
    <n v="0"/>
    <n v="0"/>
    <n v="0"/>
    <n v="24"/>
    <n v="18382.173191999998"/>
    <s v="EPER"/>
    <n v="7414000005"/>
  </r>
  <r>
    <x v="252"/>
    <s v="BANCO SANTANDER (MEXICO) FIDEICOMISO F/2112369-1"/>
    <x v="54"/>
    <s v="NORMAL"/>
    <s v="MXN"/>
    <n v="24"/>
    <n v="684.88915799999995"/>
    <n v="16437.339791999999"/>
    <n v="674.82119490000002"/>
    <n v="241.6311144"/>
    <n v="0"/>
    <n v="0"/>
    <n v="0"/>
    <n v="0"/>
    <n v="24"/>
    <n v="16437.339791999999"/>
    <s v="EPER"/>
    <n v="7414000005"/>
  </r>
  <r>
    <x v="252"/>
    <s v="BANCO SANTANDER (MEXICO) FIDEICOMISO F/2112369-1"/>
    <x v="55"/>
    <s v="NORMAL"/>
    <s v="MXN"/>
    <n v="20"/>
    <n v="772.926965"/>
    <n v="15458.5393"/>
    <n v="798.93664675000002"/>
    <n v="-520.19363499999997"/>
    <n v="0"/>
    <n v="0"/>
    <n v="0"/>
    <n v="0"/>
    <n v="20"/>
    <n v="15458.5393"/>
    <s v="EPER"/>
    <n v="7414000005"/>
  </r>
  <r>
    <x v="252"/>
    <s v="BANCO SANTANDER (MEXICO) FIDEICOMISO F/2112369-1"/>
    <x v="56"/>
    <s v="NORMAL"/>
    <s v="MXN"/>
    <n v="6"/>
    <n v="721.59464000000003"/>
    <n v="4329.5678399999997"/>
    <n v="634.44666196666662"/>
    <n v="522.88786819999996"/>
    <n v="0"/>
    <n v="0"/>
    <n v="0"/>
    <n v="0"/>
    <n v="6"/>
    <n v="4329.5678399999997"/>
    <s v="EPER"/>
    <n v="7414000005"/>
  </r>
  <r>
    <x v="252"/>
    <s v="BANCO SANTANDER (MEXICO) FIDEICOMISO F/2112369-1"/>
    <x v="58"/>
    <s v="NORMAL"/>
    <s v="MXN"/>
    <n v="15"/>
    <n v="709.36974099999998"/>
    <n v="10640.546114999999"/>
    <n v="700.5651538533333"/>
    <n v="132.06880720000001"/>
    <n v="0"/>
    <n v="0"/>
    <n v="0"/>
    <n v="0"/>
    <n v="15"/>
    <n v="10640.546114999999"/>
    <s v="EPER"/>
    <n v="7414000005"/>
  </r>
  <r>
    <x v="252"/>
    <s v="BANCO SANTANDER (MEXICO) FIDEICOMISO F/2112369-1"/>
    <x v="60"/>
    <s v="NORMAL"/>
    <s v="MXN"/>
    <n v="140"/>
    <n v="58.67"/>
    <n v="8213.7999999999993"/>
    <n v="46.810428571428574"/>
    <n v="1660.34"/>
    <n v="0"/>
    <n v="0"/>
    <n v="0"/>
    <n v="0"/>
    <n v="140"/>
    <n v="8213.7999999999993"/>
    <s v="EPER"/>
    <n v="7414000005"/>
  </r>
  <r>
    <x v="252"/>
    <s v="BANCO SANTANDER (MEXICO) FIDEICOMISO F/2112369-1"/>
    <x v="63"/>
    <s v="NORMAL"/>
    <s v="MXN"/>
    <n v="200"/>
    <n v="65.260000000000005"/>
    <n v="13052"/>
    <n v="68.203550000000007"/>
    <n v="-588.71"/>
    <n v="0"/>
    <n v="0"/>
    <n v="0"/>
    <n v="0"/>
    <n v="200"/>
    <n v="13052"/>
    <s v="EPER"/>
    <n v="7414000005"/>
  </r>
  <r>
    <x v="253"/>
    <s v="BANCO SANTANDER (MEXICO) FIDEICOMISO F/2112387-1"/>
    <x v="72"/>
    <s v="NORMAL"/>
    <s v="MXN"/>
    <n v="784170"/>
    <n v="9.3381629999999998"/>
    <n v="7322707.2797100004"/>
    <n v="8.3307969100000001"/>
    <n v="789946.26679529995"/>
    <n v="0"/>
    <n v="0"/>
    <n v="0"/>
    <n v="0"/>
    <n v="784170"/>
    <n v="7322707.2797100004"/>
    <s v="EPER"/>
    <n v="7414000005"/>
  </r>
  <r>
    <x v="253"/>
    <s v="BANCO SANTANDER (MEXICO) FIDEICOMISO F/2112387-1"/>
    <x v="16"/>
    <s v="NORMAL"/>
    <s v="MXN"/>
    <n v="73540"/>
    <n v="8.2580650000000002"/>
    <n v="607298.10010000004"/>
    <n v="8.2501711100000001"/>
    <n v="580.5166706"/>
    <n v="0"/>
    <n v="0"/>
    <n v="0"/>
    <n v="0"/>
    <n v="73540"/>
    <n v="607298.10010000004"/>
    <s v="EPER"/>
    <n v="7414000005"/>
  </r>
  <r>
    <x v="253"/>
    <s v="BANCO SANTANDER (MEXICO) FIDEICOMISO F/211238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7"/>
    <s v="NORMAL"/>
    <s v="MXN"/>
    <n v="12000"/>
    <n v="81.738860000000003"/>
    <n v="980866.32"/>
    <n v="82.321475193333328"/>
    <n v="-6991.3823199999997"/>
    <n v="0"/>
    <n v="0"/>
    <n v="0"/>
    <n v="0"/>
    <n v="12000"/>
    <n v="980866.32"/>
    <s v="EPER"/>
    <n v="7414000005"/>
  </r>
  <r>
    <x v="253"/>
    <s v="BANCO SANTANDER (MEXICO) FIDEICOMISO F/2112387-1"/>
    <x v="39"/>
    <s v="NORMAL"/>
    <s v="MXN"/>
    <n v="25000"/>
    <n v="82.159907000000004"/>
    <n v="2053997.675"/>
    <n v="84.345688319999994"/>
    <n v="-54644.533000000003"/>
    <n v="0"/>
    <n v="0"/>
    <n v="0"/>
    <n v="0"/>
    <n v="25000"/>
    <n v="2053997.675"/>
    <s v="EPER"/>
    <n v="7414000005"/>
  </r>
  <r>
    <x v="253"/>
    <s v="BANCO SANTANDER (MEXICO) FIDEICOMISO F/2112387-1"/>
    <x v="0"/>
    <s v="NORMAL"/>
    <s v="MXN"/>
    <n v="2459952"/>
    <n v="3.3967719999999999"/>
    <n v="8355896.0749439998"/>
    <n v="3.3030511570957484"/>
    <n v="230548.774944"/>
    <n v="0"/>
    <n v="0"/>
    <n v="0"/>
    <n v="0"/>
    <n v="2459952"/>
    <n v="8355896.0749439998"/>
    <s v="EPER"/>
    <n v="7414000005"/>
  </r>
  <r>
    <x v="253"/>
    <s v="BANCO SANTANDER (MEXICO) FIDEICOMISO F/2112387-1"/>
    <x v="54"/>
    <s v="NORMAL"/>
    <s v="MXN"/>
    <n v="6000"/>
    <n v="684.88915799999995"/>
    <n v="4109334.9479999999"/>
    <n v="705.54665124999997"/>
    <n v="-123944.9595"/>
    <n v="0"/>
    <n v="0"/>
    <n v="0"/>
    <n v="0"/>
    <n v="6000"/>
    <n v="4109334.9479999999"/>
    <s v="EPER"/>
    <n v="7414000005"/>
  </r>
  <r>
    <x v="253"/>
    <s v="BANCO SANTANDER (MEXICO) FIDEICOMISO F/211238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59"/>
    <s v="NORMAL"/>
    <s v="MXN"/>
    <n v="3000"/>
    <n v="694.41118700000004"/>
    <n v="2083233.561"/>
    <n v="719.08721302000004"/>
    <n v="-74028.07806"/>
    <n v="0"/>
    <n v="0"/>
    <n v="0"/>
    <n v="0"/>
    <n v="3000"/>
    <n v="2083233.561"/>
    <s v="EPER"/>
    <n v="7414000005"/>
  </r>
  <r>
    <x v="254"/>
    <s v="BANCO SANTANDER (MEXICO) FIDEICOMISO F/2112388-1"/>
    <x v="72"/>
    <s v="NORMAL"/>
    <s v="MXN"/>
    <n v="94140"/>
    <n v="9.3381629999999998"/>
    <n v="879094.66481999995"/>
    <n v="8.3307969100000001"/>
    <n v="94833.443712599998"/>
    <n v="0"/>
    <n v="0"/>
    <n v="0"/>
    <n v="0"/>
    <n v="94140"/>
    <n v="879094.66481999995"/>
    <s v="EPER"/>
    <n v="7414000005"/>
  </r>
  <r>
    <x v="254"/>
    <s v="BANCO SANTANDER (MEXICO) FIDEICOMISO F/2112388-1"/>
    <x v="16"/>
    <s v="NORMAL"/>
    <s v="MXN"/>
    <n v="61500"/>
    <n v="8.2580650000000002"/>
    <n v="507870.9975"/>
    <n v="8.2501711100000001"/>
    <n v="485.47423500000002"/>
    <n v="0"/>
    <n v="0"/>
    <n v="0"/>
    <n v="0"/>
    <n v="61500"/>
    <n v="507870.9975"/>
    <s v="EPER"/>
    <n v="7414000005"/>
  </r>
  <r>
    <x v="254"/>
    <s v="BANCO SANTANDER (MEXICO) FIDEICOMISO F/2112388-1"/>
    <x v="26"/>
    <s v="NORMAL"/>
    <s v="MXN"/>
    <n v="3250"/>
    <n v="98.730349000000004"/>
    <n v="320873.63425"/>
    <n v="111.89286593999999"/>
    <n v="-42778.180054999997"/>
    <n v="0"/>
    <n v="0"/>
    <n v="0"/>
    <n v="0"/>
    <n v="3250"/>
    <n v="320873.63425"/>
    <s v="EPER"/>
    <n v="7414000005"/>
  </r>
  <r>
    <x v="254"/>
    <s v="BANCO SANTANDER (MEXICO) FIDEICOMISO F/2112388-1"/>
    <x v="67"/>
    <s v="NORMAL"/>
    <s v="MXN"/>
    <n v="1390"/>
    <n v="99.247497999999993"/>
    <n v="137954.02222000001"/>
    <n v="225.00392571129495"/>
    <n v="450709.47895870003"/>
    <n v="0"/>
    <n v="0"/>
    <n v="0"/>
    <n v="0"/>
    <n v="1390"/>
    <n v="137954.02222000001"/>
    <s v="EPER"/>
    <n v="7414000005"/>
  </r>
  <r>
    <x v="254"/>
    <s v="BANCO SANTANDER (MEXICO) FIDEICOMISO F/2112388-1"/>
    <x v="27"/>
    <s v="NORMAL"/>
    <s v="MXN"/>
    <n v="2360"/>
    <n v="94.973146999999997"/>
    <n v="224136.62692000001"/>
    <n v="89.85155469"/>
    <n v="12086.9578516"/>
    <n v="0"/>
    <n v="0"/>
    <n v="0"/>
    <n v="0"/>
    <n v="2360"/>
    <n v="224136.62692000001"/>
    <s v="EPER"/>
    <n v="7414000005"/>
  </r>
  <r>
    <x v="254"/>
    <s v="BANCO SANTANDER (MEXICO) FIDEICOMISO F/2112388-1"/>
    <x v="28"/>
    <s v="NORMAL"/>
    <s v="MXN"/>
    <n v="610"/>
    <n v="91.911821000000003"/>
    <n v="56066.210809999997"/>
    <n v="97.816962799999999"/>
    <n v="-3602.1364979999998"/>
    <n v="0"/>
    <n v="0"/>
    <n v="0"/>
    <n v="0"/>
    <n v="610"/>
    <n v="56066.210809999997"/>
    <s v="EPER"/>
    <n v="7414000005"/>
  </r>
  <r>
    <x v="254"/>
    <s v="BANCO SANTANDER (MEXICO) FIDEICOMISO F/2112388-1"/>
    <x v="30"/>
    <s v="NORMAL"/>
    <s v="MXN"/>
    <n v="3398"/>
    <n v="88.698122999999995"/>
    <n v="301396.22195400001"/>
    <n v="85.347607287504417"/>
    <n v="11385.05239106"/>
    <n v="0"/>
    <n v="0"/>
    <n v="0"/>
    <n v="0"/>
    <n v="3398"/>
    <n v="301396.22195400001"/>
    <s v="EPER"/>
    <n v="7414000005"/>
  </r>
  <r>
    <x v="254"/>
    <s v="BANCO SANTANDER (MEXICO) FIDEICOMISO F/2112388-1"/>
    <x v="31"/>
    <s v="NORMAL"/>
    <s v="MXN"/>
    <n v="14130"/>
    <n v="93.314192000000006"/>
    <n v="1318529.53296"/>
    <n v="92.227958081408346"/>
    <n v="15348.485269700001"/>
    <n v="0"/>
    <n v="0"/>
    <n v="0"/>
    <n v="0"/>
    <n v="14130"/>
    <n v="1318529.53296"/>
    <s v="EPER"/>
    <n v="7414000005"/>
  </r>
  <r>
    <x v="254"/>
    <s v="BANCO SANTANDER (MEXICO) FIDEICOMISO F/2112388-1"/>
    <x v="33"/>
    <s v="NORMAL"/>
    <s v="MXN"/>
    <n v="23720"/>
    <n v="94.870157000000006"/>
    <n v="2250320.1240400001"/>
    <n v="97.111679589198985"/>
    <n v="-53168.915815799999"/>
    <n v="0"/>
    <n v="0"/>
    <n v="0"/>
    <n v="0"/>
    <n v="23720"/>
    <n v="2250320.1240400001"/>
    <s v="EPER"/>
    <n v="7414000005"/>
  </r>
  <r>
    <x v="254"/>
    <s v="BANCO SANTANDER (MEXICO) FIDEICOMISO F/2112388-1"/>
    <x v="34"/>
    <s v="NORMAL"/>
    <s v="MXN"/>
    <n v="10888"/>
    <n v="89.489464999999996"/>
    <n v="974361.29492000001"/>
    <n v="62.718103157716754"/>
    <n v="291486.58773878001"/>
    <n v="0"/>
    <n v="0"/>
    <n v="0"/>
    <n v="0"/>
    <n v="10888"/>
    <n v="974361.29492000001"/>
    <s v="EPER"/>
    <n v="7414000005"/>
  </r>
  <r>
    <x v="254"/>
    <s v="BANCO SANTANDER (MEXICO) FIDEICOMISO F/2112388-1"/>
    <x v="35"/>
    <s v="NORMAL"/>
    <s v="MXN"/>
    <n v="23180"/>
    <n v="86.197128000000006"/>
    <n v="1998049.42704"/>
    <n v="89.727333718563415"/>
    <n v="-81830.168556300006"/>
    <n v="0"/>
    <n v="0"/>
    <n v="0"/>
    <n v="0"/>
    <n v="23180"/>
    <n v="1998049.42704"/>
    <s v="EPER"/>
    <n v="7414000005"/>
  </r>
  <r>
    <x v="254"/>
    <s v="BANCO SANTANDER (MEXICO) FIDEICOMISO F/2112388-1"/>
    <x v="36"/>
    <s v="NORMAL"/>
    <s v="MXN"/>
    <n v="16135"/>
    <n v="86.469353999999996"/>
    <n v="1395183.02679"/>
    <n v="90.225169450533002"/>
    <n v="-60600.082294350002"/>
    <n v="0"/>
    <n v="0"/>
    <n v="0"/>
    <n v="0"/>
    <n v="16135"/>
    <n v="1395183.02679"/>
    <s v="EPER"/>
    <n v="7414000005"/>
  </r>
  <r>
    <x v="254"/>
    <s v="BANCO SANTANDER (MEXICO) FIDEICOMISO F/2112388-1"/>
    <x v="68"/>
    <s v="NORMAL"/>
    <s v="MXN"/>
    <n v="360"/>
    <n v="89.643172000000007"/>
    <n v="32271.54192"/>
    <n v="108.47711812999999"/>
    <n v="-6780.2206067999996"/>
    <n v="0"/>
    <n v="0"/>
    <n v="0"/>
    <n v="0"/>
    <n v="360"/>
    <n v="32271.54192"/>
    <s v="EPER"/>
    <n v="7414000005"/>
  </r>
  <r>
    <x v="254"/>
    <s v="BANCO SANTANDER (MEXICO) FIDEICOMISO F/2112388-1"/>
    <x v="37"/>
    <s v="NORMAL"/>
    <s v="MXN"/>
    <n v="16756"/>
    <n v="81.738860000000003"/>
    <n v="1369616.33816"/>
    <n v="86.375239870520417"/>
    <n v="-77687.181110439997"/>
    <n v="0"/>
    <n v="0"/>
    <n v="0"/>
    <n v="0"/>
    <n v="16756"/>
    <n v="1369616.33816"/>
    <s v="EPER"/>
    <n v="7414000005"/>
  </r>
  <r>
    <x v="254"/>
    <s v="BANCO SANTANDER (MEXICO) FIDEICOMISO F/2112388-1"/>
    <x v="38"/>
    <s v="NORMAL"/>
    <s v="MXN"/>
    <n v="1410"/>
    <n v="83.200761"/>
    <n v="117313.07300999999"/>
    <n v="91.920784408297877"/>
    <n v="-12295.2330057"/>
    <n v="0"/>
    <n v="0"/>
    <n v="0"/>
    <n v="0"/>
    <n v="1410"/>
    <n v="117313.07300999999"/>
    <s v="EPER"/>
    <n v="7414000005"/>
  </r>
  <r>
    <x v="254"/>
    <s v="BANCO SANTANDER (MEXICO) FIDEICOMISO F/2112388-1"/>
    <x v="39"/>
    <s v="NORMAL"/>
    <s v="MXN"/>
    <n v="4893"/>
    <n v="82.159907000000004"/>
    <n v="402008.42495100002"/>
    <n v="86.420874420000004"/>
    <n v="-20848.91358606"/>
    <n v="0"/>
    <n v="0"/>
    <n v="0"/>
    <n v="0"/>
    <n v="4893"/>
    <n v="402008.42495100002"/>
    <s v="EPER"/>
    <n v="7414000005"/>
  </r>
  <r>
    <x v="254"/>
    <s v="BANCO SANTANDER (MEXICO) FIDEICOMISO F/2112388-1"/>
    <x v="0"/>
    <s v="NORMAL"/>
    <s v="MXN"/>
    <n v="29050"/>
    <n v="3.3967719999999999"/>
    <n v="98676.226599999995"/>
    <n v="3.3645807228915663"/>
    <n v="935.15660000000003"/>
    <n v="0"/>
    <n v="0"/>
    <n v="0"/>
    <n v="0"/>
    <n v="29050"/>
    <n v="98676.226599999995"/>
    <s v="EPER"/>
    <n v="7414000005"/>
  </r>
  <r>
    <x v="254"/>
    <s v="BANCO SANTANDER (MEXICO) FIDEICOMISO F/2112388-1"/>
    <x v="51"/>
    <s v="NORMAL"/>
    <s v="MXN"/>
    <n v="1625"/>
    <n v="775.69178699999998"/>
    <n v="1260499.1538750001"/>
    <n v="766.69784126000002"/>
    <n v="14615.1618275"/>
    <n v="0"/>
    <n v="0"/>
    <n v="0"/>
    <n v="0"/>
    <n v="1625"/>
    <n v="1260499.1538750001"/>
    <s v="EPER"/>
    <n v="7414000005"/>
  </r>
  <r>
    <x v="254"/>
    <s v="BANCO SANTANDER (MEXICO) FIDEICOMISO F/2112388-1"/>
    <x v="52"/>
    <s v="NORMAL"/>
    <s v="MXN"/>
    <n v="1995"/>
    <n v="747.17843200000004"/>
    <n v="1490620.97184"/>
    <n v="724.09524604962405"/>
    <n v="46050.955971000003"/>
    <n v="0"/>
    <n v="0"/>
    <n v="0"/>
    <n v="0"/>
    <n v="1995"/>
    <n v="1490620.97184"/>
    <s v="EPER"/>
    <n v="7414000005"/>
  </r>
  <r>
    <x v="254"/>
    <s v="BANCO SANTANDER (MEXICO) FIDEICOMISO F/2112388-1"/>
    <x v="54"/>
    <s v="NORMAL"/>
    <s v="MXN"/>
    <n v="1821"/>
    <n v="684.88915799999995"/>
    <n v="1247183.1567180001"/>
    <n v="674.98000248940696"/>
    <n v="18044.572184789999"/>
    <n v="0"/>
    <n v="0"/>
    <n v="0"/>
    <n v="0"/>
    <n v="1821"/>
    <n v="1247183.1567180001"/>
    <s v="EPER"/>
    <n v="7414000005"/>
  </r>
  <r>
    <x v="254"/>
    <s v="BANCO SANTANDER (MEXICO) FIDEICOMISO F/2112388-1"/>
    <x v="55"/>
    <s v="NORMAL"/>
    <s v="MXN"/>
    <n v="1689"/>
    <n v="772.926965"/>
    <n v="1305473.6438849999"/>
    <n v="803.54136684371224"/>
    <n v="-51707.724714030002"/>
    <n v="0"/>
    <n v="0"/>
    <n v="0"/>
    <n v="0"/>
    <n v="1689"/>
    <n v="1305473.6438849999"/>
    <s v="EPER"/>
    <n v="7414000005"/>
  </r>
  <r>
    <x v="254"/>
    <s v="BANCO SANTANDER (MEXICO) FIDEICOMISO F/2112388-1"/>
    <x v="56"/>
    <s v="NORMAL"/>
    <s v="MXN"/>
    <n v="1521"/>
    <n v="721.59464000000003"/>
    <n v="1097545.44744"/>
    <n v="780.7923593813149"/>
    <n v="-90039.731178980001"/>
    <n v="0"/>
    <n v="0"/>
    <n v="0"/>
    <n v="0"/>
    <n v="1521"/>
    <n v="1097545.44744"/>
    <s v="EPER"/>
    <n v="7414000005"/>
  </r>
  <r>
    <x v="254"/>
    <s v="BANCO SANTANDER (MEXICO) FIDEICOMISO F/2112388-1"/>
    <x v="57"/>
    <s v="NORMAL"/>
    <s v="MXN"/>
    <n v="508"/>
    <n v="635.96311900000001"/>
    <n v="323069.26445199997"/>
    <n v="647.93802047999998"/>
    <n v="-6083.24995184"/>
    <n v="0"/>
    <n v="0"/>
    <n v="0"/>
    <n v="0"/>
    <n v="508"/>
    <n v="323069.26445199997"/>
    <s v="EPER"/>
    <n v="7414000005"/>
  </r>
  <r>
    <x v="254"/>
    <s v="BANCO SANTANDER (MEXICO) FIDEICOMISO F/2112388-1"/>
    <x v="58"/>
    <s v="NORMAL"/>
    <s v="MXN"/>
    <n v="127"/>
    <n v="709.36974099999998"/>
    <n v="90089.957106999995"/>
    <n v="738.26600040000005"/>
    <n v="-3669.8249437999998"/>
    <n v="0"/>
    <n v="0"/>
    <n v="0"/>
    <n v="0"/>
    <n v="127"/>
    <n v="90089.957106999995"/>
    <s v="EPER"/>
    <n v="7414000005"/>
  </r>
  <r>
    <x v="254"/>
    <s v="BANCO SANTANDER (MEXICO) FIDEICOMISO F/2112388-1"/>
    <x v="59"/>
    <s v="NORMAL"/>
    <s v="MXN"/>
    <n v="1790"/>
    <n v="694.41118700000004"/>
    <n v="1242996.0247299999"/>
    <n v="722.06277493048049"/>
    <n v="-49496.342395560001"/>
    <n v="0"/>
    <n v="0"/>
    <n v="0"/>
    <n v="0"/>
    <n v="1790"/>
    <n v="1242996.0247299999"/>
    <s v="EPER"/>
    <n v="7414000005"/>
  </r>
  <r>
    <x v="255"/>
    <s v="BANCO SANTANDER (MEXICO) FIDEICOMISO F/211238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1"/>
    <s v="SERV.CORP.SAUZA,SA DE CV (F.P.BENEFICIO DEFINIDO )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2"/>
    <s v="BANCO SANTANDER (MEXICO) FIDEICOMISO F/2000712-1"/>
    <x v="75"/>
    <s v="NORMAL"/>
    <s v="MXN"/>
    <n v="668079"/>
    <n v="3.612981"/>
    <n v="2413756.7334989998"/>
    <n v="3.6023749885866789"/>
    <n v="7085.653499"/>
    <n v="0"/>
    <n v="0"/>
    <n v="0"/>
    <n v="0"/>
    <n v="668079"/>
    <n v="2413756.7334989998"/>
    <s v="EPER"/>
    <n v="7414000005"/>
  </r>
  <r>
    <x v="262"/>
    <s v="BANCO SANTANDER (MEXICO) FIDEICOMISO F/2000712-1"/>
    <x v="76"/>
    <s v="NORMAL"/>
    <s v="MXN"/>
    <n v="3853660"/>
    <n v="137.04691399999999"/>
    <n v="528132210.60523999"/>
    <n v="117.20955695364925"/>
    <n v="76446429.355240002"/>
    <n v="0"/>
    <n v="0"/>
    <n v="0"/>
    <n v="0"/>
    <n v="3853660"/>
    <n v="528132210.60523999"/>
    <s v="EPER"/>
    <n v="7414000005"/>
  </r>
  <r>
    <x v="263"/>
    <s v="BANCO SANTANDER (MEXICO) FIDEICOMISO F/2000713-1"/>
    <x v="76"/>
    <s v="NORMAL"/>
    <s v="MXN"/>
    <n v="11235729"/>
    <n v="137.04691399999999"/>
    <n v="1539821985.9903059"/>
    <n v="95.653063462103788"/>
    <n v="465090086.91030598"/>
    <n v="0"/>
    <n v="0"/>
    <n v="0"/>
    <n v="0"/>
    <n v="11235729"/>
    <n v="1539821985.9903059"/>
    <s v="EPER"/>
    <n v="7414000005"/>
  </r>
  <r>
    <x v="264"/>
    <s v="BANCO SANTANDER (MEXICO) FIDEICOMISO F/2000711-1"/>
    <x v="4"/>
    <s v="NORMAL"/>
    <s v="MXN"/>
    <n v="15500"/>
    <n v="168.64"/>
    <n v="2613920"/>
    <n v="170.82553999999999"/>
    <n v="-33875.870000000003"/>
    <n v="0"/>
    <n v="0"/>
    <n v="0"/>
    <n v="0"/>
    <n v="15500"/>
    <n v="2613920"/>
    <s v="EPER"/>
    <n v="7414000005"/>
  </r>
  <r>
    <x v="264"/>
    <s v="BANCO SANTANDER (MEXICO) FIDEICOMISO F/2000711-1"/>
    <x v="6"/>
    <s v="NORMAL"/>
    <s v="MXN"/>
    <n v="80000"/>
    <n v="12.48"/>
    <n v="998400"/>
    <n v="11.544299867499999"/>
    <n v="74856.010599999994"/>
    <n v="0"/>
    <n v="0"/>
    <n v="0"/>
    <n v="0"/>
    <n v="80000"/>
    <n v="998400"/>
    <s v="EPER"/>
    <n v="7414000005"/>
  </r>
  <r>
    <x v="264"/>
    <s v="BANCO SANTANDER (MEXICO) FIDEICOMISO F/2000711-1"/>
    <x v="187"/>
    <s v="NORMAL"/>
    <s v="MXN"/>
    <n v="33657"/>
    <n v="11.86"/>
    <n v="399172.02"/>
    <n v="12.731641560448049"/>
    <n v="-29336.84"/>
    <n v="0"/>
    <n v="0"/>
    <n v="0"/>
    <n v="0"/>
    <n v="33657"/>
    <n v="399172.02"/>
    <s v="EPER"/>
    <n v="7414000005"/>
  </r>
  <r>
    <x v="264"/>
    <s v="BANCO SANTANDER (MEXICO) FIDEICOMISO F/2000711-1"/>
    <x v="7"/>
    <s v="NORMAL"/>
    <s v="MXN"/>
    <n v="30000"/>
    <n v="73.37"/>
    <n v="2201100"/>
    <n v="59.822946999999999"/>
    <n v="406411.59"/>
    <n v="0"/>
    <n v="0"/>
    <n v="0"/>
    <n v="0"/>
    <n v="30000"/>
    <n v="2201100"/>
    <s v="EPER"/>
    <n v="7414000005"/>
  </r>
  <r>
    <x v="264"/>
    <s v="BANCO SANTANDER (MEXICO) FIDEICOMISO F/2000711-1"/>
    <x v="10"/>
    <s v="NORMAL"/>
    <s v="MXN"/>
    <n v="543000"/>
    <n v="15.12"/>
    <n v="8210160"/>
    <n v="16.445542259300183"/>
    <n v="-719769.44680000003"/>
    <n v="0"/>
    <n v="0"/>
    <n v="0"/>
    <n v="0"/>
    <n v="543000"/>
    <n v="8210160"/>
    <s v="EPER"/>
    <n v="7414000005"/>
  </r>
  <r>
    <x v="264"/>
    <s v="BANCO SANTANDER (MEXICO) FIDEICOMISO F/2000711-1"/>
    <x v="11"/>
    <s v="NORMAL"/>
    <s v="MXN"/>
    <n v="8200"/>
    <n v="525.09"/>
    <n v="4305738"/>
    <n v="505.66193902439022"/>
    <n v="159310.1"/>
    <n v="0"/>
    <n v="0"/>
    <n v="0"/>
    <n v="0"/>
    <n v="8200"/>
    <n v="4305738"/>
    <s v="EPER"/>
    <n v="7414000005"/>
  </r>
  <r>
    <x v="264"/>
    <s v="BANCO SANTANDER (MEXICO) FIDEICOMISO F/2000711-1"/>
    <x v="12"/>
    <s v="NORMAL"/>
    <s v="MXN"/>
    <n v="28700"/>
    <n v="68.25"/>
    <n v="1958775"/>
    <n v="77.533172125435541"/>
    <n v="-266427.03999999998"/>
    <n v="0"/>
    <n v="0"/>
    <n v="0"/>
    <n v="0"/>
    <n v="28700"/>
    <n v="1958775"/>
    <s v="EPER"/>
    <n v="7414000005"/>
  </r>
  <r>
    <x v="264"/>
    <s v="BANCO SANTANDER (MEXICO) FIDEICOMISO F/2000711-1"/>
    <x v="14"/>
    <s v="NORMAL"/>
    <s v="MXN"/>
    <n v="620000"/>
    <n v="14.33"/>
    <n v="8884600"/>
    <n v="10.717748806451613"/>
    <n v="2239595.7400000002"/>
    <n v="0"/>
    <n v="0"/>
    <n v="0"/>
    <n v="0"/>
    <n v="620000"/>
    <n v="8884600"/>
    <s v="EPER"/>
    <n v="7414000005"/>
  </r>
  <r>
    <x v="264"/>
    <s v="BANCO SANTANDER (MEXICO) FIDEICOMISO F/2000711-1"/>
    <x v="220"/>
    <s v="NORMAL"/>
    <s v="MXN"/>
    <n v="6300"/>
    <n v="124.49"/>
    <n v="784287"/>
    <n v="131.39971587301588"/>
    <n v="-43531.21"/>
    <n v="0"/>
    <n v="0"/>
    <n v="0"/>
    <n v="0"/>
    <n v="6300"/>
    <n v="784287"/>
    <s v="EPER"/>
    <n v="7414000005"/>
  </r>
  <r>
    <x v="264"/>
    <s v="BANCO SANTANDER (MEXICO) FIDEICOMISO F/2000711-1"/>
    <x v="221"/>
    <s v="NORMAL"/>
    <s v="MXN"/>
    <n v="213000"/>
    <n v="20.11"/>
    <n v="4283430"/>
    <n v="25.833747323943662"/>
    <n v="-1219158.18"/>
    <n v="0"/>
    <n v="0"/>
    <n v="0"/>
    <n v="0"/>
    <n v="213000"/>
    <n v="4283430"/>
    <s v="EPER"/>
    <n v="7414000005"/>
  </r>
  <r>
    <x v="264"/>
    <s v="BANCO SANTANDER (MEXICO) FIDEICOMISO F/2000711-1"/>
    <x v="222"/>
    <s v="NORMAL"/>
    <s v="MXN"/>
    <n v="29629"/>
    <n v="55"/>
    <n v="1629595"/>
    <n v="20"/>
    <n v="1037015"/>
    <n v="0"/>
    <n v="0"/>
    <n v="0"/>
    <n v="0"/>
    <n v="29629"/>
    <n v="1629595"/>
    <s v="EPER"/>
    <n v="7414000005"/>
  </r>
  <r>
    <x v="264"/>
    <s v="BANCO SANTANDER (MEXICO) FIDEICOMISO F/2000711-1"/>
    <x v="17"/>
    <s v="NORMAL"/>
    <s v="MXN"/>
    <n v="8140"/>
    <n v="675.38"/>
    <n v="5497593.2000000002"/>
    <n v="837.4808353808354"/>
    <n v="-1319500.8"/>
    <n v="0"/>
    <n v="0"/>
    <n v="0"/>
    <n v="0"/>
    <n v="8140"/>
    <n v="5497593.2000000002"/>
    <s v="EPER"/>
    <n v="7414000005"/>
  </r>
  <r>
    <x v="264"/>
    <s v="BANCO SANTANDER (MEXICO) FIDEICOMISO F/2000711-1"/>
    <x v="66"/>
    <s v="NORMAL"/>
    <s v="MXN"/>
    <n v="0"/>
    <n v="0"/>
    <n v="44802929.479999997"/>
    <n v="0"/>
    <n v="0"/>
    <n v="0"/>
    <n v="0"/>
    <n v="0"/>
    <n v="0"/>
    <n v="0"/>
    <n v="44802929.479999997"/>
    <s v="EPER"/>
    <n v="7414000005"/>
  </r>
  <r>
    <x v="264"/>
    <s v="BANCO SANTANDER (MEXICO) FIDEICOMISO F/2000711-1"/>
    <x v="18"/>
    <s v="NORMAL"/>
    <s v="MXN"/>
    <n v="1930"/>
    <n v="700.65"/>
    <n v="1352254.5"/>
    <n v="774.49088082901551"/>
    <n v="-142512.9"/>
    <n v="0"/>
    <n v="0"/>
    <n v="0"/>
    <n v="0"/>
    <n v="1930"/>
    <n v="1352254.5"/>
    <s v="EPER"/>
    <n v="7414000005"/>
  </r>
  <r>
    <x v="264"/>
    <s v="BANCO SANTANDER (MEXICO) FIDEICOMISO F/2000711-1"/>
    <x v="19"/>
    <s v="NORMAL"/>
    <s v="MXN"/>
    <n v="2670"/>
    <n v="1151"/>
    <n v="3073170"/>
    <n v="1073.7219101123596"/>
    <n v="206332.5"/>
    <n v="0"/>
    <n v="0"/>
    <n v="0"/>
    <n v="0"/>
    <n v="2670"/>
    <n v="3073170"/>
    <s v="EPER"/>
    <n v="7414000005"/>
  </r>
  <r>
    <x v="264"/>
    <s v="BANCO SANTANDER (MEXICO) FIDEICOMISO F/2000711-1"/>
    <x v="20"/>
    <s v="NORMAL"/>
    <s v="MXN"/>
    <n v="48800"/>
    <n v="207.81"/>
    <n v="10141128"/>
    <n v="164.2448868852459"/>
    <n v="2125977.52"/>
    <n v="0"/>
    <n v="0"/>
    <n v="0"/>
    <n v="0"/>
    <n v="48800"/>
    <n v="10141128"/>
    <s v="EPER"/>
    <n v="7414000005"/>
  </r>
  <r>
    <x v="264"/>
    <s v="BANCO SANTANDER (MEXICO) FIDEICOMISO F/2000711-1"/>
    <x v="223"/>
    <s v="NORMAL"/>
    <s v="MXN"/>
    <n v="2790"/>
    <n v="838.1"/>
    <n v="2338299"/>
    <n v="632.7621505376344"/>
    <n v="572892.6"/>
    <n v="0"/>
    <n v="0"/>
    <n v="0"/>
    <n v="0"/>
    <n v="2790"/>
    <n v="2338299"/>
    <s v="EPER"/>
    <n v="7414000005"/>
  </r>
  <r>
    <x v="264"/>
    <s v="BANCO SANTANDER (MEXICO) FIDEICOMISO F/2000711-1"/>
    <x v="224"/>
    <s v="NORMAL"/>
    <s v="MXN"/>
    <n v="21901"/>
    <n v="293.147626"/>
    <n v="6420226.1570260003"/>
    <n v="575.54750000000001"/>
    <n v="-6184839.640474"/>
    <n v="0"/>
    <n v="0"/>
    <n v="0"/>
    <n v="0"/>
    <n v="21901"/>
    <n v="6420226.1570260003"/>
    <s v="EPER"/>
    <n v="7414000005"/>
  </r>
  <r>
    <x v="264"/>
    <s v="BANCO SANTANDER (MEXICO) FIDEICOMISO F/2000711-1"/>
    <x v="194"/>
    <s v="NORMAL"/>
    <s v="MXN"/>
    <n v="223079"/>
    <n v="30.9"/>
    <n v="6893141.0999999996"/>
    <n v="22.913386511056622"/>
    <n v="1781645.7505000001"/>
    <n v="0"/>
    <n v="0"/>
    <n v="0"/>
    <n v="0"/>
    <n v="223079"/>
    <n v="6893141.0999999996"/>
    <s v="EPER"/>
    <n v="7414000005"/>
  </r>
  <r>
    <x v="264"/>
    <s v="BANCO SANTANDER (MEXICO) FIDEICOMISO F/2000711-1"/>
    <x v="195"/>
    <s v="NORMAL"/>
    <s v="MXN"/>
    <n v="151410"/>
    <n v="68.83"/>
    <n v="10421550.300000001"/>
    <n v="44.799007720758205"/>
    <n v="3638532.5410000002"/>
    <n v="0"/>
    <n v="0"/>
    <n v="0"/>
    <n v="0"/>
    <n v="151410"/>
    <n v="10421550.300000001"/>
    <s v="EPER"/>
    <n v="7414000005"/>
  </r>
  <r>
    <x v="264"/>
    <s v="BANCO SANTANDER (MEXICO) FIDEICOMISO F/2000711-1"/>
    <x v="225"/>
    <s v="NORMAL"/>
    <s v="MXN"/>
    <n v="2648"/>
    <n v="958"/>
    <n v="2536784"/>
    <n v="1000"/>
    <n v="-111216"/>
    <n v="0"/>
    <n v="0"/>
    <n v="0"/>
    <n v="0"/>
    <n v="2648"/>
    <n v="2536784"/>
    <s v="EPER"/>
    <n v="7414000005"/>
  </r>
  <r>
    <x v="264"/>
    <s v="BANCO SANTANDER (MEXICO) FIDEICOMISO F/2000711-1"/>
    <x v="226"/>
    <s v="NORMAL"/>
    <s v="MXN"/>
    <n v="350000"/>
    <n v="26.59"/>
    <n v="9306500"/>
    <n v="24.139288028571428"/>
    <n v="857749.19"/>
    <n v="0"/>
    <n v="0"/>
    <n v="0"/>
    <n v="0"/>
    <n v="350000"/>
    <n v="9306500"/>
    <s v="EPER"/>
    <n v="7414000005"/>
  </r>
  <r>
    <x v="264"/>
    <s v="BANCO SANTANDER (MEXICO) FIDEICOMISO F/2000711-1"/>
    <x v="227"/>
    <s v="NORMAL"/>
    <s v="MXN"/>
    <n v="126663"/>
    <n v="24.456977999999999"/>
    <n v="3097794.2044139998"/>
    <n v="0"/>
    <n v="3097794.2044139998"/>
    <n v="0"/>
    <n v="0"/>
    <n v="0"/>
    <n v="0"/>
    <n v="126663"/>
    <n v="3097794.2044139998"/>
    <s v="EPER"/>
    <n v="7414000005"/>
  </r>
  <r>
    <x v="264"/>
    <s v="BANCO SANTANDER (MEXICO) FIDEICOMISO F/2000711-1"/>
    <x v="21"/>
    <s v="NORMAL"/>
    <s v="MXN"/>
    <n v="3200"/>
    <n v="271.94"/>
    <n v="870208"/>
    <n v="298.36692812500002"/>
    <n v="-84566.17"/>
    <n v="0"/>
    <n v="0"/>
    <n v="0"/>
    <n v="0"/>
    <n v="3200"/>
    <n v="870208"/>
    <s v="EPER"/>
    <n v="7414000005"/>
  </r>
  <r>
    <x v="264"/>
    <s v="BANCO SANTANDER (MEXICO) FIDEICOMISO F/2000711-1"/>
    <x v="22"/>
    <s v="NORMAL"/>
    <s v="MXN"/>
    <n v="15600"/>
    <n v="193.15"/>
    <n v="3013140"/>
    <n v="162.74262371794873"/>
    <n v="474355.07"/>
    <n v="0"/>
    <n v="0"/>
    <n v="0"/>
    <n v="0"/>
    <n v="15600"/>
    <n v="3013140"/>
    <s v="EPER"/>
    <n v="7414000005"/>
  </r>
  <r>
    <x v="264"/>
    <s v="BANCO SANTANDER (MEXICO) FIDEICOMISO F/2000711-1"/>
    <x v="23"/>
    <s v="NORMAL"/>
    <s v="MXN"/>
    <n v="105000"/>
    <n v="27.12"/>
    <n v="2847600"/>
    <n v="22.78933"/>
    <n v="454720.35"/>
    <n v="0"/>
    <n v="0"/>
    <n v="0"/>
    <n v="0"/>
    <n v="105000"/>
    <n v="2847600"/>
    <s v="EPER"/>
    <n v="7414000005"/>
  </r>
  <r>
    <x v="264"/>
    <s v="BANCO SANTANDER (MEXICO) FIDEICOMISO F/2000711-1"/>
    <x v="24"/>
    <s v="NORMAL"/>
    <s v="MXN"/>
    <n v="79700"/>
    <n v="176.44"/>
    <n v="14062268"/>
    <n v="148.7169486825596"/>
    <n v="2209527.19"/>
    <n v="0"/>
    <n v="0"/>
    <n v="0"/>
    <n v="0"/>
    <n v="79700"/>
    <n v="14062268"/>
    <s v="EPER"/>
    <n v="7414000005"/>
  </r>
  <r>
    <x v="264"/>
    <s v="BANCO SANTANDER (MEXICO) FIDEICOMISO F/2000711-1"/>
    <x v="25"/>
    <s v="NORMAL"/>
    <s v="MXN"/>
    <n v="90000"/>
    <n v="104.12"/>
    <n v="9370800"/>
    <n v="84.655938000000006"/>
    <n v="1751765.58"/>
    <n v="0"/>
    <n v="0"/>
    <n v="0"/>
    <n v="0"/>
    <n v="90000"/>
    <n v="9370800"/>
    <s v="EPER"/>
    <n v="7414000005"/>
  </r>
  <r>
    <x v="264"/>
    <s v="BANCO SANTANDER (MEXICO) FIDEICOMISO F/2000711-1"/>
    <x v="35"/>
    <s v="NORMAL"/>
    <s v="MXN"/>
    <n v="3631"/>
    <n v="86.197128000000006"/>
    <n v="312981.77176799998"/>
    <n v="90.513099729999993"/>
    <n v="-15671.29335163"/>
    <n v="0"/>
    <n v="0"/>
    <n v="0"/>
    <n v="0"/>
    <n v="3631"/>
    <n v="312981.77176799998"/>
    <s v="EPER"/>
    <n v="7414000005"/>
  </r>
  <r>
    <x v="264"/>
    <s v="BANCO SANTANDER (MEXICO) FIDEICOMISO F/2000711-1"/>
    <x v="36"/>
    <s v="NORMAL"/>
    <s v="MXN"/>
    <n v="1043412"/>
    <n v="86.469353999999996"/>
    <n v="90223161.595847994"/>
    <n v="93.062941122302945"/>
    <n v="-6879827.9264563601"/>
    <n v="0"/>
    <n v="0"/>
    <n v="0"/>
    <n v="0"/>
    <n v="1043412"/>
    <n v="90223161.595847994"/>
    <s v="EPER"/>
    <n v="7414000005"/>
  </r>
  <r>
    <x v="264"/>
    <s v="BANCO SANTANDER (MEXICO) FIDEICOMISO F/2000711-1"/>
    <x v="81"/>
    <s v="NORMAL"/>
    <s v="MXN"/>
    <n v="604560"/>
    <n v="101.45096599999999"/>
    <n v="61333196.004960001"/>
    <n v="106.69030219649861"/>
    <n v="-3167493.0909552001"/>
    <n v="0"/>
    <n v="0"/>
    <n v="0"/>
    <n v="0"/>
    <n v="604560"/>
    <n v="61333196.004960001"/>
    <s v="EPER"/>
    <n v="7414000005"/>
  </r>
  <r>
    <x v="264"/>
    <s v="BANCO SANTANDER (MEXICO) FIDEICOMISO F/2000711-1"/>
    <x v="68"/>
    <s v="NORMAL"/>
    <s v="MXN"/>
    <n v="1454000"/>
    <n v="89.643172000000007"/>
    <n v="130341172.088"/>
    <n v="104.54384082464924"/>
    <n v="-21665572.471039999"/>
    <n v="0"/>
    <n v="0"/>
    <n v="0"/>
    <n v="0"/>
    <n v="1454000"/>
    <n v="130341172.088"/>
    <s v="EPER"/>
    <n v="7414000005"/>
  </r>
  <r>
    <x v="264"/>
    <s v="BANCO SANTANDER (MEXICO) FIDEICOMISO F/2000711-1"/>
    <x v="37"/>
    <s v="NORMAL"/>
    <s v="MXN"/>
    <n v="2471689"/>
    <n v="81.738860000000003"/>
    <n v="202033041.13453999"/>
    <n v="84.445428765634105"/>
    <n v="-6689796.2457614001"/>
    <n v="0"/>
    <n v="0"/>
    <n v="0"/>
    <n v="0"/>
    <n v="2471689"/>
    <n v="202033041.13453999"/>
    <s v="EPER"/>
    <n v="7414000005"/>
  </r>
  <r>
    <x v="264"/>
    <s v="BANCO SANTANDER (MEXICO) FIDEICOMISO F/2000711-1"/>
    <x v="39"/>
    <s v="NORMAL"/>
    <s v="MXN"/>
    <n v="150000"/>
    <n v="82.159907000000004"/>
    <n v="12323986.050000001"/>
    <n v="84.282532649999993"/>
    <n v="-318393.84749999997"/>
    <n v="0"/>
    <n v="0"/>
    <n v="0"/>
    <n v="0"/>
    <n v="150000"/>
    <n v="12323986.050000001"/>
    <s v="EPER"/>
    <n v="7414000005"/>
  </r>
  <r>
    <x v="264"/>
    <s v="BANCO SANTANDER (MEXICO) FIDEICOMISO F/2000711-1"/>
    <x v="40"/>
    <s v="NORMAL"/>
    <s v="MXN"/>
    <n v="10700"/>
    <n v="314.42"/>
    <n v="3364294"/>
    <n v="282.21611121495329"/>
    <n v="344581.61"/>
    <n v="0"/>
    <n v="0"/>
    <n v="0"/>
    <n v="0"/>
    <n v="10700"/>
    <n v="3364294"/>
    <s v="EPER"/>
    <n v="7414000005"/>
  </r>
  <r>
    <x v="264"/>
    <s v="BANCO SANTANDER (MEXICO) FIDEICOMISO F/2000711-1"/>
    <x v="41"/>
    <s v="NORMAL"/>
    <s v="MXN"/>
    <n v="24998"/>
    <n v="43.85"/>
    <n v="1096162.3"/>
    <n v="47.334181134490763"/>
    <n v="-87097.56"/>
    <n v="0"/>
    <n v="0"/>
    <n v="0"/>
    <n v="0"/>
    <n v="24998"/>
    <n v="1096162.3"/>
    <s v="EPER"/>
    <n v="7414000005"/>
  </r>
  <r>
    <x v="264"/>
    <s v="BANCO SANTANDER (MEXICO) FIDEICOMISO F/2000711-1"/>
    <x v="228"/>
    <s v="NORMAL"/>
    <s v="MXN"/>
    <n v="1486193"/>
    <n v="100"/>
    <n v="148619300"/>
    <n v="100"/>
    <n v="0"/>
    <n v="0"/>
    <n v="0"/>
    <n v="0"/>
    <n v="0"/>
    <n v="1486193"/>
    <n v="148619300"/>
    <s v="EPER"/>
    <n v="7414000005"/>
  </r>
  <r>
    <x v="264"/>
    <s v="BANCO SANTANDER (MEXICO) FIDEICOMISO F/2000711-1"/>
    <x v="229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42"/>
    <s v="NORMAL"/>
    <s v="MXN"/>
    <n v="2560"/>
    <n v="8532.5"/>
    <n v="21843200"/>
    <n v="5139.7662109374996"/>
    <n v="8685398.5"/>
    <n v="0"/>
    <n v="0"/>
    <n v="0"/>
    <n v="0"/>
    <n v="2560"/>
    <n v="21843200"/>
    <s v="EPER"/>
    <n v="7414000005"/>
  </r>
  <r>
    <x v="264"/>
    <s v="BANCO SANTANDER (MEXICO) FIDEICOMISO F/2000711-1"/>
    <x v="43"/>
    <s v="NORMAL"/>
    <s v="MXN"/>
    <n v="6700"/>
    <n v="158.63"/>
    <n v="1062821"/>
    <n v="139.50334029850745"/>
    <n v="128148.62"/>
    <n v="0"/>
    <n v="0"/>
    <n v="0"/>
    <n v="0"/>
    <n v="6700"/>
    <n v="1062821"/>
    <s v="EPER"/>
    <n v="7414000005"/>
  </r>
  <r>
    <x v="264"/>
    <s v="BANCO SANTANDER (MEXICO) FIDEICOMISO F/2000711-1"/>
    <x v="44"/>
    <s v="NORMAL"/>
    <s v="MXN"/>
    <n v="37000"/>
    <n v="36.28"/>
    <n v="1342360"/>
    <n v="37"/>
    <n v="-26640"/>
    <n v="0"/>
    <n v="0"/>
    <n v="0"/>
    <n v="0"/>
    <n v="37000"/>
    <n v="1342360"/>
    <s v="EPER"/>
    <n v="7414000005"/>
  </r>
  <r>
    <x v="264"/>
    <s v="BANCO SANTANDER (MEXICO) FIDEICOMISO F/2000711-1"/>
    <x v="230"/>
    <s v="NORMAL"/>
    <s v="MXN"/>
    <n v="178000"/>
    <n v="5.34"/>
    <n v="950520"/>
    <n v="6.4192768539325842"/>
    <n v="-192111.28"/>
    <n v="0"/>
    <n v="0"/>
    <n v="0"/>
    <n v="0"/>
    <n v="178000"/>
    <n v="950520"/>
    <s v="EPER"/>
    <n v="7414000005"/>
  </r>
  <r>
    <x v="264"/>
    <s v="BANCO SANTANDER (MEXICO) FIDEICOMISO F/2000711-1"/>
    <x v="45"/>
    <s v="NORMAL"/>
    <s v="MXN"/>
    <n v="2000"/>
    <n v="136.35"/>
    <n v="272700"/>
    <n v="148.16526999999999"/>
    <n v="-23630.54"/>
    <n v="0"/>
    <n v="0"/>
    <n v="0"/>
    <n v="0"/>
    <n v="2000"/>
    <n v="272700"/>
    <s v="EPER"/>
    <n v="7414000005"/>
  </r>
  <r>
    <x v="264"/>
    <s v="BANCO SANTANDER (MEXICO) FIDEICOMISO F/2000711-1"/>
    <x v="48"/>
    <s v="NORMAL"/>
    <s v="MXN"/>
    <n v="11100"/>
    <n v="156"/>
    <n v="1731600"/>
    <n v="136.72613963963963"/>
    <n v="213939.85"/>
    <n v="0"/>
    <n v="0"/>
    <n v="0"/>
    <n v="0"/>
    <n v="11100"/>
    <n v="1731600"/>
    <s v="EPER"/>
    <n v="7414000005"/>
  </r>
  <r>
    <x v="264"/>
    <s v="BANCO SANTANDER (MEXICO) FIDEICOMISO F/2000711-1"/>
    <x v="231"/>
    <s v="NORMAL"/>
    <s v="MXN"/>
    <n v="1749360"/>
    <n v="293.77"/>
    <n v="513909487.19999999"/>
    <n v="157.51250899757625"/>
    <n v="238363404.46000001"/>
    <n v="0"/>
    <n v="0"/>
    <n v="0"/>
    <n v="0"/>
    <n v="1749360"/>
    <n v="513909487.19999999"/>
    <s v="EPER"/>
    <n v="7414000005"/>
  </r>
  <r>
    <x v="264"/>
    <s v="BANCO SANTANDER (MEXICO) FIDEICOMISO F/2000711-1"/>
    <x v="49"/>
    <s v="NORMAL"/>
    <s v="MXN"/>
    <n v="12480"/>
    <n v="682.55"/>
    <n v="8518224"/>
    <n v="862.97045833333334"/>
    <n v="-2251647.3199999998"/>
    <n v="0"/>
    <n v="0"/>
    <n v="0"/>
    <n v="0"/>
    <n v="12480"/>
    <n v="8518224"/>
    <s v="EPER"/>
    <n v="7414000005"/>
  </r>
  <r>
    <x v="264"/>
    <s v="BANCO SANTANDER (MEXICO) FIDEICOMISO F/2000711-1"/>
    <x v="232"/>
    <s v="NORMAL"/>
    <s v="MXN"/>
    <n v="530"/>
    <n v="8579.5"/>
    <n v="4547135"/>
    <n v="8683.8103773584899"/>
    <n v="-55284.5"/>
    <n v="0"/>
    <n v="0"/>
    <n v="0"/>
    <n v="0"/>
    <n v="530"/>
    <n v="4547135"/>
    <s v="EPER"/>
    <n v="7414000005"/>
  </r>
  <r>
    <x v="264"/>
    <s v="BANCO SANTANDER (MEXICO) FIDEICOMISO F/2000711-1"/>
    <x v="200"/>
    <s v="NORMAL"/>
    <s v="MXN"/>
    <n v="222000"/>
    <n v="42.3"/>
    <n v="9390600"/>
    <n v="28.120373513513513"/>
    <n v="3147877.08"/>
    <n v="0"/>
    <n v="0"/>
    <n v="0"/>
    <n v="0"/>
    <n v="222000"/>
    <n v="9390600"/>
    <s v="EPER"/>
    <n v="7414000005"/>
  </r>
  <r>
    <x v="264"/>
    <s v="BANCO SANTANDER (MEXICO) FIDEICOMISO F/2000711-1"/>
    <x v="233"/>
    <s v="NORMAL"/>
    <s v="MXN"/>
    <n v="37784"/>
    <n v="322.02000700000002"/>
    <n v="12167203.944488"/>
    <n v="503.09936198999998"/>
    <n v="-6841902.3489421597"/>
    <n v="0"/>
    <n v="0"/>
    <n v="0"/>
    <n v="0"/>
    <n v="37784"/>
    <n v="12167203.944488"/>
    <s v="EPER"/>
    <n v="7414000005"/>
  </r>
  <r>
    <x v="264"/>
    <s v="BANCO SANTANDER (MEXICO) FIDEICOMISO F/2000711-1"/>
    <x v="141"/>
    <s v="NORMAL"/>
    <s v="MXN"/>
    <n v="31420"/>
    <n v="256.05011500000001"/>
    <n v="8045094.6133000003"/>
    <n v="487.32003911999999"/>
    <n v="-7266501.0158503996"/>
    <n v="0"/>
    <n v="0"/>
    <n v="0"/>
    <n v="0"/>
    <n v="31420"/>
    <n v="8045094.6133000003"/>
    <s v="EPER"/>
    <n v="7414000005"/>
  </r>
  <r>
    <x v="264"/>
    <s v="BANCO SANTANDER (MEXICO) FIDEICOMISO F/2000711-1"/>
    <x v="128"/>
    <s v="NORMAL"/>
    <s v="MXN"/>
    <n v="36517"/>
    <n v="267.07593400000002"/>
    <n v="9752811.8818779998"/>
    <n v="538.83652969000002"/>
    <n v="-9923881.6728117298"/>
    <n v="0"/>
    <n v="0"/>
    <n v="0"/>
    <n v="0"/>
    <n v="36517"/>
    <n v="9752811.8818779998"/>
    <s v="EPER"/>
    <n v="7414000005"/>
  </r>
  <r>
    <x v="264"/>
    <s v="BANCO SANTANDER (MEXICO) FIDEICOMISO F/2000711-1"/>
    <x v="50"/>
    <s v="NORMAL"/>
    <s v="MXN"/>
    <n v="72000"/>
    <n v="31.41"/>
    <n v="2261520"/>
    <n v="32.375"/>
    <n v="-69480"/>
    <n v="0"/>
    <n v="0"/>
    <n v="0"/>
    <n v="0"/>
    <n v="72000"/>
    <n v="2261520"/>
    <s v="EPER"/>
    <n v="7414000005"/>
  </r>
  <r>
    <x v="264"/>
    <s v="BANCO SANTANDER (MEXICO) FIDEICOMISO F/2000711-1"/>
    <x v="53"/>
    <s v="NORMAL"/>
    <s v="MXN"/>
    <n v="43483"/>
    <n v="765.92388300000005"/>
    <n v="33304668.204489"/>
    <n v="717.65496547383918"/>
    <n v="2098877.3407900501"/>
    <n v="0"/>
    <n v="0"/>
    <n v="0"/>
    <n v="0"/>
    <n v="43483"/>
    <n v="33304668.204489"/>
    <s v="EPER"/>
    <n v="7414000005"/>
  </r>
  <r>
    <x v="264"/>
    <s v="BANCO SANTANDER (MEXICO) FIDEICOMISO F/2000711-1"/>
    <x v="54"/>
    <s v="NORMAL"/>
    <s v="MXN"/>
    <n v="95054"/>
    <n v="684.88915799999995"/>
    <n v="65101454.024531998"/>
    <n v="678.43247460614805"/>
    <n v="613733.58331919997"/>
    <n v="0"/>
    <n v="0"/>
    <n v="0"/>
    <n v="0"/>
    <n v="95054"/>
    <n v="65101454.024531998"/>
    <s v="EPER"/>
    <n v="7414000005"/>
  </r>
  <r>
    <x v="264"/>
    <s v="BANCO SANTANDER (MEXICO) FIDEICOMISO F/2000711-1"/>
    <x v="55"/>
    <s v="NORMAL"/>
    <s v="MXN"/>
    <n v="65179"/>
    <n v="772.926965"/>
    <n v="50378606.651735"/>
    <n v="764.76295260999996"/>
    <n v="532122.16356780997"/>
    <n v="0"/>
    <n v="0"/>
    <n v="0"/>
    <n v="0"/>
    <n v="65179"/>
    <n v="50378606.651735"/>
    <s v="EPER"/>
    <n v="7414000005"/>
  </r>
  <r>
    <x v="264"/>
    <s v="BANCO SANTANDER (MEXICO) FIDEICOMISO F/2000711-1"/>
    <x v="56"/>
    <s v="NORMAL"/>
    <s v="MXN"/>
    <n v="50524"/>
    <n v="721.59464000000003"/>
    <n v="36457847.591360003"/>
    <n v="708.66255697999998"/>
    <n v="653380.56250248"/>
    <n v="0"/>
    <n v="0"/>
    <n v="0"/>
    <n v="0"/>
    <n v="50524"/>
    <n v="36457847.591360003"/>
    <s v="EPER"/>
    <n v="7414000005"/>
  </r>
  <r>
    <x v="264"/>
    <s v="BANCO SANTANDER (MEXICO) FIDEICOMISO F/2000711-1"/>
    <x v="57"/>
    <s v="NORMAL"/>
    <s v="MXN"/>
    <n v="4491"/>
    <n v="635.96311900000001"/>
    <n v="2856110.3674289999"/>
    <n v="661.54398465999998"/>
    <n v="-114883.66767906"/>
    <n v="0"/>
    <n v="0"/>
    <n v="0"/>
    <n v="0"/>
    <n v="4491"/>
    <n v="2856110.3674289999"/>
    <s v="EPER"/>
    <n v="7414000005"/>
  </r>
  <r>
    <x v="264"/>
    <s v="BANCO SANTANDER (MEXICO) FIDEICOMISO F/2000711-1"/>
    <x v="58"/>
    <s v="NORMAL"/>
    <s v="MXN"/>
    <n v="62831"/>
    <n v="709.36974099999998"/>
    <n v="44570410.196771003"/>
    <n v="725.66912242720969"/>
    <n v="-1024106.43445301"/>
    <n v="0"/>
    <n v="0"/>
    <n v="0"/>
    <n v="0"/>
    <n v="62831"/>
    <n v="44570410.196771003"/>
    <s v="EPER"/>
    <n v="7414000005"/>
  </r>
  <r>
    <x v="264"/>
    <s v="BANCO SANTANDER (MEXICO) FIDEICOMISO F/2000711-1"/>
    <x v="59"/>
    <s v="NORMAL"/>
    <s v="MXN"/>
    <n v="83974"/>
    <n v="694.41118700000004"/>
    <n v="58312485.017137997"/>
    <n v="743.07193466345302"/>
    <n v="-4086237.6242908002"/>
    <n v="0"/>
    <n v="0"/>
    <n v="0"/>
    <n v="0"/>
    <n v="83974"/>
    <n v="58312485.017137997"/>
    <s v="EPER"/>
    <n v="7414000005"/>
  </r>
  <r>
    <x v="264"/>
    <s v="BANCO SANTANDER (MEXICO) FIDEICOMISO F/2000711-1"/>
    <x v="60"/>
    <s v="NORMAL"/>
    <s v="MXN"/>
    <n v="65000"/>
    <n v="58.67"/>
    <n v="3813550"/>
    <n v="44.735909076923079"/>
    <n v="905715.91"/>
    <n v="0"/>
    <n v="0"/>
    <n v="0"/>
    <n v="0"/>
    <n v="65000"/>
    <n v="3813550"/>
    <s v="EPER"/>
    <n v="7414000005"/>
  </r>
  <r>
    <x v="264"/>
    <s v="BANCO SANTANDER (MEXICO) FIDEICOMISO F/2000711-1"/>
    <x v="61"/>
    <s v="NORMAL"/>
    <s v="MXN"/>
    <n v="5130"/>
    <n v="1090"/>
    <n v="5591700"/>
    <n v="1094.6110136452241"/>
    <n v="-23654.5"/>
    <n v="0"/>
    <n v="0"/>
    <n v="0"/>
    <n v="0"/>
    <n v="5130"/>
    <n v="5591700"/>
    <s v="EPER"/>
    <n v="7414000005"/>
  </r>
  <r>
    <x v="264"/>
    <s v="BANCO SANTANDER (MEXICO) FIDEICOMISO F/2000711-1"/>
    <x v="215"/>
    <s v="NORMAL"/>
    <s v="MXN"/>
    <n v="4000"/>
    <n v="9.9999999999999995E-7"/>
    <n v="4.0000000000000001E-3"/>
    <n v="0.8"/>
    <n v="-3199.9960000000001"/>
    <n v="0"/>
    <n v="0"/>
    <n v="0"/>
    <n v="0"/>
    <n v="4000"/>
    <n v="4.0000000000000001E-3"/>
    <s v="EPER"/>
    <n v="7414000005"/>
  </r>
  <r>
    <x v="264"/>
    <s v="BANCO SANTANDER (MEXICO) FIDEICOMISO F/2000711-1"/>
    <x v="234"/>
    <s v="NORMAL"/>
    <s v="MXN"/>
    <n v="80000"/>
    <n v="12.09"/>
    <n v="967200"/>
    <n v="12.679009375"/>
    <n v="-47120.75"/>
    <n v="0"/>
    <n v="0"/>
    <n v="0"/>
    <n v="0"/>
    <n v="80000"/>
    <n v="967200"/>
    <s v="EPER"/>
    <n v="7414000005"/>
  </r>
  <r>
    <x v="264"/>
    <s v="BANCO SANTANDER (MEXICO) FIDEICOMISO F/2000711-1"/>
    <x v="63"/>
    <s v="NORMAL"/>
    <s v="MXN"/>
    <n v="144000"/>
    <n v="65.260000000000005"/>
    <n v="9397440"/>
    <n v="71.07415965277778"/>
    <n v="-837238.99"/>
    <n v="0"/>
    <n v="0"/>
    <n v="0"/>
    <n v="0"/>
    <n v="144000"/>
    <n v="9397440"/>
    <s v="EPER"/>
    <n v="7414000005"/>
  </r>
  <r>
    <x v="265"/>
    <s v="BANCO SANTANDER (MEXICO) FIDEICOMISO F/200079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9"/>
    <s v="BANCO SANTANDER (MEXICO) FIDEICOMISO F/2000801-1"/>
    <x v="26"/>
    <s v="NORMAL"/>
    <s v="MXN"/>
    <n v="8910"/>
    <n v="98.730349000000004"/>
    <n v="879687.40959000005"/>
    <n v="111.89286593999999"/>
    <n v="-117278.0259354"/>
    <n v="0"/>
    <n v="0"/>
    <n v="0"/>
    <n v="0"/>
    <n v="8910"/>
    <n v="879687.40959000005"/>
    <s v="EPER"/>
    <n v="7414000005"/>
  </r>
  <r>
    <x v="269"/>
    <s v="BANCO SANTANDER (MEXICO) FIDEICOMISO F/2000801-1"/>
    <x v="67"/>
    <s v="NORMAL"/>
    <s v="MXN"/>
    <n v="13346"/>
    <n v="99.247497999999993"/>
    <n v="1324557.108308"/>
    <n v="95.22286979362805"/>
    <n v="53712.688042239999"/>
    <n v="0"/>
    <n v="0"/>
    <n v="0"/>
    <n v="0"/>
    <n v="13346"/>
    <n v="1324557.108308"/>
    <s v="EPER"/>
    <n v="7414000005"/>
  </r>
  <r>
    <x v="269"/>
    <s v="BANCO SANTANDER (MEXICO) FIDEICOMISO F/2000801-1"/>
    <x v="27"/>
    <s v="NORMAL"/>
    <s v="MXN"/>
    <n v="4700"/>
    <n v="94.973146999999997"/>
    <n v="446373.79090000002"/>
    <n v="89.85155469"/>
    <n v="24071.483856999999"/>
    <n v="0"/>
    <n v="0"/>
    <n v="0"/>
    <n v="0"/>
    <n v="4700"/>
    <n v="446373.79090000002"/>
    <s v="EPER"/>
    <n v="7414000005"/>
  </r>
  <r>
    <x v="269"/>
    <s v="BANCO SANTANDER (MEXICO) FIDEICOMISO F/2000801-1"/>
    <x v="28"/>
    <s v="NORMAL"/>
    <s v="MXN"/>
    <n v="4675"/>
    <n v="91.911821000000003"/>
    <n v="429687.76317499997"/>
    <n v="93.2088459"/>
    <n v="-6063.5914075000001"/>
    <n v="0"/>
    <n v="0"/>
    <n v="0"/>
    <n v="0"/>
    <n v="4675"/>
    <n v="429687.76317499997"/>
    <s v="EPER"/>
    <n v="7414000005"/>
  </r>
  <r>
    <x v="269"/>
    <s v="BANCO SANTANDER (MEXICO) FIDEICOMISO F/2000801-1"/>
    <x v="30"/>
    <s v="NORMAL"/>
    <s v="MXN"/>
    <n v="20034"/>
    <n v="88.698122999999995"/>
    <n v="1776978.196182"/>
    <n v="87.92799465467904"/>
    <n v="15428.751270160001"/>
    <n v="0"/>
    <n v="0"/>
    <n v="0"/>
    <n v="0"/>
    <n v="20034"/>
    <n v="1776978.196182"/>
    <s v="EPER"/>
    <n v="7414000005"/>
  </r>
  <r>
    <x v="269"/>
    <s v="BANCO SANTANDER (MEXICO) FIDEICOMISO F/2000801-1"/>
    <x v="31"/>
    <s v="NORMAL"/>
    <s v="MXN"/>
    <n v="27662"/>
    <n v="93.314192000000006"/>
    <n v="2581257.1791039999"/>
    <n v="91.833820967580067"/>
    <n v="40950.023498800001"/>
    <n v="0"/>
    <n v="0"/>
    <n v="0"/>
    <n v="0"/>
    <n v="27662"/>
    <n v="2581257.1791039999"/>
    <s v="EPER"/>
    <n v="7414000005"/>
  </r>
  <r>
    <x v="269"/>
    <s v="BANCO SANTANDER (MEXICO) FIDEICOMISO F/2000801-1"/>
    <x v="33"/>
    <s v="NORMAL"/>
    <s v="MXN"/>
    <n v="27986"/>
    <n v="94.870157000000006"/>
    <n v="2655036.213802"/>
    <n v="96.442151479397552"/>
    <n v="-43993.837500419999"/>
    <n v="0"/>
    <n v="0"/>
    <n v="0"/>
    <n v="0"/>
    <n v="27986"/>
    <n v="2655036.213802"/>
    <s v="EPER"/>
    <n v="7414000005"/>
  </r>
  <r>
    <x v="269"/>
    <s v="BANCO SANTANDER (MEXICO) FIDEICOMISO F/2000801-1"/>
    <x v="34"/>
    <s v="NORMAL"/>
    <s v="MXN"/>
    <n v="24133"/>
    <n v="89.489464999999996"/>
    <n v="2159649.2588450001"/>
    <n v="87.13566842186674"/>
    <n v="56804.172820090003"/>
    <n v="0"/>
    <n v="0"/>
    <n v="0"/>
    <n v="0"/>
    <n v="24133"/>
    <n v="2159649.2588450001"/>
    <s v="EPER"/>
    <n v="7414000005"/>
  </r>
  <r>
    <x v="269"/>
    <s v="BANCO SANTANDER (MEXICO) FIDEICOMISO F/2000801-1"/>
    <x v="35"/>
    <s v="NORMAL"/>
    <s v="MXN"/>
    <n v="32013"/>
    <n v="86.197128000000006"/>
    <n v="2759428.6586640002"/>
    <n v="88.945763563934022"/>
    <n v="-87992.070308220005"/>
    <n v="0"/>
    <n v="0"/>
    <n v="0"/>
    <n v="0"/>
    <n v="32013"/>
    <n v="2759428.6586640002"/>
    <s v="EPER"/>
    <n v="7414000005"/>
  </r>
  <r>
    <x v="269"/>
    <s v="BANCO SANTANDER (MEXICO) FIDEICOMISO F/2000801-1"/>
    <x v="36"/>
    <s v="NORMAL"/>
    <s v="MXN"/>
    <n v="19806"/>
    <n v="86.469353999999996"/>
    <n v="1712612.025324"/>
    <n v="91.07811500887307"/>
    <n v="-91281.120541740005"/>
    <n v="0"/>
    <n v="0"/>
    <n v="0"/>
    <n v="0"/>
    <n v="19806"/>
    <n v="1712612.025324"/>
    <s v="EPER"/>
    <n v="7414000005"/>
  </r>
  <r>
    <x v="269"/>
    <s v="BANCO SANTANDER (MEXICO) FIDEICOMISO F/2000801-1"/>
    <x v="81"/>
    <s v="NORMAL"/>
    <s v="MXN"/>
    <n v="1346"/>
    <n v="101.45096599999999"/>
    <n v="136553.00023599999"/>
    <n v="112.51809989"/>
    <n v="-14896.36221594"/>
    <n v="0"/>
    <n v="0"/>
    <n v="0"/>
    <n v="0"/>
    <n v="1346"/>
    <n v="136553.00023599999"/>
    <s v="EPER"/>
    <n v="7414000005"/>
  </r>
  <r>
    <x v="269"/>
    <s v="BANCO SANTANDER (MEXICO) FIDEICOMISO F/2000801-1"/>
    <x v="68"/>
    <s v="NORMAL"/>
    <s v="MXN"/>
    <n v="2349"/>
    <n v="89.643172000000007"/>
    <n v="210571.811028"/>
    <n v="108.47711812999999"/>
    <n v="-44240.939459369998"/>
    <n v="0"/>
    <n v="0"/>
    <n v="0"/>
    <n v="0"/>
    <n v="2349"/>
    <n v="210571.811028"/>
    <s v="EPER"/>
    <n v="7414000005"/>
  </r>
  <r>
    <x v="269"/>
    <s v="BANCO SANTANDER (MEXICO) FIDEICOMISO F/2000801-1"/>
    <x v="37"/>
    <s v="NORMAL"/>
    <s v="MXN"/>
    <n v="35416"/>
    <n v="81.738860000000003"/>
    <n v="2894863.4657600001"/>
    <n v="86.036916747858598"/>
    <n v="-152219.97778215999"/>
    <n v="0"/>
    <n v="0"/>
    <n v="0"/>
    <n v="0"/>
    <n v="35416"/>
    <n v="2894863.4657600001"/>
    <s v="EPER"/>
    <n v="7414000005"/>
  </r>
  <r>
    <x v="269"/>
    <s v="BANCO SANTANDER (MEXICO) FIDEICOMISO F/2000801-1"/>
    <x v="38"/>
    <s v="NORMAL"/>
    <s v="MXN"/>
    <n v="4925"/>
    <n v="83.200761"/>
    <n v="409763.74792499997"/>
    <n v="94.413862603664981"/>
    <n v="-55224.525398049998"/>
    <n v="0"/>
    <n v="0"/>
    <n v="0"/>
    <n v="0"/>
    <n v="4925"/>
    <n v="409763.74792499997"/>
    <s v="EPER"/>
    <n v="7414000005"/>
  </r>
  <r>
    <x v="269"/>
    <s v="BANCO SANTANDER (MEXICO) FIDEICOMISO F/2000801-1"/>
    <x v="39"/>
    <s v="NORMAL"/>
    <s v="MXN"/>
    <n v="15299"/>
    <n v="82.159907000000004"/>
    <n v="1256964.417193"/>
    <n v="83.901439880585656"/>
    <n v="-26643.711540079999"/>
    <n v="0"/>
    <n v="0"/>
    <n v="0"/>
    <n v="0"/>
    <n v="15299"/>
    <n v="1256964.417193"/>
    <s v="EPER"/>
    <n v="7414000005"/>
  </r>
  <r>
    <x v="269"/>
    <s v="BANCO SANTANDER (MEXICO) FIDEICOMISO F/2000801-1"/>
    <x v="88"/>
    <s v="NORMAL"/>
    <s v="MXN"/>
    <n v="39"/>
    <n v="98.007834000000003"/>
    <n v="3822.3055260000001"/>
    <n v="93.280048030000003"/>
    <n v="184.38365282999999"/>
    <n v="0"/>
    <n v="0"/>
    <n v="0"/>
    <n v="0"/>
    <n v="39"/>
    <n v="3822.3055260000001"/>
    <s v="EPER"/>
    <n v="7414000005"/>
  </r>
  <r>
    <x v="269"/>
    <s v="BANCO SANTANDER (MEXICO) FIDEICOMISO F/2000801-1"/>
    <x v="0"/>
    <s v="NORMAL"/>
    <s v="MXN"/>
    <n v="183266"/>
    <n v="3.3967719999999999"/>
    <n v="622512.81735200004"/>
    <n v="3.3772509903637338"/>
    <n v="3577.5373519999998"/>
    <n v="0"/>
    <n v="0"/>
    <n v="0"/>
    <n v="0"/>
    <n v="183266"/>
    <n v="622512.81735200004"/>
    <s v="EPER"/>
    <n v="7414000005"/>
  </r>
  <r>
    <x v="269"/>
    <s v="BANCO SANTANDER (MEXICO) FIDEICOMISO F/2000801-1"/>
    <x v="51"/>
    <s v="NORMAL"/>
    <s v="MXN"/>
    <n v="355"/>
    <n v="775.69178699999998"/>
    <n v="275370.58438499999"/>
    <n v="766.69784126000002"/>
    <n v="3192.8507377000001"/>
    <n v="0"/>
    <n v="0"/>
    <n v="0"/>
    <n v="0"/>
    <n v="355"/>
    <n v="275370.58438499999"/>
    <s v="EPER"/>
    <n v="7414000005"/>
  </r>
  <r>
    <x v="269"/>
    <s v="BANCO SANTANDER (MEXICO) FIDEICOMISO F/2000801-1"/>
    <x v="52"/>
    <s v="NORMAL"/>
    <s v="MXN"/>
    <n v="2720"/>
    <n v="747.17843200000004"/>
    <n v="2032325.33504"/>
    <n v="730.88430605281246"/>
    <n v="44320.022576349998"/>
    <n v="0"/>
    <n v="0"/>
    <n v="0"/>
    <n v="0"/>
    <n v="2720"/>
    <n v="2032325.33504"/>
    <s v="EPER"/>
    <n v="7414000005"/>
  </r>
  <r>
    <x v="269"/>
    <s v="BANCO SANTANDER (MEXICO) FIDEICOMISO F/2000801-1"/>
    <x v="53"/>
    <s v="NORMAL"/>
    <s v="MXN"/>
    <n v="2426"/>
    <n v="765.92388300000005"/>
    <n v="1858131.3401579999"/>
    <n v="748.91547549314919"/>
    <n v="41262.396611620003"/>
    <n v="0"/>
    <n v="0"/>
    <n v="0"/>
    <n v="0"/>
    <n v="2426"/>
    <n v="1858131.3401579999"/>
    <s v="EPER"/>
    <n v="7414000005"/>
  </r>
  <r>
    <x v="269"/>
    <s v="BANCO SANTANDER (MEXICO) FIDEICOMISO F/2000801-1"/>
    <x v="54"/>
    <s v="NORMAL"/>
    <s v="MXN"/>
    <n v="5019"/>
    <n v="684.88915799999995"/>
    <n v="3437458.6840019999"/>
    <n v="677.58278405570832"/>
    <n v="36670.690826400001"/>
    <n v="0"/>
    <n v="0"/>
    <n v="0"/>
    <n v="0"/>
    <n v="5019"/>
    <n v="3437458.6840019999"/>
    <s v="EPER"/>
    <n v="7414000005"/>
  </r>
  <r>
    <x v="269"/>
    <s v="BANCO SANTANDER (MEXICO) FIDEICOMISO F/2000801-1"/>
    <x v="55"/>
    <s v="NORMAL"/>
    <s v="MXN"/>
    <n v="2824"/>
    <n v="772.926965"/>
    <n v="2182745.7491600001"/>
    <n v="780.99044725911119"/>
    <n v="-22771.27389973"/>
    <n v="0"/>
    <n v="0"/>
    <n v="0"/>
    <n v="0"/>
    <n v="2824"/>
    <n v="2182745.7491600001"/>
    <s v="EPER"/>
    <n v="7414000005"/>
  </r>
  <r>
    <x v="269"/>
    <s v="BANCO SANTANDER (MEXICO) FIDEICOMISO F/2000801-1"/>
    <x v="56"/>
    <s v="NORMAL"/>
    <s v="MXN"/>
    <n v="3330"/>
    <n v="721.59464000000003"/>
    <n v="2402910.1512000002"/>
    <n v="766.83795300300903"/>
    <n v="-150660.23230002"/>
    <n v="0"/>
    <n v="0"/>
    <n v="0"/>
    <n v="0"/>
    <n v="3330"/>
    <n v="2402910.1512000002"/>
    <s v="EPER"/>
    <n v="7414000005"/>
  </r>
  <r>
    <x v="269"/>
    <s v="BANCO SANTANDER (MEXICO) FIDEICOMISO F/2000801-1"/>
    <x v="57"/>
    <s v="NORMAL"/>
    <s v="MXN"/>
    <n v="1182"/>
    <n v="635.96311900000001"/>
    <n v="751708.40665799996"/>
    <n v="647.93802047999998"/>
    <n v="-14154.333549360001"/>
    <n v="0"/>
    <n v="0"/>
    <n v="0"/>
    <n v="0"/>
    <n v="1182"/>
    <n v="751708.40665799996"/>
    <s v="EPER"/>
    <n v="7414000005"/>
  </r>
  <r>
    <x v="269"/>
    <s v="BANCO SANTANDER (MEXICO) FIDEICOMISO F/2000801-1"/>
    <x v="58"/>
    <s v="NORMAL"/>
    <s v="MXN"/>
    <n v="1011"/>
    <n v="709.36974099999998"/>
    <n v="717172.80815099995"/>
    <n v="760.47954784557862"/>
    <n v="-51672.014720879997"/>
    <n v="0"/>
    <n v="0"/>
    <n v="0"/>
    <n v="0"/>
    <n v="1011"/>
    <n v="717172.80815099995"/>
    <s v="EPER"/>
    <n v="7414000005"/>
  </r>
  <r>
    <x v="269"/>
    <s v="BANCO SANTANDER (MEXICO) FIDEICOMISO F/2000801-1"/>
    <x v="59"/>
    <s v="NORMAL"/>
    <s v="MXN"/>
    <n v="5255"/>
    <n v="694.41118700000004"/>
    <n v="3649130.7876849999"/>
    <n v="745.80046417109804"/>
    <n v="-270050.65153412003"/>
    <n v="0"/>
    <n v="0"/>
    <n v="0"/>
    <n v="0"/>
    <n v="5255"/>
    <n v="3649130.7876849999"/>
    <s v="EPER"/>
    <n v="7414000005"/>
  </r>
  <r>
    <x v="270"/>
    <s v="BANCO SANTANDER (MEXICO) FIDEICOMISO F/200080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71"/>
    <s v="BANCO SANTANDER (MEXICO) FIDEICOMISO F/2001213-2"/>
    <x v="188"/>
    <s v="NORMAL"/>
    <s v="MXN"/>
    <n v="4500000"/>
    <n v="9.6141520000000007"/>
    <n v="43263684"/>
    <n v="9.0305956599999995"/>
    <n v="2626003.5299999998"/>
    <n v="0"/>
    <n v="0"/>
    <n v="0"/>
    <n v="0"/>
    <n v="4500000"/>
    <n v="43263684"/>
    <s v="EPER"/>
    <n v="7414000005"/>
  </r>
  <r>
    <x v="271"/>
    <s v="BANCO SANTANDER (MEXICO) FIDEICOMISO F/2001213-2"/>
    <x v="86"/>
    <s v="NORMAL"/>
    <s v="MXN"/>
    <n v="85065"/>
    <n v="9.4935880000000008"/>
    <n v="807572.06322000001"/>
    <n v="8.2405490399999994"/>
    <n v="106589.75913239999"/>
    <n v="0"/>
    <n v="0"/>
    <n v="0"/>
    <n v="0"/>
    <n v="85065"/>
    <n v="807572.06322000001"/>
    <s v="EPER"/>
    <n v="7414000005"/>
  </r>
  <r>
    <x v="271"/>
    <s v="BANCO SANTANDER (MEXICO) FIDEICOMISO F/2001213-2"/>
    <x v="72"/>
    <s v="NORMAL"/>
    <s v="MXN"/>
    <n v="339672"/>
    <n v="9.3381629999999998"/>
    <n v="3171912.5025360002"/>
    <n v="8.3163347003177179"/>
    <n v="347086.46220968"/>
    <n v="0"/>
    <n v="0"/>
    <n v="0"/>
    <n v="0"/>
    <n v="339672"/>
    <n v="3171912.5025360002"/>
    <s v="EPER"/>
    <n v="7414000005"/>
  </r>
  <r>
    <x v="271"/>
    <s v="BANCO SANTANDER (MEXICO) FIDEICOMISO F/2001213-2"/>
    <x v="15"/>
    <s v="NORMAL"/>
    <s v="MXN"/>
    <n v="396010"/>
    <n v="9.190137"/>
    <n v="3639386.15337"/>
    <n v="8.2169445233590057"/>
    <n v="385393.9526746"/>
    <n v="0"/>
    <n v="0"/>
    <n v="0"/>
    <n v="0"/>
    <n v="396010"/>
    <n v="3639386.15337"/>
    <s v="EPER"/>
    <n v="7414000005"/>
  </r>
  <r>
    <x v="271"/>
    <s v="BANCO SANTANDER (MEXICO) FIDEICOMISO F/2001213-2"/>
    <x v="70"/>
    <s v="NORMAL"/>
    <s v="MXN"/>
    <n v="95990"/>
    <n v="9.0112480000000001"/>
    <n v="864989.69551999995"/>
    <n v="8.9969798000000001"/>
    <n v="1369.6045180000001"/>
    <n v="0"/>
    <n v="0"/>
    <n v="0"/>
    <n v="0"/>
    <n v="95990"/>
    <n v="864989.69551999995"/>
    <s v="EPER"/>
    <n v="7414000005"/>
  </r>
  <r>
    <x v="271"/>
    <s v="BANCO SANTANDER (MEXICO) FIDEICOMISO F/2001213-2"/>
    <x v="16"/>
    <s v="NORMAL"/>
    <s v="MXN"/>
    <n v="178190"/>
    <n v="8.2580650000000002"/>
    <n v="1471504.6023500001"/>
    <n v="8.2501711100000001"/>
    <n v="1406.6122591000001"/>
    <n v="0"/>
    <n v="0"/>
    <n v="0"/>
    <n v="0"/>
    <n v="178190"/>
    <n v="1471504.6023500001"/>
    <s v="EPER"/>
    <n v="7414000005"/>
  </r>
  <r>
    <x v="271"/>
    <s v="BANCO SANTANDER (MEXICO) FIDEICOMISO F/2001213-2"/>
    <x v="0"/>
    <s v="NORMAL"/>
    <s v="MXN"/>
    <n v="3475671"/>
    <n v="3.3967719999999999"/>
    <n v="11806061.934012"/>
    <n v="3.3610751650544599"/>
    <n v="124070.454012"/>
    <n v="0"/>
    <n v="0"/>
    <n v="0"/>
    <n v="0"/>
    <n v="3475671"/>
    <n v="11806061.934012"/>
    <s v="EPER"/>
    <n v="7414000005"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279" firstHeaderRow="1" firstDataRow="1" firstDataCol="1"/>
  <pivotFields count="18">
    <pivotField axis="axisRow" showAll="0">
      <items count="435">
        <item x="121"/>
        <item x="241"/>
        <item m="1" x="330"/>
        <item x="242"/>
        <item m="1" x="304"/>
        <item x="243"/>
        <item m="1" x="344"/>
        <item m="1" x="379"/>
        <item m="1" x="349"/>
        <item m="1" x="334"/>
        <item m="1" x="323"/>
        <item m="1" x="328"/>
        <item m="1" x="280"/>
        <item m="1" x="316"/>
        <item x="244"/>
        <item m="1" x="376"/>
        <item m="1" x="324"/>
        <item x="245"/>
        <item x="246"/>
        <item x="247"/>
        <item m="1" x="384"/>
        <item m="1" x="389"/>
        <item x="248"/>
        <item x="249"/>
        <item m="1" x="406"/>
        <item m="1" x="281"/>
        <item m="1" x="350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m="1" x="391"/>
        <item m="1" x="317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315"/>
        <item m="1" x="339"/>
        <item m="1" x="418"/>
        <item m="1" x="295"/>
        <item m="1" x="382"/>
        <item x="271"/>
        <item x="180"/>
        <item x="181"/>
        <item m="1" x="395"/>
        <item x="102"/>
        <item x="103"/>
        <item x="104"/>
        <item x="105"/>
        <item x="106"/>
        <item x="107"/>
        <item x="108"/>
        <item x="109"/>
        <item x="110"/>
        <item m="1" x="289"/>
        <item x="111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m="1" x="300"/>
        <item x="119"/>
        <item x="120"/>
        <item m="1" x="312"/>
        <item x="238"/>
        <item m="1" x="297"/>
        <item x="239"/>
        <item m="1" x="279"/>
        <item x="240"/>
        <item m="1" x="386"/>
        <item m="1" x="313"/>
        <item x="174"/>
        <item x="22"/>
        <item m="1" x="318"/>
        <item x="23"/>
        <item m="1" x="293"/>
        <item x="24"/>
        <item x="25"/>
        <item x="26"/>
        <item x="175"/>
        <item x="17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177"/>
        <item x="178"/>
        <item x="179"/>
        <item x="37"/>
        <item x="38"/>
        <item m="1" x="380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82"/>
        <item m="1" x="337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m="1" x="422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m="1" x="319"/>
        <item m="1" x="322"/>
        <item x="210"/>
        <item x="211"/>
        <item x="212"/>
        <item x="213"/>
        <item m="1" x="393"/>
        <item m="1" x="397"/>
        <item m="1" x="408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52"/>
        <item x="122"/>
        <item x="124"/>
        <item x="125"/>
        <item m="1" x="298"/>
        <item x="129"/>
        <item x="130"/>
        <item x="132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4">
    <i>
      <x/>
    </i>
    <i>
      <x v="1"/>
    </i>
    <i>
      <x v="3"/>
    </i>
    <i>
      <x v="5"/>
    </i>
    <i>
      <x v="14"/>
    </i>
    <i>
      <x v="17"/>
    </i>
    <i>
      <x v="18"/>
    </i>
    <i>
      <x v="19"/>
    </i>
    <i>
      <x v="22"/>
    </i>
    <i>
      <x v="23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4"/>
    </i>
    <i>
      <x v="85"/>
    </i>
    <i>
      <x v="87"/>
    </i>
    <i>
      <x v="89"/>
    </i>
    <i>
      <x v="91"/>
    </i>
    <i>
      <x v="94"/>
    </i>
    <i>
      <x v="95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29"/>
    </i>
    <i>
      <x v="131"/>
    </i>
    <i>
      <x v="132"/>
    </i>
    <i>
      <x v="136"/>
    </i>
    <i>
      <x v="137"/>
    </i>
    <i>
      <x v="138"/>
    </i>
    <i>
      <x v="140"/>
    </i>
    <i>
      <x v="142"/>
    </i>
    <i>
      <x v="143"/>
    </i>
    <i>
      <x v="146"/>
    </i>
    <i>
      <x v="147"/>
    </i>
    <i>
      <x v="148"/>
    </i>
    <i>
      <x v="149"/>
    </i>
    <i>
      <x v="150"/>
    </i>
    <i>
      <x v="151"/>
    </i>
    <i>
      <x v="156"/>
    </i>
    <i>
      <x v="157"/>
    </i>
    <i>
      <x v="159"/>
    </i>
    <i>
      <x v="160"/>
    </i>
    <i>
      <x v="161"/>
    </i>
    <i>
      <x v="162"/>
    </i>
    <i>
      <x v="164"/>
    </i>
    <i>
      <x v="173"/>
    </i>
    <i>
      <x v="175"/>
    </i>
    <i>
      <x v="176"/>
    </i>
    <i>
      <x v="177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4"/>
    </i>
    <i>
      <x v="195"/>
    </i>
    <i>
      <x v="196"/>
    </i>
    <i>
      <x v="197"/>
    </i>
    <i>
      <x v="201"/>
    </i>
    <i>
      <x v="202"/>
    </i>
    <i>
      <x v="203"/>
    </i>
    <i>
      <x v="204"/>
    </i>
    <i>
      <x v="207"/>
    </i>
    <i>
      <x v="208"/>
    </i>
    <i>
      <x v="213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5"/>
    </i>
    <i>
      <x v="236"/>
    </i>
    <i>
      <x v="241"/>
    </i>
    <i>
      <x v="246"/>
    </i>
    <i>
      <x v="252"/>
    </i>
    <i>
      <x v="256"/>
    </i>
    <i>
      <x v="258"/>
    </i>
    <i>
      <x v="264"/>
    </i>
    <i>
      <x v="265"/>
    </i>
    <i>
      <x v="266"/>
    </i>
    <i>
      <x v="277"/>
    </i>
    <i>
      <x v="278"/>
    </i>
    <i>
      <x v="279"/>
    </i>
    <i>
      <x v="280"/>
    </i>
    <i>
      <x v="283"/>
    </i>
    <i>
      <x v="286"/>
    </i>
    <i>
      <x v="288"/>
    </i>
    <i>
      <x v="297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2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 t="grand">
      <x/>
    </i>
  </rowItems>
  <colItems count="1">
    <i/>
  </colItems>
  <dataFields count="1">
    <dataField name="TOTAL" fld="7" baseField="0" baseItem="0"/>
  </dataFields>
  <formats count="11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9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18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17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6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5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2280" firstHeaderRow="0" firstDataRow="1" firstDataCol="1"/>
  <pivotFields count="18">
    <pivotField axis="axisRow" showAll="0">
      <items count="435">
        <item m="1" x="318"/>
        <item x="23"/>
        <item x="24"/>
        <item x="25"/>
        <item x="2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37"/>
        <item x="38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x="119"/>
        <item x="120"/>
        <item x="121"/>
        <item x="122"/>
        <item x="124"/>
        <item x="125"/>
        <item x="130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352"/>
        <item x="175"/>
        <item x="176"/>
        <item x="182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x="210"/>
        <item x="211"/>
        <item x="212"/>
        <item x="213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12"/>
        <item x="238"/>
        <item x="239"/>
        <item x="240"/>
        <item m="1" x="386"/>
        <item x="241"/>
        <item m="1" x="330"/>
        <item x="242"/>
        <item m="1" x="304"/>
        <item x="243"/>
        <item m="1" x="344"/>
        <item m="1" x="379"/>
        <item m="1" x="328"/>
        <item m="1" x="280"/>
        <item m="1" x="316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418"/>
        <item m="1" x="295"/>
        <item m="1" x="382"/>
        <item x="271"/>
        <item x="22"/>
        <item m="1" x="293"/>
        <item x="111"/>
        <item m="1" x="300"/>
        <item x="174"/>
        <item x="177"/>
        <item x="178"/>
        <item x="179"/>
        <item x="180"/>
        <item x="181"/>
        <item m="1" x="395"/>
        <item m="1" x="289"/>
        <item m="1" x="298"/>
        <item x="129"/>
        <item x="132"/>
        <item m="1" x="380"/>
        <item m="1" x="337"/>
        <item m="1" x="422"/>
        <item m="1" x="319"/>
        <item m="1" x="322"/>
        <item m="1" x="393"/>
        <item m="1" x="397"/>
        <item m="1" x="408"/>
        <item m="1" x="297"/>
        <item m="1" x="279"/>
        <item m="1" x="313"/>
        <item m="1" x="349"/>
        <item m="1" x="334"/>
        <item m="1" x="323"/>
        <item m="1" x="376"/>
        <item m="1" x="324"/>
        <item m="1" x="384"/>
        <item m="1" x="389"/>
        <item m="1" x="406"/>
        <item m="1" x="281"/>
        <item m="1" x="350"/>
        <item m="1" x="391"/>
        <item m="1" x="317"/>
        <item m="1" x="315"/>
        <item m="1" x="339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axis="axisRow" showAll="0">
      <items count="685">
        <item m="1" x="299"/>
        <item m="1" x="261"/>
        <item x="66"/>
        <item x="107"/>
        <item m="1" x="338"/>
        <item x="108"/>
        <item x="181"/>
        <item x="109"/>
        <item x="110"/>
        <item x="111"/>
        <item x="112"/>
        <item x="113"/>
        <item x="67"/>
        <item x="28"/>
        <item x="31"/>
        <item x="34"/>
        <item x="36"/>
        <item x="81"/>
        <item x="68"/>
        <item x="37"/>
        <item x="129"/>
        <item x="154"/>
        <item x="75"/>
        <item x="0"/>
        <item x="84"/>
        <item x="76"/>
        <item x="77"/>
        <item x="78"/>
        <item x="116"/>
        <item x="117"/>
        <item x="118"/>
        <item x="51"/>
        <item x="55"/>
        <item x="56"/>
        <item x="58"/>
        <item x="4"/>
        <item m="1" x="558"/>
        <item x="6"/>
        <item x="187"/>
        <item x="7"/>
        <item m="1" x="282"/>
        <item x="11"/>
        <item x="12"/>
        <item x="14"/>
        <item m="1" x="552"/>
        <item x="20"/>
        <item x="21"/>
        <item m="1" x="356"/>
        <item x="23"/>
        <item x="24"/>
        <item x="210"/>
        <item x="25"/>
        <item x="40"/>
        <item x="82"/>
        <item x="198"/>
        <item m="1" x="605"/>
        <item x="45"/>
        <item m="1" x="362"/>
        <item m="1" x="386"/>
        <item m="1" x="245"/>
        <item x="47"/>
        <item m="1" x="248"/>
        <item m="1" x="663"/>
        <item m="1" x="664"/>
        <item x="91"/>
        <item m="1" x="329"/>
        <item x="60"/>
        <item x="234"/>
        <item x="63"/>
        <item x="90"/>
        <item x="83"/>
        <item m="1" x="313"/>
        <item x="5"/>
        <item m="1" x="523"/>
        <item x="17"/>
        <item x="18"/>
        <item x="19"/>
        <item m="1" x="613"/>
        <item x="33"/>
        <item x="42"/>
        <item x="89"/>
        <item x="61"/>
        <item x="115"/>
        <item m="1" x="342"/>
        <item x="221"/>
        <item m="1" x="662"/>
        <item x="194"/>
        <item m="1" x="526"/>
        <item m="1" x="380"/>
        <item x="44"/>
        <item m="1" x="436"/>
        <item m="1" x="441"/>
        <item x="141"/>
        <item m="1" x="513"/>
        <item m="1" x="323"/>
        <item m="1" x="324"/>
        <item m="1" x="568"/>
        <item m="1" x="570"/>
        <item m="1" x="571"/>
        <item m="1" x="516"/>
        <item m="1" x="263"/>
        <item m="1" x="387"/>
        <item m="1" x="630"/>
        <item m="1" x="364"/>
        <item m="1" x="573"/>
        <item m="1" x="399"/>
        <item m="1" x="400"/>
        <item m="1" x="442"/>
        <item x="104"/>
        <item x="105"/>
        <item x="106"/>
        <item x="114"/>
        <item m="1" x="512"/>
        <item m="1" x="529"/>
        <item m="1" x="389"/>
        <item m="1" x="631"/>
        <item m="1" x="466"/>
        <item x="232"/>
        <item x="143"/>
        <item m="1" x="346"/>
        <item x="144"/>
        <item x="145"/>
        <item x="146"/>
        <item x="148"/>
        <item x="149"/>
        <item x="150"/>
        <item x="152"/>
        <item m="1" x="463"/>
        <item x="74"/>
        <item x="153"/>
        <item m="1" x="514"/>
        <item m="1" x="574"/>
        <item x="195"/>
        <item m="1" x="437"/>
        <item x="156"/>
        <item m="1" x="271"/>
        <item x="184"/>
        <item x="157"/>
        <item m="1" x="269"/>
        <item m="1" x="293"/>
        <item m="1" x="242"/>
        <item x="175"/>
        <item x="176"/>
        <item x="177"/>
        <item x="178"/>
        <item x="179"/>
        <item x="180"/>
        <item x="182"/>
        <item x="130"/>
        <item x="79"/>
        <item m="1" x="321"/>
        <item x="172"/>
        <item x="223"/>
        <item m="1" x="307"/>
        <item m="1" x="283"/>
        <item x="226"/>
        <item x="200"/>
        <item m="1" x="388"/>
        <item m="1" x="467"/>
        <item x="185"/>
        <item m="1" x="502"/>
        <item m="1" x="509"/>
        <item m="1" x="575"/>
        <item x="208"/>
        <item x="209"/>
        <item x="201"/>
        <item m="1" x="555"/>
        <item m="1" x="579"/>
        <item x="211"/>
        <item m="1" x="318"/>
        <item m="1" x="464"/>
        <item m="1" x="665"/>
        <item x="212"/>
        <item x="213"/>
        <item x="214"/>
        <item m="1" x="648"/>
        <item m="1" x="649"/>
        <item x="215"/>
        <item x="216"/>
        <item x="218"/>
        <item m="1" x="272"/>
        <item m="1" x="600"/>
        <item m="1" x="624"/>
        <item m="1" x="446"/>
        <item m="1" x="524"/>
        <item m="1" x="277"/>
        <item x="227"/>
        <item x="228"/>
        <item x="229"/>
        <item x="231"/>
        <item m="1" x="563"/>
        <item x="233"/>
        <item x="128"/>
        <item x="155"/>
        <item m="1" x="504"/>
        <item m="1" x="503"/>
        <item m="1" x="507"/>
        <item m="1" x="505"/>
        <item x="235"/>
        <item m="1" x="262"/>
        <item x="53"/>
        <item x="41"/>
        <item m="1" x="481"/>
        <item m="1" x="422"/>
        <item m="1" x="429"/>
        <item m="1" x="431"/>
        <item m="1" x="274"/>
        <item m="1" x="276"/>
        <item m="1" x="659"/>
        <item x="205"/>
        <item m="1" x="594"/>
        <item m="1" x="557"/>
        <item m="1" x="286"/>
        <item m="1" x="651"/>
        <item m="1" x="657"/>
        <item m="1" x="661"/>
        <item m="1" x="403"/>
        <item m="1" x="255"/>
        <item m="1" x="643"/>
        <item m="1" x="584"/>
        <item m="1" x="518"/>
        <item m="1" x="653"/>
        <item m="1" x="301"/>
        <item m="1" x="302"/>
        <item m="1" x="309"/>
        <item m="1" x="423"/>
        <item m="1" x="254"/>
        <item m="1" x="381"/>
        <item m="1" x="420"/>
        <item x="124"/>
        <item m="1" x="296"/>
        <item m="1" x="273"/>
        <item m="1" x="275"/>
        <item m="1" x="358"/>
        <item m="1" x="671"/>
        <item m="1" x="572"/>
        <item m="1" x="398"/>
        <item m="1" x="371"/>
        <item m="1" x="372"/>
        <item m="1" x="315"/>
        <item m="1" x="550"/>
        <item m="1" x="615"/>
        <item m="1" x="616"/>
        <item m="1" x="355"/>
        <item m="1" x="450"/>
        <item m="1" x="367"/>
        <item m="1" x="576"/>
        <item m="1" x="577"/>
        <item m="1" x="604"/>
        <item m="1" x="561"/>
        <item m="1" x="614"/>
        <item m="1" x="658"/>
        <item m="1" x="660"/>
        <item m="1" x="644"/>
        <item m="1" x="327"/>
        <item m="1" x="328"/>
        <item m="1" x="595"/>
        <item m="1" x="674"/>
        <item m="1" x="621"/>
        <item m="1" x="305"/>
        <item x="38"/>
        <item m="1" x="569"/>
        <item m="1" x="425"/>
        <item x="186"/>
        <item x="224"/>
        <item m="1" x="650"/>
        <item m="1" x="448"/>
        <item m="1" x="468"/>
        <item m="1" x="432"/>
        <item x="80"/>
        <item x="126"/>
        <item m="1" x="508"/>
        <item x="217"/>
        <item m="1" x="253"/>
        <item m="1" x="347"/>
        <item m="1" x="250"/>
        <item m="1" x="404"/>
        <item m="1" x="266"/>
        <item x="50"/>
        <item m="1" x="676"/>
        <item m="1" x="517"/>
        <item m="1" x="560"/>
        <item m="1" x="642"/>
        <item m="1" x="465"/>
        <item m="1" x="609"/>
        <item m="1" x="369"/>
        <item m="1" x="500"/>
        <item m="1" x="598"/>
        <item m="1" x="343"/>
        <item m="1" x="611"/>
        <item m="1" x="268"/>
        <item m="1" x="656"/>
        <item m="1" x="583"/>
        <item m="1" x="675"/>
        <item m="1" x="617"/>
        <item m="1" x="486"/>
        <item m="1" x="627"/>
        <item m="1" x="287"/>
        <item m="1" x="525"/>
        <item m="1" x="348"/>
        <item m="1" x="585"/>
        <item m="1" x="405"/>
        <item m="1" x="408"/>
        <item m="1" x="314"/>
        <item m="1" x="670"/>
        <item m="1" x="311"/>
        <item m="1" x="312"/>
        <item m="1" x="434"/>
        <item m="1" x="610"/>
        <item x="48"/>
        <item m="1" x="240"/>
        <item m="1" x="530"/>
        <item m="1" x="515"/>
        <item m="1" x="482"/>
        <item m="1" x="629"/>
        <item m="1" x="528"/>
        <item m="1" x="556"/>
        <item m="1" x="340"/>
        <item m="1" x="567"/>
        <item m="1" x="256"/>
        <item m="1" x="622"/>
        <item m="1" x="546"/>
        <item m="1" x="547"/>
        <item m="1" x="647"/>
        <item m="1" x="333"/>
        <item m="1" x="334"/>
        <item m="1" x="597"/>
        <item m="1" x="335"/>
        <item m="1" x="625"/>
        <item m="1" x="281"/>
        <item m="1" x="626"/>
        <item m="1" x="377"/>
        <item m="1" x="484"/>
        <item m="1" x="485"/>
        <item m="1" x="294"/>
        <item m="1" x="285"/>
        <item m="1" x="666"/>
        <item m="1" x="623"/>
        <item m="1" x="379"/>
        <item m="1" x="284"/>
        <item m="1" x="385"/>
        <item m="1" x="344"/>
        <item m="1" x="599"/>
        <item m="1" x="451"/>
        <item m="1" x="258"/>
        <item m="1" x="341"/>
        <item m="1" x="259"/>
        <item m="1" x="612"/>
        <item m="1" x="672"/>
        <item m="1" x="673"/>
        <item m="1" x="279"/>
        <item m="1" x="366"/>
        <item m="1" x="554"/>
        <item m="1" x="607"/>
        <item m="1" x="549"/>
        <item m="1" x="374"/>
        <item m="1" x="495"/>
        <item m="1" x="264"/>
        <item m="1" x="316"/>
        <item m="1" x="368"/>
        <item m="1" x="453"/>
        <item m="1" x="462"/>
        <item m="1" x="297"/>
        <item m="1" x="454"/>
        <item m="1" x="455"/>
        <item m="1" x="456"/>
        <item m="1" x="457"/>
        <item m="1" x="458"/>
        <item m="1" x="375"/>
        <item m="1" x="443"/>
        <item m="1" x="267"/>
        <item m="1" x="498"/>
        <item m="1" x="426"/>
        <item m="1" x="319"/>
        <item m="1" x="440"/>
        <item m="1" x="459"/>
        <item m="1" x="460"/>
        <item m="1" x="461"/>
        <item m="1" x="326"/>
        <item m="1" x="421"/>
        <item m="1" x="487"/>
        <item m="1" x="390"/>
        <item m="1" x="359"/>
        <item x="222"/>
        <item x="64"/>
        <item m="1" x="406"/>
        <item m="1" x="439"/>
        <item m="1" x="409"/>
        <item m="1" x="677"/>
        <item m="1" x="531"/>
        <item m="1" x="336"/>
        <item m="1" x="424"/>
        <item m="1" x="654"/>
        <item m="1" x="578"/>
        <item m="1" x="407"/>
        <item m="1" x="628"/>
        <item m="1" x="582"/>
        <item m="1" x="501"/>
        <item m="1" x="506"/>
        <item m="1" x="532"/>
        <item m="1" x="278"/>
        <item m="1" x="566"/>
        <item m="1" x="601"/>
        <item x="22"/>
        <item m="1" x="618"/>
        <item m="1" x="632"/>
        <item m="1" x="349"/>
        <item m="1" x="469"/>
        <item m="1" x="383"/>
        <item m="1" x="382"/>
        <item m="1" x="470"/>
        <item m="1" x="533"/>
        <item m="1" x="510"/>
        <item m="1" x="488"/>
        <item m="1" x="586"/>
        <item m="1" x="678"/>
        <item m="1" x="619"/>
        <item x="26"/>
        <item m="1" x="237"/>
        <item m="1" x="384"/>
        <item m="1" x="350"/>
        <item x="158"/>
        <item m="1" x="559"/>
        <item x="159"/>
        <item m="1" x="308"/>
        <item x="160"/>
        <item m="1" x="499"/>
        <item m="1" x="428"/>
        <item x="161"/>
        <item x="162"/>
        <item x="163"/>
        <item x="164"/>
        <item x="165"/>
        <item m="1" x="562"/>
        <item m="1" x="553"/>
        <item x="166"/>
        <item x="167"/>
        <item m="1" x="596"/>
        <item m="1" x="337"/>
        <item x="43"/>
        <item m="1" x="633"/>
        <item m="1" x="471"/>
        <item m="1" x="588"/>
        <item m="1" x="472"/>
        <item m="1" x="580"/>
        <item m="1" x="280"/>
        <item m="1" x="411"/>
        <item m="1" x="288"/>
        <item m="1" x="391"/>
        <item m="1" x="449"/>
        <item x="59"/>
        <item x="88"/>
        <item m="1" x="401"/>
        <item m="1" x="447"/>
        <item m="1" x="581"/>
        <item m="1" x="534"/>
        <item m="1" x="589"/>
        <item m="1" x="330"/>
        <item m="1" x="298"/>
        <item m="1" x="435"/>
        <item m="1" x="410"/>
        <item x="87"/>
        <item m="1" x="587"/>
        <item x="168"/>
        <item x="219"/>
        <item m="1" x="270"/>
        <item m="1" x="535"/>
        <item m="1" x="634"/>
        <item m="1" x="412"/>
        <item m="1" x="606"/>
        <item m="1" x="246"/>
        <item m="1" x="392"/>
        <item m="1" x="393"/>
        <item x="62"/>
        <item m="1" x="322"/>
        <item m="1" x="511"/>
        <item x="3"/>
        <item m="1" x="304"/>
        <item m="1" x="620"/>
        <item m="1" x="494"/>
        <item m="1" x="602"/>
        <item x="94"/>
        <item m="1" x="413"/>
        <item m="1" x="351"/>
        <item m="1" x="473"/>
        <item m="1" x="265"/>
        <item m="1" x="536"/>
        <item m="1" x="320"/>
        <item m="1" x="520"/>
        <item x="73"/>
        <item m="1" x="433"/>
        <item m="1" x="352"/>
        <item m="1" x="603"/>
        <item m="1" x="667"/>
        <item m="1" x="474"/>
        <item m="1" x="476"/>
        <item m="1" x="475"/>
        <item m="1" x="310"/>
        <item x="206"/>
        <item m="1" x="489"/>
        <item m="1" x="289"/>
        <item x="1"/>
        <item x="2"/>
        <item x="225"/>
        <item m="1" x="537"/>
        <item m="1" x="290"/>
        <item m="1" x="477"/>
        <item m="1" x="430"/>
        <item m="1" x="394"/>
        <item x="202"/>
        <item m="1" x="565"/>
        <item m="1" x="353"/>
        <item m="1" x="538"/>
        <item m="1" x="414"/>
        <item m="1" x="679"/>
        <item m="1" x="415"/>
        <item m="1" x="291"/>
        <item m="1" x="590"/>
        <item m="1" x="519"/>
        <item m="1" x="395"/>
        <item x="54"/>
        <item m="1" x="396"/>
        <item x="183"/>
        <item m="1" x="444"/>
        <item x="102"/>
        <item m="1" x="325"/>
        <item m="1" x="332"/>
        <item x="123"/>
        <item m="1" x="452"/>
        <item x="98"/>
        <item m="1" x="540"/>
        <item m="1" x="363"/>
        <item m="1" x="669"/>
        <item m="1" x="300"/>
        <item m="1" x="668"/>
        <item m="1" x="543"/>
        <item m="1" x="317"/>
        <item m="1" x="331"/>
        <item m="1" x="345"/>
        <item m="1" x="539"/>
        <item m="1" x="418"/>
        <item m="1" x="635"/>
        <item m="1" x="681"/>
        <item m="1" x="378"/>
        <item m="1" x="416"/>
        <item m="1" x="427"/>
        <item x="132"/>
        <item x="133"/>
        <item m="1" x="238"/>
        <item x="135"/>
        <item x="136"/>
        <item x="30"/>
        <item x="97"/>
        <item m="1" x="295"/>
        <item m="1" x="479"/>
        <item m="1" x="680"/>
        <item x="169"/>
        <item x="170"/>
        <item x="171"/>
        <item m="1" x="490"/>
        <item m="1" x="354"/>
        <item m="1" x="655"/>
        <item x="119"/>
        <item x="127"/>
        <item x="203"/>
        <item m="1" x="478"/>
        <item m="1" x="249"/>
        <item m="1" x="591"/>
        <item m="1" x="637"/>
        <item m="1" x="417"/>
        <item m="1" x="542"/>
        <item m="1" x="636"/>
        <item m="1" x="491"/>
        <item m="1" x="239"/>
        <item m="1" x="492"/>
        <item x="27"/>
        <item m="1" x="541"/>
        <item x="85"/>
        <item x="52"/>
        <item m="1" x="682"/>
        <item m="1" x="638"/>
        <item m="1" x="236"/>
        <item x="134"/>
        <item x="147"/>
        <item m="1" x="493"/>
        <item x="92"/>
        <item x="39"/>
        <item m="1" x="548"/>
        <item x="140"/>
        <item m="1" x="292"/>
        <item x="100"/>
        <item m="1" x="592"/>
        <item m="1" x="639"/>
        <item m="1" x="593"/>
        <item m="1" x="480"/>
        <item x="101"/>
        <item x="230"/>
        <item x="120"/>
        <item m="1" x="397"/>
        <item x="86"/>
        <item x="103"/>
        <item m="1" x="360"/>
        <item x="72"/>
        <item m="1" x="641"/>
        <item x="35"/>
        <item m="1" x="243"/>
        <item m="1" x="445"/>
        <item m="1" x="241"/>
        <item m="1" x="521"/>
        <item m="1" x="564"/>
        <item m="1" x="365"/>
        <item m="1" x="251"/>
        <item m="1" x="357"/>
        <item m="1" x="260"/>
        <item m="1" x="522"/>
        <item m="1" x="527"/>
        <item m="1" x="645"/>
        <item m="1" x="544"/>
        <item m="1" x="497"/>
        <item m="1" x="652"/>
        <item m="1" x="438"/>
        <item m="1" x="608"/>
        <item m="1" x="551"/>
        <item m="1" x="373"/>
        <item m="1" x="376"/>
        <item m="1" x="646"/>
        <item m="1" x="252"/>
        <item m="1" x="339"/>
        <item m="1" x="483"/>
        <item m="1" x="402"/>
        <item m="1" x="370"/>
        <item m="1" x="496"/>
        <item x="220"/>
        <item x="173"/>
        <item x="174"/>
        <item x="10"/>
        <item x="15"/>
        <item x="57"/>
        <item m="1" x="419"/>
        <item x="142"/>
        <item m="1" x="247"/>
        <item m="1" x="545"/>
        <item m="1" x="257"/>
        <item x="204"/>
        <item m="1" x="683"/>
        <item x="29"/>
        <item x="49"/>
        <item x="9"/>
        <item m="1" x="640"/>
        <item x="138"/>
        <item x="139"/>
        <item m="1" x="303"/>
        <item x="189"/>
        <item x="190"/>
        <item x="191"/>
        <item x="192"/>
        <item x="193"/>
        <item x="196"/>
        <item x="197"/>
        <item x="199"/>
        <item x="32"/>
        <item x="125"/>
        <item x="69"/>
        <item m="1" x="244"/>
        <item x="93"/>
        <item x="122"/>
        <item x="188"/>
        <item m="1" x="361"/>
        <item m="1" x="306"/>
        <item x="137"/>
        <item x="95"/>
        <item x="13"/>
        <item x="71"/>
        <item x="96"/>
        <item x="131"/>
        <item x="151"/>
        <item x="121"/>
        <item x="16"/>
        <item x="65"/>
        <item x="99"/>
        <item x="207"/>
        <item x="8"/>
        <item x="46"/>
        <item x="70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2">
    <field x="0"/>
    <field x="2"/>
  </rowFields>
  <rowItems count="2275">
    <i>
      <x v="1"/>
    </i>
    <i r="1">
      <x v="12"/>
    </i>
    <i r="1">
      <x v="15"/>
    </i>
    <i r="1">
      <x v="18"/>
    </i>
    <i r="1">
      <x v="33"/>
    </i>
    <i>
      <x v="2"/>
    </i>
    <i r="1">
      <x v="12"/>
    </i>
    <i r="1">
      <x v="14"/>
    </i>
    <i r="1">
      <x v="23"/>
    </i>
    <i r="1">
      <x v="31"/>
    </i>
    <i r="1">
      <x v="417"/>
    </i>
    <i r="1">
      <x v="551"/>
    </i>
    <i r="1">
      <x v="636"/>
    </i>
    <i r="1">
      <x v="662"/>
    </i>
    <i r="1">
      <x v="672"/>
    </i>
    <i r="1">
      <x v="677"/>
    </i>
    <i r="1">
      <x v="678"/>
    </i>
    <i r="1">
      <x v="683"/>
    </i>
    <i>
      <x v="3"/>
    </i>
    <i r="1">
      <x v="23"/>
    </i>
    <i r="1">
      <x v="662"/>
    </i>
    <i r="1">
      <x v="672"/>
    </i>
    <i r="1">
      <x v="677"/>
    </i>
    <i r="1">
      <x v="683"/>
    </i>
    <i>
      <x v="4"/>
    </i>
    <i r="1">
      <x v="12"/>
    </i>
    <i r="1">
      <x v="14"/>
    </i>
    <i r="1">
      <x v="23"/>
    </i>
    <i r="1">
      <x v="31"/>
    </i>
    <i r="1">
      <x v="417"/>
    </i>
    <i r="1">
      <x v="489"/>
    </i>
    <i r="1">
      <x v="551"/>
    </i>
    <i r="1">
      <x v="602"/>
    </i>
    <i r="1">
      <x v="636"/>
    </i>
    <i r="1">
      <x v="662"/>
    </i>
    <i r="1">
      <x v="672"/>
    </i>
    <i r="1">
      <x v="677"/>
    </i>
    <i r="1">
      <x v="683"/>
    </i>
    <i>
      <x v="5"/>
    </i>
    <i r="1">
      <x v="2"/>
    </i>
    <i>
      <x v="6"/>
    </i>
    <i r="1">
      <x v="128"/>
    </i>
    <i>
      <x v="7"/>
    </i>
    <i r="1">
      <x v="22"/>
    </i>
    <i r="1">
      <x v="25"/>
    </i>
    <i r="1">
      <x v="26"/>
    </i>
    <i r="1">
      <x v="27"/>
    </i>
    <i r="1">
      <x v="149"/>
    </i>
    <i>
      <x v="8"/>
    </i>
    <i r="1">
      <x v="22"/>
    </i>
    <i r="1">
      <x v="25"/>
    </i>
    <i r="1">
      <x v="26"/>
    </i>
    <i r="1">
      <x v="27"/>
    </i>
    <i r="1">
      <x v="149"/>
    </i>
    <i>
      <x v="10"/>
    </i>
    <i r="1">
      <x v="23"/>
    </i>
    <i r="1">
      <x v="269"/>
    </i>
    <i>
      <x v="11"/>
    </i>
    <i r="1">
      <x v="2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50"/>
    </i>
    <i r="1">
      <x v="520"/>
    </i>
    <i r="1">
      <x v="578"/>
    </i>
    <i r="1">
      <x v="637"/>
    </i>
    <i>
      <x v="12"/>
    </i>
    <i r="1">
      <x v="23"/>
    </i>
    <i r="1">
      <x v="70"/>
    </i>
    <i>
      <x v="1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46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5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60"/>
    </i>
    <i>
      <x v="19"/>
    </i>
    <i r="1">
      <x v="69"/>
    </i>
    <i>
      <x v="20"/>
    </i>
    <i r="1">
      <x v="64"/>
    </i>
    <i>
      <x v="24"/>
    </i>
    <i r="1">
      <x v="53"/>
    </i>
    <i>
      <x v="25"/>
    </i>
    <i r="1">
      <x v="53"/>
    </i>
    <i>
      <x v="26"/>
    </i>
    <i r="1">
      <x v="53"/>
    </i>
    <i>
      <x v="28"/>
    </i>
    <i r="1">
      <x v="2"/>
    </i>
    <i r="1">
      <x v="12"/>
    </i>
    <i r="1">
      <x v="15"/>
    </i>
    <i r="1">
      <x v="31"/>
    </i>
    <i r="1">
      <x v="481"/>
    </i>
    <i r="1">
      <x v="524"/>
    </i>
    <i r="1">
      <x v="529"/>
    </i>
    <i r="1">
      <x v="552"/>
    </i>
    <i r="1">
      <x v="577"/>
    </i>
    <i r="1">
      <x v="578"/>
    </i>
    <i r="1">
      <x v="585"/>
    </i>
    <i r="1">
      <x v="590"/>
    </i>
    <i r="1">
      <x v="595"/>
    </i>
    <i r="1">
      <x v="600"/>
    </i>
    <i r="1">
      <x v="604"/>
    </i>
    <i r="1">
      <x v="636"/>
    </i>
    <i r="1">
      <x v="647"/>
    </i>
    <i r="1">
      <x v="662"/>
    </i>
    <i r="1">
      <x v="664"/>
    </i>
    <i r="1">
      <x v="670"/>
    </i>
    <i r="1">
      <x v="672"/>
    </i>
    <i r="1">
      <x v="673"/>
    </i>
    <i r="1">
      <x v="677"/>
    </i>
    <i r="1">
      <x v="678"/>
    </i>
    <i r="1">
      <x v="679"/>
    </i>
    <i r="1">
      <x v="682"/>
    </i>
    <i r="1">
      <x v="683"/>
    </i>
    <i>
      <x v="29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28"/>
    </i>
    <i r="1">
      <x v="29"/>
    </i>
    <i r="1">
      <x v="30"/>
    </i>
    <i r="1">
      <x v="31"/>
    </i>
    <i r="1">
      <x v="33"/>
    </i>
    <i r="1">
      <x v="42"/>
    </i>
    <i r="1">
      <x v="64"/>
    </i>
    <i r="1">
      <x v="82"/>
    </i>
    <i r="1">
      <x v="108"/>
    </i>
    <i r="1">
      <x v="109"/>
    </i>
    <i r="1">
      <x v="110"/>
    </i>
    <i r="1">
      <x v="111"/>
    </i>
    <i>
      <x v="33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78"/>
    </i>
    <i r="1">
      <x v="192"/>
    </i>
    <i r="1">
      <x v="200"/>
    </i>
    <i r="1">
      <x v="229"/>
    </i>
    <i r="1">
      <x v="270"/>
    </i>
    <i r="1">
      <x v="417"/>
    </i>
    <i r="1">
      <x v="481"/>
    </i>
    <i r="1">
      <x v="520"/>
    </i>
    <i r="1">
      <x v="527"/>
    </i>
    <i r="1">
      <x v="529"/>
    </i>
    <i r="1">
      <x v="551"/>
    </i>
    <i r="1">
      <x v="552"/>
    </i>
    <i r="1">
      <x v="562"/>
    </i>
    <i r="1">
      <x v="563"/>
    </i>
    <i r="1">
      <x v="575"/>
    </i>
    <i r="1">
      <x v="577"/>
    </i>
    <i r="1">
      <x v="578"/>
    </i>
    <i r="1">
      <x v="585"/>
    </i>
    <i r="1">
      <x v="590"/>
    </i>
    <i r="1">
      <x v="595"/>
    </i>
    <i r="1">
      <x v="597"/>
    </i>
    <i r="1">
      <x v="600"/>
    </i>
    <i r="1">
      <x v="602"/>
    </i>
    <i r="1">
      <x v="604"/>
    </i>
    <i r="1">
      <x v="636"/>
    </i>
    <i r="1">
      <x v="645"/>
    </i>
    <i r="1">
      <x v="647"/>
    </i>
    <i r="1">
      <x v="660"/>
    </i>
    <i r="1">
      <x v="661"/>
    </i>
    <i r="1">
      <x v="665"/>
    </i>
    <i r="1">
      <x v="671"/>
    </i>
    <i r="1">
      <x v="672"/>
    </i>
    <i r="1">
      <x v="676"/>
    </i>
    <i r="1">
      <x v="677"/>
    </i>
    <i r="1">
      <x v="678"/>
    </i>
    <i r="1">
      <x v="682"/>
    </i>
    <i r="1">
      <x v="683"/>
    </i>
    <i>
      <x v="34"/>
    </i>
    <i r="1">
      <x v="2"/>
    </i>
    <i>
      <x v="35"/>
    </i>
    <i r="1">
      <x v="120"/>
    </i>
    <i r="1">
      <x v="121"/>
    </i>
    <i r="1">
      <x v="122"/>
    </i>
    <i>
      <x v="36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7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8"/>
    </i>
    <i r="1">
      <x v="2"/>
    </i>
    <i r="1">
      <x v="13"/>
    </i>
    <i r="1">
      <x v="14"/>
    </i>
    <i r="1">
      <x v="15"/>
    </i>
    <i r="1">
      <x v="16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39"/>
    </i>
    <i r="1">
      <x v="2"/>
    </i>
    <i r="1">
      <x v="13"/>
    </i>
    <i r="1">
      <x v="14"/>
    </i>
    <i r="1">
      <x v="15"/>
    </i>
    <i r="1">
      <x v="16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40"/>
    </i>
    <i r="1">
      <x v="2"/>
    </i>
    <i r="1">
      <x v="12"/>
    </i>
    <i r="1">
      <x v="13"/>
    </i>
    <i r="1">
      <x v="14"/>
    </i>
    <i r="1">
      <x v="15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1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2"/>
    </i>
    <i r="1">
      <x v="20"/>
    </i>
    <i>
      <x v="43"/>
    </i>
    <i r="1">
      <x v="20"/>
    </i>
    <i r="1">
      <x v="124"/>
    </i>
    <i r="1">
      <x v="125"/>
    </i>
    <i>
      <x v="4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5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6"/>
    </i>
    <i r="1">
      <x v="23"/>
    </i>
    <i r="1">
      <x v="53"/>
    </i>
    <i r="1">
      <x v="148"/>
    </i>
    <i>
      <x v="47"/>
    </i>
    <i r="1">
      <x v="23"/>
    </i>
    <i r="1">
      <x v="53"/>
    </i>
    <i r="1">
      <x v="148"/>
    </i>
    <i>
      <x v="4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9"/>
    </i>
    <i r="1">
      <x v="23"/>
    </i>
    <i r="1">
      <x v="53"/>
    </i>
    <i r="1">
      <x v="148"/>
    </i>
    <i>
      <x v="50"/>
    </i>
    <i r="1">
      <x v="126"/>
    </i>
    <i>
      <x v="55"/>
    </i>
    <i r="1">
      <x v="128"/>
    </i>
    <i>
      <x v="56"/>
    </i>
    <i r="1">
      <x v="20"/>
    </i>
    <i r="1">
      <x v="129"/>
    </i>
    <i>
      <x v="57"/>
    </i>
    <i r="1">
      <x v="120"/>
    </i>
    <i r="1">
      <x v="121"/>
    </i>
    <i>
      <x v="58"/>
    </i>
    <i r="1">
      <x v="23"/>
    </i>
    <i r="1">
      <x v="70"/>
    </i>
    <i>
      <x v="59"/>
    </i>
    <i r="1">
      <x v="21"/>
    </i>
    <i>
      <x v="60"/>
    </i>
    <i r="1">
      <x v="22"/>
    </i>
    <i>
      <x v="6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148"/>
    </i>
    <i r="1">
      <x v="200"/>
    </i>
    <i r="1">
      <x v="269"/>
    </i>
    <i r="1">
      <x v="417"/>
    </i>
    <i r="1">
      <x v="450"/>
    </i>
    <i r="1">
      <x v="481"/>
    </i>
    <i r="1">
      <x v="520"/>
    </i>
    <i r="1">
      <x v="578"/>
    </i>
    <i r="1">
      <x v="604"/>
    </i>
    <i>
      <x v="62"/>
    </i>
    <i r="1">
      <x v="2"/>
    </i>
    <i r="1">
      <x v="451"/>
    </i>
    <i>
      <x v="63"/>
    </i>
    <i r="1">
      <x v="200"/>
    </i>
    <i r="1">
      <x v="520"/>
    </i>
    <i>
      <x v="66"/>
    </i>
    <i r="1">
      <x v="20"/>
    </i>
    <i>
      <x v="67"/>
    </i>
    <i r="1">
      <x v="23"/>
    </i>
    <i r="1">
      <x v="134"/>
    </i>
    <i>
      <x v="72"/>
    </i>
    <i r="1">
      <x v="69"/>
    </i>
    <i>
      <x v="77"/>
    </i>
    <i r="1">
      <x v="22"/>
    </i>
    <i>
      <x v="83"/>
    </i>
    <i r="1">
      <x v="53"/>
    </i>
    <i>
      <x v="87"/>
    </i>
    <i r="1">
      <x v="69"/>
    </i>
    <i>
      <x v="89"/>
    </i>
    <i r="1">
      <x v="23"/>
    </i>
    <i r="1">
      <x v="70"/>
    </i>
    <i r="1">
      <x v="137"/>
    </i>
    <i>
      <x v="91"/>
    </i>
    <i r="1">
      <x v="2"/>
    </i>
    <i>
      <x v="92"/>
    </i>
    <i r="1">
      <x v="2"/>
    </i>
    <i>
      <x v="93"/>
    </i>
    <i r="1">
      <x v="5"/>
    </i>
    <i r="1">
      <x v="6"/>
    </i>
    <i r="1">
      <x v="8"/>
    </i>
    <i r="1">
      <x v="15"/>
    </i>
    <i r="1">
      <x v="28"/>
    </i>
    <i r="1">
      <x v="29"/>
    </i>
    <i r="1">
      <x v="31"/>
    </i>
    <i r="1">
      <x v="33"/>
    </i>
    <i r="1">
      <x v="111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>
      <x v="94"/>
    </i>
    <i r="1">
      <x v="12"/>
    </i>
    <i r="1">
      <x v="15"/>
    </i>
    <i r="1">
      <x v="33"/>
    </i>
    <i>
      <x v="96"/>
    </i>
    <i r="1">
      <x v="22"/>
    </i>
    <i r="1">
      <x v="149"/>
    </i>
    <i>
      <x v="97"/>
    </i>
    <i r="1">
      <x v="22"/>
    </i>
    <i r="1">
      <x v="25"/>
    </i>
    <i r="1">
      <x v="26"/>
    </i>
    <i r="1">
      <x v="27"/>
    </i>
    <i r="1">
      <x v="149"/>
    </i>
    <i>
      <x v="100"/>
    </i>
    <i r="1">
      <x v="22"/>
    </i>
    <i r="1">
      <x v="26"/>
    </i>
    <i>
      <x v="101"/>
    </i>
    <i r="1">
      <x v="22"/>
    </i>
    <i r="1">
      <x v="27"/>
    </i>
    <i>
      <x v="102"/>
    </i>
    <i r="1">
      <x v="22"/>
    </i>
    <i r="1">
      <x v="149"/>
    </i>
    <i>
      <x v="103"/>
    </i>
    <i r="1">
      <x v="26"/>
    </i>
    <i>
      <x v="104"/>
    </i>
    <i r="1">
      <x v="22"/>
    </i>
    <i r="1">
      <x v="27"/>
    </i>
    <i>
      <x v="105"/>
    </i>
    <i r="1">
      <x v="22"/>
    </i>
    <i r="1">
      <x v="149"/>
    </i>
    <i>
      <x v="110"/>
    </i>
    <i r="1">
      <x v="522"/>
    </i>
    <i>
      <x v="111"/>
    </i>
    <i r="1">
      <x v="22"/>
    </i>
    <i>
      <x v="112"/>
    </i>
    <i r="1">
      <x v="23"/>
    </i>
    <i r="1">
      <x v="269"/>
    </i>
    <i>
      <x v="113"/>
    </i>
    <i r="1">
      <x v="22"/>
    </i>
    <i r="1">
      <x v="25"/>
    </i>
    <i r="1">
      <x v="26"/>
    </i>
    <i r="1">
      <x v="27"/>
    </i>
    <i r="1">
      <x v="149"/>
    </i>
    <i>
      <x v="114"/>
    </i>
    <i r="1">
      <x v="22"/>
    </i>
    <i r="1">
      <x v="25"/>
    </i>
    <i r="1">
      <x v="26"/>
    </i>
    <i r="1">
      <x v="27"/>
    </i>
    <i r="1">
      <x v="149"/>
    </i>
    <i>
      <x v="115"/>
    </i>
    <i r="1">
      <x v="23"/>
    </i>
    <i r="1">
      <x v="33"/>
    </i>
    <i r="1">
      <x v="269"/>
    </i>
    <i r="1">
      <x v="384"/>
    </i>
    <i>
      <x v="117"/>
    </i>
    <i r="1">
      <x v="69"/>
    </i>
    <i>
      <x v="126"/>
    </i>
    <i r="1">
      <x v="12"/>
    </i>
    <i r="1">
      <x v="15"/>
    </i>
    <i r="1">
      <x v="33"/>
    </i>
    <i>
      <x v="128"/>
    </i>
    <i r="1">
      <x v="21"/>
    </i>
    <i>
      <x v="129"/>
    </i>
    <i r="1">
      <x v="23"/>
    </i>
    <i>
      <x v="130"/>
    </i>
    <i r="1">
      <x v="128"/>
    </i>
    <i>
      <x v="135"/>
    </i>
    <i r="1">
      <x v="23"/>
    </i>
    <i r="1">
      <x v="136"/>
    </i>
    <i>
      <x v="136"/>
    </i>
    <i r="1">
      <x v="23"/>
    </i>
    <i r="1">
      <x v="129"/>
    </i>
    <i>
      <x v="137"/>
    </i>
    <i r="1">
      <x v="23"/>
    </i>
    <i r="1">
      <x v="70"/>
    </i>
    <i>
      <x v="138"/>
    </i>
    <i r="1">
      <x v="23"/>
    </i>
    <i r="1">
      <x v="137"/>
    </i>
    <i>
      <x v="140"/>
    </i>
    <i r="1">
      <x v="23"/>
    </i>
    <i r="1">
      <x v="72"/>
    </i>
    <i r="1">
      <x v="148"/>
    </i>
    <i r="1">
      <x v="384"/>
    </i>
    <i>
      <x v="141"/>
    </i>
    <i r="1">
      <x v="23"/>
    </i>
    <i r="1">
      <x v="53"/>
    </i>
    <i r="1">
      <x v="72"/>
    </i>
    <i r="1">
      <x v="148"/>
    </i>
    <i r="1">
      <x v="384"/>
    </i>
    <i>
      <x v="142"/>
    </i>
    <i r="1">
      <x v="21"/>
    </i>
    <i>
      <x v="145"/>
    </i>
    <i r="1">
      <x v="128"/>
    </i>
    <i>
      <x v="146"/>
    </i>
    <i r="1">
      <x v="128"/>
    </i>
    <i>
      <x v="147"/>
    </i>
    <i r="1">
      <x v="128"/>
    </i>
    <i>
      <x v="148"/>
    </i>
    <i r="1">
      <x v="21"/>
    </i>
    <i>
      <x v="149"/>
    </i>
    <i r="1">
      <x v="23"/>
    </i>
    <i r="1">
      <x v="72"/>
    </i>
    <i r="1">
      <x v="148"/>
    </i>
    <i r="1">
      <x v="159"/>
    </i>
    <i r="1">
      <x v="263"/>
    </i>
    <i>
      <x v="150"/>
    </i>
    <i r="1">
      <x v="128"/>
    </i>
    <i>
      <x v="151"/>
    </i>
    <i r="1">
      <x v="128"/>
    </i>
    <i>
      <x v="152"/>
    </i>
    <i r="1">
      <x v="128"/>
    </i>
    <i>
      <x v="155"/>
    </i>
    <i r="1">
      <x v="23"/>
    </i>
    <i r="1">
      <x v="72"/>
    </i>
    <i r="1">
      <x v="148"/>
    </i>
    <i r="1">
      <x v="384"/>
    </i>
    <i>
      <x v="156"/>
    </i>
    <i r="1">
      <x v="23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201"/>
    </i>
    <i r="1">
      <x v="278"/>
    </i>
    <i r="1">
      <x v="309"/>
    </i>
    <i r="1">
      <x v="403"/>
    </i>
    <i r="1">
      <x v="599"/>
    </i>
    <i r="1">
      <x v="602"/>
    </i>
    <i r="1">
      <x v="635"/>
    </i>
    <i r="1">
      <x v="636"/>
    </i>
    <i r="1">
      <x v="666"/>
    </i>
    <i r="1">
      <x v="677"/>
    </i>
    <i r="1">
      <x v="683"/>
    </i>
    <i>
      <x v="161"/>
    </i>
    <i r="1">
      <x v="23"/>
    </i>
    <i>
      <x v="164"/>
    </i>
    <i r="1">
      <x v="23"/>
    </i>
    <i>
      <x v="165"/>
    </i>
    <i r="1">
      <x v="23"/>
    </i>
    <i>
      <x v="166"/>
    </i>
    <i r="1">
      <x v="23"/>
    </i>
    <i>
      <x v="16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2"/>
    </i>
    <i r="1">
      <x v="33"/>
    </i>
    <i r="1">
      <x v="34"/>
    </i>
    <i r="1">
      <x v="74"/>
    </i>
    <i r="1">
      <x v="75"/>
    </i>
    <i r="1">
      <x v="76"/>
    </i>
    <i r="1">
      <x v="79"/>
    </i>
    <i r="1">
      <x v="80"/>
    </i>
    <i r="1">
      <x v="81"/>
    </i>
    <i r="1">
      <x v="20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46"/>
    </i>
    <i r="1">
      <x v="660"/>
    </i>
    <i>
      <x v="16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163"/>
    </i>
    <i r="1">
      <x v="164"/>
    </i>
    <i r="1">
      <x v="16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69"/>
    </i>
    <i r="1">
      <x v="23"/>
    </i>
    <i r="1">
      <x v="72"/>
    </i>
    <i r="1">
      <x v="80"/>
    </i>
    <i r="1">
      <x v="577"/>
    </i>
    <i>
      <x v="17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72"/>
    </i>
    <i r="1">
      <x v="23"/>
    </i>
    <i r="1">
      <x v="53"/>
    </i>
    <i r="1">
      <x v="148"/>
    </i>
    <i r="1">
      <x v="599"/>
    </i>
    <i r="1">
      <x v="602"/>
    </i>
    <i r="1">
      <x v="636"/>
    </i>
    <i r="1">
      <x v="666"/>
    </i>
    <i r="1">
      <x v="677"/>
    </i>
    <i r="1">
      <x v="683"/>
    </i>
    <i>
      <x v="173"/>
    </i>
    <i r="1">
      <x v="20"/>
    </i>
    <i r="1">
      <x v="172"/>
    </i>
    <i r="1">
      <x v="173"/>
    </i>
    <i r="1">
      <x v="174"/>
    </i>
    <i r="1">
      <x v="177"/>
    </i>
    <i>
      <x v="17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178"/>
    </i>
    <i r="1">
      <x v="201"/>
    </i>
    <i r="1">
      <x v="272"/>
    </i>
    <i r="1">
      <x v="278"/>
    </i>
    <i r="1">
      <x v="309"/>
    </i>
    <i r="1">
      <x v="403"/>
    </i>
    <i r="1">
      <x v="635"/>
    </i>
    <i>
      <x v="176"/>
    </i>
    <i r="1">
      <x v="23"/>
    </i>
    <i r="1">
      <x v="179"/>
    </i>
    <i r="1">
      <x v="384"/>
    </i>
    <i r="1">
      <x v="502"/>
    </i>
    <i>
      <x v="17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137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637"/>
    </i>
    <i>
      <x v="180"/>
    </i>
    <i r="1">
      <x v="12"/>
    </i>
    <i r="1">
      <x v="15"/>
    </i>
    <i r="1">
      <x v="33"/>
    </i>
    <i r="1">
      <x v="464"/>
    </i>
    <i>
      <x v="186"/>
    </i>
    <i r="1">
      <x v="12"/>
    </i>
    <i r="1">
      <x v="15"/>
    </i>
    <i r="1">
      <x v="33"/>
    </i>
    <i>
      <x v="187"/>
    </i>
    <i r="1">
      <x v="12"/>
    </i>
    <i r="1">
      <x v="15"/>
    </i>
    <i r="1">
      <x v="33"/>
    </i>
    <i r="1">
      <x v="122"/>
    </i>
    <i>
      <x v="18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9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9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1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46"/>
    </i>
    <i r="1">
      <x v="660"/>
    </i>
    <i>
      <x v="19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60"/>
    </i>
    <i r="1">
      <x v="417"/>
    </i>
    <i r="1">
      <x v="450"/>
    </i>
    <i r="1">
      <x v="520"/>
    </i>
    <i r="1">
      <x v="551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45"/>
    </i>
    <i r="1">
      <x v="660"/>
    </i>
    <i>
      <x v="192"/>
    </i>
    <i r="1">
      <x v="12"/>
    </i>
    <i r="1">
      <x v="15"/>
    </i>
    <i r="1">
      <x v="33"/>
    </i>
    <i>
      <x v="19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7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5"/>
    </i>
    <i r="1">
      <x v="12"/>
    </i>
    <i r="1">
      <x v="15"/>
    </i>
    <i r="1">
      <x v="19"/>
    </i>
    <i r="1">
      <x v="23"/>
    </i>
    <i r="1">
      <x v="33"/>
    </i>
    <i r="1">
      <x v="450"/>
    </i>
    <i r="1">
      <x v="520"/>
    </i>
    <i r="1">
      <x v="586"/>
    </i>
    <i r="1">
      <x v="602"/>
    </i>
    <i r="1">
      <x v="677"/>
    </i>
    <i>
      <x v="196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7"/>
    </i>
    <i r="1">
      <x v="677"/>
    </i>
    <i>
      <x v="197"/>
    </i>
    <i r="1">
      <x v="12"/>
    </i>
    <i r="1">
      <x v="15"/>
    </i>
    <i r="1">
      <x v="33"/>
    </i>
    <i>
      <x v="198"/>
    </i>
    <i r="1">
      <x v="12"/>
    </i>
    <i r="1">
      <x v="15"/>
    </i>
    <i r="1">
      <x v="33"/>
    </i>
    <i>
      <x v="199"/>
    </i>
    <i r="1">
      <x v="12"/>
    </i>
    <i r="1">
      <x v="15"/>
    </i>
    <i r="1">
      <x v="33"/>
    </i>
    <i>
      <x v="200"/>
    </i>
    <i r="1">
      <x v="12"/>
    </i>
    <i r="1">
      <x v="15"/>
    </i>
    <i r="1">
      <x v="33"/>
    </i>
    <i>
      <x v="201"/>
    </i>
    <i r="1">
      <x v="12"/>
    </i>
    <i r="1">
      <x v="15"/>
    </i>
    <i r="1">
      <x v="33"/>
    </i>
    <i>
      <x v="202"/>
    </i>
    <i r="1">
      <x v="12"/>
    </i>
    <i r="1">
      <x v="15"/>
    </i>
    <i r="1">
      <x v="33"/>
    </i>
    <i>
      <x v="203"/>
    </i>
    <i r="1">
      <x v="12"/>
    </i>
    <i>
      <x v="206"/>
    </i>
    <i r="1">
      <x v="22"/>
    </i>
    <i r="1">
      <x v="25"/>
    </i>
    <i>
      <x v="207"/>
    </i>
    <i r="1">
      <x v="25"/>
    </i>
    <i>
      <x v="208"/>
    </i>
    <i r="1">
      <x v="2"/>
    </i>
    <i r="1">
      <x v="16"/>
    </i>
    <i r="1">
      <x v="17"/>
    </i>
    <i r="1">
      <x v="18"/>
    </i>
    <i r="1">
      <x v="19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7"/>
    </i>
    <i r="1">
      <x v="68"/>
    </i>
    <i r="1">
      <x v="74"/>
    </i>
    <i r="1">
      <x v="75"/>
    </i>
    <i r="1">
      <x v="76"/>
    </i>
    <i r="1">
      <x v="79"/>
    </i>
    <i r="1">
      <x v="81"/>
    </i>
    <i r="1">
      <x v="84"/>
    </i>
    <i r="1">
      <x v="86"/>
    </i>
    <i r="1">
      <x v="89"/>
    </i>
    <i r="1">
      <x v="92"/>
    </i>
    <i r="1">
      <x v="117"/>
    </i>
    <i r="1">
      <x v="132"/>
    </i>
    <i r="1">
      <x v="152"/>
    </i>
    <i r="1">
      <x v="155"/>
    </i>
    <i r="1">
      <x v="156"/>
    </i>
    <i r="1">
      <x v="177"/>
    </i>
    <i r="1">
      <x v="186"/>
    </i>
    <i r="1">
      <x v="187"/>
    </i>
    <i r="1">
      <x v="188"/>
    </i>
    <i r="1">
      <x v="189"/>
    </i>
    <i r="1">
      <x v="191"/>
    </i>
    <i r="1">
      <x v="192"/>
    </i>
    <i r="1">
      <x v="200"/>
    </i>
    <i r="1">
      <x v="201"/>
    </i>
    <i r="1">
      <x v="264"/>
    </i>
    <i r="1">
      <x v="278"/>
    </i>
    <i r="1">
      <x v="309"/>
    </i>
    <i r="1">
      <x v="383"/>
    </i>
    <i r="1">
      <x v="403"/>
    </i>
    <i r="1">
      <x v="439"/>
    </i>
    <i r="1">
      <x v="450"/>
    </i>
    <i r="1">
      <x v="503"/>
    </i>
    <i r="1">
      <x v="520"/>
    </i>
    <i r="1">
      <x v="586"/>
    </i>
    <i r="1">
      <x v="596"/>
    </i>
    <i r="1">
      <x v="604"/>
    </i>
    <i r="1">
      <x v="632"/>
    </i>
    <i r="1">
      <x v="635"/>
    </i>
    <i r="1">
      <x v="637"/>
    </i>
    <i r="1">
      <x v="646"/>
    </i>
    <i>
      <x v="209"/>
    </i>
    <i r="1">
      <x v="12"/>
    </i>
    <i r="1">
      <x v="15"/>
    </i>
    <i r="1">
      <x v="33"/>
    </i>
    <i>
      <x v="210"/>
    </i>
    <i r="1">
      <x v="12"/>
    </i>
    <i r="1">
      <x v="15"/>
    </i>
    <i r="1">
      <x v="18"/>
    </i>
    <i r="1">
      <x v="33"/>
    </i>
    <i r="1">
      <x v="464"/>
    </i>
    <i>
      <x v="211"/>
    </i>
    <i r="1">
      <x v="12"/>
    </i>
    <i r="1">
      <x v="15"/>
    </i>
    <i r="1">
      <x v="33"/>
    </i>
    <i>
      <x v="212"/>
    </i>
    <i r="1">
      <x v="12"/>
    </i>
    <i r="1">
      <x v="15"/>
    </i>
    <i r="1">
      <x v="18"/>
    </i>
    <i r="1">
      <x v="33"/>
    </i>
    <i r="1">
      <x v="464"/>
    </i>
    <i>
      <x v="2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7"/>
    </i>
    <i>
      <x v="214"/>
    </i>
    <i r="1">
      <x v="12"/>
    </i>
    <i r="1">
      <x v="15"/>
    </i>
    <i r="1">
      <x v="33"/>
    </i>
    <i>
      <x v="218"/>
    </i>
    <i r="1">
      <x v="23"/>
    </i>
    <i r="1">
      <x v="599"/>
    </i>
    <i r="1">
      <x v="602"/>
    </i>
    <i r="1">
      <x v="636"/>
    </i>
    <i r="1">
      <x v="666"/>
    </i>
    <i r="1">
      <x v="677"/>
    </i>
    <i r="1">
      <x v="683"/>
    </i>
    <i>
      <x v="219"/>
    </i>
    <i r="1">
      <x v="23"/>
    </i>
    <i>
      <x v="221"/>
    </i>
    <i r="1">
      <x v="675"/>
    </i>
    <i>
      <x v="223"/>
    </i>
    <i r="1">
      <x v="2"/>
    </i>
    <i>
      <x v="224"/>
    </i>
    <i r="1">
      <x v="2"/>
    </i>
    <i>
      <x v="225"/>
    </i>
    <i r="1">
      <x v="2"/>
    </i>
    <i>
      <x v="226"/>
    </i>
    <i r="1">
      <x v="2"/>
    </i>
    <i>
      <x v="227"/>
    </i>
    <i r="1">
      <x v="2"/>
    </i>
    <i>
      <x v="228"/>
    </i>
    <i r="1">
      <x v="2"/>
    </i>
    <i>
      <x v="232"/>
    </i>
    <i r="1">
      <x v="193"/>
    </i>
    <i>
      <x v="233"/>
    </i>
    <i r="1">
      <x v="22"/>
    </i>
    <i>
      <x v="264"/>
    </i>
    <i r="1">
      <x v="2"/>
    </i>
    <i r="1">
      <x v="23"/>
    </i>
    <i r="1">
      <x v="384"/>
    </i>
    <i r="1">
      <x v="476"/>
    </i>
    <i r="1">
      <x v="501"/>
    </i>
    <i r="1">
      <x v="502"/>
    </i>
    <i>
      <x v="265"/>
    </i>
    <i r="1">
      <x v="14"/>
    </i>
    <i r="1">
      <x v="15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200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78"/>
    </i>
    <i r="1">
      <x v="586"/>
    </i>
    <i r="1">
      <x v="604"/>
    </i>
    <i r="1">
      <x v="635"/>
    </i>
    <i r="1">
      <x v="637"/>
    </i>
    <i r="1">
      <x v="645"/>
    </i>
    <i r="1">
      <x v="646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683"/>
    </i>
    <i>
      <x v="266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165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86"/>
    </i>
    <i r="1">
      <x v="604"/>
    </i>
    <i r="1">
      <x v="635"/>
    </i>
    <i r="1">
      <x v="637"/>
    </i>
    <i r="1">
      <x v="646"/>
    </i>
    <i r="1">
      <x v="683"/>
    </i>
    <i>
      <x v="277"/>
    </i>
    <i r="1">
      <x v="22"/>
    </i>
    <i r="1">
      <x v="25"/>
    </i>
    <i r="1">
      <x v="26"/>
    </i>
    <i r="1">
      <x v="27"/>
    </i>
    <i r="1">
      <x v="149"/>
    </i>
    <i>
      <x v="278"/>
    </i>
    <i r="1">
      <x v="22"/>
    </i>
    <i r="1">
      <x v="25"/>
    </i>
    <i r="1">
      <x v="26"/>
    </i>
    <i r="1">
      <x v="27"/>
    </i>
    <i r="1">
      <x v="149"/>
    </i>
    <i>
      <x v="279"/>
    </i>
    <i r="1">
      <x v="21"/>
    </i>
    <i>
      <x v="280"/>
    </i>
    <i r="1">
      <x v="21"/>
    </i>
    <i>
      <x v="283"/>
    </i>
    <i r="1">
      <x v="13"/>
    </i>
    <i r="1">
      <x v="31"/>
    </i>
    <i r="1">
      <x v="200"/>
    </i>
    <i r="1">
      <x v="551"/>
    </i>
    <i>
      <x v="286"/>
    </i>
    <i r="1">
      <x v="23"/>
    </i>
    <i r="1">
      <x v="384"/>
    </i>
    <i>
      <x v="288"/>
    </i>
    <i r="1">
      <x v="22"/>
    </i>
    <i>
      <x v="297"/>
    </i>
    <i r="1">
      <x v="23"/>
    </i>
    <i>
      <x v="303"/>
    </i>
    <i r="1">
      <x v="69"/>
    </i>
    <i>
      <x v="304"/>
    </i>
    <i r="1">
      <x v="20"/>
    </i>
    <i>
      <x v="305"/>
    </i>
    <i r="1">
      <x v="69"/>
    </i>
    <i>
      <x v="306"/>
    </i>
    <i r="1">
      <x v="2"/>
    </i>
    <i r="1">
      <x v="14"/>
    </i>
    <i r="1">
      <x v="15"/>
    </i>
    <i r="1">
      <x v="16"/>
    </i>
    <i r="1">
      <x v="31"/>
    </i>
    <i r="1">
      <x v="72"/>
    </i>
    <i r="1">
      <x v="78"/>
    </i>
    <i r="1">
      <x v="200"/>
    </i>
    <i r="1">
      <x v="421"/>
    </i>
    <i r="1">
      <x v="423"/>
    </i>
    <i r="1">
      <x v="425"/>
    </i>
    <i r="1">
      <x v="428"/>
    </i>
    <i r="1">
      <x v="429"/>
    </i>
    <i r="1">
      <x v="430"/>
    </i>
    <i r="1">
      <x v="431"/>
    </i>
    <i r="1">
      <x v="432"/>
    </i>
    <i r="1">
      <x v="435"/>
    </i>
    <i r="1">
      <x v="436"/>
    </i>
    <i r="1">
      <x v="451"/>
    </i>
    <i r="1">
      <x v="520"/>
    </i>
    <i r="1">
      <x v="529"/>
    </i>
    <i r="1">
      <x v="583"/>
    </i>
    <i r="1">
      <x v="599"/>
    </i>
    <i r="1">
      <x v="604"/>
    </i>
    <i r="1">
      <x v="636"/>
    </i>
    <i r="1">
      <x v="647"/>
    </i>
    <i r="1">
      <x v="672"/>
    </i>
    <i r="1">
      <x v="678"/>
    </i>
    <i>
      <x v="307"/>
    </i>
    <i r="1">
      <x v="23"/>
    </i>
    <i>
      <x v="308"/>
    </i>
    <i r="1">
      <x v="23"/>
    </i>
    <i>
      <x v="309"/>
    </i>
    <i r="1">
      <x v="2"/>
    </i>
    <i r="1">
      <x v="11"/>
    </i>
    <i r="1">
      <x v="14"/>
    </i>
    <i r="1">
      <x v="16"/>
    </i>
    <i r="1">
      <x v="19"/>
    </i>
    <i r="1">
      <x v="32"/>
    </i>
    <i r="1">
      <x v="209"/>
    </i>
    <i r="1">
      <x v="260"/>
    </i>
    <i r="1">
      <x v="498"/>
    </i>
    <i r="1">
      <x v="509"/>
    </i>
    <i r="1">
      <x v="520"/>
    </i>
    <i r="1">
      <x v="564"/>
    </i>
    <i r="1">
      <x v="578"/>
    </i>
    <i r="1">
      <x v="583"/>
    </i>
    <i r="1">
      <x v="586"/>
    </i>
    <i r="1">
      <x v="604"/>
    </i>
    <i r="1">
      <x v="637"/>
    </i>
    <i r="1">
      <x v="643"/>
    </i>
    <i r="1">
      <x v="680"/>
    </i>
    <i>
      <x v="310"/>
    </i>
    <i r="1">
      <x v="2"/>
    </i>
    <i r="1">
      <x v="16"/>
    </i>
    <i r="1">
      <x v="17"/>
    </i>
    <i r="1">
      <x v="19"/>
    </i>
    <i r="1">
      <x v="33"/>
    </i>
    <i r="1">
      <x v="34"/>
    </i>
    <i r="1">
      <x v="260"/>
    </i>
    <i r="1">
      <x v="578"/>
    </i>
    <i r="1">
      <x v="586"/>
    </i>
    <i r="1">
      <x v="604"/>
    </i>
    <i r="1">
      <x v="637"/>
    </i>
    <i>
      <x v="311"/>
    </i>
    <i r="1">
      <x v="2"/>
    </i>
    <i r="1">
      <x v="17"/>
    </i>
    <i r="1">
      <x v="19"/>
    </i>
    <i r="1">
      <x v="578"/>
    </i>
    <i>
      <x v="320"/>
    </i>
    <i r="1">
      <x v="193"/>
    </i>
    <i>
      <x v="322"/>
    </i>
    <i r="1">
      <x v="22"/>
    </i>
    <i r="1">
      <x v="25"/>
    </i>
    <i r="1">
      <x v="26"/>
    </i>
    <i r="1">
      <x v="27"/>
    </i>
    <i r="1">
      <x v="149"/>
    </i>
    <i>
      <x v="323"/>
    </i>
    <i r="1">
      <x v="22"/>
    </i>
    <i r="1">
      <x v="25"/>
    </i>
    <i r="1">
      <x v="26"/>
    </i>
    <i r="1">
      <x v="27"/>
    </i>
    <i r="1">
      <x v="149"/>
    </i>
    <i>
      <x v="324"/>
    </i>
    <i r="1">
      <x v="23"/>
    </i>
    <i r="1">
      <x v="148"/>
    </i>
    <i r="1">
      <x v="384"/>
    </i>
    <i r="1">
      <x v="463"/>
    </i>
    <i>
      <x v="325"/>
    </i>
    <i r="1">
      <x v="22"/>
    </i>
    <i r="1">
      <x v="25"/>
    </i>
    <i r="1">
      <x v="26"/>
    </i>
    <i r="1">
      <x v="27"/>
    </i>
    <i r="1">
      <x v="149"/>
    </i>
    <i>
      <x v="326"/>
    </i>
    <i r="1">
      <x v="22"/>
    </i>
    <i r="1">
      <x v="25"/>
    </i>
    <i r="1">
      <x v="26"/>
    </i>
    <i r="1">
      <x v="27"/>
    </i>
    <i r="1">
      <x v="149"/>
    </i>
    <i>
      <x v="327"/>
    </i>
    <i r="1">
      <x v="69"/>
    </i>
    <i>
      <x v="328"/>
    </i>
    <i r="1">
      <x v="23"/>
    </i>
    <i r="1">
      <x v="384"/>
    </i>
    <i>
      <x v="329"/>
    </i>
    <i r="1">
      <x v="23"/>
    </i>
    <i r="1">
      <x v="148"/>
    </i>
    <i r="1">
      <x v="473"/>
    </i>
    <i r="1">
      <x v="646"/>
    </i>
    <i>
      <x v="332"/>
    </i>
    <i r="1">
      <x v="23"/>
    </i>
    <i>
      <x v="334"/>
    </i>
    <i r="1">
      <x v="23"/>
    </i>
    <i r="1">
      <x v="148"/>
    </i>
    <i r="1">
      <x v="384"/>
    </i>
    <i>
      <x v="335"/>
    </i>
    <i r="1">
      <x v="23"/>
    </i>
    <i r="1">
      <x v="148"/>
    </i>
    <i r="1">
      <x v="384"/>
    </i>
    <i>
      <x v="336"/>
    </i>
    <i r="1">
      <x v="23"/>
    </i>
    <i r="1">
      <x v="148"/>
    </i>
    <i r="1">
      <x v="384"/>
    </i>
    <i>
      <x v="337"/>
    </i>
    <i r="1">
      <x v="23"/>
    </i>
    <i r="1">
      <x v="148"/>
    </i>
    <i r="1">
      <x v="384"/>
    </i>
    <i>
      <x v="338"/>
    </i>
    <i r="1">
      <x v="23"/>
    </i>
    <i r="1">
      <x v="148"/>
    </i>
    <i r="1">
      <x v="384"/>
    </i>
    <i>
      <x v="340"/>
    </i>
    <i r="1">
      <x v="23"/>
    </i>
    <i r="1">
      <x v="269"/>
    </i>
    <i r="1">
      <x v="384"/>
    </i>
    <i>
      <x v="341"/>
    </i>
    <i r="1">
      <x v="23"/>
    </i>
    <i>
      <x v="344"/>
    </i>
    <i r="1">
      <x v="23"/>
    </i>
    <i>
      <x v="345"/>
    </i>
    <i r="1">
      <x v="23"/>
    </i>
    <i r="1">
      <x v="53"/>
    </i>
    <i>
      <x v="346"/>
    </i>
    <i r="1">
      <x v="23"/>
    </i>
    <i>
      <x v="347"/>
    </i>
    <i r="1">
      <x v="23"/>
    </i>
    <i>
      <x v="348"/>
    </i>
    <i r="1">
      <x v="20"/>
    </i>
    <i>
      <x v="349"/>
    </i>
    <i r="1">
      <x v="20"/>
    </i>
    <i r="1">
      <x v="151"/>
    </i>
    <i r="1">
      <x v="556"/>
    </i>
    <i r="1">
      <x v="557"/>
    </i>
    <i r="1">
      <x v="558"/>
    </i>
    <i>
      <x v="350"/>
    </i>
    <i r="1">
      <x v="2"/>
    </i>
    <i r="1">
      <x v="78"/>
    </i>
    <i>
      <x v="351"/>
    </i>
    <i r="1">
      <x v="23"/>
    </i>
    <i>
      <x v="352"/>
    </i>
    <i r="1">
      <x v="20"/>
    </i>
    <i>
      <x v="353"/>
    </i>
    <i r="1">
      <x v="20"/>
    </i>
    <i>
      <x v="354"/>
    </i>
    <i r="1">
      <x v="20"/>
    </i>
    <i>
      <x v="355"/>
    </i>
    <i r="1">
      <x v="69"/>
    </i>
    <i>
      <x v="356"/>
    </i>
    <i r="1">
      <x v="69"/>
    </i>
    <i>
      <x v="357"/>
    </i>
    <i r="1">
      <x v="2"/>
    </i>
    <i r="1">
      <x v="69"/>
    </i>
    <i>
      <x v="358"/>
    </i>
    <i r="1">
      <x v="2"/>
    </i>
    <i r="1">
      <x v="23"/>
    </i>
    <i>
      <x v="359"/>
    </i>
    <i r="1">
      <x v="23"/>
    </i>
    <i r="1">
      <x v="269"/>
    </i>
    <i r="1">
      <x v="384"/>
    </i>
    <i>
      <x v="360"/>
    </i>
    <i r="1">
      <x v="2"/>
    </i>
    <i r="1">
      <x v="23"/>
    </i>
    <i>
      <x v="361"/>
    </i>
    <i r="1">
      <x v="2"/>
    </i>
    <i r="1">
      <x v="23"/>
    </i>
    <i>
      <x v="362"/>
    </i>
    <i r="1">
      <x v="69"/>
    </i>
    <i>
      <x v="363"/>
    </i>
    <i r="1">
      <x v="23"/>
    </i>
    <i r="1">
      <x v="269"/>
    </i>
    <i r="1">
      <x v="384"/>
    </i>
    <i>
      <x v="36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5"/>
    </i>
    <i r="1">
      <x v="23"/>
    </i>
    <i r="1">
      <x v="148"/>
    </i>
    <i>
      <x v="366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8"/>
    </i>
    <i r="1">
      <x v="23"/>
    </i>
    <i r="1">
      <x v="148"/>
    </i>
    <i r="1">
      <x v="269"/>
    </i>
    <i>
      <x v="369"/>
    </i>
    <i r="1">
      <x v="23"/>
    </i>
    <i r="1">
      <x v="148"/>
    </i>
    <i>
      <x v="370"/>
    </i>
    <i r="1">
      <x v="23"/>
    </i>
    <i r="1">
      <x v="269"/>
    </i>
    <i r="1">
      <x v="384"/>
    </i>
    <i>
      <x v="371"/>
    </i>
    <i r="1">
      <x v="2"/>
    </i>
    <i r="1">
      <x v="15"/>
    </i>
    <i r="1">
      <x v="16"/>
    </i>
    <i r="1">
      <x v="18"/>
    </i>
    <i r="1">
      <x v="19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50"/>
    </i>
    <i r="1">
      <x v="451"/>
    </i>
    <i r="1">
      <x v="520"/>
    </i>
    <i r="1">
      <x v="546"/>
    </i>
    <i r="1">
      <x v="547"/>
    </i>
    <i r="1">
      <x v="549"/>
    </i>
    <i r="1">
      <x v="550"/>
    </i>
    <i r="1">
      <x v="577"/>
    </i>
    <i r="1">
      <x v="582"/>
    </i>
    <i r="1">
      <x v="586"/>
    </i>
    <i r="1">
      <x v="588"/>
    </i>
    <i r="1">
      <x v="595"/>
    </i>
    <i r="1">
      <x v="597"/>
    </i>
    <i r="1">
      <x v="599"/>
    </i>
    <i r="1">
      <x v="600"/>
    </i>
    <i r="1">
      <x v="602"/>
    </i>
    <i r="1">
      <x v="604"/>
    </i>
    <i r="1">
      <x v="636"/>
    </i>
    <i r="1">
      <x v="637"/>
    </i>
    <i r="1">
      <x v="646"/>
    </i>
    <i r="1">
      <x v="647"/>
    </i>
    <i r="1">
      <x v="649"/>
    </i>
    <i r="1">
      <x v="650"/>
    </i>
    <i r="1">
      <x v="665"/>
    </i>
    <i r="1">
      <x v="669"/>
    </i>
    <i r="1">
      <x v="671"/>
    </i>
    <i r="1">
      <x v="672"/>
    </i>
    <i r="1">
      <x v="674"/>
    </i>
    <i r="1">
      <x v="677"/>
    </i>
    <i r="1">
      <x v="678"/>
    </i>
    <i r="1">
      <x v="681"/>
    </i>
    <i r="1">
      <x v="682"/>
    </i>
    <i r="1">
      <x v="683"/>
    </i>
    <i>
      <x v="372"/>
    </i>
    <i r="1">
      <x v="2"/>
    </i>
    <i r="1">
      <x v="23"/>
    </i>
    <i>
      <x v="373"/>
    </i>
    <i r="1">
      <x v="2"/>
    </i>
    <i r="1">
      <x v="23"/>
    </i>
    <i>
      <x v="374"/>
    </i>
    <i r="1">
      <x v="20"/>
    </i>
    <i>
      <x v="375"/>
    </i>
    <i r="1">
      <x v="23"/>
    </i>
    <i r="1">
      <x v="639"/>
    </i>
    <i r="1">
      <x v="676"/>
    </i>
    <i>
      <x v="376"/>
    </i>
    <i r="1">
      <x v="198"/>
    </i>
    <i>
      <x v="377"/>
    </i>
    <i r="1">
      <x v="23"/>
    </i>
    <i>
      <x v="379"/>
    </i>
    <i r="1">
      <x v="23"/>
    </i>
    <i>
      <x v="380"/>
    </i>
    <i r="1">
      <x v="23"/>
    </i>
    <i>
      <x v="382"/>
    </i>
    <i r="1">
      <x v="23"/>
    </i>
    <i>
      <x v="383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31"/>
    </i>
    <i r="1">
      <x v="32"/>
    </i>
    <i r="1">
      <x v="33"/>
    </i>
    <i r="1">
      <x v="34"/>
    </i>
    <i r="1">
      <x v="78"/>
    </i>
    <i r="1">
      <x v="11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6"/>
    </i>
    <i r="1">
      <x v="637"/>
    </i>
    <i>
      <x v="384"/>
    </i>
    <i r="1">
      <x v="23"/>
    </i>
    <i>
      <x v="385"/>
    </i>
    <i r="1">
      <x v="23"/>
    </i>
    <i>
      <x v="386"/>
    </i>
    <i r="1">
      <x v="13"/>
    </i>
    <i r="1">
      <x v="14"/>
    </i>
    <i r="1">
      <x v="15"/>
    </i>
    <i r="1">
      <x v="16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6"/>
    </i>
    <i r="1">
      <x v="60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39"/>
    </i>
    <i r="1">
      <x v="450"/>
    </i>
    <i r="1">
      <x v="473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3"/>
    </i>
    <i r="1">
      <x v="634"/>
    </i>
    <i r="1">
      <x v="635"/>
    </i>
    <i r="1">
      <x v="636"/>
    </i>
    <i r="1">
      <x v="637"/>
    </i>
    <i r="1">
      <x v="645"/>
    </i>
    <i r="1">
      <x v="646"/>
    </i>
    <i r="1">
      <x v="647"/>
    </i>
    <i r="1">
      <x v="660"/>
    </i>
    <i r="1">
      <x v="671"/>
    </i>
    <i r="1">
      <x v="677"/>
    </i>
    <i r="1">
      <x v="681"/>
    </i>
    <i r="1">
      <x v="682"/>
    </i>
    <i>
      <x v="387"/>
    </i>
    <i r="1">
      <x v="23"/>
    </i>
    <i r="1">
      <x v="384"/>
    </i>
    <i r="1">
      <x v="476"/>
    </i>
    <i r="1">
      <x v="501"/>
    </i>
    <i r="1">
      <x v="502"/>
    </i>
    <i>
      <x v="388"/>
    </i>
    <i r="1">
      <x v="24"/>
    </i>
    <i>
      <x v="389"/>
    </i>
    <i r="1">
      <x v="69"/>
    </i>
    <i>
      <x v="390"/>
    </i>
    <i r="1">
      <x v="69"/>
    </i>
    <i>
      <x v="391"/>
    </i>
    <i r="1">
      <x v="69"/>
    </i>
    <i>
      <x v="392"/>
    </i>
    <i r="1">
      <x v="69"/>
    </i>
    <i>
      <x v="393"/>
    </i>
    <i r="1">
      <x v="69"/>
    </i>
    <i>
      <x v="394"/>
    </i>
    <i r="1">
      <x v="69"/>
    </i>
    <i>
      <x v="395"/>
    </i>
    <i r="1">
      <x v="69"/>
    </i>
    <i>
      <x v="396"/>
    </i>
    <i r="1">
      <x v="69"/>
    </i>
    <i>
      <x v="397"/>
    </i>
    <i r="1">
      <x v="69"/>
    </i>
    <i>
      <x v="398"/>
    </i>
    <i r="1">
      <x v="69"/>
    </i>
    <i>
      <x v="399"/>
    </i>
    <i r="1">
      <x v="69"/>
    </i>
    <i>
      <x v="400"/>
    </i>
    <i r="1">
      <x v="69"/>
    </i>
    <i>
      <x v="401"/>
    </i>
    <i r="1">
      <x v="69"/>
    </i>
    <i>
      <x v="402"/>
    </i>
    <i r="1">
      <x v="69"/>
    </i>
    <i>
      <x v="403"/>
    </i>
    <i r="1">
      <x v="23"/>
    </i>
    <i>
      <x v="404"/>
    </i>
    <i r="1">
      <x v="23"/>
    </i>
    <i>
      <x v="405"/>
    </i>
    <i r="1">
      <x v="23"/>
    </i>
    <i>
      <x v="406"/>
    </i>
    <i r="1">
      <x v="23"/>
    </i>
    <i>
      <x v="407"/>
    </i>
    <i r="1">
      <x v="23"/>
    </i>
    <i>
      <x v="408"/>
    </i>
    <i r="1">
      <x v="23"/>
    </i>
    <i>
      <x v="409"/>
    </i>
    <i r="1">
      <x v="23"/>
    </i>
    <i>
      <x v="410"/>
    </i>
    <i r="1">
      <x v="23"/>
    </i>
    <i>
      <x v="411"/>
    </i>
    <i r="1">
      <x v="23"/>
    </i>
    <i>
      <x v="412"/>
    </i>
    <i r="1">
      <x v="23"/>
    </i>
    <i>
      <x v="413"/>
    </i>
    <i r="1">
      <x v="23"/>
    </i>
    <i>
      <x v="414"/>
    </i>
    <i r="1">
      <x v="23"/>
    </i>
    <i>
      <x v="415"/>
    </i>
    <i r="1">
      <x v="23"/>
    </i>
    <i>
      <x v="416"/>
    </i>
    <i r="1">
      <x v="23"/>
    </i>
    <i>
      <x v="417"/>
    </i>
    <i r="1">
      <x v="23"/>
    </i>
    <i>
      <x v="418"/>
    </i>
    <i r="1">
      <x v="23"/>
    </i>
    <i>
      <x v="419"/>
    </i>
    <i r="1">
      <x v="23"/>
    </i>
    <i>
      <x v="420"/>
    </i>
    <i r="1">
      <x v="23"/>
    </i>
    <i>
      <x v="421"/>
    </i>
    <i r="1">
      <x v="23"/>
    </i>
    <i>
      <x v="422"/>
    </i>
    <i r="1">
      <x v="23"/>
    </i>
    <i>
      <x v="423"/>
    </i>
    <i r="1">
      <x v="23"/>
    </i>
    <i>
      <x v="424"/>
    </i>
    <i r="1">
      <x v="23"/>
    </i>
    <i>
      <x v="425"/>
    </i>
    <i r="1">
      <x v="23"/>
    </i>
    <i>
      <x v="426"/>
    </i>
    <i r="1">
      <x v="23"/>
    </i>
    <i>
      <x v="427"/>
    </i>
    <i r="1">
      <x v="23"/>
    </i>
    <i>
      <x v="428"/>
    </i>
    <i r="1">
      <x v="23"/>
    </i>
    <i>
      <x v="429"/>
    </i>
    <i r="1">
      <x v="23"/>
    </i>
    <i r="1">
      <x v="476"/>
    </i>
    <i r="1">
      <x v="501"/>
    </i>
    <i r="1">
      <x v="502"/>
    </i>
    <i>
      <x v="430"/>
    </i>
    <i r="1">
      <x v="23"/>
    </i>
    <i r="1">
      <x v="476"/>
    </i>
    <i r="1">
      <x v="502"/>
    </i>
    <i>
      <x v="431"/>
    </i>
    <i r="1">
      <x v="23"/>
    </i>
    <i>
      <x v="432"/>
    </i>
    <i r="1">
      <x v="23"/>
    </i>
    <i r="1">
      <x v="384"/>
    </i>
    <i r="1">
      <x v="476"/>
    </i>
    <i r="1">
      <x v="501"/>
    </i>
    <i r="1">
      <x v="502"/>
    </i>
    <i>
      <x v="433"/>
    </i>
    <i r="1">
      <x v="2"/>
    </i>
    <i r="1">
      <x v="67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onto Total" fld="15" baseField="0" baseItem="0"/>
    <dataField name="Suma de Monto" fld="7" baseField="0" baseItem="0"/>
  </dataFields>
  <formats count="82">
    <format dxfId="106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5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100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99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98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97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96">
      <pivotArea dataOnly="0" labelOnly="1" grandRow="1" outline="0" fieldPosition="0"/>
    </format>
    <format dxfId="95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94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93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2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1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90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9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8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7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6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85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84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83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82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81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80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9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8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77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76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75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74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73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72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71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70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69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68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67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66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5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64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3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2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1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60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59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8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57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56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55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4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3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52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1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0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8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7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6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5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44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43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0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9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38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collapsedLevelsAreSubtotals="1" fieldPosition="0">
        <references count="1">
          <reference field="0" count="1">
            <x v="42"/>
          </reference>
        </references>
      </pivotArea>
    </format>
    <format dxfId="35">
      <pivotArea dataOnly="0" labelOnly="1" fieldPosition="0">
        <references count="1">
          <reference field="0" count="1">
            <x v="42"/>
          </reference>
        </references>
      </pivotArea>
    </format>
    <format dxfId="34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3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2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1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0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9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8">
      <pivotArea collapsedLevelsAreSubtotals="1" fieldPosition="0">
        <references count="1">
          <reference field="0" count="1">
            <x v="138"/>
          </reference>
        </references>
      </pivotArea>
    </format>
    <format dxfId="27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6">
      <pivotArea dataOnly="0" labelOnly="1" fieldPosition="0">
        <references count="1">
          <reference field="0" count="1">
            <x v="138"/>
          </reference>
        </references>
      </pivotArea>
    </format>
    <format dxfId="25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5:AC12551"/>
  <sheetViews>
    <sheetView topLeftCell="M1" zoomScale="85" zoomScaleNormal="85" workbookViewId="0">
      <selection activeCell="W5" sqref="W5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3.28515625" bestFit="1" customWidth="1"/>
    <col min="24" max="24" width="12.28515625" style="22" bestFit="1" customWidth="1"/>
    <col min="27" max="27" width="24.140625" bestFit="1" customWidth="1"/>
    <col min="28" max="28" width="20" style="22" bestFit="1" customWidth="1"/>
    <col min="29" max="29" width="15" style="22" bestFit="1" customWidth="1"/>
  </cols>
  <sheetData>
    <row r="5" spans="1:29" ht="24.75" customHeight="1" x14ac:dyDescent="0.25">
      <c r="B5" s="21" t="s">
        <v>0</v>
      </c>
      <c r="C5" s="21" t="s">
        <v>1</v>
      </c>
      <c r="D5" s="21" t="s">
        <v>2</v>
      </c>
      <c r="E5" s="21" t="s">
        <v>3</v>
      </c>
      <c r="F5" s="21" t="s">
        <v>4</v>
      </c>
      <c r="G5" s="21" t="s">
        <v>5</v>
      </c>
      <c r="H5" s="21" t="s">
        <v>6</v>
      </c>
      <c r="I5" s="21" t="s">
        <v>7</v>
      </c>
      <c r="J5" s="21" t="s">
        <v>8</v>
      </c>
      <c r="K5" s="21" t="s">
        <v>9</v>
      </c>
      <c r="L5" s="21" t="s">
        <v>10</v>
      </c>
      <c r="M5" s="21" t="s">
        <v>11</v>
      </c>
      <c r="N5" s="21" t="s">
        <v>12</v>
      </c>
      <c r="O5" s="21" t="s">
        <v>13</v>
      </c>
      <c r="P5" s="21" t="s">
        <v>14</v>
      </c>
      <c r="Q5" s="21" t="s">
        <v>15</v>
      </c>
      <c r="R5" s="21" t="s">
        <v>16</v>
      </c>
      <c r="S5" s="21" t="s">
        <v>17</v>
      </c>
      <c r="W5" s="127" t="s">
        <v>23</v>
      </c>
      <c r="X5" s="128" t="s">
        <v>24</v>
      </c>
      <c r="AA5" s="127" t="s">
        <v>19</v>
      </c>
      <c r="AB5" s="128" t="s">
        <v>25</v>
      </c>
      <c r="AC5" s="128" t="s">
        <v>22</v>
      </c>
    </row>
    <row r="6" spans="1:29" x14ac:dyDescent="0.25">
      <c r="A6" t="str">
        <f>B6&amp;D6</f>
        <v xml:space="preserve">1000001249STERGOB ED          </v>
      </c>
      <c r="B6" s="96">
        <v>1000001249</v>
      </c>
      <c r="C6" s="96" t="s">
        <v>622</v>
      </c>
      <c r="D6" s="96" t="s">
        <v>389</v>
      </c>
      <c r="E6" s="96" t="s">
        <v>623</v>
      </c>
      <c r="F6" s="96" t="s">
        <v>624</v>
      </c>
      <c r="G6" s="99">
        <v>1155643</v>
      </c>
      <c r="H6" s="97">
        <v>3.3967719999999999</v>
      </c>
      <c r="I6" s="98">
        <v>3925455.7843960002</v>
      </c>
      <c r="J6" s="97">
        <v>3.3770057708133048</v>
      </c>
      <c r="K6" s="98">
        <v>22842.704396000001</v>
      </c>
      <c r="L6" s="99">
        <v>0</v>
      </c>
      <c r="M6" s="98">
        <v>0</v>
      </c>
      <c r="N6" s="99">
        <v>0</v>
      </c>
      <c r="O6" s="98">
        <v>0</v>
      </c>
      <c r="P6" s="99">
        <v>1155643</v>
      </c>
      <c r="Q6" s="98">
        <v>3925455.7843960002</v>
      </c>
      <c r="R6" s="96" t="s">
        <v>625</v>
      </c>
      <c r="S6" s="96">
        <v>7414000005</v>
      </c>
      <c r="W6" s="129">
        <v>3373</v>
      </c>
      <c r="X6" s="130">
        <v>0</v>
      </c>
      <c r="AA6" s="129">
        <v>1006090</v>
      </c>
      <c r="AB6" s="130">
        <v>0</v>
      </c>
      <c r="AC6" s="130">
        <v>0</v>
      </c>
    </row>
    <row r="7" spans="1:29" x14ac:dyDescent="0.25">
      <c r="A7" t="e">
        <f>#REF!&amp;#REF!</f>
        <v>#REF!</v>
      </c>
      <c r="B7" s="96">
        <v>1000001249</v>
      </c>
      <c r="C7" s="96" t="s">
        <v>622</v>
      </c>
      <c r="D7" s="96" t="s">
        <v>404</v>
      </c>
      <c r="E7" s="96" t="s">
        <v>623</v>
      </c>
      <c r="F7" s="96" t="s">
        <v>624</v>
      </c>
      <c r="G7" s="99">
        <v>460</v>
      </c>
      <c r="H7" s="97">
        <v>137.94899000000001</v>
      </c>
      <c r="I7" s="98">
        <v>63456.535400000001</v>
      </c>
      <c r="J7" s="97">
        <v>139.5491304347826</v>
      </c>
      <c r="K7" s="98">
        <v>-736.06460000000004</v>
      </c>
      <c r="L7" s="99">
        <v>0</v>
      </c>
      <c r="M7" s="98">
        <v>0</v>
      </c>
      <c r="N7" s="99">
        <v>0</v>
      </c>
      <c r="O7" s="98">
        <v>0</v>
      </c>
      <c r="P7" s="99">
        <v>460</v>
      </c>
      <c r="Q7" s="98">
        <v>63456.535400000001</v>
      </c>
      <c r="R7" s="96" t="s">
        <v>625</v>
      </c>
      <c r="S7" s="96">
        <v>7414000005</v>
      </c>
      <c r="W7" s="129">
        <v>59181</v>
      </c>
      <c r="X7" s="130">
        <v>7073205.105556001</v>
      </c>
      <c r="AA7" s="131" t="s">
        <v>376</v>
      </c>
      <c r="AB7" s="130">
        <v>0</v>
      </c>
      <c r="AC7" s="130">
        <v>0</v>
      </c>
    </row>
    <row r="8" spans="1:29" x14ac:dyDescent="0.25">
      <c r="A8" t="e">
        <f>#REF!&amp;#REF!</f>
        <v>#REF!</v>
      </c>
      <c r="B8" s="96">
        <v>1000001249</v>
      </c>
      <c r="C8" s="96" t="s">
        <v>622</v>
      </c>
      <c r="D8" s="96" t="s">
        <v>405</v>
      </c>
      <c r="E8" s="96" t="s">
        <v>623</v>
      </c>
      <c r="F8" s="96" t="s">
        <v>624</v>
      </c>
      <c r="G8" s="99">
        <v>100570</v>
      </c>
      <c r="H8" s="97">
        <v>3.6096119999999998</v>
      </c>
      <c r="I8" s="98">
        <v>363018.67884000001</v>
      </c>
      <c r="J8" s="97">
        <v>3.6610171025156606</v>
      </c>
      <c r="K8" s="98">
        <v>-5169.8111600000002</v>
      </c>
      <c r="L8" s="99">
        <v>0</v>
      </c>
      <c r="M8" s="98">
        <v>0</v>
      </c>
      <c r="N8" s="99">
        <v>0</v>
      </c>
      <c r="O8" s="98">
        <v>0</v>
      </c>
      <c r="P8" s="99">
        <v>100570</v>
      </c>
      <c r="Q8" s="98">
        <v>363018.67884000001</v>
      </c>
      <c r="R8" s="96" t="s">
        <v>625</v>
      </c>
      <c r="S8" s="96">
        <v>7414000005</v>
      </c>
      <c r="W8" s="129">
        <v>64518</v>
      </c>
      <c r="X8" s="130">
        <v>85628899.491292</v>
      </c>
      <c r="AA8" s="131" t="s">
        <v>382</v>
      </c>
      <c r="AB8" s="130">
        <v>0</v>
      </c>
      <c r="AC8" s="130">
        <v>0</v>
      </c>
    </row>
    <row r="9" spans="1:29" x14ac:dyDescent="0.25">
      <c r="A9" t="str">
        <f t="shared" ref="A9:A40" si="0">B7&amp;D7</f>
        <v xml:space="preserve">1000001249SVIVE20 ED          </v>
      </c>
      <c r="B9" s="96">
        <v>1000001249</v>
      </c>
      <c r="C9" s="96" t="s">
        <v>622</v>
      </c>
      <c r="D9" s="96" t="s">
        <v>406</v>
      </c>
      <c r="E9" s="96" t="s">
        <v>623</v>
      </c>
      <c r="F9" s="96" t="s">
        <v>624</v>
      </c>
      <c r="G9" s="99">
        <v>33104</v>
      </c>
      <c r="H9" s="97">
        <v>2.1897980000000001</v>
      </c>
      <c r="I9" s="98">
        <v>72491.072992000001</v>
      </c>
      <c r="J9" s="97">
        <v>2.232305763653939</v>
      </c>
      <c r="K9" s="98">
        <v>-1407.1770079999999</v>
      </c>
      <c r="L9" s="99">
        <v>0</v>
      </c>
      <c r="M9" s="98">
        <v>0</v>
      </c>
      <c r="N9" s="99">
        <v>0</v>
      </c>
      <c r="O9" s="98">
        <v>0</v>
      </c>
      <c r="P9" s="99">
        <v>33104</v>
      </c>
      <c r="Q9" s="98">
        <v>72491.072992000001</v>
      </c>
      <c r="R9" s="96" t="s">
        <v>625</v>
      </c>
      <c r="S9" s="96">
        <v>7414000005</v>
      </c>
      <c r="W9" s="129">
        <v>65723</v>
      </c>
      <c r="X9" s="130">
        <v>0</v>
      </c>
      <c r="AA9" s="131" t="s">
        <v>408</v>
      </c>
      <c r="AB9" s="130">
        <v>0</v>
      </c>
      <c r="AC9" s="130">
        <v>0</v>
      </c>
    </row>
    <row r="10" spans="1:29" x14ac:dyDescent="0.25">
      <c r="A10" t="str">
        <f t="shared" si="0"/>
        <v xml:space="preserve">1000001249SVIVE35 ED          </v>
      </c>
      <c r="B10" s="96">
        <v>1000001573</v>
      </c>
      <c r="C10" s="96" t="s">
        <v>626</v>
      </c>
      <c r="D10" s="96" t="s">
        <v>357</v>
      </c>
      <c r="E10" s="96" t="s">
        <v>623</v>
      </c>
      <c r="F10" s="96" t="s">
        <v>624</v>
      </c>
      <c r="G10" s="99">
        <v>0</v>
      </c>
      <c r="H10" s="97">
        <v>0</v>
      </c>
      <c r="I10" s="98">
        <v>0</v>
      </c>
      <c r="J10" s="97">
        <v>0</v>
      </c>
      <c r="K10" s="98">
        <v>0</v>
      </c>
      <c r="L10" s="99">
        <v>0</v>
      </c>
      <c r="M10" s="98">
        <v>0</v>
      </c>
      <c r="N10" s="99">
        <v>0</v>
      </c>
      <c r="O10" s="98">
        <v>0</v>
      </c>
      <c r="P10" s="99">
        <v>0</v>
      </c>
      <c r="Q10" s="98">
        <v>0</v>
      </c>
      <c r="R10" s="96" t="s">
        <v>625</v>
      </c>
      <c r="S10" s="96">
        <v>7414000005</v>
      </c>
      <c r="W10" s="129">
        <v>71358</v>
      </c>
      <c r="X10" s="130">
        <v>0</v>
      </c>
      <c r="AA10" s="131" t="s">
        <v>396</v>
      </c>
      <c r="AB10" s="130">
        <v>0</v>
      </c>
      <c r="AC10" s="130">
        <v>0</v>
      </c>
    </row>
    <row r="11" spans="1:29" x14ac:dyDescent="0.25">
      <c r="A11" t="str">
        <f t="shared" si="0"/>
        <v xml:space="preserve">1000001249SVIVE50 ED          </v>
      </c>
      <c r="B11" s="96">
        <v>1000001573</v>
      </c>
      <c r="C11" s="96" t="s">
        <v>626</v>
      </c>
      <c r="D11" s="96" t="s">
        <v>358</v>
      </c>
      <c r="E11" s="96" t="s">
        <v>623</v>
      </c>
      <c r="F11" s="96" t="s">
        <v>624</v>
      </c>
      <c r="G11" s="99">
        <v>0</v>
      </c>
      <c r="H11" s="97">
        <v>0</v>
      </c>
      <c r="I11" s="98">
        <v>0</v>
      </c>
      <c r="J11" s="97">
        <v>0</v>
      </c>
      <c r="K11" s="98">
        <v>0</v>
      </c>
      <c r="L11" s="99">
        <v>0</v>
      </c>
      <c r="M11" s="98">
        <v>0</v>
      </c>
      <c r="N11" s="99">
        <v>0</v>
      </c>
      <c r="O11" s="98">
        <v>0</v>
      </c>
      <c r="P11" s="99">
        <v>0</v>
      </c>
      <c r="Q11" s="98">
        <v>0</v>
      </c>
      <c r="R11" s="96" t="s">
        <v>625</v>
      </c>
      <c r="S11" s="96">
        <v>7414000005</v>
      </c>
      <c r="W11" s="129">
        <v>71610</v>
      </c>
      <c r="X11" s="130">
        <v>0</v>
      </c>
      <c r="AA11" s="129">
        <v>1008774</v>
      </c>
      <c r="AB11" s="130">
        <v>1559113499.5463722</v>
      </c>
      <c r="AC11" s="130">
        <v>1559113499.5463722</v>
      </c>
    </row>
    <row r="12" spans="1:29" x14ac:dyDescent="0.25">
      <c r="A12" t="str">
        <f t="shared" si="0"/>
        <v xml:space="preserve">1000001573AC *                </v>
      </c>
      <c r="B12" s="96">
        <v>1000001573</v>
      </c>
      <c r="C12" s="96" t="s">
        <v>626</v>
      </c>
      <c r="D12" s="96" t="s">
        <v>506</v>
      </c>
      <c r="E12" s="96" t="s">
        <v>623</v>
      </c>
      <c r="F12" s="96" t="s">
        <v>624</v>
      </c>
      <c r="G12" s="99">
        <v>0</v>
      </c>
      <c r="H12" s="97">
        <v>0</v>
      </c>
      <c r="I12" s="98">
        <v>0</v>
      </c>
      <c r="J12" s="97">
        <v>0</v>
      </c>
      <c r="K12" s="98">
        <v>0</v>
      </c>
      <c r="L12" s="99">
        <v>0</v>
      </c>
      <c r="M12" s="98">
        <v>0</v>
      </c>
      <c r="N12" s="99">
        <v>0</v>
      </c>
      <c r="O12" s="98">
        <v>0</v>
      </c>
      <c r="P12" s="99">
        <v>0</v>
      </c>
      <c r="Q12" s="98">
        <v>0</v>
      </c>
      <c r="R12" s="96" t="s">
        <v>625</v>
      </c>
      <c r="S12" s="96">
        <v>7414000005</v>
      </c>
      <c r="W12" s="129">
        <v>72636</v>
      </c>
      <c r="X12" s="130">
        <v>590705.56090499996</v>
      </c>
      <c r="AA12" s="131" t="s">
        <v>376</v>
      </c>
      <c r="AB12" s="130">
        <v>6629732.8663999997</v>
      </c>
      <c r="AC12" s="130">
        <v>6629732.8663999997</v>
      </c>
    </row>
    <row r="13" spans="1:29" x14ac:dyDescent="0.25">
      <c r="A13" t="str">
        <f t="shared" si="0"/>
        <v xml:space="preserve">1000001573ACWI *              </v>
      </c>
      <c r="B13" s="96">
        <v>1000001573</v>
      </c>
      <c r="C13" s="96" t="s">
        <v>626</v>
      </c>
      <c r="D13" s="96" t="s">
        <v>359</v>
      </c>
      <c r="E13" s="96" t="s">
        <v>623</v>
      </c>
      <c r="F13" s="96" t="s">
        <v>624</v>
      </c>
      <c r="G13" s="99">
        <v>0</v>
      </c>
      <c r="H13" s="97">
        <v>0</v>
      </c>
      <c r="I13" s="98">
        <v>0</v>
      </c>
      <c r="J13" s="97">
        <v>0</v>
      </c>
      <c r="K13" s="98">
        <v>0</v>
      </c>
      <c r="L13" s="99">
        <v>0</v>
      </c>
      <c r="M13" s="98">
        <v>0</v>
      </c>
      <c r="N13" s="99">
        <v>0</v>
      </c>
      <c r="O13" s="98">
        <v>0</v>
      </c>
      <c r="P13" s="99">
        <v>0</v>
      </c>
      <c r="Q13" s="98">
        <v>0</v>
      </c>
      <c r="R13" s="96" t="s">
        <v>625</v>
      </c>
      <c r="S13" s="96">
        <v>7414000005</v>
      </c>
      <c r="W13" s="129">
        <v>72637</v>
      </c>
      <c r="X13" s="130">
        <v>114141051.80555297</v>
      </c>
      <c r="AA13" s="131" t="s">
        <v>380</v>
      </c>
      <c r="AB13" s="130">
        <v>16136823.22256</v>
      </c>
      <c r="AC13" s="130">
        <v>16136823.22256</v>
      </c>
    </row>
    <row r="14" spans="1:29" x14ac:dyDescent="0.25">
      <c r="A14" t="str">
        <f t="shared" si="0"/>
        <v xml:space="preserve">1000001573ALFA A              </v>
      </c>
      <c r="B14" s="96">
        <v>1000001573</v>
      </c>
      <c r="C14" s="96" t="s">
        <v>626</v>
      </c>
      <c r="D14" s="96" t="s">
        <v>627</v>
      </c>
      <c r="E14" s="96" t="s">
        <v>623</v>
      </c>
      <c r="F14" s="96" t="s">
        <v>624</v>
      </c>
      <c r="G14" s="99">
        <v>450</v>
      </c>
      <c r="H14" s="97">
        <v>9802.1143969999994</v>
      </c>
      <c r="I14" s="98">
        <v>4410951.4786499999</v>
      </c>
      <c r="J14" s="97">
        <v>9982.2999999999993</v>
      </c>
      <c r="K14" s="98">
        <v>-81083.521349999995</v>
      </c>
      <c r="L14" s="99">
        <v>0</v>
      </c>
      <c r="M14" s="98">
        <v>0</v>
      </c>
      <c r="N14" s="99">
        <v>0</v>
      </c>
      <c r="O14" s="98">
        <v>0</v>
      </c>
      <c r="P14" s="99">
        <v>450</v>
      </c>
      <c r="Q14" s="98">
        <v>4410951.4786499999</v>
      </c>
      <c r="R14" s="96" t="s">
        <v>625</v>
      </c>
      <c r="S14" s="96">
        <v>7414000005</v>
      </c>
      <c r="W14" s="129">
        <v>75016</v>
      </c>
      <c r="X14" s="130">
        <v>44909763.822194993</v>
      </c>
      <c r="AA14" s="131" t="s">
        <v>389</v>
      </c>
      <c r="AB14" s="130">
        <v>843577966.04540002</v>
      </c>
      <c r="AC14" s="130">
        <v>843577966.04540002</v>
      </c>
    </row>
    <row r="15" spans="1:29" x14ac:dyDescent="0.25">
      <c r="A15" t="str">
        <f t="shared" si="0"/>
        <v xml:space="preserve">1000001573ALSEA *             </v>
      </c>
      <c r="B15" s="96">
        <v>1000001573</v>
      </c>
      <c r="C15" s="96" t="s">
        <v>626</v>
      </c>
      <c r="D15" s="96" t="s">
        <v>502</v>
      </c>
      <c r="E15" s="96" t="s">
        <v>623</v>
      </c>
      <c r="F15" s="96" t="s">
        <v>624</v>
      </c>
      <c r="G15" s="99">
        <v>156</v>
      </c>
      <c r="H15" s="97">
        <v>9469.6491050000004</v>
      </c>
      <c r="I15" s="98">
        <v>1477265.2603800001</v>
      </c>
      <c r="J15" s="97">
        <v>9977.4</v>
      </c>
      <c r="K15" s="98">
        <v>-79209.139620000002</v>
      </c>
      <c r="L15" s="99">
        <v>0</v>
      </c>
      <c r="M15" s="98">
        <v>0</v>
      </c>
      <c r="N15" s="99">
        <v>0</v>
      </c>
      <c r="O15" s="98">
        <v>0</v>
      </c>
      <c r="P15" s="99">
        <v>156</v>
      </c>
      <c r="Q15" s="98">
        <v>1477265.2603800001</v>
      </c>
      <c r="R15" s="96" t="s">
        <v>625</v>
      </c>
      <c r="S15" s="96">
        <v>7414000005</v>
      </c>
      <c r="W15" s="129">
        <v>75017</v>
      </c>
      <c r="X15" s="130">
        <v>76147.90798100004</v>
      </c>
      <c r="AA15" s="131" t="s">
        <v>391</v>
      </c>
      <c r="AB15" s="130">
        <v>125548818.49309801</v>
      </c>
      <c r="AC15" s="130">
        <v>125548818.49309801</v>
      </c>
    </row>
    <row r="16" spans="1:29" x14ac:dyDescent="0.25">
      <c r="A16" t="str">
        <f t="shared" si="0"/>
        <v xml:space="preserve">1000001573AMX 0129            </v>
      </c>
      <c r="B16" s="96">
        <v>1000001573</v>
      </c>
      <c r="C16" s="96" t="s">
        <v>626</v>
      </c>
      <c r="D16" s="96" t="s">
        <v>360</v>
      </c>
      <c r="E16" s="96" t="s">
        <v>623</v>
      </c>
      <c r="F16" s="96" t="s">
        <v>624</v>
      </c>
      <c r="G16" s="99">
        <v>0</v>
      </c>
      <c r="H16" s="97">
        <v>0</v>
      </c>
      <c r="I16" s="98">
        <v>0</v>
      </c>
      <c r="J16" s="97">
        <v>0</v>
      </c>
      <c r="K16" s="98">
        <v>0</v>
      </c>
      <c r="L16" s="99">
        <v>0</v>
      </c>
      <c r="M16" s="98">
        <v>0</v>
      </c>
      <c r="N16" s="99">
        <v>0</v>
      </c>
      <c r="O16" s="98">
        <v>0</v>
      </c>
      <c r="P16" s="99">
        <v>0</v>
      </c>
      <c r="Q16" s="98">
        <v>0</v>
      </c>
      <c r="R16" s="96" t="s">
        <v>625</v>
      </c>
      <c r="S16" s="96">
        <v>7414000005</v>
      </c>
      <c r="W16" s="129">
        <v>75218</v>
      </c>
      <c r="X16" s="130">
        <v>0</v>
      </c>
      <c r="AA16" s="131" t="s">
        <v>375</v>
      </c>
      <c r="AB16" s="130">
        <v>1414410.9797739999</v>
      </c>
      <c r="AC16" s="130">
        <v>1414410.9797739999</v>
      </c>
    </row>
    <row r="17" spans="1:29" x14ac:dyDescent="0.25">
      <c r="A17" t="str">
        <f t="shared" si="0"/>
        <v xml:space="preserve">1000001573AMX 0131X           </v>
      </c>
      <c r="B17" s="96">
        <v>1000001573</v>
      </c>
      <c r="C17" s="96" t="s">
        <v>626</v>
      </c>
      <c r="D17" s="96" t="s">
        <v>551</v>
      </c>
      <c r="E17" s="96" t="s">
        <v>623</v>
      </c>
      <c r="F17" s="96" t="s">
        <v>624</v>
      </c>
      <c r="G17" s="99">
        <v>0</v>
      </c>
      <c r="H17" s="97">
        <v>0</v>
      </c>
      <c r="I17" s="98">
        <v>0</v>
      </c>
      <c r="J17" s="97">
        <v>0</v>
      </c>
      <c r="K17" s="98">
        <v>0</v>
      </c>
      <c r="L17" s="99">
        <v>0</v>
      </c>
      <c r="M17" s="98">
        <v>0</v>
      </c>
      <c r="N17" s="99">
        <v>0</v>
      </c>
      <c r="O17" s="98">
        <v>0</v>
      </c>
      <c r="P17" s="99">
        <v>0</v>
      </c>
      <c r="Q17" s="98">
        <v>0</v>
      </c>
      <c r="R17" s="96" t="s">
        <v>625</v>
      </c>
      <c r="S17" s="96">
        <v>7414000005</v>
      </c>
      <c r="W17" s="129">
        <v>75219</v>
      </c>
      <c r="X17" s="130">
        <v>25336545.785209004</v>
      </c>
      <c r="AA17" s="131" t="s">
        <v>379</v>
      </c>
      <c r="AB17" s="130">
        <v>22659709.482810002</v>
      </c>
      <c r="AC17" s="130">
        <v>22659709.482810002</v>
      </c>
    </row>
    <row r="18" spans="1:29" x14ac:dyDescent="0.25">
      <c r="A18" t="str">
        <f t="shared" si="0"/>
        <v xml:space="preserve">1000001573AMX B               </v>
      </c>
      <c r="B18" s="96">
        <v>1000001573</v>
      </c>
      <c r="C18" s="96" t="s">
        <v>626</v>
      </c>
      <c r="D18" s="96" t="s">
        <v>361</v>
      </c>
      <c r="E18" s="96" t="s">
        <v>623</v>
      </c>
      <c r="F18" s="96" t="s">
        <v>624</v>
      </c>
      <c r="G18" s="99">
        <v>0</v>
      </c>
      <c r="H18" s="97">
        <v>0</v>
      </c>
      <c r="I18" s="98">
        <v>0</v>
      </c>
      <c r="J18" s="97">
        <v>0</v>
      </c>
      <c r="K18" s="98">
        <v>0</v>
      </c>
      <c r="L18" s="99">
        <v>0</v>
      </c>
      <c r="M18" s="98">
        <v>0</v>
      </c>
      <c r="N18" s="99">
        <v>0</v>
      </c>
      <c r="O18" s="98">
        <v>0</v>
      </c>
      <c r="P18" s="99">
        <v>0</v>
      </c>
      <c r="Q18" s="98">
        <v>0</v>
      </c>
      <c r="R18" s="96" t="s">
        <v>625</v>
      </c>
      <c r="S18" s="96">
        <v>7414000005</v>
      </c>
      <c r="W18" s="129">
        <v>75220</v>
      </c>
      <c r="X18" s="130">
        <v>1741899.1168169999</v>
      </c>
      <c r="AA18" s="131" t="s">
        <v>364</v>
      </c>
      <c r="AB18" s="130">
        <v>26586423.031410001</v>
      </c>
      <c r="AC18" s="130">
        <v>26586423.031410001</v>
      </c>
    </row>
    <row r="19" spans="1:29" x14ac:dyDescent="0.25">
      <c r="A19" t="str">
        <f t="shared" si="0"/>
        <v xml:space="preserve">1000001573ASUR B              </v>
      </c>
      <c r="B19" s="96">
        <v>1000001573</v>
      </c>
      <c r="C19" s="96" t="s">
        <v>626</v>
      </c>
      <c r="D19" s="96" t="s">
        <v>552</v>
      </c>
      <c r="E19" s="96" t="s">
        <v>623</v>
      </c>
      <c r="F19" s="96" t="s">
        <v>624</v>
      </c>
      <c r="G19" s="99">
        <v>62970</v>
      </c>
      <c r="H19" s="97">
        <v>100.000484</v>
      </c>
      <c r="I19" s="98">
        <v>6297030.4774799999</v>
      </c>
      <c r="J19" s="97">
        <v>100</v>
      </c>
      <c r="K19" s="98">
        <v>30.47748</v>
      </c>
      <c r="L19" s="99">
        <v>0</v>
      </c>
      <c r="M19" s="98">
        <v>0</v>
      </c>
      <c r="N19" s="99">
        <v>0</v>
      </c>
      <c r="O19" s="98">
        <v>0</v>
      </c>
      <c r="P19" s="99">
        <v>62970</v>
      </c>
      <c r="Q19" s="98">
        <v>6297030.4774799999</v>
      </c>
      <c r="R19" s="96" t="s">
        <v>625</v>
      </c>
      <c r="S19" s="96">
        <v>7414000005</v>
      </c>
      <c r="W19" s="129">
        <v>75221</v>
      </c>
      <c r="X19" s="130">
        <v>25513333.958753999</v>
      </c>
      <c r="AA19" s="131" t="s">
        <v>509</v>
      </c>
      <c r="AB19" s="130">
        <v>244183498.42730999</v>
      </c>
      <c r="AC19" s="130">
        <v>244183498.42730999</v>
      </c>
    </row>
    <row r="20" spans="1:29" x14ac:dyDescent="0.25">
      <c r="A20" t="str">
        <f t="shared" si="0"/>
        <v xml:space="preserve">1000001573BIMBO A             </v>
      </c>
      <c r="B20" s="96">
        <v>1000001573</v>
      </c>
      <c r="C20" s="96" t="s">
        <v>626</v>
      </c>
      <c r="D20" s="96" t="s">
        <v>362</v>
      </c>
      <c r="E20" s="96" t="s">
        <v>623</v>
      </c>
      <c r="F20" s="96" t="s">
        <v>624</v>
      </c>
      <c r="G20" s="99">
        <v>0</v>
      </c>
      <c r="H20" s="97">
        <v>0</v>
      </c>
      <c r="I20" s="98">
        <v>0</v>
      </c>
      <c r="J20" s="97">
        <v>0</v>
      </c>
      <c r="K20" s="98">
        <v>0</v>
      </c>
      <c r="L20" s="99">
        <v>0</v>
      </c>
      <c r="M20" s="98">
        <v>0</v>
      </c>
      <c r="N20" s="99">
        <v>0</v>
      </c>
      <c r="O20" s="98">
        <v>0</v>
      </c>
      <c r="P20" s="99">
        <v>0</v>
      </c>
      <c r="Q20" s="98">
        <v>0</v>
      </c>
      <c r="R20" s="96" t="s">
        <v>625</v>
      </c>
      <c r="S20" s="96">
        <v>7414000005</v>
      </c>
      <c r="W20" s="129">
        <v>75222</v>
      </c>
      <c r="X20" s="130">
        <v>20441199.008912005</v>
      </c>
      <c r="AA20" s="131" t="s">
        <v>554</v>
      </c>
      <c r="AB20" s="130">
        <v>136271799.21443</v>
      </c>
      <c r="AC20" s="130">
        <v>136271799.21443</v>
      </c>
    </row>
    <row r="21" spans="1:29" x14ac:dyDescent="0.25">
      <c r="A21" t="str">
        <f t="shared" si="0"/>
        <v xml:space="preserve">1000001573BLADEX 24           </v>
      </c>
      <c r="B21" s="96">
        <v>1000001573</v>
      </c>
      <c r="C21" s="96" t="s">
        <v>626</v>
      </c>
      <c r="D21" s="96" t="s">
        <v>364</v>
      </c>
      <c r="E21" s="96" t="s">
        <v>623</v>
      </c>
      <c r="F21" s="96" t="s">
        <v>624</v>
      </c>
      <c r="G21" s="99">
        <v>6325880</v>
      </c>
      <c r="H21" s="97">
        <v>9.190137</v>
      </c>
      <c r="I21" s="98">
        <v>58135703.845559999</v>
      </c>
      <c r="J21" s="97">
        <v>8.211578032240574</v>
      </c>
      <c r="K21" s="98">
        <v>6190246.6029700004</v>
      </c>
      <c r="L21" s="99">
        <v>0</v>
      </c>
      <c r="M21" s="98">
        <v>0</v>
      </c>
      <c r="N21" s="99">
        <v>0</v>
      </c>
      <c r="O21" s="98">
        <v>0</v>
      </c>
      <c r="P21" s="99">
        <v>6325880</v>
      </c>
      <c r="Q21" s="98">
        <v>58135703.845559999</v>
      </c>
      <c r="R21" s="96" t="s">
        <v>625</v>
      </c>
      <c r="S21" s="96">
        <v>7414000005</v>
      </c>
      <c r="W21" s="129">
        <v>75223</v>
      </c>
      <c r="X21" s="130">
        <v>0</v>
      </c>
      <c r="AA21" s="131" t="s">
        <v>613</v>
      </c>
      <c r="AB21" s="130">
        <v>112432398.8459</v>
      </c>
      <c r="AC21" s="130">
        <v>112432398.8459</v>
      </c>
    </row>
    <row r="22" spans="1:29" x14ac:dyDescent="0.25">
      <c r="A22" t="str">
        <f t="shared" si="0"/>
        <v xml:space="preserve">1000001573CEMEX CPO           </v>
      </c>
      <c r="B22" s="96">
        <v>1000001573</v>
      </c>
      <c r="C22" s="96" t="s">
        <v>626</v>
      </c>
      <c r="D22" s="96" t="s">
        <v>613</v>
      </c>
      <c r="E22" s="96" t="s">
        <v>623</v>
      </c>
      <c r="F22" s="96" t="s">
        <v>624</v>
      </c>
      <c r="G22" s="99">
        <v>914440</v>
      </c>
      <c r="H22" s="97">
        <v>8.2580650000000002</v>
      </c>
      <c r="I22" s="98">
        <v>7551504.9585999995</v>
      </c>
      <c r="J22" s="97">
        <v>8.2501711100000001</v>
      </c>
      <c r="K22" s="98">
        <v>7218.4887716000003</v>
      </c>
      <c r="L22" s="99">
        <v>0</v>
      </c>
      <c r="M22" s="98">
        <v>0</v>
      </c>
      <c r="N22" s="99">
        <v>0</v>
      </c>
      <c r="O22" s="98">
        <v>0</v>
      </c>
      <c r="P22" s="99">
        <v>914440</v>
      </c>
      <c r="Q22" s="98">
        <v>7551504.9585999995</v>
      </c>
      <c r="R22" s="96" t="s">
        <v>625</v>
      </c>
      <c r="S22" s="96">
        <v>7414000005</v>
      </c>
      <c r="W22" s="129">
        <v>75224</v>
      </c>
      <c r="X22" s="130">
        <v>0</v>
      </c>
      <c r="AA22" s="131" t="s">
        <v>615</v>
      </c>
      <c r="AB22" s="130">
        <v>9083970</v>
      </c>
      <c r="AC22" s="130">
        <v>9083970</v>
      </c>
    </row>
    <row r="23" spans="1:29" x14ac:dyDescent="0.25">
      <c r="A23" t="str">
        <f t="shared" si="0"/>
        <v xml:space="preserve">1000001573CETES 250123        </v>
      </c>
      <c r="B23" s="96">
        <v>1000001573</v>
      </c>
      <c r="C23" s="96" t="s">
        <v>626</v>
      </c>
      <c r="D23" s="96" t="s">
        <v>365</v>
      </c>
      <c r="E23" s="96" t="s">
        <v>623</v>
      </c>
      <c r="F23" s="96" t="s">
        <v>624</v>
      </c>
      <c r="G23" s="99">
        <v>0</v>
      </c>
      <c r="H23" s="97">
        <v>0</v>
      </c>
      <c r="I23" s="98">
        <v>0</v>
      </c>
      <c r="J23" s="97">
        <v>0</v>
      </c>
      <c r="K23" s="98">
        <v>0</v>
      </c>
      <c r="L23" s="99">
        <v>0</v>
      </c>
      <c r="M23" s="98">
        <v>0</v>
      </c>
      <c r="N23" s="99">
        <v>0</v>
      </c>
      <c r="O23" s="98">
        <v>0</v>
      </c>
      <c r="P23" s="99">
        <v>0</v>
      </c>
      <c r="Q23" s="98">
        <v>0</v>
      </c>
      <c r="R23" s="96" t="s">
        <v>625</v>
      </c>
      <c r="S23" s="96">
        <v>7414000005</v>
      </c>
      <c r="W23" s="129">
        <v>75225</v>
      </c>
      <c r="X23" s="130">
        <v>0</v>
      </c>
      <c r="AA23" s="131" t="s">
        <v>649</v>
      </c>
      <c r="AB23" s="130">
        <v>14587948.937279999</v>
      </c>
      <c r="AC23" s="130">
        <v>14587948.937279999</v>
      </c>
    </row>
    <row r="24" spans="1:29" x14ac:dyDescent="0.25">
      <c r="A24" t="str">
        <f t="shared" si="0"/>
        <v xml:space="preserve">1000001573CETES 260219        </v>
      </c>
      <c r="B24" s="96">
        <v>1000001573</v>
      </c>
      <c r="C24" s="96" t="s">
        <v>626</v>
      </c>
      <c r="D24" s="96" t="s">
        <v>367</v>
      </c>
      <c r="E24" s="96" t="s">
        <v>623</v>
      </c>
      <c r="F24" s="96" t="s">
        <v>624</v>
      </c>
      <c r="G24" s="99">
        <v>0</v>
      </c>
      <c r="H24" s="97">
        <v>0</v>
      </c>
      <c r="I24" s="98">
        <v>0</v>
      </c>
      <c r="J24" s="97">
        <v>0</v>
      </c>
      <c r="K24" s="98">
        <v>0</v>
      </c>
      <c r="L24" s="99">
        <v>0</v>
      </c>
      <c r="M24" s="98">
        <v>0</v>
      </c>
      <c r="N24" s="99">
        <v>0</v>
      </c>
      <c r="O24" s="98">
        <v>0</v>
      </c>
      <c r="P24" s="99">
        <v>0</v>
      </c>
      <c r="Q24" s="98">
        <v>0</v>
      </c>
      <c r="R24" s="96" t="s">
        <v>625</v>
      </c>
      <c r="S24" s="96">
        <v>7414000005</v>
      </c>
      <c r="W24" s="129">
        <v>75226</v>
      </c>
      <c r="X24" s="130">
        <v>0</v>
      </c>
      <c r="AA24" s="129">
        <v>1008775</v>
      </c>
      <c r="AB24" s="130">
        <v>14393577.809905998</v>
      </c>
      <c r="AC24" s="130">
        <v>14393577.809905998</v>
      </c>
    </row>
    <row r="25" spans="1:29" x14ac:dyDescent="0.25">
      <c r="A25" t="str">
        <f t="shared" si="0"/>
        <v xml:space="preserve">1000001573EEM *               </v>
      </c>
      <c r="B25" s="96">
        <v>1000001573</v>
      </c>
      <c r="C25" s="96" t="s">
        <v>626</v>
      </c>
      <c r="D25" s="96" t="s">
        <v>368</v>
      </c>
      <c r="E25" s="96" t="s">
        <v>623</v>
      </c>
      <c r="F25" s="96" t="s">
        <v>624</v>
      </c>
      <c r="G25" s="99">
        <v>0</v>
      </c>
      <c r="H25" s="97">
        <v>0</v>
      </c>
      <c r="I25" s="98">
        <v>0</v>
      </c>
      <c r="J25" s="97">
        <v>0</v>
      </c>
      <c r="K25" s="98">
        <v>0</v>
      </c>
      <c r="L25" s="99">
        <v>0</v>
      </c>
      <c r="M25" s="98">
        <v>0</v>
      </c>
      <c r="N25" s="99">
        <v>0</v>
      </c>
      <c r="O25" s="98">
        <v>0</v>
      </c>
      <c r="P25" s="99">
        <v>0</v>
      </c>
      <c r="Q25" s="98">
        <v>0</v>
      </c>
      <c r="R25" s="96" t="s">
        <v>625</v>
      </c>
      <c r="S25" s="96">
        <v>7414000005</v>
      </c>
      <c r="W25" s="129">
        <v>75227</v>
      </c>
      <c r="X25" s="130">
        <v>0</v>
      </c>
      <c r="AA25" s="131" t="s">
        <v>389</v>
      </c>
      <c r="AB25" s="130">
        <v>9536260.7578560002</v>
      </c>
      <c r="AC25" s="130">
        <v>9536260.7578560002</v>
      </c>
    </row>
    <row r="26" spans="1:29" x14ac:dyDescent="0.25">
      <c r="A26" t="str">
        <f t="shared" si="0"/>
        <v xml:space="preserve">1000001573EPP *               </v>
      </c>
      <c r="B26" s="96">
        <v>1000001573</v>
      </c>
      <c r="C26" s="96" t="s">
        <v>626</v>
      </c>
      <c r="D26" s="96" t="s">
        <v>369</v>
      </c>
      <c r="E26" s="96" t="s">
        <v>623</v>
      </c>
      <c r="F26" s="96" t="s">
        <v>624</v>
      </c>
      <c r="G26" s="99">
        <v>0</v>
      </c>
      <c r="H26" s="97">
        <v>0</v>
      </c>
      <c r="I26" s="98">
        <v>0</v>
      </c>
      <c r="J26" s="97">
        <v>0</v>
      </c>
      <c r="K26" s="98">
        <v>0</v>
      </c>
      <c r="L26" s="99">
        <v>0</v>
      </c>
      <c r="M26" s="98">
        <v>0</v>
      </c>
      <c r="N26" s="99">
        <v>0</v>
      </c>
      <c r="O26" s="98">
        <v>0</v>
      </c>
      <c r="P26" s="99">
        <v>0</v>
      </c>
      <c r="Q26" s="98">
        <v>0</v>
      </c>
      <c r="R26" s="96" t="s">
        <v>625</v>
      </c>
      <c r="S26" s="96">
        <v>7414000005</v>
      </c>
      <c r="W26" s="129">
        <v>75228</v>
      </c>
      <c r="X26" s="130">
        <v>0</v>
      </c>
      <c r="AA26" s="131" t="s">
        <v>509</v>
      </c>
      <c r="AB26" s="130">
        <v>0</v>
      </c>
      <c r="AC26" s="130">
        <v>0</v>
      </c>
    </row>
    <row r="27" spans="1:29" x14ac:dyDescent="0.25">
      <c r="A27" t="str">
        <f t="shared" si="0"/>
        <v xml:space="preserve">1000001573EWJ *               </v>
      </c>
      <c r="B27" s="96">
        <v>1000001573</v>
      </c>
      <c r="C27" s="96" t="s">
        <v>626</v>
      </c>
      <c r="D27" s="96" t="s">
        <v>370</v>
      </c>
      <c r="E27" s="96" t="s">
        <v>623</v>
      </c>
      <c r="F27" s="96" t="s">
        <v>624</v>
      </c>
      <c r="G27" s="99">
        <v>0</v>
      </c>
      <c r="H27" s="97">
        <v>0</v>
      </c>
      <c r="I27" s="98">
        <v>0</v>
      </c>
      <c r="J27" s="97">
        <v>0</v>
      </c>
      <c r="K27" s="98">
        <v>0</v>
      </c>
      <c r="L27" s="99">
        <v>0</v>
      </c>
      <c r="M27" s="98">
        <v>0</v>
      </c>
      <c r="N27" s="99">
        <v>0</v>
      </c>
      <c r="O27" s="98">
        <v>0</v>
      </c>
      <c r="P27" s="99">
        <v>0</v>
      </c>
      <c r="Q27" s="98">
        <v>0</v>
      </c>
      <c r="R27" s="96" t="s">
        <v>625</v>
      </c>
      <c r="S27" s="96">
        <v>7414000005</v>
      </c>
      <c r="W27" s="129">
        <v>77704</v>
      </c>
      <c r="X27" s="130">
        <v>0</v>
      </c>
      <c r="AA27" s="131" t="s">
        <v>554</v>
      </c>
      <c r="AB27" s="130">
        <v>4371964.12213</v>
      </c>
      <c r="AC27" s="130">
        <v>4371964.12213</v>
      </c>
    </row>
    <row r="28" spans="1:29" x14ac:dyDescent="0.25">
      <c r="A28" t="str">
        <f t="shared" si="0"/>
        <v xml:space="preserve">1000001573FEMSA UBD           </v>
      </c>
      <c r="B28" s="96">
        <v>1000001573</v>
      </c>
      <c r="C28" s="96" t="s">
        <v>626</v>
      </c>
      <c r="D28" s="96" t="s">
        <v>371</v>
      </c>
      <c r="E28" s="96" t="s">
        <v>623</v>
      </c>
      <c r="F28" s="96" t="s">
        <v>624</v>
      </c>
      <c r="G28" s="99">
        <v>0</v>
      </c>
      <c r="H28" s="97">
        <v>0</v>
      </c>
      <c r="I28" s="98">
        <v>0</v>
      </c>
      <c r="J28" s="97">
        <v>0</v>
      </c>
      <c r="K28" s="98">
        <v>0</v>
      </c>
      <c r="L28" s="99">
        <v>0</v>
      </c>
      <c r="M28" s="98">
        <v>0</v>
      </c>
      <c r="N28" s="99">
        <v>0</v>
      </c>
      <c r="O28" s="98">
        <v>0</v>
      </c>
      <c r="P28" s="99">
        <v>0</v>
      </c>
      <c r="Q28" s="98">
        <v>0</v>
      </c>
      <c r="R28" s="96" t="s">
        <v>625</v>
      </c>
      <c r="S28" s="96">
        <v>7414000005</v>
      </c>
      <c r="W28" s="129">
        <v>78665</v>
      </c>
      <c r="X28" s="130">
        <v>530545967.33873898</v>
      </c>
      <c r="AA28" s="131" t="s">
        <v>613</v>
      </c>
      <c r="AB28" s="130">
        <v>305218.08240000001</v>
      </c>
      <c r="AC28" s="130">
        <v>305218.08240000001</v>
      </c>
    </row>
    <row r="29" spans="1:29" x14ac:dyDescent="0.25">
      <c r="A29" t="str">
        <f t="shared" si="0"/>
        <v xml:space="preserve">1000001573GAP B               </v>
      </c>
      <c r="B29" s="96">
        <v>1000001573</v>
      </c>
      <c r="C29" s="96" t="s">
        <v>626</v>
      </c>
      <c r="D29" s="96" t="s">
        <v>372</v>
      </c>
      <c r="E29" s="96" t="s">
        <v>623</v>
      </c>
      <c r="F29" s="96" t="s">
        <v>624</v>
      </c>
      <c r="G29" s="99">
        <v>0</v>
      </c>
      <c r="H29" s="97">
        <v>0</v>
      </c>
      <c r="I29" s="98">
        <v>0</v>
      </c>
      <c r="J29" s="97">
        <v>0</v>
      </c>
      <c r="K29" s="98">
        <v>0</v>
      </c>
      <c r="L29" s="99">
        <v>0</v>
      </c>
      <c r="M29" s="98">
        <v>0</v>
      </c>
      <c r="N29" s="99">
        <v>0</v>
      </c>
      <c r="O29" s="98">
        <v>0</v>
      </c>
      <c r="P29" s="99">
        <v>0</v>
      </c>
      <c r="Q29" s="98">
        <v>0</v>
      </c>
      <c r="R29" s="96" t="s">
        <v>625</v>
      </c>
      <c r="S29" s="96">
        <v>7414000005</v>
      </c>
      <c r="W29" s="129">
        <v>78666</v>
      </c>
      <c r="X29" s="130">
        <v>1539821985.9903059</v>
      </c>
      <c r="AA29" s="131" t="s">
        <v>649</v>
      </c>
      <c r="AB29" s="130">
        <v>180134.84752000001</v>
      </c>
      <c r="AC29" s="130">
        <v>180134.84752000001</v>
      </c>
    </row>
    <row r="30" spans="1:29" x14ac:dyDescent="0.25">
      <c r="A30" t="str">
        <f t="shared" si="0"/>
        <v xml:space="preserve">1000001573GCC *               </v>
      </c>
      <c r="B30" s="96">
        <v>1000001573</v>
      </c>
      <c r="C30" s="96" t="s">
        <v>626</v>
      </c>
      <c r="D30" s="96" t="s">
        <v>373</v>
      </c>
      <c r="E30" s="96" t="s">
        <v>623</v>
      </c>
      <c r="F30" s="96" t="s">
        <v>624</v>
      </c>
      <c r="G30" s="99">
        <v>0</v>
      </c>
      <c r="H30" s="97">
        <v>0</v>
      </c>
      <c r="I30" s="98">
        <v>0</v>
      </c>
      <c r="J30" s="97">
        <v>0</v>
      </c>
      <c r="K30" s="98">
        <v>0</v>
      </c>
      <c r="L30" s="99">
        <v>0</v>
      </c>
      <c r="M30" s="98">
        <v>0</v>
      </c>
      <c r="N30" s="99">
        <v>0</v>
      </c>
      <c r="O30" s="98">
        <v>0</v>
      </c>
      <c r="P30" s="99">
        <v>0</v>
      </c>
      <c r="Q30" s="98">
        <v>0</v>
      </c>
      <c r="R30" s="96" t="s">
        <v>625</v>
      </c>
      <c r="S30" s="96">
        <v>7414000005</v>
      </c>
      <c r="W30" s="129">
        <v>78669</v>
      </c>
      <c r="X30" s="130">
        <v>1728508607.6036761</v>
      </c>
      <c r="AA30" s="129">
        <v>1008776</v>
      </c>
      <c r="AB30" s="130">
        <v>90062885.478432998</v>
      </c>
      <c r="AC30" s="130">
        <v>90062885.478432998</v>
      </c>
    </row>
    <row r="31" spans="1:29" x14ac:dyDescent="0.25">
      <c r="A31" t="str">
        <f t="shared" si="0"/>
        <v xml:space="preserve">1000001573GENTERA *           </v>
      </c>
      <c r="B31" s="96">
        <v>1000001573</v>
      </c>
      <c r="C31" s="96" t="s">
        <v>626</v>
      </c>
      <c r="D31" s="96" t="s">
        <v>374</v>
      </c>
      <c r="E31" s="96" t="s">
        <v>623</v>
      </c>
      <c r="F31" s="96" t="s">
        <v>624</v>
      </c>
      <c r="G31" s="99">
        <v>0</v>
      </c>
      <c r="H31" s="97">
        <v>0</v>
      </c>
      <c r="I31" s="98">
        <v>0</v>
      </c>
      <c r="J31" s="97">
        <v>0</v>
      </c>
      <c r="K31" s="98">
        <v>0</v>
      </c>
      <c r="L31" s="99">
        <v>0</v>
      </c>
      <c r="M31" s="98">
        <v>0</v>
      </c>
      <c r="N31" s="99">
        <v>0</v>
      </c>
      <c r="O31" s="98">
        <v>0</v>
      </c>
      <c r="P31" s="99">
        <v>0</v>
      </c>
      <c r="Q31" s="98">
        <v>0</v>
      </c>
      <c r="R31" s="96" t="s">
        <v>625</v>
      </c>
      <c r="S31" s="96">
        <v>7414000005</v>
      </c>
      <c r="W31" s="129">
        <v>79041</v>
      </c>
      <c r="X31" s="130">
        <v>0</v>
      </c>
      <c r="AA31" s="131" t="s">
        <v>376</v>
      </c>
      <c r="AB31" s="130">
        <v>2977.4249399999999</v>
      </c>
      <c r="AC31" s="130">
        <v>2977.4249399999999</v>
      </c>
    </row>
    <row r="32" spans="1:29" x14ac:dyDescent="0.25">
      <c r="A32" t="str">
        <f t="shared" si="0"/>
        <v xml:space="preserve">1000001573GFNORTE O           </v>
      </c>
      <c r="B32" s="96">
        <v>1000001573</v>
      </c>
      <c r="C32" s="96" t="s">
        <v>626</v>
      </c>
      <c r="D32" s="96" t="s">
        <v>375</v>
      </c>
      <c r="E32" s="96" t="s">
        <v>623</v>
      </c>
      <c r="F32" s="96" t="s">
        <v>624</v>
      </c>
      <c r="G32" s="99">
        <v>50300</v>
      </c>
      <c r="H32" s="97">
        <v>98.730349000000004</v>
      </c>
      <c r="I32" s="98">
        <v>4966136.5547000002</v>
      </c>
      <c r="J32" s="97">
        <v>95.551114380000001</v>
      </c>
      <c r="K32" s="98">
        <v>159915.50138599999</v>
      </c>
      <c r="L32" s="99">
        <v>0</v>
      </c>
      <c r="M32" s="98">
        <v>0</v>
      </c>
      <c r="N32" s="99">
        <v>0</v>
      </c>
      <c r="O32" s="98">
        <v>0</v>
      </c>
      <c r="P32" s="99">
        <v>50300</v>
      </c>
      <c r="Q32" s="98">
        <v>4966136.5547000002</v>
      </c>
      <c r="R32" s="96" t="s">
        <v>625</v>
      </c>
      <c r="S32" s="96">
        <v>7414000005</v>
      </c>
      <c r="W32" s="129">
        <v>79042</v>
      </c>
      <c r="X32" s="130">
        <v>0</v>
      </c>
      <c r="AA32" s="131" t="s">
        <v>380</v>
      </c>
      <c r="AB32" s="130">
        <v>984464.72560000001</v>
      </c>
      <c r="AC32" s="130">
        <v>984464.72560000001</v>
      </c>
    </row>
    <row r="33" spans="1:29" x14ac:dyDescent="0.25">
      <c r="A33" t="str">
        <f t="shared" si="0"/>
        <v xml:space="preserve">1000001573GMEXICO B           </v>
      </c>
      <c r="B33" s="96">
        <v>1000001573</v>
      </c>
      <c r="C33" s="96" t="s">
        <v>626</v>
      </c>
      <c r="D33" s="96" t="s">
        <v>377</v>
      </c>
      <c r="E33" s="96" t="s">
        <v>623</v>
      </c>
      <c r="F33" s="96" t="s">
        <v>624</v>
      </c>
      <c r="G33" s="99">
        <v>130000</v>
      </c>
      <c r="H33" s="97">
        <v>94.973146999999997</v>
      </c>
      <c r="I33" s="98">
        <v>12346509.109999999</v>
      </c>
      <c r="J33" s="97">
        <v>90.737203046153851</v>
      </c>
      <c r="K33" s="98">
        <v>550672.71400000004</v>
      </c>
      <c r="L33" s="99">
        <v>0</v>
      </c>
      <c r="M33" s="98">
        <v>0</v>
      </c>
      <c r="N33" s="99">
        <v>0</v>
      </c>
      <c r="O33" s="98">
        <v>0</v>
      </c>
      <c r="P33" s="99">
        <v>130000</v>
      </c>
      <c r="Q33" s="98">
        <v>12346509.109999999</v>
      </c>
      <c r="R33" s="96" t="s">
        <v>625</v>
      </c>
      <c r="S33" s="96">
        <v>7414000005</v>
      </c>
      <c r="W33" s="129">
        <v>79043</v>
      </c>
      <c r="X33" s="130">
        <v>0</v>
      </c>
      <c r="AA33" s="131" t="s">
        <v>389</v>
      </c>
      <c r="AB33" s="130">
        <v>27463258.281059999</v>
      </c>
      <c r="AC33" s="130">
        <v>27463258.281059999</v>
      </c>
    </row>
    <row r="34" spans="1:29" x14ac:dyDescent="0.25">
      <c r="A34" t="str">
        <f t="shared" si="0"/>
        <v xml:space="preserve">1000001573GOBFED 240905       </v>
      </c>
      <c r="B34" s="96">
        <v>1000001573</v>
      </c>
      <c r="C34" s="96" t="s">
        <v>626</v>
      </c>
      <c r="D34" s="96" t="s">
        <v>378</v>
      </c>
      <c r="E34" s="96" t="s">
        <v>623</v>
      </c>
      <c r="F34" s="96" t="s">
        <v>624</v>
      </c>
      <c r="G34" s="99">
        <v>100000</v>
      </c>
      <c r="H34" s="97">
        <v>91.911821000000003</v>
      </c>
      <c r="I34" s="98">
        <v>9191182.0999999996</v>
      </c>
      <c r="J34" s="97">
        <v>89.152324980000003</v>
      </c>
      <c r="K34" s="98">
        <v>275949.60200000001</v>
      </c>
      <c r="L34" s="99">
        <v>0</v>
      </c>
      <c r="M34" s="98">
        <v>0</v>
      </c>
      <c r="N34" s="99">
        <v>0</v>
      </c>
      <c r="O34" s="98">
        <v>0</v>
      </c>
      <c r="P34" s="99">
        <v>100000</v>
      </c>
      <c r="Q34" s="98">
        <v>9191182.0999999996</v>
      </c>
      <c r="R34" s="96" t="s">
        <v>625</v>
      </c>
      <c r="S34" s="96">
        <v>7414000005</v>
      </c>
      <c r="W34" s="129">
        <v>79044</v>
      </c>
      <c r="X34" s="130">
        <v>0</v>
      </c>
      <c r="AA34" s="131" t="s">
        <v>391</v>
      </c>
      <c r="AB34" s="130">
        <v>7479220.2102539996</v>
      </c>
      <c r="AC34" s="130">
        <v>7479220.2102539996</v>
      </c>
    </row>
    <row r="35" spans="1:29" x14ac:dyDescent="0.25">
      <c r="A35" t="str">
        <f t="shared" si="0"/>
        <v xml:space="preserve">1000001573GOBFED 250306       </v>
      </c>
      <c r="B35" s="96">
        <v>1000001573</v>
      </c>
      <c r="C35" s="96" t="s">
        <v>626</v>
      </c>
      <c r="D35" s="96" t="s">
        <v>499</v>
      </c>
      <c r="E35" s="96" t="s">
        <v>623</v>
      </c>
      <c r="F35" s="96" t="s">
        <v>624</v>
      </c>
      <c r="G35" s="99">
        <v>22560</v>
      </c>
      <c r="H35" s="97">
        <v>92.954503000000003</v>
      </c>
      <c r="I35" s="98">
        <v>2097053.5876800001</v>
      </c>
      <c r="J35" s="97">
        <v>93.280131854822699</v>
      </c>
      <c r="K35" s="98">
        <v>-7346.1869648000002</v>
      </c>
      <c r="L35" s="99">
        <v>0</v>
      </c>
      <c r="M35" s="98">
        <v>0</v>
      </c>
      <c r="N35" s="99">
        <v>0</v>
      </c>
      <c r="O35" s="98">
        <v>0</v>
      </c>
      <c r="P35" s="99">
        <v>22560</v>
      </c>
      <c r="Q35" s="98">
        <v>2097053.5876800001</v>
      </c>
      <c r="R35" s="96" t="s">
        <v>625</v>
      </c>
      <c r="S35" s="96">
        <v>7414000005</v>
      </c>
      <c r="W35" s="129">
        <v>79045</v>
      </c>
      <c r="X35" s="130">
        <v>39567273.015353002</v>
      </c>
      <c r="AA35" s="131" t="s">
        <v>375</v>
      </c>
      <c r="AB35" s="130">
        <v>269435.12242099998</v>
      </c>
      <c r="AC35" s="130">
        <v>269435.12242099998</v>
      </c>
    </row>
    <row r="36" spans="1:29" x14ac:dyDescent="0.25">
      <c r="A36" t="str">
        <f t="shared" si="0"/>
        <v xml:space="preserve">1000001573GOBFED 260305       </v>
      </c>
      <c r="B36" s="96">
        <v>1000001573</v>
      </c>
      <c r="C36" s="96" t="s">
        <v>626</v>
      </c>
      <c r="D36" s="96" t="s">
        <v>379</v>
      </c>
      <c r="E36" s="96" t="s">
        <v>623</v>
      </c>
      <c r="F36" s="96" t="s">
        <v>624</v>
      </c>
      <c r="G36" s="99">
        <v>30000</v>
      </c>
      <c r="H36" s="97">
        <v>88.698122999999995</v>
      </c>
      <c r="I36" s="98">
        <v>2660943.69</v>
      </c>
      <c r="J36" s="97">
        <v>87.674765210000004</v>
      </c>
      <c r="K36" s="98">
        <v>30700.733700000001</v>
      </c>
      <c r="L36" s="99">
        <v>0</v>
      </c>
      <c r="M36" s="98">
        <v>0</v>
      </c>
      <c r="N36" s="99">
        <v>0</v>
      </c>
      <c r="O36" s="98">
        <v>0</v>
      </c>
      <c r="P36" s="99">
        <v>30000</v>
      </c>
      <c r="Q36" s="98">
        <v>2660943.69</v>
      </c>
      <c r="R36" s="96" t="s">
        <v>625</v>
      </c>
      <c r="S36" s="96">
        <v>7414000005</v>
      </c>
      <c r="W36" s="129">
        <v>79046</v>
      </c>
      <c r="X36" s="130">
        <v>0</v>
      </c>
      <c r="AA36" s="131" t="s">
        <v>390</v>
      </c>
      <c r="AB36" s="130">
        <v>0</v>
      </c>
      <c r="AC36" s="130">
        <v>0</v>
      </c>
    </row>
    <row r="37" spans="1:29" x14ac:dyDescent="0.25">
      <c r="A37" t="str">
        <f t="shared" si="0"/>
        <v xml:space="preserve">1000001573GOBFED 260903       </v>
      </c>
      <c r="B37" s="96">
        <v>1000001573</v>
      </c>
      <c r="C37" s="96" t="s">
        <v>626</v>
      </c>
      <c r="D37" s="96" t="s">
        <v>380</v>
      </c>
      <c r="E37" s="96" t="s">
        <v>623</v>
      </c>
      <c r="F37" s="96" t="s">
        <v>624</v>
      </c>
      <c r="G37" s="99">
        <v>127260</v>
      </c>
      <c r="H37" s="97">
        <v>93.314192000000006</v>
      </c>
      <c r="I37" s="98">
        <v>11875164.07392</v>
      </c>
      <c r="J37" s="97">
        <v>93.692293291034105</v>
      </c>
      <c r="K37" s="98">
        <v>-48117.170296999997</v>
      </c>
      <c r="L37" s="99">
        <v>0</v>
      </c>
      <c r="M37" s="98">
        <v>0</v>
      </c>
      <c r="N37" s="99">
        <v>0</v>
      </c>
      <c r="O37" s="98">
        <v>0</v>
      </c>
      <c r="P37" s="99">
        <v>127260</v>
      </c>
      <c r="Q37" s="98">
        <v>11875164.07392</v>
      </c>
      <c r="R37" s="96" t="s">
        <v>625</v>
      </c>
      <c r="S37" s="96">
        <v>7414000005</v>
      </c>
      <c r="W37" s="129">
        <v>80862</v>
      </c>
      <c r="X37" s="130">
        <v>65025110.951007992</v>
      </c>
      <c r="AA37" s="131" t="s">
        <v>379</v>
      </c>
      <c r="AB37" s="130">
        <v>4041175.1820029998</v>
      </c>
      <c r="AC37" s="130">
        <v>4041175.1820029998</v>
      </c>
    </row>
    <row r="38" spans="1:29" x14ac:dyDescent="0.25">
      <c r="A38" t="str">
        <f t="shared" si="0"/>
        <v xml:space="preserve">1000001573GOBFED 270304       </v>
      </c>
      <c r="B38" s="96">
        <v>1000001573</v>
      </c>
      <c r="C38" s="96" t="s">
        <v>626</v>
      </c>
      <c r="D38" s="96" t="s">
        <v>507</v>
      </c>
      <c r="E38" s="96" t="s">
        <v>623</v>
      </c>
      <c r="F38" s="96" t="s">
        <v>624</v>
      </c>
      <c r="G38" s="99">
        <v>76690</v>
      </c>
      <c r="H38" s="97">
        <v>94.864168000000006</v>
      </c>
      <c r="I38" s="98">
        <v>7275133.0439200001</v>
      </c>
      <c r="J38" s="97">
        <v>96.404140225417919</v>
      </c>
      <c r="K38" s="98">
        <v>-118100.4699673</v>
      </c>
      <c r="L38" s="99">
        <v>0</v>
      </c>
      <c r="M38" s="98">
        <v>0</v>
      </c>
      <c r="N38" s="99">
        <v>0</v>
      </c>
      <c r="O38" s="98">
        <v>0</v>
      </c>
      <c r="P38" s="99">
        <v>76690</v>
      </c>
      <c r="Q38" s="98">
        <v>7275133.0439200001</v>
      </c>
      <c r="R38" s="96" t="s">
        <v>625</v>
      </c>
      <c r="S38" s="96">
        <v>7414000005</v>
      </c>
      <c r="W38" s="129">
        <v>142481</v>
      </c>
      <c r="X38" s="130">
        <v>1058388.8999999999</v>
      </c>
      <c r="AA38" s="131" t="s">
        <v>409</v>
      </c>
      <c r="AB38" s="130">
        <v>7488786.5086650001</v>
      </c>
      <c r="AC38" s="130">
        <v>7488786.5086650001</v>
      </c>
    </row>
    <row r="39" spans="1:29" x14ac:dyDescent="0.25">
      <c r="A39" t="str">
        <f t="shared" si="0"/>
        <v xml:space="preserve">1000001573GOBFED 270603       </v>
      </c>
      <c r="B39" s="96">
        <v>1000001573</v>
      </c>
      <c r="C39" s="96" t="s">
        <v>626</v>
      </c>
      <c r="D39" s="96" t="s">
        <v>381</v>
      </c>
      <c r="E39" s="96" t="s">
        <v>623</v>
      </c>
      <c r="F39" s="96" t="s">
        <v>624</v>
      </c>
      <c r="G39" s="99">
        <v>297490</v>
      </c>
      <c r="H39" s="97">
        <v>94.870157000000006</v>
      </c>
      <c r="I39" s="98">
        <v>28222923.005929999</v>
      </c>
      <c r="J39" s="97">
        <v>97.509016819287709</v>
      </c>
      <c r="K39" s="98">
        <v>-785034.40763989999</v>
      </c>
      <c r="L39" s="99">
        <v>0</v>
      </c>
      <c r="M39" s="98">
        <v>0</v>
      </c>
      <c r="N39" s="99">
        <v>0</v>
      </c>
      <c r="O39" s="98">
        <v>0</v>
      </c>
      <c r="P39" s="99">
        <v>297490</v>
      </c>
      <c r="Q39" s="98">
        <v>28222923.005929999</v>
      </c>
      <c r="R39" s="96" t="s">
        <v>625</v>
      </c>
      <c r="S39" s="96">
        <v>7414000005</v>
      </c>
      <c r="W39" s="129">
        <v>142482</v>
      </c>
      <c r="X39" s="130">
        <v>208796.14</v>
      </c>
      <c r="AA39" s="131" t="s">
        <v>364</v>
      </c>
      <c r="AB39" s="130">
        <v>4338847.4804400001</v>
      </c>
      <c r="AC39" s="130">
        <v>4338847.4804400001</v>
      </c>
    </row>
    <row r="40" spans="1:29" x14ac:dyDescent="0.25">
      <c r="A40" t="str">
        <f t="shared" si="0"/>
        <v xml:space="preserve">1000001573GOBFED 290301       </v>
      </c>
      <c r="B40" s="96">
        <v>1000001573</v>
      </c>
      <c r="C40" s="96" t="s">
        <v>626</v>
      </c>
      <c r="D40" s="96" t="s">
        <v>382</v>
      </c>
      <c r="E40" s="96" t="s">
        <v>623</v>
      </c>
      <c r="F40" s="96" t="s">
        <v>624</v>
      </c>
      <c r="G40" s="99">
        <v>51006</v>
      </c>
      <c r="H40" s="97">
        <v>89.489464999999996</v>
      </c>
      <c r="I40" s="98">
        <v>4564499.6517899996</v>
      </c>
      <c r="J40" s="97">
        <v>91.081365976159276</v>
      </c>
      <c r="K40" s="98">
        <v>-81196.501189980001</v>
      </c>
      <c r="L40" s="99">
        <v>0</v>
      </c>
      <c r="M40" s="98">
        <v>0</v>
      </c>
      <c r="N40" s="99">
        <v>0</v>
      </c>
      <c r="O40" s="98">
        <v>0</v>
      </c>
      <c r="P40" s="99">
        <v>51006</v>
      </c>
      <c r="Q40" s="98">
        <v>4564499.6517899996</v>
      </c>
      <c r="R40" s="96" t="s">
        <v>625</v>
      </c>
      <c r="S40" s="96">
        <v>7414000005</v>
      </c>
      <c r="W40" s="129">
        <v>143510</v>
      </c>
      <c r="X40" s="130">
        <v>0</v>
      </c>
      <c r="AA40" s="131" t="s">
        <v>509</v>
      </c>
      <c r="AB40" s="130">
        <v>14390432.61045</v>
      </c>
      <c r="AC40" s="130">
        <v>14390432.61045</v>
      </c>
    </row>
    <row r="41" spans="1:29" x14ac:dyDescent="0.25">
      <c r="A41" t="str">
        <f t="shared" ref="A41:A70" si="1">B39&amp;D39</f>
        <v xml:space="preserve">1000001573GOBFED 290531       </v>
      </c>
      <c r="B41" s="96">
        <v>1000001573</v>
      </c>
      <c r="C41" s="96" t="s">
        <v>626</v>
      </c>
      <c r="D41" s="96" t="s">
        <v>383</v>
      </c>
      <c r="E41" s="96" t="s">
        <v>623</v>
      </c>
      <c r="F41" s="96" t="s">
        <v>624</v>
      </c>
      <c r="G41" s="99">
        <v>199640</v>
      </c>
      <c r="H41" s="97">
        <v>86.197128000000006</v>
      </c>
      <c r="I41" s="98">
        <v>17208394.633919999</v>
      </c>
      <c r="J41" s="97">
        <v>89.833009196265778</v>
      </c>
      <c r="K41" s="98">
        <v>-725867.32202249998</v>
      </c>
      <c r="L41" s="99">
        <v>0</v>
      </c>
      <c r="M41" s="98">
        <v>0</v>
      </c>
      <c r="N41" s="99">
        <v>0</v>
      </c>
      <c r="O41" s="98">
        <v>0</v>
      </c>
      <c r="P41" s="99">
        <v>199640</v>
      </c>
      <c r="Q41" s="98">
        <v>17208394.633919999</v>
      </c>
      <c r="R41" s="96" t="s">
        <v>625</v>
      </c>
      <c r="S41" s="96">
        <v>7414000005</v>
      </c>
      <c r="W41" s="129">
        <v>147309</v>
      </c>
      <c r="X41" s="130">
        <v>323537018.66242701</v>
      </c>
      <c r="AA41" s="131" t="s">
        <v>554</v>
      </c>
      <c r="AB41" s="130">
        <v>5479308.2162499996</v>
      </c>
      <c r="AC41" s="130">
        <v>5479308.2162499996</v>
      </c>
    </row>
    <row r="42" spans="1:29" x14ac:dyDescent="0.25">
      <c r="A42" t="str">
        <f t="shared" si="1"/>
        <v xml:space="preserve">1000001573GOBFED 310529       </v>
      </c>
      <c r="B42" s="96">
        <v>1000001573</v>
      </c>
      <c r="C42" s="96" t="s">
        <v>626</v>
      </c>
      <c r="D42" s="96" t="s">
        <v>427</v>
      </c>
      <c r="E42" s="96" t="s">
        <v>623</v>
      </c>
      <c r="F42" s="96" t="s">
        <v>624</v>
      </c>
      <c r="G42" s="99">
        <v>195699</v>
      </c>
      <c r="H42" s="97">
        <v>86.469353999999996</v>
      </c>
      <c r="I42" s="98">
        <v>16921966.108445998</v>
      </c>
      <c r="J42" s="97">
        <v>89.838096089999993</v>
      </c>
      <c r="K42" s="98">
        <v>-659259.45827090996</v>
      </c>
      <c r="L42" s="99">
        <v>0</v>
      </c>
      <c r="M42" s="98">
        <v>0</v>
      </c>
      <c r="N42" s="99">
        <v>0</v>
      </c>
      <c r="O42" s="98">
        <v>0</v>
      </c>
      <c r="P42" s="99">
        <v>195699</v>
      </c>
      <c r="Q42" s="98">
        <v>16921966.108445998</v>
      </c>
      <c r="R42" s="96" t="s">
        <v>625</v>
      </c>
      <c r="S42" s="96">
        <v>7414000005</v>
      </c>
      <c r="W42" s="129">
        <v>147310</v>
      </c>
      <c r="X42" s="130">
        <v>150734629.05490997</v>
      </c>
      <c r="AA42" s="131" t="s">
        <v>613</v>
      </c>
      <c r="AB42" s="130">
        <v>16943154.54115</v>
      </c>
      <c r="AC42" s="130">
        <v>16943154.54115</v>
      </c>
    </row>
    <row r="43" spans="1:29" x14ac:dyDescent="0.25">
      <c r="A43" t="str">
        <f t="shared" si="1"/>
        <v xml:space="preserve">1000001573GOBFED 330526       </v>
      </c>
      <c r="B43" s="96">
        <v>1000001573</v>
      </c>
      <c r="C43" s="96" t="s">
        <v>626</v>
      </c>
      <c r="D43" s="96" t="s">
        <v>384</v>
      </c>
      <c r="E43" s="96" t="s">
        <v>623</v>
      </c>
      <c r="F43" s="96" t="s">
        <v>624</v>
      </c>
      <c r="G43" s="99">
        <v>137652</v>
      </c>
      <c r="H43" s="97">
        <v>81.738860000000003</v>
      </c>
      <c r="I43" s="98">
        <v>11251517.55672</v>
      </c>
      <c r="J43" s="97">
        <v>86.051241614074627</v>
      </c>
      <c r="K43" s="98">
        <v>-593607.95394060004</v>
      </c>
      <c r="L43" s="99">
        <v>0</v>
      </c>
      <c r="M43" s="98">
        <v>0</v>
      </c>
      <c r="N43" s="99">
        <v>0</v>
      </c>
      <c r="O43" s="98">
        <v>0</v>
      </c>
      <c r="P43" s="99">
        <v>137652</v>
      </c>
      <c r="Q43" s="98">
        <v>11251517.55672</v>
      </c>
      <c r="R43" s="96" t="s">
        <v>625</v>
      </c>
      <c r="S43" s="96">
        <v>7414000005</v>
      </c>
      <c r="W43" s="129">
        <v>147311</v>
      </c>
      <c r="X43" s="130">
        <v>214272265.07934496</v>
      </c>
      <c r="AA43" s="131" t="s">
        <v>649</v>
      </c>
      <c r="AB43" s="130">
        <v>1181825.1751999999</v>
      </c>
      <c r="AC43" s="130">
        <v>1181825.1751999999</v>
      </c>
    </row>
    <row r="44" spans="1:29" x14ac:dyDescent="0.25">
      <c r="A44" t="str">
        <f t="shared" si="1"/>
        <v xml:space="preserve">1000001573GOBFED 341123       </v>
      </c>
      <c r="B44" s="96">
        <v>1000001573</v>
      </c>
      <c r="C44" s="96" t="s">
        <v>626</v>
      </c>
      <c r="D44" s="96" t="s">
        <v>385</v>
      </c>
      <c r="E44" s="96" t="s">
        <v>623</v>
      </c>
      <c r="F44" s="96" t="s">
        <v>624</v>
      </c>
      <c r="G44" s="99">
        <v>48434</v>
      </c>
      <c r="H44" s="97">
        <v>83.200761</v>
      </c>
      <c r="I44" s="98">
        <v>4029745.658274</v>
      </c>
      <c r="J44" s="97">
        <v>91.282563010000004</v>
      </c>
      <c r="K44" s="98">
        <v>-391433.99855234002</v>
      </c>
      <c r="L44" s="99">
        <v>0</v>
      </c>
      <c r="M44" s="98">
        <v>0</v>
      </c>
      <c r="N44" s="99">
        <v>0</v>
      </c>
      <c r="O44" s="98">
        <v>0</v>
      </c>
      <c r="P44" s="99">
        <v>48434</v>
      </c>
      <c r="Q44" s="98">
        <v>4029745.658274</v>
      </c>
      <c r="R44" s="96" t="s">
        <v>625</v>
      </c>
      <c r="S44" s="96">
        <v>7414000005</v>
      </c>
      <c r="W44" s="129">
        <v>147312</v>
      </c>
      <c r="X44" s="130">
        <v>36745765.443085</v>
      </c>
      <c r="AA44" s="129">
        <v>1010322</v>
      </c>
      <c r="AB44" s="130">
        <v>27265.21</v>
      </c>
      <c r="AC44" s="130">
        <v>27265.21</v>
      </c>
    </row>
    <row r="45" spans="1:29" x14ac:dyDescent="0.25">
      <c r="A45" t="str">
        <f t="shared" si="1"/>
        <v xml:space="preserve">1000001573GOBFED 421113       </v>
      </c>
      <c r="B45" s="96">
        <v>1000001573</v>
      </c>
      <c r="C45" s="96" t="s">
        <v>626</v>
      </c>
      <c r="D45" s="96" t="s">
        <v>386</v>
      </c>
      <c r="E45" s="96" t="s">
        <v>623</v>
      </c>
      <c r="F45" s="96" t="s">
        <v>624</v>
      </c>
      <c r="G45" s="99">
        <v>133615</v>
      </c>
      <c r="H45" s="97">
        <v>82.159907000000004</v>
      </c>
      <c r="I45" s="98">
        <v>10977795.973804999</v>
      </c>
      <c r="J45" s="97">
        <v>84.040670625018151</v>
      </c>
      <c r="K45" s="98">
        <v>-251298.2317568</v>
      </c>
      <c r="L45" s="99">
        <v>0</v>
      </c>
      <c r="M45" s="98">
        <v>0</v>
      </c>
      <c r="N45" s="99">
        <v>0</v>
      </c>
      <c r="O45" s="98">
        <v>0</v>
      </c>
      <c r="P45" s="99">
        <v>133615</v>
      </c>
      <c r="Q45" s="98">
        <v>10977795.973804999</v>
      </c>
      <c r="R45" s="96" t="s">
        <v>625</v>
      </c>
      <c r="S45" s="96">
        <v>7414000005</v>
      </c>
      <c r="W45" s="129">
        <v>147313</v>
      </c>
      <c r="X45" s="130">
        <v>27558259.843445003</v>
      </c>
      <c r="AA45" s="131" t="s">
        <v>366</v>
      </c>
      <c r="AB45" s="130">
        <v>27265.21</v>
      </c>
      <c r="AC45" s="130">
        <v>27265.21</v>
      </c>
    </row>
    <row r="46" spans="1:29" x14ac:dyDescent="0.25">
      <c r="A46" t="str">
        <f t="shared" si="1"/>
        <v xml:space="preserve">1000001573GOBFED 471107       </v>
      </c>
      <c r="B46" s="96">
        <v>1000001573</v>
      </c>
      <c r="C46" s="96" t="s">
        <v>626</v>
      </c>
      <c r="D46" s="96" t="s">
        <v>387</v>
      </c>
      <c r="E46" s="96" t="s">
        <v>623</v>
      </c>
      <c r="F46" s="96" t="s">
        <v>624</v>
      </c>
      <c r="G46" s="99">
        <v>0</v>
      </c>
      <c r="H46" s="97">
        <v>0</v>
      </c>
      <c r="I46" s="98">
        <v>0</v>
      </c>
      <c r="J46" s="97">
        <v>0</v>
      </c>
      <c r="K46" s="98">
        <v>0</v>
      </c>
      <c r="L46" s="99">
        <v>0</v>
      </c>
      <c r="M46" s="98">
        <v>0</v>
      </c>
      <c r="N46" s="99">
        <v>0</v>
      </c>
      <c r="O46" s="98">
        <v>0</v>
      </c>
      <c r="P46" s="99">
        <v>0</v>
      </c>
      <c r="Q46" s="98">
        <v>0</v>
      </c>
      <c r="R46" s="96" t="s">
        <v>625</v>
      </c>
      <c r="S46" s="96">
        <v>7414000005</v>
      </c>
      <c r="W46" s="129">
        <v>147314</v>
      </c>
      <c r="X46" s="130">
        <v>1497059163.4891174</v>
      </c>
      <c r="AA46" s="129">
        <v>1010401</v>
      </c>
      <c r="AB46" s="130">
        <v>52831071.346625999</v>
      </c>
      <c r="AC46" s="130">
        <v>52831071.346625999</v>
      </c>
    </row>
    <row r="47" spans="1:29" x14ac:dyDescent="0.25">
      <c r="A47" t="str">
        <f t="shared" si="1"/>
        <v xml:space="preserve">1000001573GOBFED 530731       </v>
      </c>
      <c r="B47" s="96">
        <v>1000001573</v>
      </c>
      <c r="C47" s="96" t="s">
        <v>626</v>
      </c>
      <c r="D47" s="96" t="s">
        <v>503</v>
      </c>
      <c r="E47" s="96" t="s">
        <v>623</v>
      </c>
      <c r="F47" s="96" t="s">
        <v>624</v>
      </c>
      <c r="G47" s="99">
        <v>0</v>
      </c>
      <c r="H47" s="97">
        <v>0</v>
      </c>
      <c r="I47" s="98">
        <v>0</v>
      </c>
      <c r="J47" s="97">
        <v>0</v>
      </c>
      <c r="K47" s="98">
        <v>0</v>
      </c>
      <c r="L47" s="99">
        <v>0</v>
      </c>
      <c r="M47" s="98">
        <v>0</v>
      </c>
      <c r="N47" s="99">
        <v>0</v>
      </c>
      <c r="O47" s="98">
        <v>0</v>
      </c>
      <c r="P47" s="99">
        <v>0</v>
      </c>
      <c r="Q47" s="98">
        <v>0</v>
      </c>
      <c r="R47" s="96" t="s">
        <v>625</v>
      </c>
      <c r="S47" s="96">
        <v>7414000005</v>
      </c>
      <c r="W47" s="129">
        <v>147491</v>
      </c>
      <c r="X47" s="130">
        <v>1600297.8591159999</v>
      </c>
      <c r="AA47" s="131" t="s">
        <v>473</v>
      </c>
      <c r="AB47" s="130">
        <v>52831071.346625999</v>
      </c>
      <c r="AC47" s="130">
        <v>52831071.346625999</v>
      </c>
    </row>
    <row r="48" spans="1:29" x14ac:dyDescent="0.25">
      <c r="A48" t="str">
        <f t="shared" si="1"/>
        <v xml:space="preserve">1000001573GRUMA B             </v>
      </c>
      <c r="B48" s="96">
        <v>1000001573</v>
      </c>
      <c r="C48" s="96" t="s">
        <v>626</v>
      </c>
      <c r="D48" s="96" t="s">
        <v>388</v>
      </c>
      <c r="E48" s="96" t="s">
        <v>623</v>
      </c>
      <c r="F48" s="96" t="s">
        <v>624</v>
      </c>
      <c r="G48" s="99">
        <v>0</v>
      </c>
      <c r="H48" s="97">
        <v>0</v>
      </c>
      <c r="I48" s="98">
        <v>0</v>
      </c>
      <c r="J48" s="97">
        <v>0</v>
      </c>
      <c r="K48" s="98">
        <v>0</v>
      </c>
      <c r="L48" s="99">
        <v>0</v>
      </c>
      <c r="M48" s="98">
        <v>0</v>
      </c>
      <c r="N48" s="99">
        <v>0</v>
      </c>
      <c r="O48" s="98">
        <v>0</v>
      </c>
      <c r="P48" s="99">
        <v>0</v>
      </c>
      <c r="Q48" s="98">
        <v>0</v>
      </c>
      <c r="R48" s="96" t="s">
        <v>625</v>
      </c>
      <c r="S48" s="96">
        <v>7414000005</v>
      </c>
      <c r="W48" s="129">
        <v>147492</v>
      </c>
      <c r="X48" s="130">
        <v>42426821.603606999</v>
      </c>
      <c r="AA48" s="129">
        <v>1012259</v>
      </c>
      <c r="AB48" s="130">
        <v>25086330.927329</v>
      </c>
      <c r="AC48" s="130">
        <v>25086330.927329</v>
      </c>
    </row>
    <row r="49" spans="1:29" x14ac:dyDescent="0.25">
      <c r="A49" t="str">
        <f t="shared" si="1"/>
        <v xml:space="preserve">1000001573HERDEZ *            </v>
      </c>
      <c r="B49" s="96">
        <v>1000001573</v>
      </c>
      <c r="C49" s="96" t="s">
        <v>626</v>
      </c>
      <c r="D49" s="96" t="s">
        <v>539</v>
      </c>
      <c r="E49" s="96" t="s">
        <v>623</v>
      </c>
      <c r="F49" s="96" t="s">
        <v>624</v>
      </c>
      <c r="G49" s="99">
        <v>0</v>
      </c>
      <c r="H49" s="97">
        <v>0</v>
      </c>
      <c r="I49" s="98">
        <v>0</v>
      </c>
      <c r="J49" s="97">
        <v>0</v>
      </c>
      <c r="K49" s="98">
        <v>0</v>
      </c>
      <c r="L49" s="99">
        <v>0</v>
      </c>
      <c r="M49" s="98">
        <v>0</v>
      </c>
      <c r="N49" s="99">
        <v>0</v>
      </c>
      <c r="O49" s="98">
        <v>0</v>
      </c>
      <c r="P49" s="99">
        <v>0</v>
      </c>
      <c r="Q49" s="98">
        <v>0</v>
      </c>
      <c r="R49" s="96" t="s">
        <v>625</v>
      </c>
      <c r="S49" s="96">
        <v>7414000005</v>
      </c>
      <c r="W49" s="129">
        <v>152965</v>
      </c>
      <c r="X49" s="130">
        <v>21394557.376568999</v>
      </c>
      <c r="AA49" s="131" t="s">
        <v>480</v>
      </c>
      <c r="AB49" s="130">
        <v>50097.594546</v>
      </c>
      <c r="AC49" s="130">
        <v>50097.594546</v>
      </c>
    </row>
    <row r="50" spans="1:29" x14ac:dyDescent="0.25">
      <c r="A50" t="str">
        <f t="shared" si="1"/>
        <v xml:space="preserve">1000001573IVV *               </v>
      </c>
      <c r="B50" s="96">
        <v>1000001573</v>
      </c>
      <c r="C50" s="96" t="s">
        <v>626</v>
      </c>
      <c r="D50" s="96" t="s">
        <v>540</v>
      </c>
      <c r="E50" s="96" t="s">
        <v>623</v>
      </c>
      <c r="F50" s="96" t="s">
        <v>624</v>
      </c>
      <c r="G50" s="99">
        <v>0</v>
      </c>
      <c r="H50" s="97">
        <v>0</v>
      </c>
      <c r="I50" s="98">
        <v>0</v>
      </c>
      <c r="J50" s="97">
        <v>0</v>
      </c>
      <c r="K50" s="98">
        <v>0</v>
      </c>
      <c r="L50" s="99">
        <v>0</v>
      </c>
      <c r="M50" s="98">
        <v>0</v>
      </c>
      <c r="N50" s="99">
        <v>0</v>
      </c>
      <c r="O50" s="98">
        <v>0</v>
      </c>
      <c r="P50" s="99">
        <v>0</v>
      </c>
      <c r="Q50" s="98">
        <v>0</v>
      </c>
      <c r="R50" s="96" t="s">
        <v>625</v>
      </c>
      <c r="S50" s="96">
        <v>7414000005</v>
      </c>
      <c r="W50" s="129">
        <v>152971</v>
      </c>
      <c r="X50" s="130">
        <v>48516978.176933996</v>
      </c>
      <c r="AA50" s="131" t="s">
        <v>413</v>
      </c>
      <c r="AB50" s="130">
        <v>9336046.9224219993</v>
      </c>
      <c r="AC50" s="130">
        <v>9336046.9224219993</v>
      </c>
    </row>
    <row r="51" spans="1:29" x14ac:dyDescent="0.25">
      <c r="A51" t="str">
        <f t="shared" si="1"/>
        <v xml:space="preserve">1000001573KOF UBL             </v>
      </c>
      <c r="B51" s="96">
        <v>1000001573</v>
      </c>
      <c r="C51" s="96" t="s">
        <v>626</v>
      </c>
      <c r="D51" s="96" t="s">
        <v>553</v>
      </c>
      <c r="E51" s="96" t="s">
        <v>623</v>
      </c>
      <c r="F51" s="96" t="s">
        <v>624</v>
      </c>
      <c r="G51" s="99">
        <v>0</v>
      </c>
      <c r="H51" s="97">
        <v>0</v>
      </c>
      <c r="I51" s="98">
        <v>0</v>
      </c>
      <c r="J51" s="97">
        <v>0</v>
      </c>
      <c r="K51" s="98">
        <v>0</v>
      </c>
      <c r="L51" s="99">
        <v>0</v>
      </c>
      <c r="M51" s="98">
        <v>0</v>
      </c>
      <c r="N51" s="99">
        <v>0</v>
      </c>
      <c r="O51" s="98">
        <v>0</v>
      </c>
      <c r="P51" s="99">
        <v>0</v>
      </c>
      <c r="Q51" s="98">
        <v>0</v>
      </c>
      <c r="R51" s="96" t="s">
        <v>625</v>
      </c>
      <c r="S51" s="96">
        <v>7414000005</v>
      </c>
      <c r="W51" s="129">
        <v>152974</v>
      </c>
      <c r="X51" s="130">
        <v>45561979.920111999</v>
      </c>
      <c r="AA51" s="131" t="s">
        <v>414</v>
      </c>
      <c r="AB51" s="130">
        <v>7022186.5073760003</v>
      </c>
      <c r="AC51" s="130">
        <v>7022186.5073760003</v>
      </c>
    </row>
    <row r="52" spans="1:29" x14ac:dyDescent="0.25">
      <c r="A52" t="str">
        <f t="shared" si="1"/>
        <v xml:space="preserve">1000001573LACOMER UBC         </v>
      </c>
      <c r="B52" s="96">
        <v>1000001573</v>
      </c>
      <c r="C52" s="96" t="s">
        <v>626</v>
      </c>
      <c r="D52" s="96" t="s">
        <v>628</v>
      </c>
      <c r="E52" s="96" t="s">
        <v>623</v>
      </c>
      <c r="F52" s="96" t="s">
        <v>624</v>
      </c>
      <c r="G52" s="99">
        <v>60000</v>
      </c>
      <c r="H52" s="97">
        <v>99.999184999999997</v>
      </c>
      <c r="I52" s="98">
        <v>5999951.0999999996</v>
      </c>
      <c r="J52" s="97">
        <v>100</v>
      </c>
      <c r="K52" s="98">
        <v>-48.9</v>
      </c>
      <c r="L52" s="99">
        <v>0</v>
      </c>
      <c r="M52" s="98">
        <v>0</v>
      </c>
      <c r="N52" s="99">
        <v>0</v>
      </c>
      <c r="O52" s="98">
        <v>0</v>
      </c>
      <c r="P52" s="99">
        <v>60000</v>
      </c>
      <c r="Q52" s="98">
        <v>5999951.0999999996</v>
      </c>
      <c r="R52" s="96" t="s">
        <v>625</v>
      </c>
      <c r="S52" s="96">
        <v>7414000005</v>
      </c>
      <c r="W52" s="129">
        <v>152976</v>
      </c>
      <c r="X52" s="130">
        <v>13971531.55848</v>
      </c>
      <c r="AA52" s="131" t="s">
        <v>415</v>
      </c>
      <c r="AB52" s="130">
        <v>8423629.2053599991</v>
      </c>
      <c r="AC52" s="130">
        <v>8423629.2053599991</v>
      </c>
    </row>
    <row r="53" spans="1:29" x14ac:dyDescent="0.25">
      <c r="A53" t="str">
        <f t="shared" si="1"/>
        <v xml:space="preserve">1000001573LIVEPOL C-1         </v>
      </c>
      <c r="B53" s="96">
        <v>1000001573</v>
      </c>
      <c r="C53" s="96" t="s">
        <v>626</v>
      </c>
      <c r="D53" s="96" t="s">
        <v>544</v>
      </c>
      <c r="E53" s="96" t="s">
        <v>623</v>
      </c>
      <c r="F53" s="96" t="s">
        <v>624</v>
      </c>
      <c r="G53" s="99">
        <v>0</v>
      </c>
      <c r="H53" s="97">
        <v>0</v>
      </c>
      <c r="I53" s="98">
        <v>0</v>
      </c>
      <c r="J53" s="97">
        <v>0</v>
      </c>
      <c r="K53" s="98">
        <v>0</v>
      </c>
      <c r="L53" s="99">
        <v>0</v>
      </c>
      <c r="M53" s="98">
        <v>0</v>
      </c>
      <c r="N53" s="99">
        <v>0</v>
      </c>
      <c r="O53" s="98">
        <v>0</v>
      </c>
      <c r="P53" s="99">
        <v>0</v>
      </c>
      <c r="Q53" s="98">
        <v>0</v>
      </c>
      <c r="R53" s="96" t="s">
        <v>625</v>
      </c>
      <c r="S53" s="96">
        <v>7414000005</v>
      </c>
      <c r="W53" s="129">
        <v>152979</v>
      </c>
      <c r="X53" s="130">
        <v>14227629.13974</v>
      </c>
      <c r="AA53" s="131" t="s">
        <v>416</v>
      </c>
      <c r="AB53" s="130">
        <v>254370.697625</v>
      </c>
      <c r="AC53" s="130">
        <v>254370.697625</v>
      </c>
    </row>
    <row r="54" spans="1:29" x14ac:dyDescent="0.25">
      <c r="A54" t="str">
        <f t="shared" si="1"/>
        <v xml:space="preserve">1000001573MEGA 24X            </v>
      </c>
      <c r="B54" s="96">
        <v>1000001573</v>
      </c>
      <c r="C54" s="96" t="s">
        <v>626</v>
      </c>
      <c r="D54" s="96" t="s">
        <v>541</v>
      </c>
      <c r="E54" s="96" t="s">
        <v>623</v>
      </c>
      <c r="F54" s="96" t="s">
        <v>624</v>
      </c>
      <c r="G54" s="99">
        <v>0</v>
      </c>
      <c r="H54" s="97">
        <v>0</v>
      </c>
      <c r="I54" s="98">
        <v>0</v>
      </c>
      <c r="J54" s="97">
        <v>0</v>
      </c>
      <c r="K54" s="98">
        <v>0</v>
      </c>
      <c r="L54" s="99">
        <v>0</v>
      </c>
      <c r="M54" s="98">
        <v>0</v>
      </c>
      <c r="N54" s="99">
        <v>0</v>
      </c>
      <c r="O54" s="98">
        <v>0</v>
      </c>
      <c r="P54" s="99">
        <v>0</v>
      </c>
      <c r="Q54" s="98">
        <v>0</v>
      </c>
      <c r="R54" s="96" t="s">
        <v>625</v>
      </c>
      <c r="S54" s="96">
        <v>7414000005</v>
      </c>
      <c r="W54" s="129">
        <v>152981</v>
      </c>
      <c r="X54" s="130">
        <v>4310317.4885139996</v>
      </c>
      <c r="AA54" s="129">
        <v>1012260</v>
      </c>
      <c r="AB54" s="130">
        <v>57642568.212480001</v>
      </c>
      <c r="AC54" s="130">
        <v>57642568.212480001</v>
      </c>
    </row>
    <row r="55" spans="1:29" x14ac:dyDescent="0.25">
      <c r="A55" t="str">
        <f t="shared" si="1"/>
        <v xml:space="preserve">1000001573NEMAK A             </v>
      </c>
      <c r="B55" s="96">
        <v>1000001573</v>
      </c>
      <c r="C55" s="96" t="s">
        <v>626</v>
      </c>
      <c r="D55" s="96" t="s">
        <v>501</v>
      </c>
      <c r="E55" s="96" t="s">
        <v>623</v>
      </c>
      <c r="F55" s="96" t="s">
        <v>624</v>
      </c>
      <c r="G55" s="99">
        <v>0</v>
      </c>
      <c r="H55" s="97">
        <v>0</v>
      </c>
      <c r="I55" s="98">
        <v>0</v>
      </c>
      <c r="J55" s="97">
        <v>0</v>
      </c>
      <c r="K55" s="98">
        <v>0</v>
      </c>
      <c r="L55" s="99">
        <v>0</v>
      </c>
      <c r="M55" s="98">
        <v>0</v>
      </c>
      <c r="N55" s="99">
        <v>0</v>
      </c>
      <c r="O55" s="98">
        <v>0</v>
      </c>
      <c r="P55" s="99">
        <v>0</v>
      </c>
      <c r="Q55" s="98">
        <v>0</v>
      </c>
      <c r="R55" s="96" t="s">
        <v>625</v>
      </c>
      <c r="S55" s="96">
        <v>7414000005</v>
      </c>
      <c r="W55" s="129">
        <v>152983</v>
      </c>
      <c r="X55" s="130">
        <v>898958.82356799999</v>
      </c>
      <c r="AA55" s="131" t="s">
        <v>480</v>
      </c>
      <c r="AB55" s="130">
        <v>79438.613247000001</v>
      </c>
      <c r="AC55" s="130">
        <v>79438.613247000001</v>
      </c>
    </row>
    <row r="56" spans="1:29" x14ac:dyDescent="0.25">
      <c r="A56" t="str">
        <f t="shared" si="1"/>
        <v xml:space="preserve">1000001573R A                 </v>
      </c>
      <c r="B56" s="96">
        <v>1000001573</v>
      </c>
      <c r="C56" s="96" t="s">
        <v>626</v>
      </c>
      <c r="D56" s="96" t="s">
        <v>389</v>
      </c>
      <c r="E56" s="96" t="s">
        <v>623</v>
      </c>
      <c r="F56" s="96" t="s">
        <v>624</v>
      </c>
      <c r="G56" s="99">
        <v>1539540</v>
      </c>
      <c r="H56" s="97">
        <v>3.3967719999999999</v>
      </c>
      <c r="I56" s="98">
        <v>5229466.3648800002</v>
      </c>
      <c r="J56" s="97">
        <v>3.345312008781844</v>
      </c>
      <c r="K56" s="98">
        <v>79224.71488</v>
      </c>
      <c r="L56" s="99">
        <v>0</v>
      </c>
      <c r="M56" s="98">
        <v>0</v>
      </c>
      <c r="N56" s="99">
        <v>0</v>
      </c>
      <c r="O56" s="98">
        <v>0</v>
      </c>
      <c r="P56" s="99">
        <v>1539540</v>
      </c>
      <c r="Q56" s="98">
        <v>5229466.3648800002</v>
      </c>
      <c r="R56" s="96" t="s">
        <v>625</v>
      </c>
      <c r="S56" s="96">
        <v>7414000005</v>
      </c>
      <c r="W56" s="129">
        <v>153030</v>
      </c>
      <c r="X56" s="130">
        <v>0</v>
      </c>
      <c r="AA56" s="131" t="s">
        <v>413</v>
      </c>
      <c r="AB56" s="130">
        <v>21670954.416992001</v>
      </c>
      <c r="AC56" s="130">
        <v>21670954.416992001</v>
      </c>
    </row>
    <row r="57" spans="1:29" x14ac:dyDescent="0.25">
      <c r="A57" t="str">
        <f t="shared" si="1"/>
        <v xml:space="preserve">1000001573SPSM *              </v>
      </c>
      <c r="B57" s="96">
        <v>1000001573</v>
      </c>
      <c r="C57" s="96" t="s">
        <v>626</v>
      </c>
      <c r="D57" s="96" t="s">
        <v>500</v>
      </c>
      <c r="E57" s="96" t="s">
        <v>623</v>
      </c>
      <c r="F57" s="96" t="s">
        <v>624</v>
      </c>
      <c r="G57" s="99">
        <v>0</v>
      </c>
      <c r="H57" s="97">
        <v>0</v>
      </c>
      <c r="I57" s="98">
        <v>0</v>
      </c>
      <c r="J57" s="97">
        <v>0</v>
      </c>
      <c r="K57" s="98">
        <v>0</v>
      </c>
      <c r="L57" s="99">
        <v>0</v>
      </c>
      <c r="M57" s="98">
        <v>0</v>
      </c>
      <c r="N57" s="99">
        <v>0</v>
      </c>
      <c r="O57" s="98">
        <v>0</v>
      </c>
      <c r="P57" s="99">
        <v>0</v>
      </c>
      <c r="Q57" s="98">
        <v>0</v>
      </c>
      <c r="R57" s="96" t="s">
        <v>625</v>
      </c>
      <c r="S57" s="96">
        <v>7414000005</v>
      </c>
      <c r="W57" s="129">
        <v>156622</v>
      </c>
      <c r="X57" s="130">
        <v>203705476.38309199</v>
      </c>
      <c r="AA57" s="131" t="s">
        <v>414</v>
      </c>
      <c r="AB57" s="130">
        <v>17113019.254864</v>
      </c>
      <c r="AC57" s="130">
        <v>17113019.254864</v>
      </c>
    </row>
    <row r="58" spans="1:29" x14ac:dyDescent="0.25">
      <c r="A58" t="str">
        <f t="shared" si="1"/>
        <v xml:space="preserve">1000001573STERGOB ED          </v>
      </c>
      <c r="B58" s="96">
        <v>1000001573</v>
      </c>
      <c r="C58" s="96" t="s">
        <v>626</v>
      </c>
      <c r="D58" s="96" t="s">
        <v>391</v>
      </c>
      <c r="E58" s="96" t="s">
        <v>623</v>
      </c>
      <c r="F58" s="96" t="s">
        <v>624</v>
      </c>
      <c r="G58" s="99">
        <v>16836</v>
      </c>
      <c r="H58" s="97">
        <v>775.69178699999998</v>
      </c>
      <c r="I58" s="98">
        <v>13059546.925931999</v>
      </c>
      <c r="J58" s="97">
        <v>763.85295237784271</v>
      </c>
      <c r="K58" s="98">
        <v>199318.61969863999</v>
      </c>
      <c r="L58" s="99">
        <v>0</v>
      </c>
      <c r="M58" s="98">
        <v>0</v>
      </c>
      <c r="N58" s="99">
        <v>0</v>
      </c>
      <c r="O58" s="98">
        <v>0</v>
      </c>
      <c r="P58" s="99">
        <v>16836</v>
      </c>
      <c r="Q58" s="98">
        <v>13059546.925931999</v>
      </c>
      <c r="R58" s="96" t="s">
        <v>625</v>
      </c>
      <c r="S58" s="96">
        <v>7414000005</v>
      </c>
      <c r="W58" s="129">
        <v>159246</v>
      </c>
      <c r="X58" s="130">
        <v>13674935.246929999</v>
      </c>
      <c r="AA58" s="131" t="s">
        <v>415</v>
      </c>
      <c r="AB58" s="130">
        <v>18224173.759151999</v>
      </c>
      <c r="AC58" s="130">
        <v>18224173.759151999</v>
      </c>
    </row>
    <row r="59" spans="1:29" x14ac:dyDescent="0.25">
      <c r="A59" t="str">
        <f t="shared" si="1"/>
        <v xml:space="preserve">1000001573TRAXION A           </v>
      </c>
      <c r="B59" s="96">
        <v>1000001573</v>
      </c>
      <c r="C59" s="96" t="s">
        <v>626</v>
      </c>
      <c r="D59" s="96" t="s">
        <v>392</v>
      </c>
      <c r="E59" s="96" t="s">
        <v>623</v>
      </c>
      <c r="F59" s="96" t="s">
        <v>624</v>
      </c>
      <c r="G59" s="99">
        <v>11953</v>
      </c>
      <c r="H59" s="97">
        <v>747.17843200000004</v>
      </c>
      <c r="I59" s="98">
        <v>8931023.797696</v>
      </c>
      <c r="J59" s="97">
        <v>721.08853855769598</v>
      </c>
      <c r="K59" s="98">
        <v>311852.49631586001</v>
      </c>
      <c r="L59" s="99">
        <v>0</v>
      </c>
      <c r="M59" s="98">
        <v>0</v>
      </c>
      <c r="N59" s="99">
        <v>0</v>
      </c>
      <c r="O59" s="98">
        <v>0</v>
      </c>
      <c r="P59" s="99">
        <v>11953</v>
      </c>
      <c r="Q59" s="98">
        <v>8931023.797696</v>
      </c>
      <c r="R59" s="96" t="s">
        <v>625</v>
      </c>
      <c r="S59" s="96">
        <v>7414000005</v>
      </c>
      <c r="W59" s="129">
        <v>420310</v>
      </c>
      <c r="X59" s="130">
        <v>30183384.691780999</v>
      </c>
      <c r="AA59" s="131" t="s">
        <v>416</v>
      </c>
      <c r="AB59" s="130">
        <v>554982.16822500003</v>
      </c>
      <c r="AC59" s="130">
        <v>554982.16822500003</v>
      </c>
    </row>
    <row r="60" spans="1:29" x14ac:dyDescent="0.25">
      <c r="A60" t="str">
        <f t="shared" si="1"/>
        <v xml:space="preserve">1000001573UDIBONO 251204      </v>
      </c>
      <c r="B60" s="96">
        <v>1000001573</v>
      </c>
      <c r="C60" s="96" t="s">
        <v>626</v>
      </c>
      <c r="D60" s="96" t="s">
        <v>393</v>
      </c>
      <c r="E60" s="96" t="s">
        <v>623</v>
      </c>
      <c r="F60" s="96" t="s">
        <v>624</v>
      </c>
      <c r="G60" s="99">
        <v>7339</v>
      </c>
      <c r="H60" s="97">
        <v>765.92388300000005</v>
      </c>
      <c r="I60" s="98">
        <v>5621115.3773370003</v>
      </c>
      <c r="J60" s="97">
        <v>763.17169451999996</v>
      </c>
      <c r="K60" s="98">
        <v>20198.31125472</v>
      </c>
      <c r="L60" s="99">
        <v>0</v>
      </c>
      <c r="M60" s="98">
        <v>0</v>
      </c>
      <c r="N60" s="99">
        <v>0</v>
      </c>
      <c r="O60" s="98">
        <v>0</v>
      </c>
      <c r="P60" s="99">
        <v>7339</v>
      </c>
      <c r="Q60" s="98">
        <v>5621115.3773370003</v>
      </c>
      <c r="R60" s="96" t="s">
        <v>625</v>
      </c>
      <c r="S60" s="96">
        <v>7414000005</v>
      </c>
      <c r="W60" s="129">
        <v>536741</v>
      </c>
      <c r="X60" s="130">
        <v>12707620.423643999</v>
      </c>
      <c r="AA60" s="129">
        <v>1013187</v>
      </c>
      <c r="AB60" s="130">
        <v>93135769.234126002</v>
      </c>
      <c r="AC60" s="130">
        <v>93135769.234126002</v>
      </c>
    </row>
    <row r="61" spans="1:29" x14ac:dyDescent="0.25">
      <c r="A61" t="str">
        <f t="shared" si="1"/>
        <v xml:space="preserve">1000001573UDIBONO 261203      </v>
      </c>
      <c r="B61" s="96">
        <v>1000001573</v>
      </c>
      <c r="C61" s="96" t="s">
        <v>626</v>
      </c>
      <c r="D61" s="96" t="s">
        <v>394</v>
      </c>
      <c r="E61" s="96" t="s">
        <v>623</v>
      </c>
      <c r="F61" s="96" t="s">
        <v>624</v>
      </c>
      <c r="G61" s="99">
        <v>9785</v>
      </c>
      <c r="H61" s="97">
        <v>684.88915799999995</v>
      </c>
      <c r="I61" s="98">
        <v>6701640.4110300001</v>
      </c>
      <c r="J61" s="97">
        <v>684.87030049223301</v>
      </c>
      <c r="K61" s="98">
        <v>184.5207135</v>
      </c>
      <c r="L61" s="99">
        <v>0</v>
      </c>
      <c r="M61" s="98">
        <v>0</v>
      </c>
      <c r="N61" s="99">
        <v>0</v>
      </c>
      <c r="O61" s="98">
        <v>0</v>
      </c>
      <c r="P61" s="99">
        <v>9785</v>
      </c>
      <c r="Q61" s="98">
        <v>6701640.4110300001</v>
      </c>
      <c r="R61" s="96" t="s">
        <v>625</v>
      </c>
      <c r="S61" s="96">
        <v>7414000005</v>
      </c>
      <c r="W61" s="129">
        <v>541079</v>
      </c>
      <c r="X61" s="130">
        <v>365894.79542500002</v>
      </c>
      <c r="AA61" s="131" t="s">
        <v>389</v>
      </c>
      <c r="AB61" s="130">
        <v>32458486.645592</v>
      </c>
      <c r="AC61" s="130">
        <v>32458486.645592</v>
      </c>
    </row>
    <row r="62" spans="1:29" x14ac:dyDescent="0.25">
      <c r="A62" t="str">
        <f t="shared" si="1"/>
        <v xml:space="preserve">1000001573UDIBONO 281130      </v>
      </c>
      <c r="B62" s="96">
        <v>1000001573</v>
      </c>
      <c r="C62" s="96" t="s">
        <v>626</v>
      </c>
      <c r="D62" s="96" t="s">
        <v>395</v>
      </c>
      <c r="E62" s="96" t="s">
        <v>623</v>
      </c>
      <c r="F62" s="96" t="s">
        <v>624</v>
      </c>
      <c r="G62" s="99">
        <v>9988</v>
      </c>
      <c r="H62" s="97">
        <v>772.926965</v>
      </c>
      <c r="I62" s="98">
        <v>7719994.52642</v>
      </c>
      <c r="J62" s="97">
        <v>803.0700557177563</v>
      </c>
      <c r="K62" s="98">
        <v>-301069.19008894998</v>
      </c>
      <c r="L62" s="99">
        <v>0</v>
      </c>
      <c r="M62" s="98">
        <v>0</v>
      </c>
      <c r="N62" s="99">
        <v>0</v>
      </c>
      <c r="O62" s="98">
        <v>0</v>
      </c>
      <c r="P62" s="99">
        <v>9988</v>
      </c>
      <c r="Q62" s="98">
        <v>7719994.52642</v>
      </c>
      <c r="R62" s="96" t="s">
        <v>625</v>
      </c>
      <c r="S62" s="96">
        <v>7414000005</v>
      </c>
      <c r="W62" s="129">
        <v>1002455</v>
      </c>
      <c r="X62" s="130">
        <v>8938949.8599999994</v>
      </c>
      <c r="AA62" s="131" t="s">
        <v>417</v>
      </c>
      <c r="AB62" s="130">
        <v>60677282.588533998</v>
      </c>
      <c r="AC62" s="130">
        <v>60677282.588533998</v>
      </c>
    </row>
    <row r="63" spans="1:29" x14ac:dyDescent="0.25">
      <c r="A63" t="str">
        <f t="shared" si="1"/>
        <v xml:space="preserve">1000001573UDIBONO 311127      </v>
      </c>
      <c r="B63" s="96">
        <v>1000001573</v>
      </c>
      <c r="C63" s="96" t="s">
        <v>626</v>
      </c>
      <c r="D63" s="96" t="s">
        <v>396</v>
      </c>
      <c r="E63" s="96" t="s">
        <v>623</v>
      </c>
      <c r="F63" s="96" t="s">
        <v>624</v>
      </c>
      <c r="G63" s="99">
        <v>10025</v>
      </c>
      <c r="H63" s="97">
        <v>721.59464000000003</v>
      </c>
      <c r="I63" s="98">
        <v>7233986.2659999998</v>
      </c>
      <c r="J63" s="97">
        <v>764.96141248000004</v>
      </c>
      <c r="K63" s="98">
        <v>-434751.89411200001</v>
      </c>
      <c r="L63" s="99">
        <v>0</v>
      </c>
      <c r="M63" s="98">
        <v>0</v>
      </c>
      <c r="N63" s="99">
        <v>0</v>
      </c>
      <c r="O63" s="98">
        <v>0</v>
      </c>
      <c r="P63" s="99">
        <v>10025</v>
      </c>
      <c r="Q63" s="98">
        <v>7233986.2659999998</v>
      </c>
      <c r="R63" s="96" t="s">
        <v>625</v>
      </c>
      <c r="S63" s="96">
        <v>7414000005</v>
      </c>
      <c r="W63" s="129">
        <v>1005849</v>
      </c>
      <c r="X63" s="130">
        <v>26196890.727880001</v>
      </c>
      <c r="AA63" s="129">
        <v>1013407</v>
      </c>
      <c r="AB63" s="130">
        <v>190285425.87468797</v>
      </c>
      <c r="AC63" s="130">
        <v>190285425.87468797</v>
      </c>
    </row>
    <row r="64" spans="1:29" x14ac:dyDescent="0.25">
      <c r="A64" t="str">
        <f t="shared" si="1"/>
        <v xml:space="preserve">1000001573UDIBONO 351122      </v>
      </c>
      <c r="B64" s="96">
        <v>1000001573</v>
      </c>
      <c r="C64" s="96" t="s">
        <v>626</v>
      </c>
      <c r="D64" s="96" t="s">
        <v>397</v>
      </c>
      <c r="E64" s="96" t="s">
        <v>623</v>
      </c>
      <c r="F64" s="96" t="s">
        <v>624</v>
      </c>
      <c r="G64" s="99">
        <v>2547</v>
      </c>
      <c r="H64" s="97">
        <v>635.96311900000001</v>
      </c>
      <c r="I64" s="98">
        <v>1619798.064093</v>
      </c>
      <c r="J64" s="97">
        <v>647.93802047999998</v>
      </c>
      <c r="K64" s="98">
        <v>-30500.07406956</v>
      </c>
      <c r="L64" s="99">
        <v>0</v>
      </c>
      <c r="M64" s="98">
        <v>0</v>
      </c>
      <c r="N64" s="99">
        <v>0</v>
      </c>
      <c r="O64" s="98">
        <v>0</v>
      </c>
      <c r="P64" s="99">
        <v>2547</v>
      </c>
      <c r="Q64" s="98">
        <v>1619798.064093</v>
      </c>
      <c r="R64" s="96" t="s">
        <v>625</v>
      </c>
      <c r="S64" s="96">
        <v>7414000005</v>
      </c>
      <c r="W64" s="129">
        <v>1006090</v>
      </c>
      <c r="X64" s="130">
        <v>0</v>
      </c>
      <c r="AA64" s="131" t="s">
        <v>366</v>
      </c>
      <c r="AB64" s="130">
        <v>55443949.5</v>
      </c>
      <c r="AC64" s="130">
        <v>55443949.5</v>
      </c>
    </row>
    <row r="65" spans="1:29" x14ac:dyDescent="0.25">
      <c r="A65" t="str">
        <f t="shared" si="1"/>
        <v xml:space="preserve">1000001573UDIBONO 401115      </v>
      </c>
      <c r="B65" s="96">
        <v>1000001573</v>
      </c>
      <c r="C65" s="96" t="s">
        <v>626</v>
      </c>
      <c r="D65" s="96" t="s">
        <v>398</v>
      </c>
      <c r="E65" s="96" t="s">
        <v>623</v>
      </c>
      <c r="F65" s="96" t="s">
        <v>624</v>
      </c>
      <c r="G65" s="99">
        <v>10420</v>
      </c>
      <c r="H65" s="97">
        <v>709.36974099999998</v>
      </c>
      <c r="I65" s="98">
        <v>7391632.7012200002</v>
      </c>
      <c r="J65" s="97">
        <v>768.26333123999996</v>
      </c>
      <c r="K65" s="98">
        <v>-613671.21030080004</v>
      </c>
      <c r="L65" s="99">
        <v>0</v>
      </c>
      <c r="M65" s="98">
        <v>0</v>
      </c>
      <c r="N65" s="99">
        <v>0</v>
      </c>
      <c r="O65" s="98">
        <v>0</v>
      </c>
      <c r="P65" s="99">
        <v>10420</v>
      </c>
      <c r="Q65" s="98">
        <v>7391632.7012200002</v>
      </c>
      <c r="R65" s="96" t="s">
        <v>625</v>
      </c>
      <c r="S65" s="96">
        <v>7414000005</v>
      </c>
      <c r="W65" s="129">
        <v>1008774</v>
      </c>
      <c r="X65" s="130">
        <v>1559113499.5463722</v>
      </c>
      <c r="AA65" s="131" t="s">
        <v>376</v>
      </c>
      <c r="AB65" s="130">
        <v>757159.16224199999</v>
      </c>
      <c r="AC65" s="130">
        <v>757159.16224199999</v>
      </c>
    </row>
    <row r="66" spans="1:29" x14ac:dyDescent="0.25">
      <c r="A66" t="str">
        <f t="shared" si="1"/>
        <v xml:space="preserve">1000001573UDIBONO 431112      </v>
      </c>
      <c r="B66" s="96">
        <v>1000001573</v>
      </c>
      <c r="C66" s="96" t="s">
        <v>626</v>
      </c>
      <c r="D66" s="96" t="s">
        <v>399</v>
      </c>
      <c r="E66" s="96" t="s">
        <v>623</v>
      </c>
      <c r="F66" s="96" t="s">
        <v>624</v>
      </c>
      <c r="G66" s="99">
        <v>17073</v>
      </c>
      <c r="H66" s="97">
        <v>694.41118700000004</v>
      </c>
      <c r="I66" s="98">
        <v>11855682.195651</v>
      </c>
      <c r="J66" s="97">
        <v>724.24373434549693</v>
      </c>
      <c r="K66" s="98">
        <v>-509331.08082967001</v>
      </c>
      <c r="L66" s="99">
        <v>0</v>
      </c>
      <c r="M66" s="98">
        <v>0</v>
      </c>
      <c r="N66" s="99">
        <v>0</v>
      </c>
      <c r="O66" s="98">
        <v>0</v>
      </c>
      <c r="P66" s="99">
        <v>17073</v>
      </c>
      <c r="Q66" s="98">
        <v>11855682.195651</v>
      </c>
      <c r="R66" s="96" t="s">
        <v>625</v>
      </c>
      <c r="S66" s="96">
        <v>7414000005</v>
      </c>
      <c r="W66" s="129">
        <v>1008775</v>
      </c>
      <c r="X66" s="130">
        <v>14393577.809906</v>
      </c>
      <c r="AA66" s="131" t="s">
        <v>378</v>
      </c>
      <c r="AB66" s="130">
        <v>14705.89136</v>
      </c>
      <c r="AC66" s="130">
        <v>14705.89136</v>
      </c>
    </row>
    <row r="67" spans="1:29" x14ac:dyDescent="0.25">
      <c r="A67" t="str">
        <f t="shared" si="1"/>
        <v xml:space="preserve">1000001573UDIBONO 461108      </v>
      </c>
      <c r="B67" s="96">
        <v>1000001573</v>
      </c>
      <c r="C67" s="96" t="s">
        <v>626</v>
      </c>
      <c r="D67" s="96" t="s">
        <v>400</v>
      </c>
      <c r="E67" s="96" t="s">
        <v>623</v>
      </c>
      <c r="F67" s="96" t="s">
        <v>624</v>
      </c>
      <c r="G67" s="99">
        <v>0</v>
      </c>
      <c r="H67" s="97">
        <v>0</v>
      </c>
      <c r="I67" s="98">
        <v>0</v>
      </c>
      <c r="J67" s="97">
        <v>0</v>
      </c>
      <c r="K67" s="98">
        <v>0</v>
      </c>
      <c r="L67" s="99">
        <v>0</v>
      </c>
      <c r="M67" s="98">
        <v>0</v>
      </c>
      <c r="N67" s="99">
        <v>0</v>
      </c>
      <c r="O67" s="98">
        <v>0</v>
      </c>
      <c r="P67" s="99">
        <v>0</v>
      </c>
      <c r="Q67" s="98">
        <v>0</v>
      </c>
      <c r="R67" s="96" t="s">
        <v>625</v>
      </c>
      <c r="S67" s="96">
        <v>7414000005</v>
      </c>
      <c r="W67" s="129">
        <v>1008776</v>
      </c>
      <c r="X67" s="130">
        <v>90062885.478432983</v>
      </c>
      <c r="AA67" s="131" t="s">
        <v>380</v>
      </c>
      <c r="AB67" s="130">
        <v>388187.03872000001</v>
      </c>
      <c r="AC67" s="130">
        <v>388187.03872000001</v>
      </c>
    </row>
    <row r="68" spans="1:29" x14ac:dyDescent="0.25">
      <c r="A68" t="str">
        <f t="shared" si="1"/>
        <v xml:space="preserve">1000001573UDIBONO 501103      </v>
      </c>
      <c r="B68" s="96">
        <v>1000001573</v>
      </c>
      <c r="C68" s="96" t="s">
        <v>626</v>
      </c>
      <c r="D68" s="96" t="s">
        <v>401</v>
      </c>
      <c r="E68" s="96" t="s">
        <v>623</v>
      </c>
      <c r="F68" s="96" t="s">
        <v>624</v>
      </c>
      <c r="G68" s="99">
        <v>0</v>
      </c>
      <c r="H68" s="97">
        <v>0</v>
      </c>
      <c r="I68" s="98">
        <v>0</v>
      </c>
      <c r="J68" s="97">
        <v>0</v>
      </c>
      <c r="K68" s="98">
        <v>0</v>
      </c>
      <c r="L68" s="99">
        <v>0</v>
      </c>
      <c r="M68" s="98">
        <v>0</v>
      </c>
      <c r="N68" s="99">
        <v>0</v>
      </c>
      <c r="O68" s="98">
        <v>0</v>
      </c>
      <c r="P68" s="99">
        <v>0</v>
      </c>
      <c r="Q68" s="98">
        <v>0</v>
      </c>
      <c r="R68" s="96" t="s">
        <v>625</v>
      </c>
      <c r="S68" s="96">
        <v>7414000005</v>
      </c>
      <c r="W68" s="129">
        <v>1008777</v>
      </c>
      <c r="X68" s="130">
        <v>30469637.100000001</v>
      </c>
      <c r="AA68" s="131" t="s">
        <v>382</v>
      </c>
      <c r="AB68" s="130">
        <v>406282.17109999998</v>
      </c>
      <c r="AC68" s="130">
        <v>406282.17109999998</v>
      </c>
    </row>
    <row r="69" spans="1:29" x14ac:dyDescent="0.25">
      <c r="A69" t="str">
        <f t="shared" si="1"/>
        <v xml:space="preserve">1000001573VESTA *             </v>
      </c>
      <c r="B69" s="96">
        <v>1000001573</v>
      </c>
      <c r="C69" s="96" t="s">
        <v>626</v>
      </c>
      <c r="D69" s="96" t="s">
        <v>402</v>
      </c>
      <c r="E69" s="96" t="s">
        <v>623</v>
      </c>
      <c r="F69" s="96" t="s">
        <v>624</v>
      </c>
      <c r="G69" s="99">
        <v>0</v>
      </c>
      <c r="H69" s="97">
        <v>0</v>
      </c>
      <c r="I69" s="98">
        <v>0</v>
      </c>
      <c r="J69" s="97">
        <v>0</v>
      </c>
      <c r="K69" s="98">
        <v>0</v>
      </c>
      <c r="L69" s="99">
        <v>0</v>
      </c>
      <c r="M69" s="98">
        <v>0</v>
      </c>
      <c r="N69" s="99">
        <v>0</v>
      </c>
      <c r="O69" s="98">
        <v>0</v>
      </c>
      <c r="P69" s="99">
        <v>0</v>
      </c>
      <c r="Q69" s="98">
        <v>0</v>
      </c>
      <c r="R69" s="96" t="s">
        <v>625</v>
      </c>
      <c r="S69" s="96">
        <v>7414000005</v>
      </c>
      <c r="W69" s="129">
        <v>1008778</v>
      </c>
      <c r="X69" s="130">
        <v>2673834.7000000002</v>
      </c>
      <c r="AA69" s="131" t="s">
        <v>418</v>
      </c>
      <c r="AB69" s="130">
        <v>1599678.831888</v>
      </c>
      <c r="AC69" s="130">
        <v>1599678.831888</v>
      </c>
    </row>
    <row r="70" spans="1:29" x14ac:dyDescent="0.25">
      <c r="A70" t="str">
        <f t="shared" si="1"/>
        <v xml:space="preserve">1000001573VGK *               </v>
      </c>
      <c r="B70" s="96">
        <v>1000001573</v>
      </c>
      <c r="C70" s="96" t="s">
        <v>626</v>
      </c>
      <c r="D70" s="96" t="s">
        <v>403</v>
      </c>
      <c r="E70" s="96" t="s">
        <v>623</v>
      </c>
      <c r="F70" s="96" t="s">
        <v>624</v>
      </c>
      <c r="G70" s="99">
        <v>0</v>
      </c>
      <c r="H70" s="97">
        <v>0</v>
      </c>
      <c r="I70" s="98">
        <v>0</v>
      </c>
      <c r="J70" s="97">
        <v>0</v>
      </c>
      <c r="K70" s="98">
        <v>0</v>
      </c>
      <c r="L70" s="99">
        <v>0</v>
      </c>
      <c r="M70" s="98">
        <v>0</v>
      </c>
      <c r="N70" s="99">
        <v>0</v>
      </c>
      <c r="O70" s="98">
        <v>0</v>
      </c>
      <c r="P70" s="99">
        <v>0</v>
      </c>
      <c r="Q70" s="98">
        <v>0</v>
      </c>
      <c r="R70" s="96" t="s">
        <v>625</v>
      </c>
      <c r="S70" s="96">
        <v>7414000005</v>
      </c>
      <c r="W70" s="129">
        <v>1010322</v>
      </c>
      <c r="X70" s="130">
        <v>27265.21</v>
      </c>
      <c r="AA70" s="131" t="s">
        <v>408</v>
      </c>
      <c r="AB70" s="130">
        <v>167274.158952</v>
      </c>
      <c r="AC70" s="130">
        <v>167274.158952</v>
      </c>
    </row>
    <row r="71" spans="1:29" x14ac:dyDescent="0.25">
      <c r="A71" t="str">
        <f t="shared" ref="A71:A134" si="2">B69&amp;D69</f>
        <v xml:space="preserve">1000001573VOO *               </v>
      </c>
      <c r="B71" s="96">
        <v>1000001940</v>
      </c>
      <c r="C71" s="96" t="s">
        <v>626</v>
      </c>
      <c r="D71" s="96" t="s">
        <v>389</v>
      </c>
      <c r="E71" s="96" t="s">
        <v>623</v>
      </c>
      <c r="F71" s="96" t="s">
        <v>624</v>
      </c>
      <c r="G71" s="99">
        <v>40609029</v>
      </c>
      <c r="H71" s="97">
        <v>3.3967719999999999</v>
      </c>
      <c r="I71" s="98">
        <v>137939612.65438801</v>
      </c>
      <c r="J71" s="97">
        <v>3.1614010871818681</v>
      </c>
      <c r="K71" s="98">
        <v>9558184.2243879996</v>
      </c>
      <c r="L71" s="99">
        <v>0</v>
      </c>
      <c r="M71" s="98">
        <v>0</v>
      </c>
      <c r="N71" s="99">
        <v>0</v>
      </c>
      <c r="O71" s="98">
        <v>0</v>
      </c>
      <c r="P71" s="99">
        <v>40609029</v>
      </c>
      <c r="Q71" s="98">
        <v>137939612.65438801</v>
      </c>
      <c r="R71" s="96" t="s">
        <v>625</v>
      </c>
      <c r="S71" s="96">
        <v>7414000005</v>
      </c>
      <c r="W71" s="129">
        <v>1010401</v>
      </c>
      <c r="X71" s="130">
        <v>52831071.346625999</v>
      </c>
      <c r="AA71" s="131" t="s">
        <v>384</v>
      </c>
      <c r="AB71" s="130">
        <v>80512.777100000007</v>
      </c>
      <c r="AC71" s="130">
        <v>80512.777100000007</v>
      </c>
    </row>
    <row r="72" spans="1:29" x14ac:dyDescent="0.25">
      <c r="A72" t="str">
        <f t="shared" si="2"/>
        <v xml:space="preserve">1000001573WALMEX *            </v>
      </c>
      <c r="B72" s="96">
        <v>1000002191</v>
      </c>
      <c r="C72" s="96" t="s">
        <v>629</v>
      </c>
      <c r="D72" s="96" t="s">
        <v>389</v>
      </c>
      <c r="E72" s="96" t="s">
        <v>623</v>
      </c>
      <c r="F72" s="96" t="s">
        <v>624</v>
      </c>
      <c r="G72" s="99">
        <v>4364510</v>
      </c>
      <c r="H72" s="97">
        <v>3.3967719999999999</v>
      </c>
      <c r="I72" s="98">
        <v>14825245.361719999</v>
      </c>
      <c r="J72" s="97">
        <v>3.2390575116106963</v>
      </c>
      <c r="K72" s="98">
        <v>688346.46172000002</v>
      </c>
      <c r="L72" s="99">
        <v>0</v>
      </c>
      <c r="M72" s="98">
        <v>0</v>
      </c>
      <c r="N72" s="99">
        <v>0</v>
      </c>
      <c r="O72" s="98">
        <v>0</v>
      </c>
      <c r="P72" s="99">
        <v>4364510</v>
      </c>
      <c r="Q72" s="98">
        <v>14825245.361719999</v>
      </c>
      <c r="R72" s="96" t="s">
        <v>625</v>
      </c>
      <c r="S72" s="96">
        <v>7414000005</v>
      </c>
      <c r="W72" s="129">
        <v>1012259</v>
      </c>
      <c r="X72" s="130">
        <v>25086330.927329</v>
      </c>
      <c r="AA72" s="131" t="s">
        <v>391</v>
      </c>
      <c r="AB72" s="130">
        <v>106742171.117283</v>
      </c>
      <c r="AC72" s="130">
        <v>106742171.117283</v>
      </c>
    </row>
    <row r="73" spans="1:29" x14ac:dyDescent="0.25">
      <c r="A73" t="str">
        <f t="shared" si="2"/>
        <v xml:space="preserve">1000001940STERGOB ED          </v>
      </c>
      <c r="B73" s="96">
        <v>1000002191</v>
      </c>
      <c r="C73" s="96" t="s">
        <v>629</v>
      </c>
      <c r="D73" s="96" t="s">
        <v>404</v>
      </c>
      <c r="E73" s="96" t="s">
        <v>623</v>
      </c>
      <c r="F73" s="96" t="s">
        <v>624</v>
      </c>
      <c r="G73" s="99">
        <v>70008</v>
      </c>
      <c r="H73" s="97">
        <v>137.94899000000001</v>
      </c>
      <c r="I73" s="98">
        <v>9657532.8919200003</v>
      </c>
      <c r="J73" s="97">
        <v>125.89539438349902</v>
      </c>
      <c r="K73" s="98">
        <v>843848.12191999995</v>
      </c>
      <c r="L73" s="99">
        <v>0</v>
      </c>
      <c r="M73" s="98">
        <v>0</v>
      </c>
      <c r="N73" s="99">
        <v>0</v>
      </c>
      <c r="O73" s="98">
        <v>0</v>
      </c>
      <c r="P73" s="99">
        <v>70008</v>
      </c>
      <c r="Q73" s="98">
        <v>9657532.8919200003</v>
      </c>
      <c r="R73" s="96" t="s">
        <v>625</v>
      </c>
      <c r="S73" s="96">
        <v>7414000005</v>
      </c>
      <c r="W73" s="129">
        <v>1012260</v>
      </c>
      <c r="X73" s="130">
        <v>57642568.212480001</v>
      </c>
      <c r="AA73" s="131" t="s">
        <v>395</v>
      </c>
      <c r="AB73" s="130">
        <v>20096.10109</v>
      </c>
      <c r="AC73" s="130">
        <v>20096.10109</v>
      </c>
    </row>
    <row r="74" spans="1:29" x14ac:dyDescent="0.25">
      <c r="A74" t="str">
        <f t="shared" si="2"/>
        <v xml:space="preserve">1000002191STERGOB ED          </v>
      </c>
      <c r="B74" s="96">
        <v>1000002191</v>
      </c>
      <c r="C74" s="96" t="s">
        <v>629</v>
      </c>
      <c r="D74" s="96" t="s">
        <v>405</v>
      </c>
      <c r="E74" s="96" t="s">
        <v>623</v>
      </c>
      <c r="F74" s="96" t="s">
        <v>624</v>
      </c>
      <c r="G74" s="99">
        <v>26635745</v>
      </c>
      <c r="H74" s="97">
        <v>3.6096119999999998</v>
      </c>
      <c r="I74" s="98">
        <v>96144704.780939996</v>
      </c>
      <c r="J74" s="97">
        <v>3.3352528247285744</v>
      </c>
      <c r="K74" s="98">
        <v>7307761.03094</v>
      </c>
      <c r="L74" s="99">
        <v>0</v>
      </c>
      <c r="M74" s="98">
        <v>0</v>
      </c>
      <c r="N74" s="99">
        <v>0</v>
      </c>
      <c r="O74" s="98">
        <v>0</v>
      </c>
      <c r="P74" s="99">
        <v>26635745</v>
      </c>
      <c r="Q74" s="98">
        <v>96144704.780939996</v>
      </c>
      <c r="R74" s="96" t="s">
        <v>625</v>
      </c>
      <c r="S74" s="96">
        <v>7414000005</v>
      </c>
      <c r="W74" s="129">
        <v>1013187</v>
      </c>
      <c r="X74" s="130">
        <v>93135769.234126002</v>
      </c>
      <c r="AA74" s="131" t="s">
        <v>396</v>
      </c>
      <c r="AB74" s="130">
        <v>2164.7839199999999</v>
      </c>
      <c r="AC74" s="130">
        <v>2164.7839199999999</v>
      </c>
    </row>
    <row r="75" spans="1:29" x14ac:dyDescent="0.25">
      <c r="A75" t="str">
        <f t="shared" si="2"/>
        <v xml:space="preserve">1000002191SVIVE20 ED          </v>
      </c>
      <c r="B75" s="96">
        <v>1000002191</v>
      </c>
      <c r="C75" s="96" t="s">
        <v>629</v>
      </c>
      <c r="D75" s="96" t="s">
        <v>406</v>
      </c>
      <c r="E75" s="96" t="s">
        <v>623</v>
      </c>
      <c r="F75" s="96" t="s">
        <v>624</v>
      </c>
      <c r="G75" s="99">
        <v>51055134</v>
      </c>
      <c r="H75" s="97">
        <v>2.1897980000000001</v>
      </c>
      <c r="I75" s="98">
        <v>111800430.322932</v>
      </c>
      <c r="J75" s="97">
        <v>2.0729244216654097</v>
      </c>
      <c r="K75" s="98">
        <v>5966996.2029320002</v>
      </c>
      <c r="L75" s="99">
        <v>0</v>
      </c>
      <c r="M75" s="98">
        <v>0</v>
      </c>
      <c r="N75" s="99">
        <v>0</v>
      </c>
      <c r="O75" s="98">
        <v>0</v>
      </c>
      <c r="P75" s="99">
        <v>51055134</v>
      </c>
      <c r="Q75" s="98">
        <v>111800430.322932</v>
      </c>
      <c r="R75" s="96" t="s">
        <v>625</v>
      </c>
      <c r="S75" s="96">
        <v>7414000005</v>
      </c>
      <c r="W75" s="129">
        <v>1013407</v>
      </c>
      <c r="X75" s="130">
        <v>190285425.87468797</v>
      </c>
      <c r="AA75" s="131" t="s">
        <v>398</v>
      </c>
      <c r="AB75" s="130">
        <v>29793.529122</v>
      </c>
      <c r="AC75" s="130">
        <v>29793.529122</v>
      </c>
    </row>
    <row r="76" spans="1:29" x14ac:dyDescent="0.25">
      <c r="A76" t="str">
        <f t="shared" si="2"/>
        <v xml:space="preserve">1000002191SVIVE35 ED          </v>
      </c>
      <c r="B76" s="96">
        <v>1000002191</v>
      </c>
      <c r="C76" s="96" t="s">
        <v>629</v>
      </c>
      <c r="D76" s="96" t="s">
        <v>407</v>
      </c>
      <c r="E76" s="96" t="s">
        <v>623</v>
      </c>
      <c r="F76" s="96" t="s">
        <v>624</v>
      </c>
      <c r="G76" s="99">
        <v>31505157</v>
      </c>
      <c r="H76" s="97">
        <v>2.7668819999999998</v>
      </c>
      <c r="I76" s="98">
        <v>87171051.810473993</v>
      </c>
      <c r="J76" s="97">
        <v>2.6324677039381204</v>
      </c>
      <c r="K76" s="98">
        <v>4234743.5004740003</v>
      </c>
      <c r="L76" s="99">
        <v>0</v>
      </c>
      <c r="M76" s="98">
        <v>0</v>
      </c>
      <c r="N76" s="99">
        <v>0</v>
      </c>
      <c r="O76" s="98">
        <v>0</v>
      </c>
      <c r="P76" s="99">
        <v>31505157</v>
      </c>
      <c r="Q76" s="98">
        <v>87171051.810473993</v>
      </c>
      <c r="R76" s="96" t="s">
        <v>625</v>
      </c>
      <c r="S76" s="96">
        <v>7414000005</v>
      </c>
      <c r="W76" s="129">
        <v>1014057</v>
      </c>
      <c r="X76" s="130">
        <v>725795131.93028402</v>
      </c>
      <c r="AA76" s="131" t="s">
        <v>419</v>
      </c>
      <c r="AB76" s="130">
        <v>0</v>
      </c>
      <c r="AC76" s="130">
        <v>0</v>
      </c>
    </row>
    <row r="77" spans="1:29" x14ac:dyDescent="0.25">
      <c r="A77" t="str">
        <f t="shared" si="2"/>
        <v xml:space="preserve">1000002191SVIVE50 ED          </v>
      </c>
      <c r="B77" s="96">
        <v>1000002677</v>
      </c>
      <c r="C77" s="96" t="s">
        <v>630</v>
      </c>
      <c r="D77" s="96" t="s">
        <v>389</v>
      </c>
      <c r="E77" s="96" t="s">
        <v>623</v>
      </c>
      <c r="F77" s="96" t="s">
        <v>624</v>
      </c>
      <c r="G77" s="99">
        <v>445</v>
      </c>
      <c r="H77" s="97">
        <v>3.3967719999999999</v>
      </c>
      <c r="I77" s="98">
        <v>1511.5635400000001</v>
      </c>
      <c r="J77" s="97">
        <v>3.3845393258426966</v>
      </c>
      <c r="K77" s="98">
        <v>5.4435399999999996</v>
      </c>
      <c r="L77" s="99">
        <v>0</v>
      </c>
      <c r="M77" s="98">
        <v>0</v>
      </c>
      <c r="N77" s="99">
        <v>0</v>
      </c>
      <c r="O77" s="98">
        <v>0</v>
      </c>
      <c r="P77" s="99">
        <v>445</v>
      </c>
      <c r="Q77" s="98">
        <v>1511.5635400000001</v>
      </c>
      <c r="R77" s="96" t="s">
        <v>625</v>
      </c>
      <c r="S77" s="96">
        <v>7414000005</v>
      </c>
      <c r="W77" s="129">
        <v>1015473</v>
      </c>
      <c r="X77" s="130">
        <v>52143416.156460993</v>
      </c>
      <c r="AA77" s="131" t="s">
        <v>381</v>
      </c>
      <c r="AB77" s="130">
        <v>966726.89983000001</v>
      </c>
      <c r="AC77" s="130">
        <v>966726.89983000001</v>
      </c>
    </row>
    <row r="78" spans="1:29" x14ac:dyDescent="0.25">
      <c r="A78" t="str">
        <f t="shared" si="2"/>
        <v xml:space="preserve">1000002191SVIVE60 ED          </v>
      </c>
      <c r="B78" s="96">
        <v>1000002677</v>
      </c>
      <c r="C78" s="96" t="s">
        <v>630</v>
      </c>
      <c r="D78" s="96" t="s">
        <v>405</v>
      </c>
      <c r="E78" s="96" t="s">
        <v>623</v>
      </c>
      <c r="F78" s="96" t="s">
        <v>624</v>
      </c>
      <c r="G78" s="99">
        <v>93003</v>
      </c>
      <c r="H78" s="97">
        <v>3.6096119999999998</v>
      </c>
      <c r="I78" s="98">
        <v>335704.74483600003</v>
      </c>
      <c r="J78" s="97">
        <v>3.6553297205466491</v>
      </c>
      <c r="K78" s="98">
        <v>-4251.8851640000003</v>
      </c>
      <c r="L78" s="99">
        <v>0</v>
      </c>
      <c r="M78" s="98">
        <v>0</v>
      </c>
      <c r="N78" s="99">
        <v>0</v>
      </c>
      <c r="O78" s="98">
        <v>0</v>
      </c>
      <c r="P78" s="99">
        <v>93003</v>
      </c>
      <c r="Q78" s="98">
        <v>335704.74483600003</v>
      </c>
      <c r="R78" s="96" t="s">
        <v>625</v>
      </c>
      <c r="S78" s="96">
        <v>7414000005</v>
      </c>
      <c r="W78" s="129">
        <v>1015474</v>
      </c>
      <c r="X78" s="130">
        <v>44656354.053150997</v>
      </c>
      <c r="AA78" s="131" t="s">
        <v>393</v>
      </c>
      <c r="AB78" s="130">
        <v>49785.052394999999</v>
      </c>
      <c r="AC78" s="130">
        <v>49785.052394999999</v>
      </c>
    </row>
    <row r="79" spans="1:29" x14ac:dyDescent="0.25">
      <c r="A79" t="str">
        <f t="shared" si="2"/>
        <v xml:space="preserve">1000002677STERGOB ED          </v>
      </c>
      <c r="B79" s="96">
        <v>1000002677</v>
      </c>
      <c r="C79" s="96" t="s">
        <v>630</v>
      </c>
      <c r="D79" s="96" t="s">
        <v>406</v>
      </c>
      <c r="E79" s="96" t="s">
        <v>623</v>
      </c>
      <c r="F79" s="96" t="s">
        <v>624</v>
      </c>
      <c r="G79" s="99">
        <v>319629</v>
      </c>
      <c r="H79" s="97">
        <v>2.1897980000000001</v>
      </c>
      <c r="I79" s="98">
        <v>699922.94494199997</v>
      </c>
      <c r="J79" s="97">
        <v>2.2349533365245331</v>
      </c>
      <c r="K79" s="98">
        <v>-14432.955058</v>
      </c>
      <c r="L79" s="99">
        <v>0</v>
      </c>
      <c r="M79" s="98">
        <v>0</v>
      </c>
      <c r="N79" s="99">
        <v>0</v>
      </c>
      <c r="O79" s="98">
        <v>0</v>
      </c>
      <c r="P79" s="99">
        <v>319629</v>
      </c>
      <c r="Q79" s="98">
        <v>699922.94494199997</v>
      </c>
      <c r="R79" s="96" t="s">
        <v>625</v>
      </c>
      <c r="S79" s="96">
        <v>7414000005</v>
      </c>
      <c r="W79" s="129">
        <v>1018014</v>
      </c>
      <c r="X79" s="130">
        <v>4309.26</v>
      </c>
      <c r="AA79" s="131" t="s">
        <v>385</v>
      </c>
      <c r="AB79" s="130">
        <v>766944.61489800003</v>
      </c>
      <c r="AC79" s="130">
        <v>766944.61489800003</v>
      </c>
    </row>
    <row r="80" spans="1:29" x14ac:dyDescent="0.25">
      <c r="A80" t="str">
        <f t="shared" si="2"/>
        <v xml:space="preserve">1000002677SVIVE35 ED          </v>
      </c>
      <c r="B80" s="96">
        <v>1000002861</v>
      </c>
      <c r="C80" s="96" t="s">
        <v>631</v>
      </c>
      <c r="D80" s="96" t="s">
        <v>389</v>
      </c>
      <c r="E80" s="96" t="s">
        <v>623</v>
      </c>
      <c r="F80" s="96" t="s">
        <v>624</v>
      </c>
      <c r="G80" s="99">
        <v>3855790</v>
      </c>
      <c r="H80" s="97">
        <v>3.3967719999999999</v>
      </c>
      <c r="I80" s="98">
        <v>13097239.509880001</v>
      </c>
      <c r="J80" s="97">
        <v>3.2850225193799454</v>
      </c>
      <c r="K80" s="98">
        <v>430882.52987999999</v>
      </c>
      <c r="L80" s="99">
        <v>0</v>
      </c>
      <c r="M80" s="98">
        <v>0</v>
      </c>
      <c r="N80" s="99">
        <v>0</v>
      </c>
      <c r="O80" s="98">
        <v>0</v>
      </c>
      <c r="P80" s="99">
        <v>3855790</v>
      </c>
      <c r="Q80" s="98">
        <v>13097239.509880001</v>
      </c>
      <c r="R80" s="96" t="s">
        <v>625</v>
      </c>
      <c r="S80" s="96">
        <v>7414000005</v>
      </c>
      <c r="W80" s="129">
        <v>1018122</v>
      </c>
      <c r="X80" s="130">
        <v>59838.68</v>
      </c>
      <c r="AA80" s="131" t="s">
        <v>399</v>
      </c>
      <c r="AB80" s="130">
        <v>9721.7566179999994</v>
      </c>
      <c r="AC80" s="130">
        <v>9721.7566179999994</v>
      </c>
    </row>
    <row r="81" spans="1:29" x14ac:dyDescent="0.25">
      <c r="A81" t="str">
        <f t="shared" si="2"/>
        <v xml:space="preserve">1000002677SVIVE50 ED          </v>
      </c>
      <c r="B81" s="96">
        <v>1000003291</v>
      </c>
      <c r="C81" s="96" t="s">
        <v>632</v>
      </c>
      <c r="D81" s="96" t="s">
        <v>389</v>
      </c>
      <c r="E81" s="96" t="s">
        <v>623</v>
      </c>
      <c r="F81" s="96" t="s">
        <v>624</v>
      </c>
      <c r="G81" s="99">
        <v>17893261</v>
      </c>
      <c r="H81" s="97">
        <v>3.3967719999999999</v>
      </c>
      <c r="I81" s="98">
        <v>60779327.953492001</v>
      </c>
      <c r="J81" s="97">
        <v>3.318134624538255</v>
      </c>
      <c r="K81" s="98">
        <v>1407079.0834919999</v>
      </c>
      <c r="L81" s="99">
        <v>0</v>
      </c>
      <c r="M81" s="98">
        <v>0</v>
      </c>
      <c r="N81" s="99">
        <v>0</v>
      </c>
      <c r="O81" s="98">
        <v>0</v>
      </c>
      <c r="P81" s="99">
        <v>17893261</v>
      </c>
      <c r="Q81" s="98">
        <v>60779327.953492001</v>
      </c>
      <c r="R81" s="96" t="s">
        <v>625</v>
      </c>
      <c r="S81" s="96">
        <v>7414000005</v>
      </c>
      <c r="W81" s="129">
        <v>1018302</v>
      </c>
      <c r="X81" s="130">
        <v>2957355.92</v>
      </c>
      <c r="AA81" s="131" t="s">
        <v>394</v>
      </c>
      <c r="AB81" s="130">
        <v>39038.682006000003</v>
      </c>
      <c r="AC81" s="130">
        <v>39038.682006000003</v>
      </c>
    </row>
    <row r="82" spans="1:29" x14ac:dyDescent="0.25">
      <c r="A82" t="str">
        <f t="shared" si="2"/>
        <v xml:space="preserve">1000002861STERGOB ED          </v>
      </c>
      <c r="B82" s="96">
        <v>1000003292</v>
      </c>
      <c r="C82" s="96" t="s">
        <v>632</v>
      </c>
      <c r="D82" s="96" t="s">
        <v>389</v>
      </c>
      <c r="E82" s="96" t="s">
        <v>623</v>
      </c>
      <c r="F82" s="96" t="s">
        <v>624</v>
      </c>
      <c r="G82" s="99">
        <v>2526514</v>
      </c>
      <c r="H82" s="97">
        <v>3.3967719999999999</v>
      </c>
      <c r="I82" s="98">
        <v>8581992.0128080007</v>
      </c>
      <c r="J82" s="97">
        <v>3.3173018791900617</v>
      </c>
      <c r="K82" s="98">
        <v>200782.37280799999</v>
      </c>
      <c r="L82" s="99">
        <v>0</v>
      </c>
      <c r="M82" s="98">
        <v>0</v>
      </c>
      <c r="N82" s="99">
        <v>0</v>
      </c>
      <c r="O82" s="98">
        <v>0</v>
      </c>
      <c r="P82" s="99">
        <v>2526514</v>
      </c>
      <c r="Q82" s="98">
        <v>8581992.0128080007</v>
      </c>
      <c r="R82" s="96" t="s">
        <v>625</v>
      </c>
      <c r="S82" s="96">
        <v>7414000005</v>
      </c>
      <c r="W82" s="129">
        <v>1018694</v>
      </c>
      <c r="X82" s="130">
        <v>124749306.843133</v>
      </c>
      <c r="AA82" s="131" t="s">
        <v>392</v>
      </c>
      <c r="AB82" s="130">
        <v>22773251.428927999</v>
      </c>
      <c r="AC82" s="130">
        <v>22773251.428927999</v>
      </c>
    </row>
    <row r="83" spans="1:29" x14ac:dyDescent="0.25">
      <c r="A83" t="str">
        <f t="shared" si="2"/>
        <v xml:space="preserve">1000003291STERGOB ED          </v>
      </c>
      <c r="B83" s="96">
        <v>1000003293</v>
      </c>
      <c r="C83" s="96" t="s">
        <v>632</v>
      </c>
      <c r="D83" s="96" t="s">
        <v>389</v>
      </c>
      <c r="E83" s="96" t="s">
        <v>623</v>
      </c>
      <c r="F83" s="96" t="s">
        <v>624</v>
      </c>
      <c r="G83" s="99">
        <v>9226443</v>
      </c>
      <c r="H83" s="97">
        <v>3.3967719999999999</v>
      </c>
      <c r="I83" s="98">
        <v>31340123.241996001</v>
      </c>
      <c r="J83" s="97">
        <v>3.3192465417062675</v>
      </c>
      <c r="K83" s="98">
        <v>715284.22199600004</v>
      </c>
      <c r="L83" s="99">
        <v>0</v>
      </c>
      <c r="M83" s="98">
        <v>0</v>
      </c>
      <c r="N83" s="99">
        <v>0</v>
      </c>
      <c r="O83" s="98">
        <v>0</v>
      </c>
      <c r="P83" s="99">
        <v>9226443</v>
      </c>
      <c r="Q83" s="98">
        <v>31340123.241996001</v>
      </c>
      <c r="R83" s="96" t="s">
        <v>625</v>
      </c>
      <c r="S83" s="96">
        <v>7414000005</v>
      </c>
      <c r="W83" s="129">
        <v>1018695</v>
      </c>
      <c r="X83" s="130">
        <v>2648670.4919790002</v>
      </c>
      <c r="AA83" s="131" t="s">
        <v>397</v>
      </c>
      <c r="AB83" s="130">
        <v>27982.377236</v>
      </c>
      <c r="AC83" s="130">
        <v>27982.377236</v>
      </c>
    </row>
    <row r="84" spans="1:29" x14ac:dyDescent="0.25">
      <c r="A84" t="str">
        <f t="shared" si="2"/>
        <v xml:space="preserve">1000003292STERGOB ED          </v>
      </c>
      <c r="B84" s="96">
        <v>1000003294</v>
      </c>
      <c r="C84" s="96" t="s">
        <v>633</v>
      </c>
      <c r="D84" s="96" t="s">
        <v>389</v>
      </c>
      <c r="E84" s="96" t="s">
        <v>623</v>
      </c>
      <c r="F84" s="96" t="s">
        <v>624</v>
      </c>
      <c r="G84" s="99">
        <v>810288</v>
      </c>
      <c r="H84" s="97">
        <v>3.3967719999999999</v>
      </c>
      <c r="I84" s="98">
        <v>2752363.5903360001</v>
      </c>
      <c r="J84" s="97">
        <v>3.3192582513871609</v>
      </c>
      <c r="K84" s="98">
        <v>62808.460335999996</v>
      </c>
      <c r="L84" s="99">
        <v>0</v>
      </c>
      <c r="M84" s="98">
        <v>0</v>
      </c>
      <c r="N84" s="99">
        <v>0</v>
      </c>
      <c r="O84" s="98">
        <v>0</v>
      </c>
      <c r="P84" s="99">
        <v>810288</v>
      </c>
      <c r="Q84" s="98">
        <v>2752363.5903360001</v>
      </c>
      <c r="R84" s="96" t="s">
        <v>625</v>
      </c>
      <c r="S84" s="96">
        <v>7414000005</v>
      </c>
      <c r="W84" s="129">
        <v>1018867</v>
      </c>
      <c r="X84" s="130">
        <v>29175276.964768</v>
      </c>
      <c r="AA84" s="129">
        <v>1014057</v>
      </c>
      <c r="AB84" s="130">
        <v>725795131.93028402</v>
      </c>
      <c r="AC84" s="130">
        <v>725795131.93028402</v>
      </c>
    </row>
    <row r="85" spans="1:29" x14ac:dyDescent="0.25">
      <c r="A85" t="str">
        <f t="shared" si="2"/>
        <v xml:space="preserve">1000003293STERGOB ED          </v>
      </c>
      <c r="B85" s="96">
        <v>1000003295</v>
      </c>
      <c r="C85" s="96" t="s">
        <v>634</v>
      </c>
      <c r="D85" s="96" t="s">
        <v>389</v>
      </c>
      <c r="E85" s="96" t="s">
        <v>623</v>
      </c>
      <c r="F85" s="96" t="s">
        <v>624</v>
      </c>
      <c r="G85" s="99">
        <v>24337589</v>
      </c>
      <c r="H85" s="97">
        <v>3.3967719999999999</v>
      </c>
      <c r="I85" s="98">
        <v>82669240.862708002</v>
      </c>
      <c r="J85" s="97">
        <v>3.3250573809920119</v>
      </c>
      <c r="K85" s="98">
        <v>1745360.9227080001</v>
      </c>
      <c r="L85" s="99">
        <v>0</v>
      </c>
      <c r="M85" s="98">
        <v>0</v>
      </c>
      <c r="N85" s="99">
        <v>0</v>
      </c>
      <c r="O85" s="98">
        <v>0</v>
      </c>
      <c r="P85" s="99">
        <v>24337589</v>
      </c>
      <c r="Q85" s="98">
        <v>82669240.862708002</v>
      </c>
      <c r="R85" s="96" t="s">
        <v>625</v>
      </c>
      <c r="S85" s="96">
        <v>7414000005</v>
      </c>
      <c r="W85" s="129">
        <v>1018997</v>
      </c>
      <c r="X85" s="130">
        <v>0</v>
      </c>
      <c r="AA85" s="131" t="s">
        <v>389</v>
      </c>
      <c r="AB85" s="130">
        <v>13650087.930283999</v>
      </c>
      <c r="AC85" s="130">
        <v>13650087.930283999</v>
      </c>
    </row>
    <row r="86" spans="1:29" x14ac:dyDescent="0.25">
      <c r="A86" t="str">
        <f t="shared" si="2"/>
        <v xml:space="preserve">1000003294STERGOB ED          </v>
      </c>
      <c r="B86" s="96">
        <v>1000003296</v>
      </c>
      <c r="C86" s="96" t="s">
        <v>635</v>
      </c>
      <c r="D86" s="96" t="s">
        <v>389</v>
      </c>
      <c r="E86" s="96" t="s">
        <v>623</v>
      </c>
      <c r="F86" s="96" t="s">
        <v>624</v>
      </c>
      <c r="G86" s="99">
        <v>8821206</v>
      </c>
      <c r="H86" s="97">
        <v>3.3967719999999999</v>
      </c>
      <c r="I86" s="98">
        <v>29963625.547031999</v>
      </c>
      <c r="J86" s="97">
        <v>3.3152446411522414</v>
      </c>
      <c r="K86" s="98">
        <v>719169.62703199999</v>
      </c>
      <c r="L86" s="99">
        <v>0</v>
      </c>
      <c r="M86" s="98">
        <v>0</v>
      </c>
      <c r="N86" s="99">
        <v>0</v>
      </c>
      <c r="O86" s="98">
        <v>0</v>
      </c>
      <c r="P86" s="99">
        <v>8821206</v>
      </c>
      <c r="Q86" s="98">
        <v>29963625.547031999</v>
      </c>
      <c r="R86" s="96" t="s">
        <v>625</v>
      </c>
      <c r="S86" s="96">
        <v>7414000005</v>
      </c>
      <c r="W86" s="129">
        <v>1020027</v>
      </c>
      <c r="X86" s="130">
        <v>0</v>
      </c>
      <c r="AA86" s="131" t="s">
        <v>420</v>
      </c>
      <c r="AB86" s="130">
        <v>712145044</v>
      </c>
      <c r="AC86" s="130">
        <v>712145044</v>
      </c>
    </row>
    <row r="87" spans="1:29" x14ac:dyDescent="0.25">
      <c r="A87" t="str">
        <f t="shared" si="2"/>
        <v xml:space="preserve">1000003295STERGOB ED          </v>
      </c>
      <c r="B87" s="96">
        <v>1000003297</v>
      </c>
      <c r="C87" s="96" t="s">
        <v>636</v>
      </c>
      <c r="D87" s="96" t="s">
        <v>389</v>
      </c>
      <c r="E87" s="96" t="s">
        <v>623</v>
      </c>
      <c r="F87" s="96" t="s">
        <v>624</v>
      </c>
      <c r="G87" s="99">
        <v>3179966</v>
      </c>
      <c r="H87" s="97">
        <v>3.3967719999999999</v>
      </c>
      <c r="I87" s="98">
        <v>10801619.469752001</v>
      </c>
      <c r="J87" s="97">
        <v>3.3127502621097205</v>
      </c>
      <c r="K87" s="98">
        <v>267186.26975199999</v>
      </c>
      <c r="L87" s="99">
        <v>0</v>
      </c>
      <c r="M87" s="98">
        <v>0</v>
      </c>
      <c r="N87" s="99">
        <v>0</v>
      </c>
      <c r="O87" s="98">
        <v>0</v>
      </c>
      <c r="P87" s="99">
        <v>3179966</v>
      </c>
      <c r="Q87" s="98">
        <v>10801619.469752001</v>
      </c>
      <c r="R87" s="96" t="s">
        <v>625</v>
      </c>
      <c r="S87" s="96">
        <v>7414000005</v>
      </c>
      <c r="W87" s="129">
        <v>1020029</v>
      </c>
      <c r="X87" s="130">
        <v>0</v>
      </c>
      <c r="AA87" s="129">
        <v>1015473</v>
      </c>
      <c r="AB87" s="130">
        <v>52143416.156461</v>
      </c>
      <c r="AC87" s="130">
        <v>52143416.156461</v>
      </c>
    </row>
    <row r="88" spans="1:29" x14ac:dyDescent="0.25">
      <c r="A88" t="str">
        <f t="shared" si="2"/>
        <v xml:space="preserve">1000003296STERGOB ED          </v>
      </c>
      <c r="B88" s="96">
        <v>1000003298</v>
      </c>
      <c r="C88" s="96" t="s">
        <v>637</v>
      </c>
      <c r="D88" s="96" t="s">
        <v>389</v>
      </c>
      <c r="E88" s="96" t="s">
        <v>623</v>
      </c>
      <c r="F88" s="96" t="s">
        <v>624</v>
      </c>
      <c r="G88" s="99">
        <v>7796087</v>
      </c>
      <c r="H88" s="97">
        <v>3.3967719999999999</v>
      </c>
      <c r="I88" s="98">
        <v>26481530.031164002</v>
      </c>
      <c r="J88" s="97">
        <v>3.322790358804359</v>
      </c>
      <c r="K88" s="98">
        <v>576767.31116399996</v>
      </c>
      <c r="L88" s="99">
        <v>0</v>
      </c>
      <c r="M88" s="98">
        <v>0</v>
      </c>
      <c r="N88" s="99">
        <v>0</v>
      </c>
      <c r="O88" s="98">
        <v>0</v>
      </c>
      <c r="P88" s="99">
        <v>7796087</v>
      </c>
      <c r="Q88" s="98">
        <v>26481530.031164002</v>
      </c>
      <c r="R88" s="96" t="s">
        <v>625</v>
      </c>
      <c r="S88" s="96">
        <v>7414000005</v>
      </c>
      <c r="W88" s="129">
        <v>1020040</v>
      </c>
      <c r="X88" s="130">
        <v>0</v>
      </c>
      <c r="AA88" s="131" t="s">
        <v>376</v>
      </c>
      <c r="AB88" s="130">
        <v>919329.57397400006</v>
      </c>
      <c r="AC88" s="130">
        <v>919329.57397400006</v>
      </c>
    </row>
    <row r="89" spans="1:29" x14ac:dyDescent="0.25">
      <c r="A89" t="str">
        <f t="shared" si="2"/>
        <v xml:space="preserve">1000003297STERGOB ED          </v>
      </c>
      <c r="B89" s="96">
        <v>1000003299</v>
      </c>
      <c r="C89" s="96" t="s">
        <v>638</v>
      </c>
      <c r="D89" s="96" t="s">
        <v>389</v>
      </c>
      <c r="E89" s="96" t="s">
        <v>623</v>
      </c>
      <c r="F89" s="96" t="s">
        <v>624</v>
      </c>
      <c r="G89" s="99">
        <v>28469656</v>
      </c>
      <c r="H89" s="97">
        <v>3.3967719999999999</v>
      </c>
      <c r="I89" s="98">
        <v>96704930.350431994</v>
      </c>
      <c r="J89" s="97">
        <v>3.3137096229754235</v>
      </c>
      <c r="K89" s="98">
        <v>2364757.3004319998</v>
      </c>
      <c r="L89" s="99">
        <v>0</v>
      </c>
      <c r="M89" s="98">
        <v>0</v>
      </c>
      <c r="N89" s="99">
        <v>0</v>
      </c>
      <c r="O89" s="98">
        <v>0</v>
      </c>
      <c r="P89" s="99">
        <v>28469656</v>
      </c>
      <c r="Q89" s="98">
        <v>96704930.350431994</v>
      </c>
      <c r="R89" s="96" t="s">
        <v>625</v>
      </c>
      <c r="S89" s="96">
        <v>7414000005</v>
      </c>
      <c r="W89" s="129">
        <v>1021018</v>
      </c>
      <c r="X89" s="130">
        <v>1843646607.1411059</v>
      </c>
      <c r="AA89" s="131" t="s">
        <v>378</v>
      </c>
      <c r="AB89" s="130">
        <v>949541.02275100001</v>
      </c>
      <c r="AC89" s="130">
        <v>949541.02275100001</v>
      </c>
    </row>
    <row r="90" spans="1:29" x14ac:dyDescent="0.25">
      <c r="A90" t="str">
        <f t="shared" si="2"/>
        <v xml:space="preserve">1000003298STERGOB ED          </v>
      </c>
      <c r="B90" s="96">
        <v>1000003300</v>
      </c>
      <c r="C90" s="96" t="s">
        <v>639</v>
      </c>
      <c r="D90" s="96" t="s">
        <v>389</v>
      </c>
      <c r="E90" s="96" t="s">
        <v>623</v>
      </c>
      <c r="F90" s="96" t="s">
        <v>624</v>
      </c>
      <c r="G90" s="99">
        <v>3169188</v>
      </c>
      <c r="H90" s="97">
        <v>3.3967719999999999</v>
      </c>
      <c r="I90" s="98">
        <v>10765009.061136</v>
      </c>
      <c r="J90" s="97">
        <v>3.3152605651668505</v>
      </c>
      <c r="K90" s="98">
        <v>258325.061136</v>
      </c>
      <c r="L90" s="99">
        <v>0</v>
      </c>
      <c r="M90" s="98">
        <v>0</v>
      </c>
      <c r="N90" s="99">
        <v>0</v>
      </c>
      <c r="O90" s="98">
        <v>0</v>
      </c>
      <c r="P90" s="99">
        <v>3169188</v>
      </c>
      <c r="Q90" s="98">
        <v>10765009.061136</v>
      </c>
      <c r="R90" s="96" t="s">
        <v>625</v>
      </c>
      <c r="S90" s="96">
        <v>7414000005</v>
      </c>
      <c r="W90" s="129">
        <v>1021427</v>
      </c>
      <c r="X90" s="130">
        <v>0</v>
      </c>
      <c r="AA90" s="131" t="s">
        <v>380</v>
      </c>
      <c r="AB90" s="130">
        <v>954604.18415999995</v>
      </c>
      <c r="AC90" s="130">
        <v>954604.18415999995</v>
      </c>
    </row>
    <row r="91" spans="1:29" x14ac:dyDescent="0.25">
      <c r="A91" t="str">
        <f t="shared" si="2"/>
        <v xml:space="preserve">1000003299STERGOB ED          </v>
      </c>
      <c r="B91" s="96">
        <v>1000003301</v>
      </c>
      <c r="C91" s="96" t="s">
        <v>640</v>
      </c>
      <c r="D91" s="96" t="s">
        <v>389</v>
      </c>
      <c r="E91" s="96" t="s">
        <v>623</v>
      </c>
      <c r="F91" s="96" t="s">
        <v>624</v>
      </c>
      <c r="G91" s="99">
        <v>6320761</v>
      </c>
      <c r="H91" s="97">
        <v>3.3967719999999999</v>
      </c>
      <c r="I91" s="98">
        <v>21470183.983491998</v>
      </c>
      <c r="J91" s="97">
        <v>3.3152966929140337</v>
      </c>
      <c r="K91" s="98">
        <v>514985.94349199999</v>
      </c>
      <c r="L91" s="99">
        <v>0</v>
      </c>
      <c r="M91" s="98">
        <v>0</v>
      </c>
      <c r="N91" s="99">
        <v>0</v>
      </c>
      <c r="O91" s="98">
        <v>0</v>
      </c>
      <c r="P91" s="99">
        <v>6320761</v>
      </c>
      <c r="Q91" s="98">
        <v>21470183.983491998</v>
      </c>
      <c r="R91" s="96" t="s">
        <v>625</v>
      </c>
      <c r="S91" s="96">
        <v>7414000005</v>
      </c>
      <c r="W91" s="129">
        <v>1024556</v>
      </c>
      <c r="X91" s="130">
        <v>1202406286.1068883</v>
      </c>
      <c r="AA91" s="131" t="s">
        <v>382</v>
      </c>
      <c r="AB91" s="130">
        <v>1121929.422705</v>
      </c>
      <c r="AC91" s="130">
        <v>1121929.422705</v>
      </c>
    </row>
    <row r="92" spans="1:29" x14ac:dyDescent="0.25">
      <c r="A92" t="str">
        <f t="shared" si="2"/>
        <v xml:space="preserve">1000003300STERGOB ED          </v>
      </c>
      <c r="B92" s="96">
        <v>1000003302</v>
      </c>
      <c r="C92" s="96" t="s">
        <v>641</v>
      </c>
      <c r="D92" s="96" t="s">
        <v>389</v>
      </c>
      <c r="E92" s="96" t="s">
        <v>623</v>
      </c>
      <c r="F92" s="96" t="s">
        <v>624</v>
      </c>
      <c r="G92" s="99">
        <v>4114455</v>
      </c>
      <c r="H92" s="97">
        <v>3.3967719999999999</v>
      </c>
      <c r="I92" s="98">
        <v>13975865.53926</v>
      </c>
      <c r="J92" s="97">
        <v>3.3142978207320288</v>
      </c>
      <c r="K92" s="98">
        <v>339336.29926</v>
      </c>
      <c r="L92" s="99">
        <v>0</v>
      </c>
      <c r="M92" s="98">
        <v>0</v>
      </c>
      <c r="N92" s="99">
        <v>0</v>
      </c>
      <c r="O92" s="98">
        <v>0</v>
      </c>
      <c r="P92" s="99">
        <v>4114455</v>
      </c>
      <c r="Q92" s="98">
        <v>13975865.53926</v>
      </c>
      <c r="R92" s="96" t="s">
        <v>625</v>
      </c>
      <c r="S92" s="96">
        <v>7414000005</v>
      </c>
      <c r="W92" s="129">
        <v>1024836</v>
      </c>
      <c r="X92" s="130">
        <v>4492036.28</v>
      </c>
      <c r="AA92" s="131" t="s">
        <v>427</v>
      </c>
      <c r="AB92" s="130">
        <v>1288133.9665379999</v>
      </c>
      <c r="AC92" s="130">
        <v>1288133.9665379999</v>
      </c>
    </row>
    <row r="93" spans="1:29" x14ac:dyDescent="0.25">
      <c r="A93" t="str">
        <f t="shared" si="2"/>
        <v xml:space="preserve">1000003301STERGOB ED          </v>
      </c>
      <c r="B93" s="96">
        <v>1000003305</v>
      </c>
      <c r="C93" s="96" t="s">
        <v>642</v>
      </c>
      <c r="D93" s="96" t="s">
        <v>389</v>
      </c>
      <c r="E93" s="96" t="s">
        <v>623</v>
      </c>
      <c r="F93" s="96" t="s">
        <v>624</v>
      </c>
      <c r="G93" s="99">
        <v>3098938</v>
      </c>
      <c r="H93" s="97">
        <v>3.3967719999999999</v>
      </c>
      <c r="I93" s="98">
        <v>10526385.828136001</v>
      </c>
      <c r="J93" s="97">
        <v>3.3176955879723957</v>
      </c>
      <c r="K93" s="98">
        <v>245052.898136</v>
      </c>
      <c r="L93" s="99">
        <v>0</v>
      </c>
      <c r="M93" s="98">
        <v>0</v>
      </c>
      <c r="N93" s="99">
        <v>0</v>
      </c>
      <c r="O93" s="98">
        <v>0</v>
      </c>
      <c r="P93" s="99">
        <v>3098938</v>
      </c>
      <c r="Q93" s="98">
        <v>10526385.828136001</v>
      </c>
      <c r="R93" s="96" t="s">
        <v>625</v>
      </c>
      <c r="S93" s="96">
        <v>7414000005</v>
      </c>
      <c r="W93" s="129">
        <v>2000123</v>
      </c>
      <c r="X93" s="130">
        <v>0</v>
      </c>
      <c r="AA93" s="131" t="s">
        <v>418</v>
      </c>
      <c r="AB93" s="130">
        <v>87552.183657999994</v>
      </c>
      <c r="AC93" s="130">
        <v>87552.183657999994</v>
      </c>
    </row>
    <row r="94" spans="1:29" x14ac:dyDescent="0.25">
      <c r="A94" t="str">
        <f t="shared" si="2"/>
        <v xml:space="preserve">1000003302STERGOB ED          </v>
      </c>
      <c r="B94" s="96">
        <v>1000003307</v>
      </c>
      <c r="C94" s="96" t="s">
        <v>643</v>
      </c>
      <c r="D94" s="96" t="s">
        <v>389</v>
      </c>
      <c r="E94" s="96" t="s">
        <v>623</v>
      </c>
      <c r="F94" s="96" t="s">
        <v>624</v>
      </c>
      <c r="G94" s="99">
        <v>2113</v>
      </c>
      <c r="H94" s="97">
        <v>3.3967719999999999</v>
      </c>
      <c r="I94" s="98">
        <v>7177.3792359999998</v>
      </c>
      <c r="J94" s="97">
        <v>3.3172314245149077</v>
      </c>
      <c r="K94" s="98">
        <v>168.06923599999999</v>
      </c>
      <c r="L94" s="99">
        <v>0</v>
      </c>
      <c r="M94" s="98">
        <v>0</v>
      </c>
      <c r="N94" s="99">
        <v>0</v>
      </c>
      <c r="O94" s="98">
        <v>0</v>
      </c>
      <c r="P94" s="99">
        <v>2113</v>
      </c>
      <c r="Q94" s="98">
        <v>7177.3792359999998</v>
      </c>
      <c r="R94" s="96" t="s">
        <v>625</v>
      </c>
      <c r="S94" s="96">
        <v>7414000005</v>
      </c>
      <c r="W94" s="129">
        <v>2000146</v>
      </c>
      <c r="X94" s="130">
        <v>0</v>
      </c>
      <c r="AA94" s="131" t="s">
        <v>408</v>
      </c>
      <c r="AB94" s="130">
        <v>65887.731419999996</v>
      </c>
      <c r="AC94" s="130">
        <v>65887.731419999996</v>
      </c>
    </row>
    <row r="95" spans="1:29" x14ac:dyDescent="0.25">
      <c r="A95" t="str">
        <f t="shared" si="2"/>
        <v xml:space="preserve">1000003305STERGOB ED          </v>
      </c>
      <c r="B95" s="96">
        <v>1000003315</v>
      </c>
      <c r="C95" s="96" t="s">
        <v>644</v>
      </c>
      <c r="D95" s="96" t="s">
        <v>615</v>
      </c>
      <c r="E95" s="96" t="s">
        <v>623</v>
      </c>
      <c r="F95" s="96" t="s">
        <v>624</v>
      </c>
      <c r="G95" s="99">
        <v>1000000</v>
      </c>
      <c r="H95" s="97">
        <v>9.0839700000000008</v>
      </c>
      <c r="I95" s="98">
        <v>9083970</v>
      </c>
      <c r="J95" s="97">
        <v>8.9878796600000008</v>
      </c>
      <c r="K95" s="98">
        <v>96090.34</v>
      </c>
      <c r="L95" s="99">
        <v>0</v>
      </c>
      <c r="M95" s="98">
        <v>0</v>
      </c>
      <c r="N95" s="99">
        <v>0</v>
      </c>
      <c r="O95" s="98">
        <v>0</v>
      </c>
      <c r="P95" s="99">
        <v>1000000</v>
      </c>
      <c r="Q95" s="98">
        <v>9083970</v>
      </c>
      <c r="R95" s="96" t="s">
        <v>625</v>
      </c>
      <c r="S95" s="96">
        <v>7414000005</v>
      </c>
      <c r="W95" s="129">
        <v>2000182</v>
      </c>
      <c r="X95" s="130">
        <v>12347.138266</v>
      </c>
      <c r="AA95" s="131" t="s">
        <v>384</v>
      </c>
      <c r="AB95" s="130">
        <v>1370106.7713200001</v>
      </c>
      <c r="AC95" s="130">
        <v>1370106.7713200001</v>
      </c>
    </row>
    <row r="96" spans="1:29" x14ac:dyDescent="0.25">
      <c r="A96" t="str">
        <f t="shared" si="2"/>
        <v xml:space="preserve">1000003307STERGOB ED          </v>
      </c>
      <c r="B96" s="96">
        <v>1000003315</v>
      </c>
      <c r="C96" s="96" t="s">
        <v>644</v>
      </c>
      <c r="D96" s="96" t="s">
        <v>366</v>
      </c>
      <c r="E96" s="96" t="s">
        <v>623</v>
      </c>
      <c r="F96" s="96" t="s">
        <v>624</v>
      </c>
      <c r="G96" s="99">
        <v>0</v>
      </c>
      <c r="H96" s="97">
        <v>0</v>
      </c>
      <c r="I96" s="98">
        <v>13205115.26</v>
      </c>
      <c r="J96" s="97">
        <v>0</v>
      </c>
      <c r="K96" s="98">
        <v>0</v>
      </c>
      <c r="L96" s="99">
        <v>0</v>
      </c>
      <c r="M96" s="98">
        <v>0</v>
      </c>
      <c r="N96" s="99">
        <v>0</v>
      </c>
      <c r="O96" s="98">
        <v>0</v>
      </c>
      <c r="P96" s="99">
        <v>0</v>
      </c>
      <c r="Q96" s="98">
        <v>13205115.26</v>
      </c>
      <c r="R96" s="96" t="s">
        <v>625</v>
      </c>
      <c r="S96" s="96">
        <v>7414000005</v>
      </c>
      <c r="W96" s="129">
        <v>2000183</v>
      </c>
      <c r="X96" s="130">
        <v>36325491.774582997</v>
      </c>
      <c r="AA96" s="131" t="s">
        <v>389</v>
      </c>
      <c r="AB96" s="130">
        <v>2878550.273364</v>
      </c>
      <c r="AC96" s="130">
        <v>2878550.273364</v>
      </c>
    </row>
    <row r="97" spans="1:29" x14ac:dyDescent="0.25">
      <c r="A97" t="str">
        <f t="shared" si="2"/>
        <v xml:space="preserve">1000003315CETES 250306        </v>
      </c>
      <c r="B97" s="96">
        <v>1000003633</v>
      </c>
      <c r="C97" s="96" t="s">
        <v>645</v>
      </c>
      <c r="D97" s="96" t="s">
        <v>389</v>
      </c>
      <c r="E97" s="96" t="s">
        <v>623</v>
      </c>
      <c r="F97" s="96" t="s">
        <v>624</v>
      </c>
      <c r="G97" s="99">
        <v>6684001</v>
      </c>
      <c r="H97" s="97">
        <v>3.3967719999999999</v>
      </c>
      <c r="I97" s="98">
        <v>22704027.444772001</v>
      </c>
      <c r="J97" s="97">
        <v>3.3649632742424784</v>
      </c>
      <c r="K97" s="98">
        <v>212609.554772</v>
      </c>
      <c r="L97" s="99">
        <v>0</v>
      </c>
      <c r="M97" s="98">
        <v>0</v>
      </c>
      <c r="N97" s="99">
        <v>0</v>
      </c>
      <c r="O97" s="98">
        <v>0</v>
      </c>
      <c r="P97" s="99">
        <v>6684001</v>
      </c>
      <c r="Q97" s="98">
        <v>22704027.444772001</v>
      </c>
      <c r="R97" s="96" t="s">
        <v>625</v>
      </c>
      <c r="S97" s="96">
        <v>7414000005</v>
      </c>
      <c r="W97" s="129">
        <v>2000216</v>
      </c>
      <c r="X97" s="130">
        <v>922574612.25220394</v>
      </c>
      <c r="AA97" s="131" t="s">
        <v>391</v>
      </c>
      <c r="AB97" s="130">
        <v>1790296.6443960001</v>
      </c>
      <c r="AC97" s="130">
        <v>1790296.6443960001</v>
      </c>
    </row>
    <row r="98" spans="1:29" x14ac:dyDescent="0.25">
      <c r="A98" t="str">
        <f t="shared" si="2"/>
        <v>1000003315EFECTIVO</v>
      </c>
      <c r="B98" s="96">
        <v>1000003633</v>
      </c>
      <c r="C98" s="96" t="s">
        <v>645</v>
      </c>
      <c r="D98" s="96" t="s">
        <v>404</v>
      </c>
      <c r="E98" s="96" t="s">
        <v>623</v>
      </c>
      <c r="F98" s="96" t="s">
        <v>624</v>
      </c>
      <c r="G98" s="99">
        <v>559952</v>
      </c>
      <c r="H98" s="97">
        <v>137.94899000000001</v>
      </c>
      <c r="I98" s="98">
        <v>77244812.848480001</v>
      </c>
      <c r="J98" s="97">
        <v>140.51184022916249</v>
      </c>
      <c r="K98" s="98">
        <v>-742431.23273000005</v>
      </c>
      <c r="L98" s="99">
        <v>5021</v>
      </c>
      <c r="M98" s="98">
        <v>692641.88</v>
      </c>
      <c r="N98" s="99">
        <v>0</v>
      </c>
      <c r="O98" s="98">
        <v>0</v>
      </c>
      <c r="P98" s="99">
        <v>564973</v>
      </c>
      <c r="Q98" s="98">
        <v>77937454.728479996</v>
      </c>
      <c r="R98" s="96" t="s">
        <v>625</v>
      </c>
      <c r="S98" s="96">
        <v>7414000005</v>
      </c>
      <c r="W98" s="129">
        <v>2000217</v>
      </c>
      <c r="X98" s="130">
        <v>264795717.92865101</v>
      </c>
      <c r="AA98" s="131" t="s">
        <v>395</v>
      </c>
      <c r="AB98" s="130">
        <v>933695.77372000006</v>
      </c>
      <c r="AC98" s="130">
        <v>933695.77372000006</v>
      </c>
    </row>
    <row r="99" spans="1:29" x14ac:dyDescent="0.25">
      <c r="A99" t="str">
        <f t="shared" si="2"/>
        <v xml:space="preserve">1000003633STERGOB ED          </v>
      </c>
      <c r="B99" s="96">
        <v>1000003633</v>
      </c>
      <c r="C99" s="96" t="s">
        <v>645</v>
      </c>
      <c r="D99" s="96" t="s">
        <v>405</v>
      </c>
      <c r="E99" s="96" t="s">
        <v>623</v>
      </c>
      <c r="F99" s="96" t="s">
        <v>624</v>
      </c>
      <c r="G99" s="99">
        <v>67503934</v>
      </c>
      <c r="H99" s="97">
        <v>3.6096119999999998</v>
      </c>
      <c r="I99" s="98">
        <v>243663010.213608</v>
      </c>
      <c r="J99" s="97">
        <v>3.6791899858754897</v>
      </c>
      <c r="K99" s="98">
        <v>-2988264.55688</v>
      </c>
      <c r="L99" s="99">
        <v>473326</v>
      </c>
      <c r="M99" s="98">
        <v>1708523.21</v>
      </c>
      <c r="N99" s="99">
        <v>0</v>
      </c>
      <c r="O99" s="98">
        <v>0</v>
      </c>
      <c r="P99" s="99">
        <v>67977260</v>
      </c>
      <c r="Q99" s="98">
        <v>245371533.42360801</v>
      </c>
      <c r="R99" s="96" t="s">
        <v>625</v>
      </c>
      <c r="S99" s="96">
        <v>7414000005</v>
      </c>
      <c r="W99" s="129">
        <v>2000218</v>
      </c>
      <c r="X99" s="130">
        <v>155645696.975986</v>
      </c>
      <c r="AA99" s="131" t="s">
        <v>396</v>
      </c>
      <c r="AB99" s="130">
        <v>948896.95160000003</v>
      </c>
      <c r="AC99" s="130">
        <v>948896.95160000003</v>
      </c>
    </row>
    <row r="100" spans="1:29" x14ac:dyDescent="0.25">
      <c r="A100" t="str">
        <f t="shared" si="2"/>
        <v xml:space="preserve">1000003633SVIVE20 ED          </v>
      </c>
      <c r="B100" s="96">
        <v>1000003633</v>
      </c>
      <c r="C100" s="96" t="s">
        <v>645</v>
      </c>
      <c r="D100" s="96" t="s">
        <v>406</v>
      </c>
      <c r="E100" s="96" t="s">
        <v>623</v>
      </c>
      <c r="F100" s="96" t="s">
        <v>624</v>
      </c>
      <c r="G100" s="99">
        <v>31592596</v>
      </c>
      <c r="H100" s="97">
        <v>2.1897980000000001</v>
      </c>
      <c r="I100" s="98">
        <v>69181403.535607994</v>
      </c>
      <c r="J100" s="97">
        <v>2.2407874993875145</v>
      </c>
      <c r="K100" s="98">
        <v>-1211876.611822</v>
      </c>
      <c r="L100" s="99">
        <v>182215</v>
      </c>
      <c r="M100" s="98">
        <v>399014.04</v>
      </c>
      <c r="N100" s="99">
        <v>0</v>
      </c>
      <c r="O100" s="98">
        <v>0</v>
      </c>
      <c r="P100" s="99">
        <v>31774811</v>
      </c>
      <c r="Q100" s="98">
        <v>69580417.575608</v>
      </c>
      <c r="R100" s="96" t="s">
        <v>625</v>
      </c>
      <c r="S100" s="96">
        <v>7414000005</v>
      </c>
      <c r="W100" s="129">
        <v>2000219</v>
      </c>
      <c r="X100" s="130">
        <v>2369479045.8979201</v>
      </c>
      <c r="AA100" s="131" t="s">
        <v>398</v>
      </c>
      <c r="AB100" s="130">
        <v>1124351.0394850001</v>
      </c>
      <c r="AC100" s="130">
        <v>1124351.0394850001</v>
      </c>
    </row>
    <row r="101" spans="1:29" x14ac:dyDescent="0.25">
      <c r="A101" t="str">
        <f t="shared" si="2"/>
        <v xml:space="preserve">1000003633SVIVE35 ED          </v>
      </c>
      <c r="B101" s="96">
        <v>1000003633</v>
      </c>
      <c r="C101" s="96" t="s">
        <v>645</v>
      </c>
      <c r="D101" s="96" t="s">
        <v>407</v>
      </c>
      <c r="E101" s="96" t="s">
        <v>623</v>
      </c>
      <c r="F101" s="96" t="s">
        <v>624</v>
      </c>
      <c r="G101" s="99">
        <v>1644547</v>
      </c>
      <c r="H101" s="97">
        <v>2.7668819999999998</v>
      </c>
      <c r="I101" s="98">
        <v>4550267.4924539998</v>
      </c>
      <c r="J101" s="97">
        <v>2.7954019495946301</v>
      </c>
      <c r="K101" s="98">
        <v>-32240.689827999999</v>
      </c>
      <c r="L101" s="99">
        <v>5299</v>
      </c>
      <c r="M101" s="98">
        <v>14661.71</v>
      </c>
      <c r="N101" s="99">
        <v>0</v>
      </c>
      <c r="O101" s="98">
        <v>0</v>
      </c>
      <c r="P101" s="99">
        <v>1649846</v>
      </c>
      <c r="Q101" s="98">
        <v>4564929.2024539998</v>
      </c>
      <c r="R101" s="96" t="s">
        <v>625</v>
      </c>
      <c r="S101" s="96">
        <v>7414000005</v>
      </c>
      <c r="W101" s="129">
        <v>2000220</v>
      </c>
      <c r="X101" s="130">
        <v>671634193.761114</v>
      </c>
      <c r="AA101" s="131" t="s">
        <v>381</v>
      </c>
      <c r="AB101" s="130">
        <v>4379301.3172770003</v>
      </c>
      <c r="AC101" s="130">
        <v>4379301.3172770003</v>
      </c>
    </row>
    <row r="102" spans="1:29" x14ac:dyDescent="0.25">
      <c r="A102" t="str">
        <f t="shared" si="2"/>
        <v xml:space="preserve">1000003633SVIVE50 ED          </v>
      </c>
      <c r="B102" s="96">
        <v>1005849</v>
      </c>
      <c r="C102" s="96" t="s">
        <v>646</v>
      </c>
      <c r="D102" s="96" t="s">
        <v>389</v>
      </c>
      <c r="E102" s="96" t="s">
        <v>623</v>
      </c>
      <c r="F102" s="96" t="s">
        <v>624</v>
      </c>
      <c r="G102" s="99">
        <v>7712290</v>
      </c>
      <c r="H102" s="97">
        <v>3.3967719999999999</v>
      </c>
      <c r="I102" s="98">
        <v>26196890.727880001</v>
      </c>
      <c r="J102" s="97">
        <v>3.0015595069687473</v>
      </c>
      <c r="K102" s="98">
        <v>3047993.35788</v>
      </c>
      <c r="L102" s="99">
        <v>0</v>
      </c>
      <c r="M102" s="98">
        <v>0</v>
      </c>
      <c r="N102" s="99">
        <v>0</v>
      </c>
      <c r="O102" s="98">
        <v>0</v>
      </c>
      <c r="P102" s="99">
        <v>7712290</v>
      </c>
      <c r="Q102" s="98">
        <v>26196890.727880001</v>
      </c>
      <c r="R102" s="96" t="s">
        <v>625</v>
      </c>
      <c r="S102" s="96">
        <v>7414000005</v>
      </c>
      <c r="W102" s="129">
        <v>2000221</v>
      </c>
      <c r="X102" s="130">
        <v>396460627.13844502</v>
      </c>
      <c r="AA102" s="131" t="s">
        <v>430</v>
      </c>
      <c r="AB102" s="130">
        <v>13146958.7184</v>
      </c>
      <c r="AC102" s="130">
        <v>13146958.7184</v>
      </c>
    </row>
    <row r="103" spans="1:29" x14ac:dyDescent="0.25">
      <c r="A103" t="str">
        <f t="shared" si="2"/>
        <v xml:space="preserve">1000003633SVIVE60 ED          </v>
      </c>
      <c r="B103" s="96">
        <v>1006090</v>
      </c>
      <c r="C103" s="96" t="s">
        <v>647</v>
      </c>
      <c r="D103" s="96" t="s">
        <v>376</v>
      </c>
      <c r="E103" s="96" t="s">
        <v>623</v>
      </c>
      <c r="F103" s="96" t="s">
        <v>624</v>
      </c>
      <c r="G103" s="99">
        <v>0</v>
      </c>
      <c r="H103" s="97">
        <v>0</v>
      </c>
      <c r="I103" s="98">
        <v>0</v>
      </c>
      <c r="J103" s="97">
        <v>0</v>
      </c>
      <c r="K103" s="98">
        <v>0</v>
      </c>
      <c r="L103" s="99">
        <v>0</v>
      </c>
      <c r="M103" s="98">
        <v>0</v>
      </c>
      <c r="N103" s="99">
        <v>0</v>
      </c>
      <c r="O103" s="98">
        <v>0</v>
      </c>
      <c r="P103" s="99">
        <v>0</v>
      </c>
      <c r="Q103" s="98">
        <v>0</v>
      </c>
      <c r="R103" s="96" t="s">
        <v>625</v>
      </c>
      <c r="S103" s="96">
        <v>7414000005</v>
      </c>
      <c r="W103" s="129">
        <v>2000301</v>
      </c>
      <c r="X103" s="130">
        <v>0</v>
      </c>
      <c r="AA103" s="131" t="s">
        <v>393</v>
      </c>
      <c r="AB103" s="130">
        <v>884642.08486499998</v>
      </c>
      <c r="AC103" s="130">
        <v>884642.08486499998</v>
      </c>
    </row>
    <row r="104" spans="1:29" x14ac:dyDescent="0.25">
      <c r="A104" t="str">
        <f t="shared" si="2"/>
        <v xml:space="preserve">1005849STERGOB ED          </v>
      </c>
      <c r="B104" s="96">
        <v>1006090</v>
      </c>
      <c r="C104" s="96" t="s">
        <v>647</v>
      </c>
      <c r="D104" s="96" t="s">
        <v>382</v>
      </c>
      <c r="E104" s="96" t="s">
        <v>623</v>
      </c>
      <c r="F104" s="96" t="s">
        <v>624</v>
      </c>
      <c r="G104" s="99">
        <v>0</v>
      </c>
      <c r="H104" s="97">
        <v>0</v>
      </c>
      <c r="I104" s="98">
        <v>0</v>
      </c>
      <c r="J104" s="97">
        <v>0</v>
      </c>
      <c r="K104" s="98">
        <v>0</v>
      </c>
      <c r="L104" s="99">
        <v>0</v>
      </c>
      <c r="M104" s="98">
        <v>0</v>
      </c>
      <c r="N104" s="99">
        <v>0</v>
      </c>
      <c r="O104" s="98">
        <v>0</v>
      </c>
      <c r="P104" s="99">
        <v>0</v>
      </c>
      <c r="Q104" s="98">
        <v>0</v>
      </c>
      <c r="R104" s="96" t="s">
        <v>625</v>
      </c>
      <c r="S104" s="96">
        <v>7414000005</v>
      </c>
      <c r="W104" s="129">
        <v>2000302</v>
      </c>
      <c r="X104" s="130">
        <v>1316927.9615189999</v>
      </c>
      <c r="AA104" s="131" t="s">
        <v>385</v>
      </c>
      <c r="AB104" s="130">
        <v>260834.38573499999</v>
      </c>
      <c r="AC104" s="130">
        <v>260834.38573499999</v>
      </c>
    </row>
    <row r="105" spans="1:29" x14ac:dyDescent="0.25">
      <c r="A105" t="str">
        <f t="shared" si="2"/>
        <v xml:space="preserve">1006090GOBFED 241205       </v>
      </c>
      <c r="B105" s="96">
        <v>1006090</v>
      </c>
      <c r="C105" s="96" t="s">
        <v>647</v>
      </c>
      <c r="D105" s="96" t="s">
        <v>408</v>
      </c>
      <c r="E105" s="96" t="s">
        <v>623</v>
      </c>
      <c r="F105" s="96" t="s">
        <v>624</v>
      </c>
      <c r="G105" s="99">
        <v>0</v>
      </c>
      <c r="H105" s="97">
        <v>0</v>
      </c>
      <c r="I105" s="98">
        <v>0</v>
      </c>
      <c r="J105" s="97">
        <v>0</v>
      </c>
      <c r="K105" s="98">
        <v>0</v>
      </c>
      <c r="L105" s="99">
        <v>0</v>
      </c>
      <c r="M105" s="98">
        <v>0</v>
      </c>
      <c r="N105" s="99">
        <v>0</v>
      </c>
      <c r="O105" s="98">
        <v>0</v>
      </c>
      <c r="P105" s="99">
        <v>0</v>
      </c>
      <c r="Q105" s="98">
        <v>0</v>
      </c>
      <c r="R105" s="96" t="s">
        <v>625</v>
      </c>
      <c r="S105" s="96">
        <v>7414000005</v>
      </c>
      <c r="W105" s="129">
        <v>2000402</v>
      </c>
      <c r="X105" s="130">
        <v>1020121.499424</v>
      </c>
      <c r="AA105" s="131" t="s">
        <v>375</v>
      </c>
      <c r="AB105" s="130">
        <v>746302.70809099998</v>
      </c>
      <c r="AC105" s="130">
        <v>746302.70809099998</v>
      </c>
    </row>
    <row r="106" spans="1:29" x14ac:dyDescent="0.25">
      <c r="A106" t="str">
        <f t="shared" si="2"/>
        <v xml:space="preserve">1006090GOBFED 310529       </v>
      </c>
      <c r="B106" s="96">
        <v>1006090</v>
      </c>
      <c r="C106" s="96" t="s">
        <v>647</v>
      </c>
      <c r="D106" s="96" t="s">
        <v>396</v>
      </c>
      <c r="E106" s="96" t="s">
        <v>623</v>
      </c>
      <c r="F106" s="96" t="s">
        <v>624</v>
      </c>
      <c r="G106" s="99">
        <v>0</v>
      </c>
      <c r="H106" s="97">
        <v>0</v>
      </c>
      <c r="I106" s="98">
        <v>0</v>
      </c>
      <c r="J106" s="97">
        <v>0</v>
      </c>
      <c r="K106" s="98">
        <v>0</v>
      </c>
      <c r="L106" s="99">
        <v>0</v>
      </c>
      <c r="M106" s="98">
        <v>0</v>
      </c>
      <c r="N106" s="99">
        <v>0</v>
      </c>
      <c r="O106" s="98">
        <v>0</v>
      </c>
      <c r="P106" s="99">
        <v>0</v>
      </c>
      <c r="Q106" s="98">
        <v>0</v>
      </c>
      <c r="R106" s="96" t="s">
        <v>625</v>
      </c>
      <c r="S106" s="96">
        <v>7414000005</v>
      </c>
      <c r="W106" s="129">
        <v>2000423</v>
      </c>
      <c r="X106" s="130">
        <v>1887811.3808290001</v>
      </c>
      <c r="AA106" s="131" t="s">
        <v>399</v>
      </c>
      <c r="AB106" s="130">
        <v>1977683.060576</v>
      </c>
      <c r="AC106" s="130">
        <v>1977683.060576</v>
      </c>
    </row>
    <row r="107" spans="1:29" x14ac:dyDescent="0.25">
      <c r="A107" t="str">
        <f t="shared" si="2"/>
        <v xml:space="preserve">1006090GOBFED 381118       </v>
      </c>
      <c r="B107" s="96">
        <v>1008774</v>
      </c>
      <c r="C107" s="96" t="s">
        <v>648</v>
      </c>
      <c r="D107" s="96" t="s">
        <v>509</v>
      </c>
      <c r="E107" s="96" t="s">
        <v>623</v>
      </c>
      <c r="F107" s="96" t="s">
        <v>624</v>
      </c>
      <c r="G107" s="99">
        <v>2442610</v>
      </c>
      <c r="H107" s="97">
        <v>99.968271000000001</v>
      </c>
      <c r="I107" s="98">
        <v>244183498.42730999</v>
      </c>
      <c r="J107" s="97">
        <v>99.903049999999993</v>
      </c>
      <c r="K107" s="98">
        <v>159309.46681000001</v>
      </c>
      <c r="L107" s="99">
        <v>0</v>
      </c>
      <c r="M107" s="98">
        <v>0</v>
      </c>
      <c r="N107" s="99">
        <v>0</v>
      </c>
      <c r="O107" s="98">
        <v>0</v>
      </c>
      <c r="P107" s="99">
        <v>2442610</v>
      </c>
      <c r="Q107" s="98">
        <v>244183498.42730999</v>
      </c>
      <c r="R107" s="96" t="s">
        <v>625</v>
      </c>
      <c r="S107" s="96">
        <v>7414000005</v>
      </c>
      <c r="W107" s="129">
        <v>2000424</v>
      </c>
      <c r="X107" s="130">
        <v>4443331.693763</v>
      </c>
      <c r="AA107" s="131" t="s">
        <v>429</v>
      </c>
      <c r="AB107" s="130">
        <v>2125789.91946</v>
      </c>
      <c r="AC107" s="130">
        <v>2125789.91946</v>
      </c>
    </row>
    <row r="108" spans="1:29" x14ac:dyDescent="0.25">
      <c r="A108" t="str">
        <f t="shared" si="2"/>
        <v xml:space="preserve">1006090UDIBONO 401115      </v>
      </c>
      <c r="B108" s="96">
        <v>1008774</v>
      </c>
      <c r="C108" s="96" t="s">
        <v>648</v>
      </c>
      <c r="D108" s="96" t="s">
        <v>364</v>
      </c>
      <c r="E108" s="96" t="s">
        <v>623</v>
      </c>
      <c r="F108" s="96" t="s">
        <v>624</v>
      </c>
      <c r="G108" s="99">
        <v>2892930</v>
      </c>
      <c r="H108" s="97">
        <v>9.190137</v>
      </c>
      <c r="I108" s="98">
        <v>26586423.031410001</v>
      </c>
      <c r="J108" s="97">
        <v>8.1527577010188637</v>
      </c>
      <c r="K108" s="98">
        <v>3001065.6954015</v>
      </c>
      <c r="L108" s="99">
        <v>0</v>
      </c>
      <c r="M108" s="98">
        <v>0</v>
      </c>
      <c r="N108" s="99">
        <v>0</v>
      </c>
      <c r="O108" s="98">
        <v>0</v>
      </c>
      <c r="P108" s="99">
        <v>2892930</v>
      </c>
      <c r="Q108" s="98">
        <v>26586423.031410001</v>
      </c>
      <c r="R108" s="96" t="s">
        <v>625</v>
      </c>
      <c r="S108" s="96">
        <v>7414000005</v>
      </c>
      <c r="W108" s="129">
        <v>2000465</v>
      </c>
      <c r="X108" s="130">
        <v>34935585.610114001</v>
      </c>
      <c r="AA108" s="131" t="s">
        <v>428</v>
      </c>
      <c r="AB108" s="130">
        <v>0</v>
      </c>
      <c r="AC108" s="130">
        <v>0</v>
      </c>
    </row>
    <row r="109" spans="1:29" x14ac:dyDescent="0.25">
      <c r="A109" t="str">
        <f t="shared" si="2"/>
        <v xml:space="preserve">1008774BONDESF 240815      </v>
      </c>
      <c r="B109" s="96">
        <v>1008774</v>
      </c>
      <c r="C109" s="96" t="s">
        <v>648</v>
      </c>
      <c r="D109" s="96" t="s">
        <v>615</v>
      </c>
      <c r="E109" s="96" t="s">
        <v>623</v>
      </c>
      <c r="F109" s="96" t="s">
        <v>624</v>
      </c>
      <c r="G109" s="99">
        <v>1000000</v>
      </c>
      <c r="H109" s="97">
        <v>9.0839700000000008</v>
      </c>
      <c r="I109" s="98">
        <v>9083970</v>
      </c>
      <c r="J109" s="97">
        <v>8.9878796600000008</v>
      </c>
      <c r="K109" s="98">
        <v>96090.34</v>
      </c>
      <c r="L109" s="99">
        <v>0</v>
      </c>
      <c r="M109" s="98">
        <v>0</v>
      </c>
      <c r="N109" s="99">
        <v>0</v>
      </c>
      <c r="O109" s="98">
        <v>0</v>
      </c>
      <c r="P109" s="99">
        <v>1000000</v>
      </c>
      <c r="Q109" s="98">
        <v>9083970</v>
      </c>
      <c r="R109" s="96" t="s">
        <v>625</v>
      </c>
      <c r="S109" s="96">
        <v>7414000005</v>
      </c>
      <c r="W109" s="129">
        <v>2000467</v>
      </c>
      <c r="X109" s="130">
        <v>22901377.689304002</v>
      </c>
      <c r="AA109" s="131" t="s">
        <v>394</v>
      </c>
      <c r="AB109" s="130">
        <v>1445801.012538</v>
      </c>
      <c r="AC109" s="130">
        <v>1445801.012538</v>
      </c>
    </row>
    <row r="110" spans="1:29" x14ac:dyDescent="0.25">
      <c r="A110" t="str">
        <f t="shared" si="2"/>
        <v xml:space="preserve">1008774CETES 250123        </v>
      </c>
      <c r="B110" s="96">
        <v>1008774</v>
      </c>
      <c r="C110" s="96" t="s">
        <v>648</v>
      </c>
      <c r="D110" s="96" t="s">
        <v>649</v>
      </c>
      <c r="E110" s="96" t="s">
        <v>623</v>
      </c>
      <c r="F110" s="96" t="s">
        <v>624</v>
      </c>
      <c r="G110" s="99">
        <v>1618860</v>
      </c>
      <c r="H110" s="97">
        <v>9.0112480000000001</v>
      </c>
      <c r="I110" s="98">
        <v>14587948.937279999</v>
      </c>
      <c r="J110" s="97">
        <v>8.9969798000000001</v>
      </c>
      <c r="K110" s="98">
        <v>23098.218251999999</v>
      </c>
      <c r="L110" s="99">
        <v>0</v>
      </c>
      <c r="M110" s="98">
        <v>0</v>
      </c>
      <c r="N110" s="99">
        <v>0</v>
      </c>
      <c r="O110" s="98">
        <v>0</v>
      </c>
      <c r="P110" s="99">
        <v>1618860</v>
      </c>
      <c r="Q110" s="98">
        <v>14587948.937279999</v>
      </c>
      <c r="R110" s="96" t="s">
        <v>625</v>
      </c>
      <c r="S110" s="96">
        <v>7414000005</v>
      </c>
      <c r="W110" s="129">
        <v>2000513</v>
      </c>
      <c r="X110" s="130">
        <v>0</v>
      </c>
      <c r="AA110" s="131" t="s">
        <v>379</v>
      </c>
      <c r="AB110" s="130">
        <v>474889.75054199999</v>
      </c>
      <c r="AC110" s="130">
        <v>474889.75054199999</v>
      </c>
    </row>
    <row r="111" spans="1:29" x14ac:dyDescent="0.25">
      <c r="A111" t="str">
        <f t="shared" si="2"/>
        <v xml:space="preserve">1008774CETES 250306        </v>
      </c>
      <c r="B111" s="96">
        <v>1008774</v>
      </c>
      <c r="C111" s="96" t="s">
        <v>648</v>
      </c>
      <c r="D111" s="96" t="s">
        <v>554</v>
      </c>
      <c r="E111" s="96" t="s">
        <v>623</v>
      </c>
      <c r="F111" s="96" t="s">
        <v>624</v>
      </c>
      <c r="G111" s="99">
        <v>16258930</v>
      </c>
      <c r="H111" s="97">
        <v>8.3813510000000004</v>
      </c>
      <c r="I111" s="98">
        <v>136271799.21443</v>
      </c>
      <c r="J111" s="97">
        <v>8.2786636708894559</v>
      </c>
      <c r="K111" s="98">
        <v>1669586.0958952999</v>
      </c>
      <c r="L111" s="99">
        <v>0</v>
      </c>
      <c r="M111" s="98">
        <v>0</v>
      </c>
      <c r="N111" s="99">
        <v>0</v>
      </c>
      <c r="O111" s="98">
        <v>0</v>
      </c>
      <c r="P111" s="99">
        <v>16258930</v>
      </c>
      <c r="Q111" s="98">
        <v>136271799.21443</v>
      </c>
      <c r="R111" s="96" t="s">
        <v>625</v>
      </c>
      <c r="S111" s="96">
        <v>7414000005</v>
      </c>
      <c r="W111" s="129">
        <v>2000534</v>
      </c>
      <c r="X111" s="130">
        <v>437.32162499999998</v>
      </c>
      <c r="AA111" s="131" t="s">
        <v>377</v>
      </c>
      <c r="AB111" s="130">
        <v>290617.82981999998</v>
      </c>
      <c r="AC111" s="130">
        <v>290617.82981999998</v>
      </c>
    </row>
    <row r="112" spans="1:29" x14ac:dyDescent="0.25">
      <c r="A112" t="str">
        <f t="shared" si="2"/>
        <v xml:space="preserve">1008774CETES 250403        </v>
      </c>
      <c r="B112" s="96">
        <v>1008774</v>
      </c>
      <c r="C112" s="96" t="s">
        <v>648</v>
      </c>
      <c r="D112" s="96" t="s">
        <v>613</v>
      </c>
      <c r="E112" s="96" t="s">
        <v>623</v>
      </c>
      <c r="F112" s="96" t="s">
        <v>624</v>
      </c>
      <c r="G112" s="99">
        <v>13614860</v>
      </c>
      <c r="H112" s="97">
        <v>8.2580650000000002</v>
      </c>
      <c r="I112" s="98">
        <v>112432398.8459</v>
      </c>
      <c r="J112" s="97">
        <v>8.2251008006336157</v>
      </c>
      <c r="K112" s="98">
        <v>448802.9593854</v>
      </c>
      <c r="L112" s="99">
        <v>0</v>
      </c>
      <c r="M112" s="98">
        <v>0</v>
      </c>
      <c r="N112" s="99">
        <v>0</v>
      </c>
      <c r="O112" s="98">
        <v>0</v>
      </c>
      <c r="P112" s="99">
        <v>13614860</v>
      </c>
      <c r="Q112" s="98">
        <v>112432398.8459</v>
      </c>
      <c r="R112" s="96" t="s">
        <v>625</v>
      </c>
      <c r="S112" s="96">
        <v>7414000005</v>
      </c>
      <c r="W112" s="129">
        <v>2000554</v>
      </c>
      <c r="X112" s="130">
        <v>15505122.864607999</v>
      </c>
      <c r="AA112" s="131" t="s">
        <v>422</v>
      </c>
      <c r="AB112" s="130">
        <v>59569.196810000001</v>
      </c>
      <c r="AC112" s="130">
        <v>59569.196810000001</v>
      </c>
    </row>
    <row r="113" spans="1:29" x14ac:dyDescent="0.25">
      <c r="A113" t="str">
        <f t="shared" si="2"/>
        <v xml:space="preserve">1008774CETES 251224        </v>
      </c>
      <c r="B113" s="96">
        <v>1008774</v>
      </c>
      <c r="C113" s="96" t="s">
        <v>648</v>
      </c>
      <c r="D113" s="96" t="s">
        <v>375</v>
      </c>
      <c r="E113" s="96" t="s">
        <v>623</v>
      </c>
      <c r="F113" s="96" t="s">
        <v>624</v>
      </c>
      <c r="G113" s="99">
        <v>14326</v>
      </c>
      <c r="H113" s="97">
        <v>98.730349000000004</v>
      </c>
      <c r="I113" s="98">
        <v>1414410.9797739999</v>
      </c>
      <c r="J113" s="97">
        <v>104.81191507</v>
      </c>
      <c r="K113" s="98">
        <v>-87124.515518820001</v>
      </c>
      <c r="L113" s="99">
        <v>0</v>
      </c>
      <c r="M113" s="98">
        <v>0</v>
      </c>
      <c r="N113" s="99">
        <v>0</v>
      </c>
      <c r="O113" s="98">
        <v>0</v>
      </c>
      <c r="P113" s="99">
        <v>14326</v>
      </c>
      <c r="Q113" s="98">
        <v>1414410.9797739999</v>
      </c>
      <c r="R113" s="96" t="s">
        <v>625</v>
      </c>
      <c r="S113" s="96">
        <v>7414000005</v>
      </c>
      <c r="W113" s="129">
        <v>2000569</v>
      </c>
      <c r="X113" s="130">
        <v>16110805.096042</v>
      </c>
      <c r="AA113" s="131" t="s">
        <v>392</v>
      </c>
      <c r="AB113" s="130">
        <v>2754846.8787839999</v>
      </c>
      <c r="AC113" s="130">
        <v>2754846.8787839999</v>
      </c>
    </row>
    <row r="114" spans="1:29" x14ac:dyDescent="0.25">
      <c r="A114" t="str">
        <f t="shared" si="2"/>
        <v xml:space="preserve">1008774CETES 260219        </v>
      </c>
      <c r="B114" s="96">
        <v>1008774</v>
      </c>
      <c r="C114" s="96" t="s">
        <v>648</v>
      </c>
      <c r="D114" s="96" t="s">
        <v>376</v>
      </c>
      <c r="E114" s="96" t="s">
        <v>623</v>
      </c>
      <c r="F114" s="96" t="s">
        <v>624</v>
      </c>
      <c r="G114" s="99">
        <v>66800</v>
      </c>
      <c r="H114" s="97">
        <v>99.247497999999993</v>
      </c>
      <c r="I114" s="98">
        <v>6629732.8663999997</v>
      </c>
      <c r="J114" s="97">
        <v>101.04285588</v>
      </c>
      <c r="K114" s="98">
        <v>-119929.906384</v>
      </c>
      <c r="L114" s="99">
        <v>0</v>
      </c>
      <c r="M114" s="98">
        <v>0</v>
      </c>
      <c r="N114" s="99">
        <v>0</v>
      </c>
      <c r="O114" s="98">
        <v>0</v>
      </c>
      <c r="P114" s="99">
        <v>66800</v>
      </c>
      <c r="Q114" s="98">
        <v>6629732.8663999997</v>
      </c>
      <c r="R114" s="96" t="s">
        <v>625</v>
      </c>
      <c r="S114" s="96">
        <v>7414000005</v>
      </c>
      <c r="W114" s="129">
        <v>2000574</v>
      </c>
      <c r="X114" s="130">
        <v>6247804.5492439996</v>
      </c>
      <c r="AA114" s="131" t="s">
        <v>386</v>
      </c>
      <c r="AB114" s="130">
        <v>2323235.6902390001</v>
      </c>
      <c r="AC114" s="130">
        <v>2323235.6902390001</v>
      </c>
    </row>
    <row r="115" spans="1:29" x14ac:dyDescent="0.25">
      <c r="A115" t="str">
        <f t="shared" si="2"/>
        <v xml:space="preserve">1008774GOBFED 240905       </v>
      </c>
      <c r="B115" s="96">
        <v>1008774</v>
      </c>
      <c r="C115" s="96" t="s">
        <v>648</v>
      </c>
      <c r="D115" s="96" t="s">
        <v>379</v>
      </c>
      <c r="E115" s="96" t="s">
        <v>623</v>
      </c>
      <c r="F115" s="96" t="s">
        <v>624</v>
      </c>
      <c r="G115" s="99">
        <v>255470</v>
      </c>
      <c r="H115" s="97">
        <v>88.698122999999995</v>
      </c>
      <c r="I115" s="98">
        <v>22659709.482810002</v>
      </c>
      <c r="J115" s="97">
        <v>88.469977723711978</v>
      </c>
      <c r="K115" s="98">
        <v>58284.273733299997</v>
      </c>
      <c r="L115" s="99">
        <v>0</v>
      </c>
      <c r="M115" s="98">
        <v>0</v>
      </c>
      <c r="N115" s="99">
        <v>0</v>
      </c>
      <c r="O115" s="98">
        <v>0</v>
      </c>
      <c r="P115" s="99">
        <v>255470</v>
      </c>
      <c r="Q115" s="98">
        <v>22659709.482810002</v>
      </c>
      <c r="R115" s="96" t="s">
        <v>625</v>
      </c>
      <c r="S115" s="96">
        <v>7414000005</v>
      </c>
      <c r="W115" s="129">
        <v>2000575</v>
      </c>
      <c r="X115" s="130">
        <v>27603079.142901</v>
      </c>
      <c r="AA115" s="131" t="s">
        <v>363</v>
      </c>
      <c r="AB115" s="130">
        <v>1233046.196616</v>
      </c>
      <c r="AC115" s="130">
        <v>1233046.196616</v>
      </c>
    </row>
    <row r="116" spans="1:29" x14ac:dyDescent="0.25">
      <c r="A116" t="str">
        <f t="shared" si="2"/>
        <v xml:space="preserve">1008774GOBFED 241205       </v>
      </c>
      <c r="B116" s="96">
        <v>1008774</v>
      </c>
      <c r="C116" s="96" t="s">
        <v>648</v>
      </c>
      <c r="D116" s="96" t="s">
        <v>380</v>
      </c>
      <c r="E116" s="96" t="s">
        <v>623</v>
      </c>
      <c r="F116" s="96" t="s">
        <v>624</v>
      </c>
      <c r="G116" s="99">
        <v>172930</v>
      </c>
      <c r="H116" s="97">
        <v>93.314192000000006</v>
      </c>
      <c r="I116" s="98">
        <v>16136823.22256</v>
      </c>
      <c r="J116" s="97">
        <v>93.409382949999994</v>
      </c>
      <c r="K116" s="98">
        <v>-16461.370983500001</v>
      </c>
      <c r="L116" s="99">
        <v>0</v>
      </c>
      <c r="M116" s="98">
        <v>0</v>
      </c>
      <c r="N116" s="99">
        <v>0</v>
      </c>
      <c r="O116" s="98">
        <v>0</v>
      </c>
      <c r="P116" s="99">
        <v>172930</v>
      </c>
      <c r="Q116" s="98">
        <v>16136823.22256</v>
      </c>
      <c r="R116" s="96" t="s">
        <v>625</v>
      </c>
      <c r="S116" s="96">
        <v>7414000005</v>
      </c>
      <c r="W116" s="129">
        <v>2000576</v>
      </c>
      <c r="X116" s="130">
        <v>7847433.3837179998</v>
      </c>
      <c r="AA116" s="131" t="s">
        <v>409</v>
      </c>
      <c r="AB116" s="130">
        <v>1651827.65307</v>
      </c>
      <c r="AC116" s="130">
        <v>1651827.65307</v>
      </c>
    </row>
    <row r="117" spans="1:29" x14ac:dyDescent="0.25">
      <c r="A117" t="str">
        <f t="shared" si="2"/>
        <v xml:space="preserve">1008774GOBFED 270304       </v>
      </c>
      <c r="B117" s="96">
        <v>1008774</v>
      </c>
      <c r="C117" s="96" t="s">
        <v>648</v>
      </c>
      <c r="D117" s="96" t="s">
        <v>389</v>
      </c>
      <c r="E117" s="96" t="s">
        <v>623</v>
      </c>
      <c r="F117" s="96" t="s">
        <v>624</v>
      </c>
      <c r="G117" s="99">
        <v>248346950</v>
      </c>
      <c r="H117" s="97">
        <v>3.3967719999999999</v>
      </c>
      <c r="I117" s="98">
        <v>843577966.04540002</v>
      </c>
      <c r="J117" s="97">
        <v>3.3847077393944236</v>
      </c>
      <c r="K117" s="98">
        <v>2996122.3254</v>
      </c>
      <c r="L117" s="99">
        <v>0</v>
      </c>
      <c r="M117" s="98">
        <v>0</v>
      </c>
      <c r="N117" s="99">
        <v>0</v>
      </c>
      <c r="O117" s="98">
        <v>0</v>
      </c>
      <c r="P117" s="99">
        <v>248346950</v>
      </c>
      <c r="Q117" s="98">
        <v>843577966.04540002</v>
      </c>
      <c r="R117" s="96" t="s">
        <v>625</v>
      </c>
      <c r="S117" s="96">
        <v>7414000005</v>
      </c>
      <c r="W117" s="129">
        <v>2000577</v>
      </c>
      <c r="X117" s="130">
        <v>61534022.634461001</v>
      </c>
      <c r="AA117" s="131" t="s">
        <v>383</v>
      </c>
      <c r="AB117" s="130">
        <v>2114415.54984</v>
      </c>
      <c r="AC117" s="130">
        <v>2114415.54984</v>
      </c>
    </row>
    <row r="118" spans="1:29" x14ac:dyDescent="0.25">
      <c r="A118" t="str">
        <f t="shared" si="2"/>
        <v xml:space="preserve">1008774GOBFED 270603       </v>
      </c>
      <c r="B118" s="96">
        <v>1008774</v>
      </c>
      <c r="C118" s="96" t="s">
        <v>648</v>
      </c>
      <c r="D118" s="96" t="s">
        <v>391</v>
      </c>
      <c r="E118" s="96" t="s">
        <v>623</v>
      </c>
      <c r="F118" s="96" t="s">
        <v>624</v>
      </c>
      <c r="G118" s="99">
        <v>161854</v>
      </c>
      <c r="H118" s="97">
        <v>775.69178699999998</v>
      </c>
      <c r="I118" s="98">
        <v>125548818.49309801</v>
      </c>
      <c r="J118" s="97">
        <v>756.45876883000005</v>
      </c>
      <c r="K118" s="98">
        <v>3112940.92288718</v>
      </c>
      <c r="L118" s="99">
        <v>0</v>
      </c>
      <c r="M118" s="98">
        <v>0</v>
      </c>
      <c r="N118" s="99">
        <v>0</v>
      </c>
      <c r="O118" s="98">
        <v>0</v>
      </c>
      <c r="P118" s="99">
        <v>161854</v>
      </c>
      <c r="Q118" s="98">
        <v>125548818.49309801</v>
      </c>
      <c r="R118" s="96" t="s">
        <v>625</v>
      </c>
      <c r="S118" s="96">
        <v>7414000005</v>
      </c>
      <c r="W118" s="129">
        <v>2000579</v>
      </c>
      <c r="X118" s="130">
        <v>1378422.794304</v>
      </c>
      <c r="AA118" s="131" t="s">
        <v>397</v>
      </c>
      <c r="AB118" s="130">
        <v>447082.07265699998</v>
      </c>
      <c r="AC118" s="130">
        <v>447082.07265699998</v>
      </c>
    </row>
    <row r="119" spans="1:29" x14ac:dyDescent="0.25">
      <c r="A119" t="str">
        <f t="shared" si="2"/>
        <v xml:space="preserve">1008774STERGOB ED          </v>
      </c>
      <c r="B119" s="96">
        <v>1008775</v>
      </c>
      <c r="C119" s="96" t="s">
        <v>650</v>
      </c>
      <c r="D119" s="96" t="s">
        <v>509</v>
      </c>
      <c r="E119" s="96" t="s">
        <v>623</v>
      </c>
      <c r="F119" s="96" t="s">
        <v>624</v>
      </c>
      <c r="G119" s="99">
        <v>0</v>
      </c>
      <c r="H119" s="97">
        <v>0</v>
      </c>
      <c r="I119" s="98">
        <v>0</v>
      </c>
      <c r="J119" s="97">
        <v>0</v>
      </c>
      <c r="K119" s="98">
        <v>0</v>
      </c>
      <c r="L119" s="99">
        <v>0</v>
      </c>
      <c r="M119" s="98">
        <v>0</v>
      </c>
      <c r="N119" s="99">
        <v>0</v>
      </c>
      <c r="O119" s="98">
        <v>0</v>
      </c>
      <c r="P119" s="99">
        <v>0</v>
      </c>
      <c r="Q119" s="98">
        <v>0</v>
      </c>
      <c r="R119" s="96" t="s">
        <v>625</v>
      </c>
      <c r="S119" s="96">
        <v>7414000005</v>
      </c>
      <c r="W119" s="129">
        <v>2000581</v>
      </c>
      <c r="X119" s="130">
        <v>25028863.381446</v>
      </c>
      <c r="AA119" s="131" t="s">
        <v>499</v>
      </c>
      <c r="AB119" s="130">
        <v>501024.77117000002</v>
      </c>
      <c r="AC119" s="130">
        <v>501024.77117000002</v>
      </c>
    </row>
    <row r="120" spans="1:29" x14ac:dyDescent="0.25">
      <c r="A120" t="str">
        <f t="shared" si="2"/>
        <v xml:space="preserve">1008774UDIBONO 251204      </v>
      </c>
      <c r="B120" s="96">
        <v>1008775</v>
      </c>
      <c r="C120" s="96" t="s">
        <v>650</v>
      </c>
      <c r="D120" s="96" t="s">
        <v>649</v>
      </c>
      <c r="E120" s="96" t="s">
        <v>623</v>
      </c>
      <c r="F120" s="96" t="s">
        <v>624</v>
      </c>
      <c r="G120" s="99">
        <v>19990</v>
      </c>
      <c r="H120" s="97">
        <v>9.0112480000000001</v>
      </c>
      <c r="I120" s="98">
        <v>180134.84752000001</v>
      </c>
      <c r="J120" s="97">
        <v>8.9969798000000001</v>
      </c>
      <c r="K120" s="98">
        <v>285.221318</v>
      </c>
      <c r="L120" s="99">
        <v>0</v>
      </c>
      <c r="M120" s="98">
        <v>0</v>
      </c>
      <c r="N120" s="99">
        <v>0</v>
      </c>
      <c r="O120" s="98">
        <v>0</v>
      </c>
      <c r="P120" s="99">
        <v>19990</v>
      </c>
      <c r="Q120" s="98">
        <v>180134.84752000001</v>
      </c>
      <c r="R120" s="96" t="s">
        <v>625</v>
      </c>
      <c r="S120" s="96">
        <v>7414000005</v>
      </c>
      <c r="W120" s="129">
        <v>2000597</v>
      </c>
      <c r="X120" s="130">
        <v>23370.467639999999</v>
      </c>
      <c r="AA120" s="131" t="s">
        <v>507</v>
      </c>
      <c r="AB120" s="130">
        <v>892671.82088000001</v>
      </c>
      <c r="AC120" s="130">
        <v>892671.82088000001</v>
      </c>
    </row>
    <row r="121" spans="1:29" x14ac:dyDescent="0.25">
      <c r="A121" t="str">
        <f t="shared" si="2"/>
        <v xml:space="preserve">1008775BONDESF 240815      </v>
      </c>
      <c r="B121" s="96">
        <v>1008775</v>
      </c>
      <c r="C121" s="96" t="s">
        <v>650</v>
      </c>
      <c r="D121" s="96" t="s">
        <v>554</v>
      </c>
      <c r="E121" s="96" t="s">
        <v>623</v>
      </c>
      <c r="F121" s="96" t="s">
        <v>624</v>
      </c>
      <c r="G121" s="99">
        <v>521630</v>
      </c>
      <c r="H121" s="97">
        <v>8.3813510000000004</v>
      </c>
      <c r="I121" s="98">
        <v>4371964.12213</v>
      </c>
      <c r="J121" s="97">
        <v>8.2920811269821524</v>
      </c>
      <c r="K121" s="98">
        <v>46565.843862299997</v>
      </c>
      <c r="L121" s="99">
        <v>0</v>
      </c>
      <c r="M121" s="98">
        <v>0</v>
      </c>
      <c r="N121" s="99">
        <v>0</v>
      </c>
      <c r="O121" s="98">
        <v>0</v>
      </c>
      <c r="P121" s="99">
        <v>521630</v>
      </c>
      <c r="Q121" s="98">
        <v>4371964.12213</v>
      </c>
      <c r="R121" s="96" t="s">
        <v>625</v>
      </c>
      <c r="S121" s="96">
        <v>7414000005</v>
      </c>
      <c r="W121" s="129">
        <v>2000722</v>
      </c>
      <c r="X121" s="130">
        <v>4504921.8844280001</v>
      </c>
      <c r="AA121" s="129">
        <v>1015474</v>
      </c>
      <c r="AB121" s="130">
        <v>44656354.053151004</v>
      </c>
      <c r="AC121" s="130">
        <v>44656354.053151004</v>
      </c>
    </row>
    <row r="122" spans="1:29" x14ac:dyDescent="0.25">
      <c r="A122" t="str">
        <f t="shared" si="2"/>
        <v xml:space="preserve">1008775CETES 250403        </v>
      </c>
      <c r="B122" s="96">
        <v>1008775</v>
      </c>
      <c r="C122" s="96" t="s">
        <v>650</v>
      </c>
      <c r="D122" s="96" t="s">
        <v>613</v>
      </c>
      <c r="E122" s="96" t="s">
        <v>623</v>
      </c>
      <c r="F122" s="96" t="s">
        <v>624</v>
      </c>
      <c r="G122" s="99">
        <v>36960</v>
      </c>
      <c r="H122" s="97">
        <v>8.2580650000000002</v>
      </c>
      <c r="I122" s="98">
        <v>305218.08240000001</v>
      </c>
      <c r="J122" s="97">
        <v>8.2501711100000001</v>
      </c>
      <c r="K122" s="98">
        <v>291.75817439999997</v>
      </c>
      <c r="L122" s="99">
        <v>0</v>
      </c>
      <c r="M122" s="98">
        <v>0</v>
      </c>
      <c r="N122" s="99">
        <v>0</v>
      </c>
      <c r="O122" s="98">
        <v>0</v>
      </c>
      <c r="P122" s="99">
        <v>36960</v>
      </c>
      <c r="Q122" s="98">
        <v>305218.08240000001</v>
      </c>
      <c r="R122" s="96" t="s">
        <v>625</v>
      </c>
      <c r="S122" s="96">
        <v>7414000005</v>
      </c>
      <c r="W122" s="129">
        <v>2000724</v>
      </c>
      <c r="X122" s="130">
        <v>3870182.2995600002</v>
      </c>
      <c r="AA122" s="131" t="s">
        <v>376</v>
      </c>
      <c r="AB122" s="130">
        <v>786933.41164199996</v>
      </c>
      <c r="AC122" s="130">
        <v>786933.41164199996</v>
      </c>
    </row>
    <row r="123" spans="1:29" x14ac:dyDescent="0.25">
      <c r="A123" t="str">
        <f t="shared" si="2"/>
        <v xml:space="preserve">1008775CETES 251224        </v>
      </c>
      <c r="B123" s="96">
        <v>1008775</v>
      </c>
      <c r="C123" s="96" t="s">
        <v>650</v>
      </c>
      <c r="D123" s="96" t="s">
        <v>389</v>
      </c>
      <c r="E123" s="96" t="s">
        <v>623</v>
      </c>
      <c r="F123" s="96" t="s">
        <v>624</v>
      </c>
      <c r="G123" s="99">
        <v>2807448</v>
      </c>
      <c r="H123" s="97">
        <v>3.3967719999999999</v>
      </c>
      <c r="I123" s="98">
        <v>9536260.7578560002</v>
      </c>
      <c r="J123" s="97">
        <v>3.3352992361746328</v>
      </c>
      <c r="K123" s="98">
        <v>172581.587856</v>
      </c>
      <c r="L123" s="99">
        <v>0</v>
      </c>
      <c r="M123" s="98">
        <v>0</v>
      </c>
      <c r="N123" s="99">
        <v>0</v>
      </c>
      <c r="O123" s="98">
        <v>0</v>
      </c>
      <c r="P123" s="99">
        <v>2807448</v>
      </c>
      <c r="Q123" s="98">
        <v>9536260.7578560002</v>
      </c>
      <c r="R123" s="96" t="s">
        <v>625</v>
      </c>
      <c r="S123" s="96">
        <v>7414000005</v>
      </c>
      <c r="W123" s="129">
        <v>2000725</v>
      </c>
      <c r="X123" s="130">
        <v>149.865996</v>
      </c>
      <c r="AA123" s="131" t="s">
        <v>378</v>
      </c>
      <c r="AB123" s="130">
        <v>813327.70402900001</v>
      </c>
      <c r="AC123" s="130">
        <v>813327.70402900001</v>
      </c>
    </row>
    <row r="124" spans="1:29" x14ac:dyDescent="0.25">
      <c r="A124" t="str">
        <f t="shared" si="2"/>
        <v xml:space="preserve">1008775CETES 260219        </v>
      </c>
      <c r="B124" s="96">
        <v>1008776</v>
      </c>
      <c r="C124" s="96" t="s">
        <v>651</v>
      </c>
      <c r="D124" s="96" t="s">
        <v>509</v>
      </c>
      <c r="E124" s="96" t="s">
        <v>623</v>
      </c>
      <c r="F124" s="96" t="s">
        <v>624</v>
      </c>
      <c r="G124" s="99">
        <v>143950</v>
      </c>
      <c r="H124" s="97">
        <v>99.968271000000001</v>
      </c>
      <c r="I124" s="98">
        <v>14390432.61045</v>
      </c>
      <c r="J124" s="97">
        <v>99.903049999999993</v>
      </c>
      <c r="K124" s="98">
        <v>9388.5629499999995</v>
      </c>
      <c r="L124" s="99">
        <v>0</v>
      </c>
      <c r="M124" s="98">
        <v>0</v>
      </c>
      <c r="N124" s="99">
        <v>0</v>
      </c>
      <c r="O124" s="98">
        <v>0</v>
      </c>
      <c r="P124" s="99">
        <v>143950</v>
      </c>
      <c r="Q124" s="98">
        <v>14390432.61045</v>
      </c>
      <c r="R124" s="96" t="s">
        <v>625</v>
      </c>
      <c r="S124" s="96">
        <v>7414000005</v>
      </c>
      <c r="W124" s="129">
        <v>2000730</v>
      </c>
      <c r="X124" s="130">
        <v>4910789.4843149995</v>
      </c>
      <c r="AA124" s="131" t="s">
        <v>380</v>
      </c>
      <c r="AB124" s="130">
        <v>815566.03807999997</v>
      </c>
      <c r="AC124" s="130">
        <v>815566.03807999997</v>
      </c>
    </row>
    <row r="125" spans="1:29" x14ac:dyDescent="0.25">
      <c r="A125" t="str">
        <f t="shared" si="2"/>
        <v xml:space="preserve">1008775STERGOB ED          </v>
      </c>
      <c r="B125" s="96">
        <v>1008776</v>
      </c>
      <c r="C125" s="96" t="s">
        <v>651</v>
      </c>
      <c r="D125" s="96" t="s">
        <v>409</v>
      </c>
      <c r="E125" s="96" t="s">
        <v>623</v>
      </c>
      <c r="F125" s="96" t="s">
        <v>624</v>
      </c>
      <c r="G125" s="99">
        <v>801955</v>
      </c>
      <c r="H125" s="97">
        <v>9.3381629999999998</v>
      </c>
      <c r="I125" s="98">
        <v>7488786.5086650001</v>
      </c>
      <c r="J125" s="97">
        <v>8.3235147061734889</v>
      </c>
      <c r="K125" s="98">
        <v>813702.27247564006</v>
      </c>
      <c r="L125" s="99">
        <v>0</v>
      </c>
      <c r="M125" s="98">
        <v>0</v>
      </c>
      <c r="N125" s="99">
        <v>0</v>
      </c>
      <c r="O125" s="98">
        <v>0</v>
      </c>
      <c r="P125" s="99">
        <v>801955</v>
      </c>
      <c r="Q125" s="98">
        <v>7488786.5086650001</v>
      </c>
      <c r="R125" s="96" t="s">
        <v>625</v>
      </c>
      <c r="S125" s="96">
        <v>7414000005</v>
      </c>
      <c r="W125" s="129">
        <v>2000739</v>
      </c>
      <c r="X125" s="130">
        <v>7517299.0370639991</v>
      </c>
      <c r="AA125" s="131" t="s">
        <v>382</v>
      </c>
      <c r="AB125" s="130">
        <v>759049.64213000005</v>
      </c>
      <c r="AC125" s="130">
        <v>759049.64213000005</v>
      </c>
    </row>
    <row r="126" spans="1:29" x14ac:dyDescent="0.25">
      <c r="A126" t="str">
        <f t="shared" si="2"/>
        <v xml:space="preserve">1008776BONDESF 240815      </v>
      </c>
      <c r="B126" s="96">
        <v>1008776</v>
      </c>
      <c r="C126" s="96" t="s">
        <v>651</v>
      </c>
      <c r="D126" s="96" t="s">
        <v>364</v>
      </c>
      <c r="E126" s="96" t="s">
        <v>623</v>
      </c>
      <c r="F126" s="96" t="s">
        <v>624</v>
      </c>
      <c r="G126" s="99">
        <v>472120</v>
      </c>
      <c r="H126" s="97">
        <v>9.190137</v>
      </c>
      <c r="I126" s="98">
        <v>4338847.4804400001</v>
      </c>
      <c r="J126" s="97">
        <v>8.2038586961442004</v>
      </c>
      <c r="K126" s="98">
        <v>465641.71281639999</v>
      </c>
      <c r="L126" s="99">
        <v>0</v>
      </c>
      <c r="M126" s="98">
        <v>0</v>
      </c>
      <c r="N126" s="99">
        <v>0</v>
      </c>
      <c r="O126" s="98">
        <v>0</v>
      </c>
      <c r="P126" s="99">
        <v>472120</v>
      </c>
      <c r="Q126" s="98">
        <v>4338847.4804400001</v>
      </c>
      <c r="R126" s="96" t="s">
        <v>625</v>
      </c>
      <c r="S126" s="96">
        <v>7414000005</v>
      </c>
      <c r="W126" s="129">
        <v>2000776</v>
      </c>
      <c r="X126" s="130">
        <v>15392383.193598</v>
      </c>
      <c r="AA126" s="131" t="s">
        <v>427</v>
      </c>
      <c r="AB126" s="130">
        <v>1815337.617876</v>
      </c>
      <c r="AC126" s="130">
        <v>1815337.617876</v>
      </c>
    </row>
    <row r="127" spans="1:29" x14ac:dyDescent="0.25">
      <c r="A127" t="str">
        <f t="shared" si="2"/>
        <v xml:space="preserve">1008776CETES 241128        </v>
      </c>
      <c r="B127" s="96">
        <v>1008776</v>
      </c>
      <c r="C127" s="96" t="s">
        <v>651</v>
      </c>
      <c r="D127" s="96" t="s">
        <v>649</v>
      </c>
      <c r="E127" s="96" t="s">
        <v>623</v>
      </c>
      <c r="F127" s="96" t="s">
        <v>624</v>
      </c>
      <c r="G127" s="99">
        <v>131150</v>
      </c>
      <c r="H127" s="97">
        <v>9.0112480000000001</v>
      </c>
      <c r="I127" s="98">
        <v>1181825.1751999999</v>
      </c>
      <c r="J127" s="97">
        <v>8.9969798000000001</v>
      </c>
      <c r="K127" s="98">
        <v>1871.2744299999999</v>
      </c>
      <c r="L127" s="99">
        <v>0</v>
      </c>
      <c r="M127" s="98">
        <v>0</v>
      </c>
      <c r="N127" s="99">
        <v>0</v>
      </c>
      <c r="O127" s="98">
        <v>0</v>
      </c>
      <c r="P127" s="99">
        <v>131150</v>
      </c>
      <c r="Q127" s="98">
        <v>1181825.1751999999</v>
      </c>
      <c r="R127" s="96" t="s">
        <v>625</v>
      </c>
      <c r="S127" s="96">
        <v>7414000005</v>
      </c>
      <c r="W127" s="129">
        <v>2000777</v>
      </c>
      <c r="X127" s="130">
        <v>2272996.151904</v>
      </c>
      <c r="AA127" s="131" t="s">
        <v>418</v>
      </c>
      <c r="AB127" s="130">
        <v>74972.263873999997</v>
      </c>
      <c r="AC127" s="130">
        <v>74972.263873999997</v>
      </c>
    </row>
    <row r="128" spans="1:29" x14ac:dyDescent="0.25">
      <c r="A128" t="str">
        <f t="shared" si="2"/>
        <v xml:space="preserve">1008776CETES 250123        </v>
      </c>
      <c r="B128" s="96">
        <v>1008776</v>
      </c>
      <c r="C128" s="96" t="s">
        <v>651</v>
      </c>
      <c r="D128" s="96" t="s">
        <v>554</v>
      </c>
      <c r="E128" s="96" t="s">
        <v>623</v>
      </c>
      <c r="F128" s="96" t="s">
        <v>624</v>
      </c>
      <c r="G128" s="99">
        <v>653750</v>
      </c>
      <c r="H128" s="97">
        <v>8.3813510000000004</v>
      </c>
      <c r="I128" s="98">
        <v>5479308.2162499996</v>
      </c>
      <c r="J128" s="97">
        <v>8.2905059257552587</v>
      </c>
      <c r="K128" s="98">
        <v>59389.967287500003</v>
      </c>
      <c r="L128" s="99">
        <v>0</v>
      </c>
      <c r="M128" s="98">
        <v>0</v>
      </c>
      <c r="N128" s="99">
        <v>0</v>
      </c>
      <c r="O128" s="98">
        <v>0</v>
      </c>
      <c r="P128" s="99">
        <v>653750</v>
      </c>
      <c r="Q128" s="98">
        <v>5479308.2162499996</v>
      </c>
      <c r="R128" s="96" t="s">
        <v>625</v>
      </c>
      <c r="S128" s="96">
        <v>7414000005</v>
      </c>
      <c r="W128" s="129">
        <v>2000778</v>
      </c>
      <c r="X128" s="130">
        <v>12211224.0836</v>
      </c>
      <c r="AA128" s="131" t="s">
        <v>408</v>
      </c>
      <c r="AB128" s="130">
        <v>56833.771048000002</v>
      </c>
      <c r="AC128" s="130">
        <v>56833.771048000002</v>
      </c>
    </row>
    <row r="129" spans="1:29" x14ac:dyDescent="0.25">
      <c r="A129" t="str">
        <f t="shared" si="2"/>
        <v xml:space="preserve">1008776CETES 250403        </v>
      </c>
      <c r="B129" s="96">
        <v>1008776</v>
      </c>
      <c r="C129" s="96" t="s">
        <v>651</v>
      </c>
      <c r="D129" s="96" t="s">
        <v>613</v>
      </c>
      <c r="E129" s="96" t="s">
        <v>623</v>
      </c>
      <c r="F129" s="96" t="s">
        <v>624</v>
      </c>
      <c r="G129" s="99">
        <v>2051710</v>
      </c>
      <c r="H129" s="97">
        <v>8.2580650000000002</v>
      </c>
      <c r="I129" s="98">
        <v>16943154.54115</v>
      </c>
      <c r="J129" s="97">
        <v>8.2227828533750387</v>
      </c>
      <c r="K129" s="98">
        <v>72388.733051899995</v>
      </c>
      <c r="L129" s="99">
        <v>0</v>
      </c>
      <c r="M129" s="98">
        <v>0</v>
      </c>
      <c r="N129" s="99">
        <v>0</v>
      </c>
      <c r="O129" s="98">
        <v>0</v>
      </c>
      <c r="P129" s="99">
        <v>2051710</v>
      </c>
      <c r="Q129" s="98">
        <v>16943154.54115</v>
      </c>
      <c r="R129" s="96" t="s">
        <v>625</v>
      </c>
      <c r="S129" s="96">
        <v>7414000005</v>
      </c>
      <c r="W129" s="129">
        <v>2000791</v>
      </c>
      <c r="X129" s="130">
        <v>40064343.441101998</v>
      </c>
      <c r="AA129" s="131" t="s">
        <v>384</v>
      </c>
      <c r="AB129" s="130">
        <v>1248234.13106</v>
      </c>
      <c r="AC129" s="130">
        <v>1248234.13106</v>
      </c>
    </row>
    <row r="130" spans="1:29" x14ac:dyDescent="0.25">
      <c r="A130" t="str">
        <f t="shared" si="2"/>
        <v xml:space="preserve">1008776CETES 251224        </v>
      </c>
      <c r="B130" s="96">
        <v>1008776</v>
      </c>
      <c r="C130" s="96" t="s">
        <v>651</v>
      </c>
      <c r="D130" s="96" t="s">
        <v>375</v>
      </c>
      <c r="E130" s="96" t="s">
        <v>623</v>
      </c>
      <c r="F130" s="96" t="s">
        <v>624</v>
      </c>
      <c r="G130" s="99">
        <v>2729</v>
      </c>
      <c r="H130" s="97">
        <v>98.730349000000004</v>
      </c>
      <c r="I130" s="98">
        <v>269435.12242099998</v>
      </c>
      <c r="J130" s="97">
        <v>102.23717001</v>
      </c>
      <c r="K130" s="98">
        <v>-9570.1145362900006</v>
      </c>
      <c r="L130" s="99">
        <v>0</v>
      </c>
      <c r="M130" s="98">
        <v>0</v>
      </c>
      <c r="N130" s="99">
        <v>0</v>
      </c>
      <c r="O130" s="98">
        <v>0</v>
      </c>
      <c r="P130" s="99">
        <v>2729</v>
      </c>
      <c r="Q130" s="98">
        <v>269435.12242099998</v>
      </c>
      <c r="R130" s="96" t="s">
        <v>625</v>
      </c>
      <c r="S130" s="96">
        <v>7414000005</v>
      </c>
      <c r="W130" s="129">
        <v>2000795</v>
      </c>
      <c r="X130" s="130">
        <v>163015917.77690703</v>
      </c>
      <c r="AA130" s="131" t="s">
        <v>389</v>
      </c>
      <c r="AB130" s="130">
        <v>3487679.8090360002</v>
      </c>
      <c r="AC130" s="130">
        <v>3487679.8090360002</v>
      </c>
    </row>
    <row r="131" spans="1:29" x14ac:dyDescent="0.25">
      <c r="A131" t="str">
        <f t="shared" si="2"/>
        <v xml:space="preserve">1008776CETES 260219        </v>
      </c>
      <c r="B131" s="96">
        <v>1008776</v>
      </c>
      <c r="C131" s="96" t="s">
        <v>651</v>
      </c>
      <c r="D131" s="96" t="s">
        <v>376</v>
      </c>
      <c r="E131" s="96" t="s">
        <v>623</v>
      </c>
      <c r="F131" s="96" t="s">
        <v>624</v>
      </c>
      <c r="G131" s="99">
        <v>30</v>
      </c>
      <c r="H131" s="97">
        <v>99.247497999999993</v>
      </c>
      <c r="I131" s="98">
        <v>2977.4249399999999</v>
      </c>
      <c r="J131" s="97">
        <v>101.04285588</v>
      </c>
      <c r="K131" s="98">
        <v>-53.8607364</v>
      </c>
      <c r="L131" s="99">
        <v>0</v>
      </c>
      <c r="M131" s="98">
        <v>0</v>
      </c>
      <c r="N131" s="99">
        <v>0</v>
      </c>
      <c r="O131" s="98">
        <v>0</v>
      </c>
      <c r="P131" s="99">
        <v>30</v>
      </c>
      <c r="Q131" s="98">
        <v>2977.4249399999999</v>
      </c>
      <c r="R131" s="96" t="s">
        <v>625</v>
      </c>
      <c r="S131" s="96">
        <v>7414000005</v>
      </c>
      <c r="W131" s="129">
        <v>2000905</v>
      </c>
      <c r="X131" s="130">
        <v>570670743.00125206</v>
      </c>
      <c r="AA131" s="131" t="s">
        <v>391</v>
      </c>
      <c r="AB131" s="130">
        <v>1535094.046473</v>
      </c>
      <c r="AC131" s="130">
        <v>1535094.046473</v>
      </c>
    </row>
    <row r="132" spans="1:29" x14ac:dyDescent="0.25">
      <c r="A132" t="str">
        <f t="shared" si="2"/>
        <v xml:space="preserve">1008776GOBFED 240905       </v>
      </c>
      <c r="B132" s="96">
        <v>1008776</v>
      </c>
      <c r="C132" s="96" t="s">
        <v>651</v>
      </c>
      <c r="D132" s="96" t="s">
        <v>379</v>
      </c>
      <c r="E132" s="96" t="s">
        <v>623</v>
      </c>
      <c r="F132" s="96" t="s">
        <v>624</v>
      </c>
      <c r="G132" s="99">
        <v>45561</v>
      </c>
      <c r="H132" s="97">
        <v>88.698122999999995</v>
      </c>
      <c r="I132" s="98">
        <v>4041175.1820029998</v>
      </c>
      <c r="J132" s="97">
        <v>88.216911397561731</v>
      </c>
      <c r="K132" s="98">
        <v>21924.481818690001</v>
      </c>
      <c r="L132" s="99">
        <v>0</v>
      </c>
      <c r="M132" s="98">
        <v>0</v>
      </c>
      <c r="N132" s="99">
        <v>0</v>
      </c>
      <c r="O132" s="98">
        <v>0</v>
      </c>
      <c r="P132" s="99">
        <v>45561</v>
      </c>
      <c r="Q132" s="98">
        <v>4041175.1820029998</v>
      </c>
      <c r="R132" s="96" t="s">
        <v>625</v>
      </c>
      <c r="S132" s="96">
        <v>7414000005</v>
      </c>
      <c r="W132" s="129">
        <v>2000926</v>
      </c>
      <c r="X132" s="130">
        <v>36862014.311584003</v>
      </c>
      <c r="AA132" s="131" t="s">
        <v>395</v>
      </c>
      <c r="AB132" s="130">
        <v>799979.40877500002</v>
      </c>
      <c r="AC132" s="130">
        <v>799979.40877500002</v>
      </c>
    </row>
    <row r="133" spans="1:29" x14ac:dyDescent="0.25">
      <c r="A133" t="str">
        <f t="shared" si="2"/>
        <v xml:space="preserve">1008776GOBFED 241205       </v>
      </c>
      <c r="B133" s="96">
        <v>1008776</v>
      </c>
      <c r="C133" s="96" t="s">
        <v>651</v>
      </c>
      <c r="D133" s="96" t="s">
        <v>380</v>
      </c>
      <c r="E133" s="96" t="s">
        <v>623</v>
      </c>
      <c r="F133" s="96" t="s">
        <v>624</v>
      </c>
      <c r="G133" s="99">
        <v>10550</v>
      </c>
      <c r="H133" s="97">
        <v>93.314192000000006</v>
      </c>
      <c r="I133" s="98">
        <v>984464.72560000001</v>
      </c>
      <c r="J133" s="97">
        <v>93.409382949999994</v>
      </c>
      <c r="K133" s="98">
        <v>-1004.2645225</v>
      </c>
      <c r="L133" s="99">
        <v>0</v>
      </c>
      <c r="M133" s="98">
        <v>0</v>
      </c>
      <c r="N133" s="99">
        <v>0</v>
      </c>
      <c r="O133" s="98">
        <v>0</v>
      </c>
      <c r="P133" s="99">
        <v>10550</v>
      </c>
      <c r="Q133" s="98">
        <v>984464.72560000001</v>
      </c>
      <c r="R133" s="96" t="s">
        <v>625</v>
      </c>
      <c r="S133" s="96">
        <v>7414000005</v>
      </c>
      <c r="W133" s="129">
        <v>2000927</v>
      </c>
      <c r="X133" s="130">
        <v>43142832.562044002</v>
      </c>
      <c r="AA133" s="131" t="s">
        <v>396</v>
      </c>
      <c r="AB133" s="130">
        <v>810350.78072000004</v>
      </c>
      <c r="AC133" s="130">
        <v>810350.78072000004</v>
      </c>
    </row>
    <row r="134" spans="1:29" x14ac:dyDescent="0.25">
      <c r="A134" t="str">
        <f t="shared" si="2"/>
        <v xml:space="preserve">1008776GOBFED 270304       </v>
      </c>
      <c r="B134" s="96">
        <v>1008776</v>
      </c>
      <c r="C134" s="96" t="s">
        <v>651</v>
      </c>
      <c r="D134" s="96" t="s">
        <v>389</v>
      </c>
      <c r="E134" s="96" t="s">
        <v>623</v>
      </c>
      <c r="F134" s="96" t="s">
        <v>624</v>
      </c>
      <c r="G134" s="99">
        <v>8085105</v>
      </c>
      <c r="H134" s="97">
        <v>3.3967719999999999</v>
      </c>
      <c r="I134" s="98">
        <v>27463258.281059999</v>
      </c>
      <c r="J134" s="97">
        <v>3.3456055808799019</v>
      </c>
      <c r="K134" s="98">
        <v>413685.87105999998</v>
      </c>
      <c r="L134" s="99">
        <v>0</v>
      </c>
      <c r="M134" s="98">
        <v>0</v>
      </c>
      <c r="N134" s="99">
        <v>0</v>
      </c>
      <c r="O134" s="98">
        <v>0</v>
      </c>
      <c r="P134" s="99">
        <v>8085105</v>
      </c>
      <c r="Q134" s="98">
        <v>27463258.281059999</v>
      </c>
      <c r="R134" s="96" t="s">
        <v>625</v>
      </c>
      <c r="S134" s="96">
        <v>7414000005</v>
      </c>
      <c r="W134" s="129">
        <v>2000928</v>
      </c>
      <c r="X134" s="130">
        <v>37093456.768576004</v>
      </c>
      <c r="AA134" s="131" t="s">
        <v>398</v>
      </c>
      <c r="AB134" s="130">
        <v>1061217.1325360001</v>
      </c>
      <c r="AC134" s="130">
        <v>1061217.1325360001</v>
      </c>
    </row>
    <row r="135" spans="1:29" x14ac:dyDescent="0.25">
      <c r="A135" t="str">
        <f t="shared" ref="A135:A198" si="3">B133&amp;D133</f>
        <v xml:space="preserve">1008776GOBFED 270603       </v>
      </c>
      <c r="B135" s="96">
        <v>1008776</v>
      </c>
      <c r="C135" s="96" t="s">
        <v>651</v>
      </c>
      <c r="D135" s="96" t="s">
        <v>390</v>
      </c>
      <c r="E135" s="96" t="s">
        <v>623</v>
      </c>
      <c r="F135" s="96" t="s">
        <v>624</v>
      </c>
      <c r="G135" s="99">
        <v>0</v>
      </c>
      <c r="H135" s="97">
        <v>0</v>
      </c>
      <c r="I135" s="98">
        <v>0</v>
      </c>
      <c r="J135" s="97">
        <v>0</v>
      </c>
      <c r="K135" s="98">
        <v>0</v>
      </c>
      <c r="L135" s="99">
        <v>0</v>
      </c>
      <c r="M135" s="98">
        <v>0</v>
      </c>
      <c r="N135" s="99">
        <v>0</v>
      </c>
      <c r="O135" s="98">
        <v>0</v>
      </c>
      <c r="P135" s="99">
        <v>0</v>
      </c>
      <c r="Q135" s="98">
        <v>0</v>
      </c>
      <c r="R135" s="96" t="s">
        <v>625</v>
      </c>
      <c r="S135" s="96">
        <v>7414000005</v>
      </c>
      <c r="W135" s="129">
        <v>2111039</v>
      </c>
      <c r="X135" s="130">
        <v>6665838.0849029999</v>
      </c>
      <c r="AA135" s="131" t="s">
        <v>381</v>
      </c>
      <c r="AB135" s="130">
        <v>2102702.1597480001</v>
      </c>
      <c r="AC135" s="130">
        <v>2102702.1597480001</v>
      </c>
    </row>
    <row r="136" spans="1:29" x14ac:dyDescent="0.25">
      <c r="A136" t="str">
        <f t="shared" si="3"/>
        <v xml:space="preserve">1008776STERGOB ED          </v>
      </c>
      <c r="B136" s="96">
        <v>1008776</v>
      </c>
      <c r="C136" s="96" t="s">
        <v>651</v>
      </c>
      <c r="D136" s="96" t="s">
        <v>391</v>
      </c>
      <c r="E136" s="96" t="s">
        <v>623</v>
      </c>
      <c r="F136" s="96" t="s">
        <v>624</v>
      </c>
      <c r="G136" s="99">
        <v>9642</v>
      </c>
      <c r="H136" s="97">
        <v>775.69178699999998</v>
      </c>
      <c r="I136" s="98">
        <v>7479220.2102539996</v>
      </c>
      <c r="J136" s="97">
        <v>753.50427907000005</v>
      </c>
      <c r="K136" s="98">
        <v>213931.95146106</v>
      </c>
      <c r="L136" s="99">
        <v>0</v>
      </c>
      <c r="M136" s="98">
        <v>0</v>
      </c>
      <c r="N136" s="99">
        <v>0</v>
      </c>
      <c r="O136" s="98">
        <v>0</v>
      </c>
      <c r="P136" s="99">
        <v>9642</v>
      </c>
      <c r="Q136" s="98">
        <v>7479220.2102539996</v>
      </c>
      <c r="R136" s="96" t="s">
        <v>625</v>
      </c>
      <c r="S136" s="96">
        <v>7414000005</v>
      </c>
      <c r="W136" s="129">
        <v>2111047</v>
      </c>
      <c r="X136" s="130">
        <v>260590489.55682489</v>
      </c>
      <c r="AA136" s="131" t="s">
        <v>430</v>
      </c>
      <c r="AB136" s="130">
        <v>11247054.758400001</v>
      </c>
      <c r="AC136" s="130">
        <v>11247054.758400001</v>
      </c>
    </row>
    <row r="137" spans="1:29" x14ac:dyDescent="0.25">
      <c r="A137" t="str">
        <f t="shared" si="3"/>
        <v xml:space="preserve">1008776UDIBONO 231116      </v>
      </c>
      <c r="B137" s="96">
        <v>1010322</v>
      </c>
      <c r="C137" s="96" t="s">
        <v>652</v>
      </c>
      <c r="D137" s="96" t="s">
        <v>366</v>
      </c>
      <c r="E137" s="96" t="s">
        <v>623</v>
      </c>
      <c r="F137" s="96" t="s">
        <v>624</v>
      </c>
      <c r="G137" s="99">
        <v>0</v>
      </c>
      <c r="H137" s="97">
        <v>0</v>
      </c>
      <c r="I137" s="98">
        <v>27265.21</v>
      </c>
      <c r="J137" s="97">
        <v>0</v>
      </c>
      <c r="K137" s="98">
        <v>0</v>
      </c>
      <c r="L137" s="99">
        <v>0</v>
      </c>
      <c r="M137" s="98">
        <v>0</v>
      </c>
      <c r="N137" s="99">
        <v>0</v>
      </c>
      <c r="O137" s="98">
        <v>0</v>
      </c>
      <c r="P137" s="99">
        <v>0</v>
      </c>
      <c r="Q137" s="98">
        <v>27265.21</v>
      </c>
      <c r="R137" s="96" t="s">
        <v>625</v>
      </c>
      <c r="S137" s="96">
        <v>7414000005</v>
      </c>
      <c r="W137" s="129">
        <v>2141256</v>
      </c>
      <c r="X137" s="130">
        <v>190160.83861199999</v>
      </c>
      <c r="AA137" s="131" t="s">
        <v>393</v>
      </c>
      <c r="AB137" s="130">
        <v>770519.42629800003</v>
      </c>
      <c r="AC137" s="130">
        <v>770519.42629800003</v>
      </c>
    </row>
    <row r="138" spans="1:29" x14ac:dyDescent="0.25">
      <c r="A138" t="str">
        <f t="shared" si="3"/>
        <v xml:space="preserve">1008776UDIBONO 251204      </v>
      </c>
      <c r="B138" s="96">
        <v>1010401</v>
      </c>
      <c r="C138" s="96" t="s">
        <v>653</v>
      </c>
      <c r="D138" s="96" t="s">
        <v>473</v>
      </c>
      <c r="E138" s="96" t="s">
        <v>623</v>
      </c>
      <c r="F138" s="96" t="s">
        <v>624</v>
      </c>
      <c r="G138" s="99">
        <v>14805927</v>
      </c>
      <c r="H138" s="97">
        <v>3.568238</v>
      </c>
      <c r="I138" s="98">
        <v>52831071.346625999</v>
      </c>
      <c r="J138" s="97">
        <v>3.4960300695795676</v>
      </c>
      <c r="K138" s="98">
        <v>1069105.346626</v>
      </c>
      <c r="L138" s="99">
        <v>0</v>
      </c>
      <c r="M138" s="98">
        <v>0</v>
      </c>
      <c r="N138" s="99">
        <v>0</v>
      </c>
      <c r="O138" s="98">
        <v>0</v>
      </c>
      <c r="P138" s="99">
        <v>14805927</v>
      </c>
      <c r="Q138" s="98">
        <v>52831071.346625999</v>
      </c>
      <c r="R138" s="96" t="s">
        <v>625</v>
      </c>
      <c r="S138" s="96">
        <v>7414000005</v>
      </c>
      <c r="W138" s="129">
        <v>2141264</v>
      </c>
      <c r="X138" s="130">
        <v>173770677.50929105</v>
      </c>
      <c r="AA138" s="131" t="s">
        <v>385</v>
      </c>
      <c r="AB138" s="130">
        <v>295279.50078900001</v>
      </c>
      <c r="AC138" s="130">
        <v>295279.50078900001</v>
      </c>
    </row>
    <row r="139" spans="1:29" x14ac:dyDescent="0.25">
      <c r="A139" t="str">
        <f t="shared" si="3"/>
        <v>1010322EFECTIVO</v>
      </c>
      <c r="B139" s="96">
        <v>1012259</v>
      </c>
      <c r="C139" s="96" t="s">
        <v>654</v>
      </c>
      <c r="D139" s="96" t="s">
        <v>480</v>
      </c>
      <c r="E139" s="96" t="s">
        <v>623</v>
      </c>
      <c r="F139" s="96" t="s">
        <v>624</v>
      </c>
      <c r="G139" s="99">
        <v>13866</v>
      </c>
      <c r="H139" s="97">
        <v>3.612981</v>
      </c>
      <c r="I139" s="98">
        <v>50097.594546</v>
      </c>
      <c r="J139" s="97">
        <v>3.6023748737920092</v>
      </c>
      <c r="K139" s="98">
        <v>147.06454600000001</v>
      </c>
      <c r="L139" s="99">
        <v>0</v>
      </c>
      <c r="M139" s="98">
        <v>0</v>
      </c>
      <c r="N139" s="99">
        <v>0</v>
      </c>
      <c r="O139" s="98">
        <v>0</v>
      </c>
      <c r="P139" s="99">
        <v>13866</v>
      </c>
      <c r="Q139" s="98">
        <v>50097.594546</v>
      </c>
      <c r="R139" s="96" t="s">
        <v>625</v>
      </c>
      <c r="S139" s="96">
        <v>7414000005</v>
      </c>
      <c r="W139" s="129">
        <v>65500498081</v>
      </c>
      <c r="X139" s="130">
        <v>182989670.988884</v>
      </c>
      <c r="AA139" s="131" t="s">
        <v>375</v>
      </c>
      <c r="AB139" s="130">
        <v>632664.07639199996</v>
      </c>
      <c r="AC139" s="130">
        <v>632664.07639199996</v>
      </c>
    </row>
    <row r="140" spans="1:29" x14ac:dyDescent="0.25">
      <c r="A140" t="str">
        <f t="shared" si="3"/>
        <v xml:space="preserve">1010401STERGOB B3          </v>
      </c>
      <c r="B140" s="96">
        <v>1012259</v>
      </c>
      <c r="C140" s="96" t="s">
        <v>654</v>
      </c>
      <c r="D140" s="96" t="s">
        <v>413</v>
      </c>
      <c r="E140" s="96" t="s">
        <v>623</v>
      </c>
      <c r="F140" s="96" t="s">
        <v>624</v>
      </c>
      <c r="G140" s="99">
        <v>68123</v>
      </c>
      <c r="H140" s="97">
        <v>137.04691399999999</v>
      </c>
      <c r="I140" s="98">
        <v>9336046.9224219993</v>
      </c>
      <c r="J140" s="97">
        <v>128.63567223991896</v>
      </c>
      <c r="K140" s="98">
        <v>572999.02242199995</v>
      </c>
      <c r="L140" s="99">
        <v>0</v>
      </c>
      <c r="M140" s="98">
        <v>0</v>
      </c>
      <c r="N140" s="99">
        <v>0</v>
      </c>
      <c r="O140" s="98">
        <v>0</v>
      </c>
      <c r="P140" s="99">
        <v>68123</v>
      </c>
      <c r="Q140" s="98">
        <v>9336046.9224219993</v>
      </c>
      <c r="R140" s="96" t="s">
        <v>625</v>
      </c>
      <c r="S140" s="96">
        <v>7414000005</v>
      </c>
      <c r="W140" s="129">
        <v>65501372909</v>
      </c>
      <c r="X140" s="130">
        <v>30554888.754117001</v>
      </c>
      <c r="AA140" s="131" t="s">
        <v>399</v>
      </c>
      <c r="AB140" s="130">
        <v>1685335.9508489999</v>
      </c>
      <c r="AC140" s="130">
        <v>1685335.9508489999</v>
      </c>
    </row>
    <row r="141" spans="1:29" x14ac:dyDescent="0.25">
      <c r="A141" t="str">
        <f t="shared" si="3"/>
        <v xml:space="preserve">1012259STERGOB B4          </v>
      </c>
      <c r="B141" s="96">
        <v>1012259</v>
      </c>
      <c r="C141" s="96" t="s">
        <v>654</v>
      </c>
      <c r="D141" s="96" t="s">
        <v>414</v>
      </c>
      <c r="E141" s="96" t="s">
        <v>623</v>
      </c>
      <c r="F141" s="96" t="s">
        <v>624</v>
      </c>
      <c r="G141" s="99">
        <v>1931031</v>
      </c>
      <c r="H141" s="97">
        <v>3.6364960000000002</v>
      </c>
      <c r="I141" s="98">
        <v>7022186.5073760003</v>
      </c>
      <c r="J141" s="97">
        <v>3.4142295540568743</v>
      </c>
      <c r="K141" s="98">
        <v>429203.39737600001</v>
      </c>
      <c r="L141" s="99">
        <v>0</v>
      </c>
      <c r="M141" s="98">
        <v>0</v>
      </c>
      <c r="N141" s="99">
        <v>0</v>
      </c>
      <c r="O141" s="98">
        <v>0</v>
      </c>
      <c r="P141" s="99">
        <v>1931031</v>
      </c>
      <c r="Q141" s="98">
        <v>7022186.5073760003</v>
      </c>
      <c r="R141" s="96" t="s">
        <v>625</v>
      </c>
      <c r="S141" s="96">
        <v>7414000005</v>
      </c>
      <c r="W141" s="129">
        <v>65501387259</v>
      </c>
      <c r="X141" s="130">
        <v>114693832.549311</v>
      </c>
      <c r="AA141" s="131" t="s">
        <v>429</v>
      </c>
      <c r="AB141" s="130">
        <v>1818829.383372</v>
      </c>
      <c r="AC141" s="130">
        <v>1818829.383372</v>
      </c>
    </row>
    <row r="142" spans="1:29" x14ac:dyDescent="0.25">
      <c r="A142" t="str">
        <f t="shared" si="3"/>
        <v xml:space="preserve">1012259SVIVE20 S           </v>
      </c>
      <c r="B142" s="96">
        <v>1012259</v>
      </c>
      <c r="C142" s="96" t="s">
        <v>654</v>
      </c>
      <c r="D142" s="96" t="s">
        <v>415</v>
      </c>
      <c r="E142" s="96" t="s">
        <v>623</v>
      </c>
      <c r="F142" s="96" t="s">
        <v>624</v>
      </c>
      <c r="G142" s="99">
        <v>3951965</v>
      </c>
      <c r="H142" s="97">
        <v>2.1315040000000001</v>
      </c>
      <c r="I142" s="98">
        <v>8423629.2053599991</v>
      </c>
      <c r="J142" s="97">
        <v>1.9841541410412289</v>
      </c>
      <c r="K142" s="98">
        <v>582321.48536000005</v>
      </c>
      <c r="L142" s="99">
        <v>0</v>
      </c>
      <c r="M142" s="98">
        <v>0</v>
      </c>
      <c r="N142" s="99">
        <v>0</v>
      </c>
      <c r="O142" s="98">
        <v>0</v>
      </c>
      <c r="P142" s="99">
        <v>3951965</v>
      </c>
      <c r="Q142" s="98">
        <v>8423629.2053599991</v>
      </c>
      <c r="R142" s="96" t="s">
        <v>625</v>
      </c>
      <c r="S142" s="96">
        <v>7414000005</v>
      </c>
      <c r="W142" s="129">
        <v>65502313952</v>
      </c>
      <c r="X142" s="130">
        <v>1667338100.6397631</v>
      </c>
      <c r="AA142" s="131" t="s">
        <v>394</v>
      </c>
      <c r="AB142" s="130">
        <v>1241704.043454</v>
      </c>
      <c r="AC142" s="130">
        <v>1241704.043454</v>
      </c>
    </row>
    <row r="143" spans="1:29" x14ac:dyDescent="0.25">
      <c r="A143" t="str">
        <f t="shared" si="3"/>
        <v xml:space="preserve">1012259SVIVE35 S           </v>
      </c>
      <c r="B143" s="96">
        <v>1012259</v>
      </c>
      <c r="C143" s="96" t="s">
        <v>654</v>
      </c>
      <c r="D143" s="96" t="s">
        <v>416</v>
      </c>
      <c r="E143" s="96" t="s">
        <v>623</v>
      </c>
      <c r="F143" s="96" t="s">
        <v>624</v>
      </c>
      <c r="G143" s="99">
        <v>90365</v>
      </c>
      <c r="H143" s="97">
        <v>2.8149250000000001</v>
      </c>
      <c r="I143" s="98">
        <v>254370.697625</v>
      </c>
      <c r="J143" s="97">
        <v>2.6894211254357328</v>
      </c>
      <c r="K143" s="98">
        <v>11341.157625</v>
      </c>
      <c r="L143" s="99">
        <v>0</v>
      </c>
      <c r="M143" s="98">
        <v>0</v>
      </c>
      <c r="N143" s="99">
        <v>0</v>
      </c>
      <c r="O143" s="98">
        <v>0</v>
      </c>
      <c r="P143" s="99">
        <v>90365</v>
      </c>
      <c r="Q143" s="98">
        <v>254370.697625</v>
      </c>
      <c r="R143" s="96" t="s">
        <v>625</v>
      </c>
      <c r="S143" s="96">
        <v>7414000005</v>
      </c>
      <c r="W143" s="129">
        <v>65502334887</v>
      </c>
      <c r="X143" s="130">
        <v>685903050.54174602</v>
      </c>
      <c r="AA143" s="131" t="s">
        <v>379</v>
      </c>
      <c r="AB143" s="130">
        <v>406592.195832</v>
      </c>
      <c r="AC143" s="130">
        <v>406592.195832</v>
      </c>
    </row>
    <row r="144" spans="1:29" x14ac:dyDescent="0.25">
      <c r="A144" t="str">
        <f t="shared" si="3"/>
        <v xml:space="preserve">1012259SVIVE50 S           </v>
      </c>
      <c r="B144" s="96">
        <v>1012260</v>
      </c>
      <c r="C144" s="96" t="s">
        <v>655</v>
      </c>
      <c r="D144" s="96" t="s">
        <v>480</v>
      </c>
      <c r="E144" s="96" t="s">
        <v>623</v>
      </c>
      <c r="F144" s="96" t="s">
        <v>624</v>
      </c>
      <c r="G144" s="99">
        <v>21987</v>
      </c>
      <c r="H144" s="97">
        <v>3.612981</v>
      </c>
      <c r="I144" s="98">
        <v>79438.613247000001</v>
      </c>
      <c r="J144" s="97">
        <v>3.6023750397962431</v>
      </c>
      <c r="K144" s="98">
        <v>233.19324700000001</v>
      </c>
      <c r="L144" s="99">
        <v>0</v>
      </c>
      <c r="M144" s="98">
        <v>0</v>
      </c>
      <c r="N144" s="99">
        <v>0</v>
      </c>
      <c r="O144" s="98">
        <v>0</v>
      </c>
      <c r="P144" s="99">
        <v>21987</v>
      </c>
      <c r="Q144" s="98">
        <v>79438.613247000001</v>
      </c>
      <c r="R144" s="96" t="s">
        <v>625</v>
      </c>
      <c r="S144" s="96">
        <v>7414000005</v>
      </c>
      <c r="W144" s="129">
        <v>65502425394</v>
      </c>
      <c r="X144" s="130">
        <v>104963120.889327</v>
      </c>
      <c r="AA144" s="131" t="s">
        <v>377</v>
      </c>
      <c r="AB144" s="130">
        <v>247879.91367000001</v>
      </c>
      <c r="AC144" s="130">
        <v>247879.91367000001</v>
      </c>
    </row>
    <row r="145" spans="1:29" x14ac:dyDescent="0.25">
      <c r="A145" t="str">
        <f t="shared" si="3"/>
        <v xml:space="preserve">1012259SVIVE60 S           </v>
      </c>
      <c r="B145" s="96">
        <v>1012260</v>
      </c>
      <c r="C145" s="96" t="s">
        <v>655</v>
      </c>
      <c r="D145" s="96" t="s">
        <v>413</v>
      </c>
      <c r="E145" s="96" t="s">
        <v>623</v>
      </c>
      <c r="F145" s="96" t="s">
        <v>624</v>
      </c>
      <c r="G145" s="99">
        <v>158128</v>
      </c>
      <c r="H145" s="97">
        <v>137.04691399999999</v>
      </c>
      <c r="I145" s="98">
        <v>21670954.416992001</v>
      </c>
      <c r="J145" s="97">
        <v>128.66331408732165</v>
      </c>
      <c r="K145" s="98">
        <v>1325681.886992</v>
      </c>
      <c r="L145" s="99">
        <v>0</v>
      </c>
      <c r="M145" s="98">
        <v>0</v>
      </c>
      <c r="N145" s="99">
        <v>0</v>
      </c>
      <c r="O145" s="98">
        <v>0</v>
      </c>
      <c r="P145" s="99">
        <v>158128</v>
      </c>
      <c r="Q145" s="98">
        <v>21670954.416992001</v>
      </c>
      <c r="R145" s="96" t="s">
        <v>625</v>
      </c>
      <c r="S145" s="96">
        <v>7414000005</v>
      </c>
      <c r="W145" s="129">
        <v>65502898380</v>
      </c>
      <c r="X145" s="130">
        <v>15987028.169565998</v>
      </c>
      <c r="AA145" s="131" t="s">
        <v>422</v>
      </c>
      <c r="AB145" s="130">
        <v>50487.335657000003</v>
      </c>
      <c r="AC145" s="130">
        <v>50487.335657000003</v>
      </c>
    </row>
    <row r="146" spans="1:29" x14ac:dyDescent="0.25">
      <c r="A146" t="str">
        <f t="shared" si="3"/>
        <v xml:space="preserve">1012260STERGOB B4          </v>
      </c>
      <c r="B146" s="96">
        <v>1012260</v>
      </c>
      <c r="C146" s="96" t="s">
        <v>655</v>
      </c>
      <c r="D146" s="96" t="s">
        <v>414</v>
      </c>
      <c r="E146" s="96" t="s">
        <v>623</v>
      </c>
      <c r="F146" s="96" t="s">
        <v>624</v>
      </c>
      <c r="G146" s="99">
        <v>4705909</v>
      </c>
      <c r="H146" s="97">
        <v>3.6364960000000002</v>
      </c>
      <c r="I146" s="98">
        <v>17113019.254864</v>
      </c>
      <c r="J146" s="97">
        <v>3.4139943356320743</v>
      </c>
      <c r="K146" s="98">
        <v>1047072.584864</v>
      </c>
      <c r="L146" s="99">
        <v>0</v>
      </c>
      <c r="M146" s="98">
        <v>0</v>
      </c>
      <c r="N146" s="99">
        <v>0</v>
      </c>
      <c r="O146" s="98">
        <v>0</v>
      </c>
      <c r="P146" s="99">
        <v>4705909</v>
      </c>
      <c r="Q146" s="98">
        <v>17113019.254864</v>
      </c>
      <c r="R146" s="96" t="s">
        <v>625</v>
      </c>
      <c r="S146" s="96">
        <v>7414000005</v>
      </c>
      <c r="W146" s="129">
        <v>65502898437</v>
      </c>
      <c r="X146" s="130">
        <v>0</v>
      </c>
      <c r="AA146" s="131" t="s">
        <v>392</v>
      </c>
      <c r="AB146" s="130">
        <v>2363325.3804159998</v>
      </c>
      <c r="AC146" s="130">
        <v>2363325.3804159998</v>
      </c>
    </row>
    <row r="147" spans="1:29" x14ac:dyDescent="0.25">
      <c r="A147" t="str">
        <f t="shared" si="3"/>
        <v xml:space="preserve">1012260SVIVE20 S           </v>
      </c>
      <c r="B147" s="96">
        <v>1012260</v>
      </c>
      <c r="C147" s="96" t="s">
        <v>655</v>
      </c>
      <c r="D147" s="96" t="s">
        <v>415</v>
      </c>
      <c r="E147" s="96" t="s">
        <v>623</v>
      </c>
      <c r="F147" s="96" t="s">
        <v>624</v>
      </c>
      <c r="G147" s="99">
        <v>8549913</v>
      </c>
      <c r="H147" s="97">
        <v>2.1315040000000001</v>
      </c>
      <c r="I147" s="98">
        <v>18224173.759151999</v>
      </c>
      <c r="J147" s="97">
        <v>1.9836977861646077</v>
      </c>
      <c r="K147" s="98">
        <v>1263730.2691520001</v>
      </c>
      <c r="L147" s="99">
        <v>0</v>
      </c>
      <c r="M147" s="98">
        <v>0</v>
      </c>
      <c r="N147" s="99">
        <v>0</v>
      </c>
      <c r="O147" s="98">
        <v>0</v>
      </c>
      <c r="P147" s="99">
        <v>8549913</v>
      </c>
      <c r="Q147" s="98">
        <v>18224173.759151999</v>
      </c>
      <c r="R147" s="96" t="s">
        <v>625</v>
      </c>
      <c r="S147" s="96">
        <v>7414000005</v>
      </c>
      <c r="W147" s="129">
        <v>65503523505</v>
      </c>
      <c r="X147" s="130">
        <v>4715.3213189999997</v>
      </c>
      <c r="AA147" s="131" t="s">
        <v>386</v>
      </c>
      <c r="AB147" s="130">
        <v>2104115.2182700001</v>
      </c>
      <c r="AC147" s="130">
        <v>2104115.2182700001</v>
      </c>
    </row>
    <row r="148" spans="1:29" x14ac:dyDescent="0.25">
      <c r="A148" t="str">
        <f t="shared" si="3"/>
        <v xml:space="preserve">1012260SVIVE35 S           </v>
      </c>
      <c r="B148" s="96">
        <v>1012260</v>
      </c>
      <c r="C148" s="96" t="s">
        <v>655</v>
      </c>
      <c r="D148" s="96" t="s">
        <v>416</v>
      </c>
      <c r="E148" s="96" t="s">
        <v>623</v>
      </c>
      <c r="F148" s="96" t="s">
        <v>624</v>
      </c>
      <c r="G148" s="99">
        <v>197157</v>
      </c>
      <c r="H148" s="97">
        <v>2.8149250000000001</v>
      </c>
      <c r="I148" s="98">
        <v>554982.16822500003</v>
      </c>
      <c r="J148" s="97">
        <v>2.6974165259158944</v>
      </c>
      <c r="K148" s="98">
        <v>23167.618224999998</v>
      </c>
      <c r="L148" s="99">
        <v>0</v>
      </c>
      <c r="M148" s="98">
        <v>0</v>
      </c>
      <c r="N148" s="99">
        <v>0</v>
      </c>
      <c r="O148" s="98">
        <v>0</v>
      </c>
      <c r="P148" s="99">
        <v>197157</v>
      </c>
      <c r="Q148" s="98">
        <v>554982.16822500003</v>
      </c>
      <c r="R148" s="96" t="s">
        <v>625</v>
      </c>
      <c r="S148" s="96">
        <v>7414000005</v>
      </c>
      <c r="W148" s="129">
        <v>65503525966</v>
      </c>
      <c r="X148" s="130">
        <v>571018.854926</v>
      </c>
      <c r="AA148" s="131" t="s">
        <v>363</v>
      </c>
      <c r="AB148" s="130">
        <v>1055392.6843719999</v>
      </c>
      <c r="AC148" s="130">
        <v>1055392.6843719999</v>
      </c>
    </row>
    <row r="149" spans="1:29" x14ac:dyDescent="0.25">
      <c r="A149" t="str">
        <f t="shared" si="3"/>
        <v xml:space="preserve">1012260SVIVE50 S           </v>
      </c>
      <c r="B149" s="96">
        <v>1013187</v>
      </c>
      <c r="C149" s="96" t="s">
        <v>656</v>
      </c>
      <c r="D149" s="96" t="s">
        <v>389</v>
      </c>
      <c r="E149" s="96" t="s">
        <v>623</v>
      </c>
      <c r="F149" s="96" t="s">
        <v>624</v>
      </c>
      <c r="G149" s="99">
        <v>9555686</v>
      </c>
      <c r="H149" s="97">
        <v>3.3967719999999999</v>
      </c>
      <c r="I149" s="98">
        <v>32458486.645592</v>
      </c>
      <c r="J149" s="97">
        <v>2.7105275079151827</v>
      </c>
      <c r="K149" s="98">
        <v>6557536.8855919996</v>
      </c>
      <c r="L149" s="99">
        <v>0</v>
      </c>
      <c r="M149" s="98">
        <v>0</v>
      </c>
      <c r="N149" s="99">
        <v>0</v>
      </c>
      <c r="O149" s="98">
        <v>0</v>
      </c>
      <c r="P149" s="99">
        <v>9555686</v>
      </c>
      <c r="Q149" s="98">
        <v>32458486.645592</v>
      </c>
      <c r="R149" s="96" t="s">
        <v>625</v>
      </c>
      <c r="S149" s="96">
        <v>7414000005</v>
      </c>
      <c r="W149" s="129">
        <v>65503691935</v>
      </c>
      <c r="X149" s="130">
        <v>14666173.122264</v>
      </c>
      <c r="AA149" s="131" t="s">
        <v>409</v>
      </c>
      <c r="AB149" s="130">
        <v>1413611.11494</v>
      </c>
      <c r="AC149" s="130">
        <v>1413611.11494</v>
      </c>
    </row>
    <row r="150" spans="1:29" x14ac:dyDescent="0.25">
      <c r="A150" t="str">
        <f t="shared" si="3"/>
        <v xml:space="preserve">1012260SVIVE60 S           </v>
      </c>
      <c r="B150" s="96">
        <v>1013187</v>
      </c>
      <c r="C150" s="96" t="s">
        <v>656</v>
      </c>
      <c r="D150" s="96" t="s">
        <v>417</v>
      </c>
      <c r="E150" s="96" t="s">
        <v>623</v>
      </c>
      <c r="F150" s="96" t="s">
        <v>624</v>
      </c>
      <c r="G150" s="99">
        <v>15625451</v>
      </c>
      <c r="H150" s="97">
        <v>3.8832339999999999</v>
      </c>
      <c r="I150" s="98">
        <v>60677282.588533998</v>
      </c>
      <c r="J150" s="97">
        <v>2.6049145851854134</v>
      </c>
      <c r="K150" s="98">
        <v>19974317.378534</v>
      </c>
      <c r="L150" s="99">
        <v>0</v>
      </c>
      <c r="M150" s="98">
        <v>0</v>
      </c>
      <c r="N150" s="99">
        <v>0</v>
      </c>
      <c r="O150" s="98">
        <v>0</v>
      </c>
      <c r="P150" s="99">
        <v>15625451</v>
      </c>
      <c r="Q150" s="98">
        <v>60677282.588533998</v>
      </c>
      <c r="R150" s="96" t="s">
        <v>625</v>
      </c>
      <c r="S150" s="96">
        <v>7414000005</v>
      </c>
      <c r="W150" s="129">
        <v>65503867094</v>
      </c>
      <c r="X150" s="130">
        <v>92503.152543000004</v>
      </c>
      <c r="AA150" s="131" t="s">
        <v>383</v>
      </c>
      <c r="AB150" s="130">
        <v>1582579.2700799999</v>
      </c>
      <c r="AC150" s="130">
        <v>1582579.2700799999</v>
      </c>
    </row>
    <row r="151" spans="1:29" x14ac:dyDescent="0.25">
      <c r="A151" t="str">
        <f t="shared" si="3"/>
        <v xml:space="preserve">1013187STERGOB ED          </v>
      </c>
      <c r="B151" s="96">
        <v>1013407</v>
      </c>
      <c r="C151" s="96" t="s">
        <v>657</v>
      </c>
      <c r="D151" s="96" t="s">
        <v>366</v>
      </c>
      <c r="E151" s="96" t="s">
        <v>623</v>
      </c>
      <c r="F151" s="96" t="s">
        <v>624</v>
      </c>
      <c r="G151" s="99">
        <v>0</v>
      </c>
      <c r="H151" s="97">
        <v>0</v>
      </c>
      <c r="I151" s="98">
        <v>55443949.5</v>
      </c>
      <c r="J151" s="97">
        <v>0</v>
      </c>
      <c r="K151" s="98">
        <v>0</v>
      </c>
      <c r="L151" s="99">
        <v>0</v>
      </c>
      <c r="M151" s="98">
        <v>0</v>
      </c>
      <c r="N151" s="99">
        <v>0</v>
      </c>
      <c r="O151" s="98">
        <v>0</v>
      </c>
      <c r="P151" s="99">
        <v>0</v>
      </c>
      <c r="Q151" s="98">
        <v>55443949.5</v>
      </c>
      <c r="R151" s="96" t="s">
        <v>625</v>
      </c>
      <c r="S151" s="96">
        <v>7414000005</v>
      </c>
      <c r="W151" s="129">
        <v>65504832250</v>
      </c>
      <c r="X151" s="130">
        <v>0</v>
      </c>
      <c r="AA151" s="131" t="s">
        <v>397</v>
      </c>
      <c r="AB151" s="130">
        <v>379669.982043</v>
      </c>
      <c r="AC151" s="130">
        <v>379669.982043</v>
      </c>
    </row>
    <row r="152" spans="1:29" x14ac:dyDescent="0.25">
      <c r="A152" t="str">
        <f t="shared" si="3"/>
        <v xml:space="preserve">1013187STRGOB2 ED          </v>
      </c>
      <c r="B152" s="96">
        <v>1013407</v>
      </c>
      <c r="C152" s="96" t="s">
        <v>657</v>
      </c>
      <c r="D152" s="96" t="s">
        <v>376</v>
      </c>
      <c r="E152" s="96" t="s">
        <v>623</v>
      </c>
      <c r="F152" s="96" t="s">
        <v>624</v>
      </c>
      <c r="G152" s="99">
        <v>7629</v>
      </c>
      <c r="H152" s="97">
        <v>99.247497999999993</v>
      </c>
      <c r="I152" s="98">
        <v>757159.16224199999</v>
      </c>
      <c r="J152" s="97">
        <v>92.957888330563634</v>
      </c>
      <c r="K152" s="98">
        <v>47983.432168129999</v>
      </c>
      <c r="L152" s="99">
        <v>0</v>
      </c>
      <c r="M152" s="98">
        <v>0</v>
      </c>
      <c r="N152" s="99">
        <v>0</v>
      </c>
      <c r="O152" s="98">
        <v>0</v>
      </c>
      <c r="P152" s="99">
        <v>7629</v>
      </c>
      <c r="Q152" s="98">
        <v>757159.16224199999</v>
      </c>
      <c r="R152" s="96" t="s">
        <v>625</v>
      </c>
      <c r="S152" s="96">
        <v>7414000005</v>
      </c>
      <c r="W152" s="129">
        <v>65505285253</v>
      </c>
      <c r="X152" s="130">
        <v>257628.98404800001</v>
      </c>
      <c r="AA152" s="131" t="s">
        <v>499</v>
      </c>
      <c r="AB152" s="130">
        <v>430379.34889000002</v>
      </c>
      <c r="AC152" s="130">
        <v>430379.34889000002</v>
      </c>
    </row>
    <row r="153" spans="1:29" x14ac:dyDescent="0.25">
      <c r="A153" t="str">
        <f t="shared" si="3"/>
        <v>1013407EFECTIVO</v>
      </c>
      <c r="B153" s="96">
        <v>1013407</v>
      </c>
      <c r="C153" s="96" t="s">
        <v>657</v>
      </c>
      <c r="D153" s="96" t="s">
        <v>378</v>
      </c>
      <c r="E153" s="96" t="s">
        <v>623</v>
      </c>
      <c r="F153" s="96" t="s">
        <v>624</v>
      </c>
      <c r="G153" s="99">
        <v>160</v>
      </c>
      <c r="H153" s="97">
        <v>91.911821000000003</v>
      </c>
      <c r="I153" s="98">
        <v>14705.89136</v>
      </c>
      <c r="J153" s="97">
        <v>97.378761589999996</v>
      </c>
      <c r="K153" s="98">
        <v>-874.71049440000002</v>
      </c>
      <c r="L153" s="99">
        <v>0</v>
      </c>
      <c r="M153" s="98">
        <v>0</v>
      </c>
      <c r="N153" s="99">
        <v>0</v>
      </c>
      <c r="O153" s="98">
        <v>0</v>
      </c>
      <c r="P153" s="99">
        <v>160</v>
      </c>
      <c r="Q153" s="98">
        <v>14705.89136</v>
      </c>
      <c r="R153" s="96" t="s">
        <v>625</v>
      </c>
      <c r="S153" s="96">
        <v>7414000005</v>
      </c>
      <c r="W153" s="129">
        <v>65505597846</v>
      </c>
      <c r="X153" s="130">
        <v>202222200.64281899</v>
      </c>
      <c r="AA153" s="131" t="s">
        <v>507</v>
      </c>
      <c r="AB153" s="130">
        <v>763656.55240000004</v>
      </c>
      <c r="AC153" s="130">
        <v>763656.55240000004</v>
      </c>
    </row>
    <row r="154" spans="1:29" x14ac:dyDescent="0.25">
      <c r="A154" t="str">
        <f t="shared" si="3"/>
        <v xml:space="preserve">1013407GOBFED 241205       </v>
      </c>
      <c r="B154" s="96">
        <v>1013407</v>
      </c>
      <c r="C154" s="96" t="s">
        <v>657</v>
      </c>
      <c r="D154" s="96" t="s">
        <v>380</v>
      </c>
      <c r="E154" s="96" t="s">
        <v>623</v>
      </c>
      <c r="F154" s="96" t="s">
        <v>624</v>
      </c>
      <c r="G154" s="99">
        <v>4160</v>
      </c>
      <c r="H154" s="97">
        <v>93.314192000000006</v>
      </c>
      <c r="I154" s="98">
        <v>388187.03872000001</v>
      </c>
      <c r="J154" s="97">
        <v>107.81026574000001</v>
      </c>
      <c r="K154" s="98">
        <v>-60303.666758400002</v>
      </c>
      <c r="L154" s="99">
        <v>0</v>
      </c>
      <c r="M154" s="98">
        <v>0</v>
      </c>
      <c r="N154" s="99">
        <v>0</v>
      </c>
      <c r="O154" s="98">
        <v>0</v>
      </c>
      <c r="P154" s="99">
        <v>4160</v>
      </c>
      <c r="Q154" s="98">
        <v>388187.03872000001</v>
      </c>
      <c r="R154" s="96" t="s">
        <v>625</v>
      </c>
      <c r="S154" s="96">
        <v>7414000005</v>
      </c>
      <c r="W154" s="129">
        <v>65506131264</v>
      </c>
      <c r="X154" s="130">
        <v>37645102.188366003</v>
      </c>
      <c r="AA154" s="129">
        <v>1018694</v>
      </c>
      <c r="AB154" s="130">
        <v>124749306.84313302</v>
      </c>
      <c r="AC154" s="130">
        <v>124749306.84313302</v>
      </c>
    </row>
    <row r="155" spans="1:29" x14ac:dyDescent="0.25">
      <c r="A155" t="str">
        <f t="shared" si="3"/>
        <v xml:space="preserve">1013407GOBFED 260305       </v>
      </c>
      <c r="B155" s="96">
        <v>1013407</v>
      </c>
      <c r="C155" s="96" t="s">
        <v>657</v>
      </c>
      <c r="D155" s="96" t="s">
        <v>381</v>
      </c>
      <c r="E155" s="96" t="s">
        <v>623</v>
      </c>
      <c r="F155" s="96" t="s">
        <v>624</v>
      </c>
      <c r="G155" s="99">
        <v>10190</v>
      </c>
      <c r="H155" s="97">
        <v>94.870157000000006</v>
      </c>
      <c r="I155" s="98">
        <v>966726.89983000001</v>
      </c>
      <c r="J155" s="97">
        <v>118.51528435772326</v>
      </c>
      <c r="K155" s="98">
        <v>-240943.8477752</v>
      </c>
      <c r="L155" s="99">
        <v>0</v>
      </c>
      <c r="M155" s="98">
        <v>0</v>
      </c>
      <c r="N155" s="99">
        <v>0</v>
      </c>
      <c r="O155" s="98">
        <v>0</v>
      </c>
      <c r="P155" s="99">
        <v>10190</v>
      </c>
      <c r="Q155" s="98">
        <v>966726.89983000001</v>
      </c>
      <c r="R155" s="96" t="s">
        <v>625</v>
      </c>
      <c r="S155" s="96">
        <v>7414000005</v>
      </c>
      <c r="W155" s="129">
        <v>2000941</v>
      </c>
      <c r="X155" s="130">
        <v>685946161.56824601</v>
      </c>
      <c r="AA155" s="131" t="s">
        <v>376</v>
      </c>
      <c r="AB155" s="130">
        <v>3109920.3498300002</v>
      </c>
      <c r="AC155" s="130">
        <v>3109920.3498300002</v>
      </c>
    </row>
    <row r="156" spans="1:29" x14ac:dyDescent="0.25">
      <c r="A156" t="str">
        <f t="shared" si="3"/>
        <v xml:space="preserve">1013407GOBFED 270603       </v>
      </c>
      <c r="B156" s="96">
        <v>1013407</v>
      </c>
      <c r="C156" s="96" t="s">
        <v>657</v>
      </c>
      <c r="D156" s="96" t="s">
        <v>382</v>
      </c>
      <c r="E156" s="96" t="s">
        <v>623</v>
      </c>
      <c r="F156" s="96" t="s">
        <v>624</v>
      </c>
      <c r="G156" s="99">
        <v>4540</v>
      </c>
      <c r="H156" s="97">
        <v>89.489464999999996</v>
      </c>
      <c r="I156" s="98">
        <v>406282.17109999998</v>
      </c>
      <c r="J156" s="97">
        <v>82.9037140776652</v>
      </c>
      <c r="K156" s="98">
        <v>29899.309187399998</v>
      </c>
      <c r="L156" s="99">
        <v>0</v>
      </c>
      <c r="M156" s="98">
        <v>0</v>
      </c>
      <c r="N156" s="99">
        <v>0</v>
      </c>
      <c r="O156" s="98">
        <v>0</v>
      </c>
      <c r="P156" s="99">
        <v>4540</v>
      </c>
      <c r="Q156" s="98">
        <v>406282.17109999998</v>
      </c>
      <c r="R156" s="96" t="s">
        <v>625</v>
      </c>
      <c r="S156" s="96">
        <v>7414000005</v>
      </c>
      <c r="W156" s="129">
        <v>2000942</v>
      </c>
      <c r="X156" s="130">
        <v>19534703.461075004</v>
      </c>
      <c r="AA156" s="131" t="s">
        <v>378</v>
      </c>
      <c r="AB156" s="130">
        <v>3116821.7619309998</v>
      </c>
      <c r="AC156" s="130">
        <v>3116821.7619309998</v>
      </c>
    </row>
    <row r="157" spans="1:29" x14ac:dyDescent="0.25">
      <c r="A157" t="str">
        <f t="shared" si="3"/>
        <v xml:space="preserve">1013407GOBFED 290531       </v>
      </c>
      <c r="B157" s="96">
        <v>1013407</v>
      </c>
      <c r="C157" s="96" t="s">
        <v>657</v>
      </c>
      <c r="D157" s="96" t="s">
        <v>418</v>
      </c>
      <c r="E157" s="96" t="s">
        <v>623</v>
      </c>
      <c r="F157" s="96" t="s">
        <v>624</v>
      </c>
      <c r="G157" s="99">
        <v>15768</v>
      </c>
      <c r="H157" s="97">
        <v>101.45096599999999</v>
      </c>
      <c r="I157" s="98">
        <v>1599678.831888</v>
      </c>
      <c r="J157" s="97">
        <v>113.94762556988331</v>
      </c>
      <c r="K157" s="98">
        <v>-197047.32809791999</v>
      </c>
      <c r="L157" s="99">
        <v>0</v>
      </c>
      <c r="M157" s="98">
        <v>0</v>
      </c>
      <c r="N157" s="99">
        <v>0</v>
      </c>
      <c r="O157" s="98">
        <v>0</v>
      </c>
      <c r="P157" s="99">
        <v>15768</v>
      </c>
      <c r="Q157" s="98">
        <v>1599678.831888</v>
      </c>
      <c r="R157" s="96" t="s">
        <v>625</v>
      </c>
      <c r="S157" s="96">
        <v>7414000005</v>
      </c>
      <c r="W157" s="129">
        <v>2001046</v>
      </c>
      <c r="X157" s="130">
        <v>14295149.869469</v>
      </c>
      <c r="AA157" s="131" t="s">
        <v>380</v>
      </c>
      <c r="AB157" s="130">
        <v>3161484.8249599999</v>
      </c>
      <c r="AC157" s="130">
        <v>3161484.8249599999</v>
      </c>
    </row>
    <row r="158" spans="1:29" x14ac:dyDescent="0.25">
      <c r="A158" t="str">
        <f t="shared" si="3"/>
        <v xml:space="preserve">1013407GOBFED 310529       </v>
      </c>
      <c r="B158" s="96">
        <v>1013407</v>
      </c>
      <c r="C158" s="96" t="s">
        <v>657</v>
      </c>
      <c r="D158" s="96" t="s">
        <v>408</v>
      </c>
      <c r="E158" s="96" t="s">
        <v>623</v>
      </c>
      <c r="F158" s="96" t="s">
        <v>624</v>
      </c>
      <c r="G158" s="99">
        <v>1866</v>
      </c>
      <c r="H158" s="97">
        <v>89.643172000000007</v>
      </c>
      <c r="I158" s="98">
        <v>167274.158952</v>
      </c>
      <c r="J158" s="97">
        <v>117.68286983</v>
      </c>
      <c r="K158" s="98">
        <v>-52322.076150779998</v>
      </c>
      <c r="L158" s="99">
        <v>0</v>
      </c>
      <c r="M158" s="98">
        <v>0</v>
      </c>
      <c r="N158" s="99">
        <v>0</v>
      </c>
      <c r="O158" s="98">
        <v>0</v>
      </c>
      <c r="P158" s="99">
        <v>1866</v>
      </c>
      <c r="Q158" s="98">
        <v>167274.158952</v>
      </c>
      <c r="R158" s="96" t="s">
        <v>625</v>
      </c>
      <c r="S158" s="96">
        <v>7414000005</v>
      </c>
      <c r="W158" s="129">
        <v>2001047</v>
      </c>
      <c r="X158" s="130">
        <v>6102472.9441109998</v>
      </c>
      <c r="AA158" s="131" t="s">
        <v>382</v>
      </c>
      <c r="AB158" s="130">
        <v>3732605.5851500002</v>
      </c>
      <c r="AC158" s="130">
        <v>3732605.5851500002</v>
      </c>
    </row>
    <row r="159" spans="1:29" x14ac:dyDescent="0.25">
      <c r="A159" t="str">
        <f t="shared" si="3"/>
        <v xml:space="preserve">1013407GOBFED 361120       </v>
      </c>
      <c r="B159" s="96">
        <v>1013407</v>
      </c>
      <c r="C159" s="96" t="s">
        <v>657</v>
      </c>
      <c r="D159" s="96" t="s">
        <v>384</v>
      </c>
      <c r="E159" s="96" t="s">
        <v>623</v>
      </c>
      <c r="F159" s="96" t="s">
        <v>624</v>
      </c>
      <c r="G159" s="99">
        <v>985</v>
      </c>
      <c r="H159" s="97">
        <v>81.738860000000003</v>
      </c>
      <c r="I159" s="98">
        <v>80512.777100000007</v>
      </c>
      <c r="J159" s="97">
        <v>101.5451082</v>
      </c>
      <c r="K159" s="98">
        <v>-19509.154477</v>
      </c>
      <c r="L159" s="99">
        <v>0</v>
      </c>
      <c r="M159" s="98">
        <v>0</v>
      </c>
      <c r="N159" s="99">
        <v>0</v>
      </c>
      <c r="O159" s="98">
        <v>0</v>
      </c>
      <c r="P159" s="99">
        <v>985</v>
      </c>
      <c r="Q159" s="98">
        <v>80512.777100000007</v>
      </c>
      <c r="R159" s="96" t="s">
        <v>625</v>
      </c>
      <c r="S159" s="96">
        <v>7414000005</v>
      </c>
      <c r="W159" s="129">
        <v>2001049</v>
      </c>
      <c r="X159" s="130">
        <v>10750642.521645</v>
      </c>
      <c r="AA159" s="131" t="s">
        <v>427</v>
      </c>
      <c r="AB159" s="130">
        <v>5756351.3651339998</v>
      </c>
      <c r="AC159" s="130">
        <v>5756351.3651339998</v>
      </c>
    </row>
    <row r="160" spans="1:29" x14ac:dyDescent="0.25">
      <c r="A160" t="str">
        <f t="shared" si="3"/>
        <v xml:space="preserve">1013407GOBFED 381118       </v>
      </c>
      <c r="B160" s="96">
        <v>1013407</v>
      </c>
      <c r="C160" s="96" t="s">
        <v>657</v>
      </c>
      <c r="D160" s="96" t="s">
        <v>385</v>
      </c>
      <c r="E160" s="96" t="s">
        <v>623</v>
      </c>
      <c r="F160" s="96" t="s">
        <v>624</v>
      </c>
      <c r="G160" s="99">
        <v>9218</v>
      </c>
      <c r="H160" s="97">
        <v>83.200761</v>
      </c>
      <c r="I160" s="98">
        <v>766944.61489800003</v>
      </c>
      <c r="J160" s="97">
        <v>96.799409990000001</v>
      </c>
      <c r="K160" s="98">
        <v>-125352.34638982</v>
      </c>
      <c r="L160" s="99">
        <v>0</v>
      </c>
      <c r="M160" s="98">
        <v>0</v>
      </c>
      <c r="N160" s="99">
        <v>0</v>
      </c>
      <c r="O160" s="98">
        <v>0</v>
      </c>
      <c r="P160" s="99">
        <v>9218</v>
      </c>
      <c r="Q160" s="98">
        <v>766944.61489800003</v>
      </c>
      <c r="R160" s="96" t="s">
        <v>625</v>
      </c>
      <c r="S160" s="96">
        <v>7414000005</v>
      </c>
      <c r="W160" s="129">
        <v>2001050</v>
      </c>
      <c r="X160" s="130">
        <v>3958037.0935169999</v>
      </c>
      <c r="AA160" s="131" t="s">
        <v>418</v>
      </c>
      <c r="AB160" s="130">
        <v>284367.05769799999</v>
      </c>
      <c r="AC160" s="130">
        <v>284367.05769799999</v>
      </c>
    </row>
    <row r="161" spans="1:29" x14ac:dyDescent="0.25">
      <c r="A161" t="str">
        <f t="shared" si="3"/>
        <v xml:space="preserve">1013407GOBFED 421113       </v>
      </c>
      <c r="B161" s="96">
        <v>1013407</v>
      </c>
      <c r="C161" s="96" t="s">
        <v>657</v>
      </c>
      <c r="D161" s="96" t="s">
        <v>419</v>
      </c>
      <c r="E161" s="96" t="s">
        <v>623</v>
      </c>
      <c r="F161" s="96" t="s">
        <v>624</v>
      </c>
      <c r="G161" s="99">
        <v>0</v>
      </c>
      <c r="H161" s="97">
        <v>0</v>
      </c>
      <c r="I161" s="98">
        <v>0</v>
      </c>
      <c r="J161" s="97">
        <v>0</v>
      </c>
      <c r="K161" s="98">
        <v>0</v>
      </c>
      <c r="L161" s="99">
        <v>0</v>
      </c>
      <c r="M161" s="98">
        <v>0</v>
      </c>
      <c r="N161" s="99">
        <v>0</v>
      </c>
      <c r="O161" s="98">
        <v>0</v>
      </c>
      <c r="P161" s="99">
        <v>0</v>
      </c>
      <c r="Q161" s="98">
        <v>0</v>
      </c>
      <c r="R161" s="96" t="s">
        <v>625</v>
      </c>
      <c r="S161" s="96">
        <v>7414000005</v>
      </c>
      <c r="W161" s="129">
        <v>1028703</v>
      </c>
      <c r="X161" s="130">
        <v>0</v>
      </c>
      <c r="AA161" s="131" t="s">
        <v>408</v>
      </c>
      <c r="AB161" s="130">
        <v>219446.485056</v>
      </c>
      <c r="AC161" s="130">
        <v>219446.485056</v>
      </c>
    </row>
    <row r="162" spans="1:29" x14ac:dyDescent="0.25">
      <c r="A162" t="str">
        <f t="shared" si="3"/>
        <v xml:space="preserve">1013407GOBFED 471107       </v>
      </c>
      <c r="B162" s="96">
        <v>1013407</v>
      </c>
      <c r="C162" s="96" t="s">
        <v>657</v>
      </c>
      <c r="D162" s="96" t="s">
        <v>391</v>
      </c>
      <c r="E162" s="96" t="s">
        <v>623</v>
      </c>
      <c r="F162" s="96" t="s">
        <v>624</v>
      </c>
      <c r="G162" s="99">
        <v>137609</v>
      </c>
      <c r="H162" s="97">
        <v>775.69178699999998</v>
      </c>
      <c r="I162" s="98">
        <v>106742171.117283</v>
      </c>
      <c r="J162" s="97">
        <v>766.84932879343341</v>
      </c>
      <c r="K162" s="98">
        <v>1216801.8313474201</v>
      </c>
      <c r="L162" s="99">
        <v>0</v>
      </c>
      <c r="M162" s="98">
        <v>0</v>
      </c>
      <c r="N162" s="99">
        <v>0</v>
      </c>
      <c r="O162" s="98">
        <v>0</v>
      </c>
      <c r="P162" s="99">
        <v>137609</v>
      </c>
      <c r="Q162" s="98">
        <v>106742171.117283</v>
      </c>
      <c r="R162" s="96" t="s">
        <v>625</v>
      </c>
      <c r="S162" s="96">
        <v>7414000005</v>
      </c>
      <c r="W162" s="129">
        <v>2000947</v>
      </c>
      <c r="X162" s="130">
        <v>22149393.044493999</v>
      </c>
      <c r="AA162" s="131" t="s">
        <v>384</v>
      </c>
      <c r="AB162" s="130">
        <v>4722462.6365</v>
      </c>
      <c r="AC162" s="130">
        <v>4722462.6365</v>
      </c>
    </row>
    <row r="163" spans="1:29" x14ac:dyDescent="0.25">
      <c r="A163" t="str">
        <f t="shared" si="3"/>
        <v xml:space="preserve">1013407IENOVA *            </v>
      </c>
      <c r="B163" s="96">
        <v>1013407</v>
      </c>
      <c r="C163" s="96" t="s">
        <v>657</v>
      </c>
      <c r="D163" s="96" t="s">
        <v>392</v>
      </c>
      <c r="E163" s="96" t="s">
        <v>623</v>
      </c>
      <c r="F163" s="96" t="s">
        <v>624</v>
      </c>
      <c r="G163" s="99">
        <v>30479</v>
      </c>
      <c r="H163" s="97">
        <v>747.17843200000004</v>
      </c>
      <c r="I163" s="98">
        <v>22773251.428927999</v>
      </c>
      <c r="J163" s="97">
        <v>741.74077517000001</v>
      </c>
      <c r="K163" s="98">
        <v>165734.34252157001</v>
      </c>
      <c r="L163" s="99">
        <v>0</v>
      </c>
      <c r="M163" s="98">
        <v>0</v>
      </c>
      <c r="N163" s="99">
        <v>0</v>
      </c>
      <c r="O163" s="98">
        <v>0</v>
      </c>
      <c r="P163" s="99">
        <v>30479</v>
      </c>
      <c r="Q163" s="98">
        <v>22773251.428927999</v>
      </c>
      <c r="R163" s="96" t="s">
        <v>625</v>
      </c>
      <c r="S163" s="96">
        <v>7414000005</v>
      </c>
      <c r="W163" s="129">
        <v>65503071575</v>
      </c>
      <c r="X163" s="130">
        <v>209605148.93122199</v>
      </c>
      <c r="AA163" s="131" t="s">
        <v>389</v>
      </c>
      <c r="AB163" s="130">
        <v>10352202.756748</v>
      </c>
      <c r="AC163" s="130">
        <v>10352202.756748</v>
      </c>
    </row>
    <row r="164" spans="1:29" x14ac:dyDescent="0.25">
      <c r="A164" t="str">
        <f t="shared" si="3"/>
        <v xml:space="preserve">1013407UDIBONO 251204      </v>
      </c>
      <c r="B164" s="96">
        <v>1013407</v>
      </c>
      <c r="C164" s="96" t="s">
        <v>657</v>
      </c>
      <c r="D164" s="96" t="s">
        <v>393</v>
      </c>
      <c r="E164" s="96" t="s">
        <v>623</v>
      </c>
      <c r="F164" s="96" t="s">
        <v>624</v>
      </c>
      <c r="G164" s="99">
        <v>65</v>
      </c>
      <c r="H164" s="97">
        <v>765.92388300000005</v>
      </c>
      <c r="I164" s="98">
        <v>49785.052394999999</v>
      </c>
      <c r="J164" s="97">
        <v>781.86509464999995</v>
      </c>
      <c r="K164" s="98">
        <v>-1036.17875725</v>
      </c>
      <c r="L164" s="99">
        <v>0</v>
      </c>
      <c r="M164" s="98">
        <v>0</v>
      </c>
      <c r="N164" s="99">
        <v>0</v>
      </c>
      <c r="O164" s="98">
        <v>0</v>
      </c>
      <c r="P164" s="99">
        <v>65</v>
      </c>
      <c r="Q164" s="98">
        <v>49785.052394999999</v>
      </c>
      <c r="R164" s="96" t="s">
        <v>625</v>
      </c>
      <c r="S164" s="96">
        <v>7414000005</v>
      </c>
      <c r="W164" s="129">
        <v>65503040718</v>
      </c>
      <c r="X164" s="130">
        <v>179061138.29270801</v>
      </c>
      <c r="AA164" s="131" t="s">
        <v>391</v>
      </c>
      <c r="AB164" s="130">
        <v>4546329.5636069998</v>
      </c>
      <c r="AC164" s="130">
        <v>4546329.5636069998</v>
      </c>
    </row>
    <row r="165" spans="1:29" x14ac:dyDescent="0.25">
      <c r="A165" t="str">
        <f t="shared" si="3"/>
        <v xml:space="preserve">1013407UDIBONO 261203      </v>
      </c>
      <c r="B165" s="96">
        <v>1013407</v>
      </c>
      <c r="C165" s="96" t="s">
        <v>657</v>
      </c>
      <c r="D165" s="96" t="s">
        <v>394</v>
      </c>
      <c r="E165" s="96" t="s">
        <v>623</v>
      </c>
      <c r="F165" s="96" t="s">
        <v>624</v>
      </c>
      <c r="G165" s="99">
        <v>57</v>
      </c>
      <c r="H165" s="97">
        <v>684.88915799999995</v>
      </c>
      <c r="I165" s="98">
        <v>39038.682006000003</v>
      </c>
      <c r="J165" s="97">
        <v>674.82119490000002</v>
      </c>
      <c r="K165" s="98">
        <v>573.87389670000005</v>
      </c>
      <c r="L165" s="99">
        <v>0</v>
      </c>
      <c r="M165" s="98">
        <v>0</v>
      </c>
      <c r="N165" s="99">
        <v>0</v>
      </c>
      <c r="O165" s="98">
        <v>0</v>
      </c>
      <c r="P165" s="99">
        <v>57</v>
      </c>
      <c r="Q165" s="98">
        <v>39038.682006000003</v>
      </c>
      <c r="R165" s="96" t="s">
        <v>625</v>
      </c>
      <c r="S165" s="96">
        <v>7414000005</v>
      </c>
      <c r="W165" s="129">
        <v>65507052215</v>
      </c>
      <c r="X165" s="130">
        <v>7911653.4124480002</v>
      </c>
      <c r="AA165" s="131" t="s">
        <v>395</v>
      </c>
      <c r="AB165" s="130">
        <v>612931.08324499999</v>
      </c>
      <c r="AC165" s="130">
        <v>612931.08324499999</v>
      </c>
    </row>
    <row r="166" spans="1:29" x14ac:dyDescent="0.25">
      <c r="A166" t="str">
        <f t="shared" si="3"/>
        <v xml:space="preserve">1013407UDIBONO 281130      </v>
      </c>
      <c r="B166" s="96">
        <v>1013407</v>
      </c>
      <c r="C166" s="96" t="s">
        <v>657</v>
      </c>
      <c r="D166" s="96" t="s">
        <v>395</v>
      </c>
      <c r="E166" s="96" t="s">
        <v>623</v>
      </c>
      <c r="F166" s="96" t="s">
        <v>624</v>
      </c>
      <c r="G166" s="99">
        <v>26</v>
      </c>
      <c r="H166" s="97">
        <v>772.926965</v>
      </c>
      <c r="I166" s="98">
        <v>20096.10109</v>
      </c>
      <c r="J166" s="97">
        <v>578.72789299999999</v>
      </c>
      <c r="K166" s="98">
        <v>5049.1758719999998</v>
      </c>
      <c r="L166" s="99">
        <v>0</v>
      </c>
      <c r="M166" s="98">
        <v>0</v>
      </c>
      <c r="N166" s="99">
        <v>0</v>
      </c>
      <c r="O166" s="98">
        <v>0</v>
      </c>
      <c r="P166" s="99">
        <v>26</v>
      </c>
      <c r="Q166" s="98">
        <v>20096.10109</v>
      </c>
      <c r="R166" s="96" t="s">
        <v>625</v>
      </c>
      <c r="S166" s="96">
        <v>7414000005</v>
      </c>
      <c r="W166" s="129">
        <v>65507052277</v>
      </c>
      <c r="X166" s="130">
        <v>5074705.3529690001</v>
      </c>
      <c r="AA166" s="131" t="s">
        <v>396</v>
      </c>
      <c r="AB166" s="130">
        <v>3490353.2736800001</v>
      </c>
      <c r="AC166" s="130">
        <v>3490353.2736800001</v>
      </c>
    </row>
    <row r="167" spans="1:29" x14ac:dyDescent="0.25">
      <c r="A167" t="str">
        <f t="shared" si="3"/>
        <v xml:space="preserve">1013407UDIBONO 311127      </v>
      </c>
      <c r="B167" s="96">
        <v>1013407</v>
      </c>
      <c r="C167" s="96" t="s">
        <v>657</v>
      </c>
      <c r="D167" s="96" t="s">
        <v>396</v>
      </c>
      <c r="E167" s="96" t="s">
        <v>623</v>
      </c>
      <c r="F167" s="96" t="s">
        <v>624</v>
      </c>
      <c r="G167" s="99">
        <v>3</v>
      </c>
      <c r="H167" s="97">
        <v>721.59464000000003</v>
      </c>
      <c r="I167" s="98">
        <v>2164.7839199999999</v>
      </c>
      <c r="J167" s="97">
        <v>10188.966527833334</v>
      </c>
      <c r="K167" s="98">
        <v>-28402.115663500001</v>
      </c>
      <c r="L167" s="99">
        <v>0</v>
      </c>
      <c r="M167" s="98">
        <v>0</v>
      </c>
      <c r="N167" s="99">
        <v>0</v>
      </c>
      <c r="O167" s="98">
        <v>0</v>
      </c>
      <c r="P167" s="99">
        <v>3</v>
      </c>
      <c r="Q167" s="98">
        <v>2164.7839199999999</v>
      </c>
      <c r="R167" s="96" t="s">
        <v>625</v>
      </c>
      <c r="S167" s="96">
        <v>7414000005</v>
      </c>
      <c r="W167" s="129">
        <v>65507052294</v>
      </c>
      <c r="X167" s="130">
        <v>7726026.700096</v>
      </c>
      <c r="AA167" s="131" t="s">
        <v>398</v>
      </c>
      <c r="AB167" s="130">
        <v>3670988.4096749998</v>
      </c>
      <c r="AC167" s="130">
        <v>3670988.4096749998</v>
      </c>
    </row>
    <row r="168" spans="1:29" x14ac:dyDescent="0.25">
      <c r="A168" t="str">
        <f t="shared" si="3"/>
        <v xml:space="preserve">1013407UDIBONO 351122      </v>
      </c>
      <c r="B168" s="96">
        <v>1013407</v>
      </c>
      <c r="C168" s="96" t="s">
        <v>657</v>
      </c>
      <c r="D168" s="96" t="s">
        <v>397</v>
      </c>
      <c r="E168" s="96" t="s">
        <v>623</v>
      </c>
      <c r="F168" s="96" t="s">
        <v>624</v>
      </c>
      <c r="G168" s="99">
        <v>44</v>
      </c>
      <c r="H168" s="97">
        <v>635.96311900000001</v>
      </c>
      <c r="I168" s="98">
        <v>27982.377236</v>
      </c>
      <c r="J168" s="97">
        <v>647.93802047999998</v>
      </c>
      <c r="K168" s="98">
        <v>-526.89566511999999</v>
      </c>
      <c r="L168" s="99">
        <v>0</v>
      </c>
      <c r="M168" s="98">
        <v>0</v>
      </c>
      <c r="N168" s="99">
        <v>0</v>
      </c>
      <c r="O168" s="98">
        <v>0</v>
      </c>
      <c r="P168" s="99">
        <v>44</v>
      </c>
      <c r="Q168" s="98">
        <v>27982.377236</v>
      </c>
      <c r="R168" s="96" t="s">
        <v>625</v>
      </c>
      <c r="S168" s="96">
        <v>7414000005</v>
      </c>
      <c r="W168" s="129">
        <v>65507298252</v>
      </c>
      <c r="X168" s="130">
        <v>2911559188.6051269</v>
      </c>
      <c r="AA168" s="131" t="s">
        <v>419</v>
      </c>
      <c r="AB168" s="130">
        <v>0</v>
      </c>
      <c r="AC168" s="130">
        <v>0</v>
      </c>
    </row>
    <row r="169" spans="1:29" x14ac:dyDescent="0.25">
      <c r="A169" t="str">
        <f t="shared" si="3"/>
        <v xml:space="preserve">1013407UDIBONO 401115      </v>
      </c>
      <c r="B169" s="96">
        <v>1013407</v>
      </c>
      <c r="C169" s="96" t="s">
        <v>657</v>
      </c>
      <c r="D169" s="96" t="s">
        <v>398</v>
      </c>
      <c r="E169" s="96" t="s">
        <v>623</v>
      </c>
      <c r="F169" s="96" t="s">
        <v>624</v>
      </c>
      <c r="G169" s="99">
        <v>42</v>
      </c>
      <c r="H169" s="97">
        <v>709.36974099999998</v>
      </c>
      <c r="I169" s="98">
        <v>29793.529122</v>
      </c>
      <c r="J169" s="97">
        <v>771.09918236999999</v>
      </c>
      <c r="K169" s="98">
        <v>-2592.6365375400001</v>
      </c>
      <c r="L169" s="99">
        <v>0</v>
      </c>
      <c r="M169" s="98">
        <v>0</v>
      </c>
      <c r="N169" s="99">
        <v>0</v>
      </c>
      <c r="O169" s="98">
        <v>0</v>
      </c>
      <c r="P169" s="99">
        <v>42</v>
      </c>
      <c r="Q169" s="98">
        <v>29793.529122</v>
      </c>
      <c r="R169" s="96" t="s">
        <v>625</v>
      </c>
      <c r="S169" s="96">
        <v>7414000005</v>
      </c>
      <c r="W169" s="129">
        <v>1031627</v>
      </c>
      <c r="X169" s="130">
        <v>39123214.861036003</v>
      </c>
      <c r="AA169" s="131" t="s">
        <v>381</v>
      </c>
      <c r="AB169" s="130">
        <v>8455682.2232530005</v>
      </c>
      <c r="AC169" s="130">
        <v>8455682.2232530005</v>
      </c>
    </row>
    <row r="170" spans="1:29" x14ac:dyDescent="0.25">
      <c r="A170" t="str">
        <f t="shared" si="3"/>
        <v xml:space="preserve">1013407UDIBONO 431112      </v>
      </c>
      <c r="B170" s="96">
        <v>1013407</v>
      </c>
      <c r="C170" s="96" t="s">
        <v>657</v>
      </c>
      <c r="D170" s="96" t="s">
        <v>399</v>
      </c>
      <c r="E170" s="96" t="s">
        <v>623</v>
      </c>
      <c r="F170" s="96" t="s">
        <v>624</v>
      </c>
      <c r="G170" s="99">
        <v>14</v>
      </c>
      <c r="H170" s="97">
        <v>694.41118700000004</v>
      </c>
      <c r="I170" s="98">
        <v>9721.7566179999994</v>
      </c>
      <c r="J170" s="97">
        <v>707.93932878999999</v>
      </c>
      <c r="K170" s="98">
        <v>-189.39398506000001</v>
      </c>
      <c r="L170" s="99">
        <v>0</v>
      </c>
      <c r="M170" s="98">
        <v>0</v>
      </c>
      <c r="N170" s="99">
        <v>0</v>
      </c>
      <c r="O170" s="98">
        <v>0</v>
      </c>
      <c r="P170" s="99">
        <v>14</v>
      </c>
      <c r="Q170" s="98">
        <v>9721.7566179999994</v>
      </c>
      <c r="R170" s="96" t="s">
        <v>625</v>
      </c>
      <c r="S170" s="96">
        <v>7414000005</v>
      </c>
      <c r="W170" s="129">
        <v>1031629</v>
      </c>
      <c r="X170" s="130">
        <v>30111901.438375998</v>
      </c>
      <c r="AA170" s="131" t="s">
        <v>393</v>
      </c>
      <c r="AB170" s="130">
        <v>2941147.7107199999</v>
      </c>
      <c r="AC170" s="130">
        <v>2941147.7107199999</v>
      </c>
    </row>
    <row r="171" spans="1:29" x14ac:dyDescent="0.25">
      <c r="A171" t="str">
        <f t="shared" si="3"/>
        <v xml:space="preserve">1013407UDIBONO 461108      </v>
      </c>
      <c r="B171" s="96">
        <v>1014057</v>
      </c>
      <c r="C171" s="96" t="s">
        <v>658</v>
      </c>
      <c r="D171" s="96" t="s">
        <v>389</v>
      </c>
      <c r="E171" s="96" t="s">
        <v>623</v>
      </c>
      <c r="F171" s="96" t="s">
        <v>624</v>
      </c>
      <c r="G171" s="99">
        <v>4018547</v>
      </c>
      <c r="H171" s="97">
        <v>3.3967719999999999</v>
      </c>
      <c r="I171" s="98">
        <v>13650087.930283999</v>
      </c>
      <c r="J171" s="97">
        <v>2.3201114930346716</v>
      </c>
      <c r="K171" s="98">
        <v>4326610.8502839999</v>
      </c>
      <c r="L171" s="99">
        <v>0</v>
      </c>
      <c r="M171" s="98">
        <v>0</v>
      </c>
      <c r="N171" s="99">
        <v>0</v>
      </c>
      <c r="O171" s="98">
        <v>0</v>
      </c>
      <c r="P171" s="99">
        <v>4018547</v>
      </c>
      <c r="Q171" s="98">
        <v>13650087.930283999</v>
      </c>
      <c r="R171" s="96" t="s">
        <v>625</v>
      </c>
      <c r="S171" s="96">
        <v>7414000005</v>
      </c>
      <c r="W171" s="129">
        <v>2001140</v>
      </c>
      <c r="X171" s="130">
        <v>-0.02</v>
      </c>
      <c r="AA171" s="131" t="s">
        <v>385</v>
      </c>
      <c r="AB171" s="130">
        <v>1413081.7248239999</v>
      </c>
      <c r="AC171" s="130">
        <v>1413081.7248239999</v>
      </c>
    </row>
    <row r="172" spans="1:29" x14ac:dyDescent="0.25">
      <c r="A172" t="str">
        <f t="shared" si="3"/>
        <v xml:space="preserve">1013407UDIBONO 501103      </v>
      </c>
      <c r="B172" s="96">
        <v>1014057</v>
      </c>
      <c r="C172" s="96" t="s">
        <v>658</v>
      </c>
      <c r="D172" s="96" t="s">
        <v>420</v>
      </c>
      <c r="E172" s="96" t="s">
        <v>623</v>
      </c>
      <c r="F172" s="96" t="s">
        <v>624</v>
      </c>
      <c r="G172" s="99">
        <v>338000000</v>
      </c>
      <c r="H172" s="97">
        <v>2.106938</v>
      </c>
      <c r="I172" s="98">
        <v>712145044</v>
      </c>
      <c r="J172" s="97">
        <v>1.2627020459171598</v>
      </c>
      <c r="K172" s="98">
        <v>285351752.48000002</v>
      </c>
      <c r="L172" s="99">
        <v>0</v>
      </c>
      <c r="M172" s="98">
        <v>0</v>
      </c>
      <c r="N172" s="99">
        <v>0</v>
      </c>
      <c r="O172" s="98">
        <v>0</v>
      </c>
      <c r="P172" s="99">
        <v>338000000</v>
      </c>
      <c r="Q172" s="98">
        <v>712145044</v>
      </c>
      <c r="R172" s="96" t="s">
        <v>625</v>
      </c>
      <c r="S172" s="96">
        <v>7414000005</v>
      </c>
      <c r="W172" s="129">
        <v>2001141</v>
      </c>
      <c r="X172" s="130">
        <v>0</v>
      </c>
      <c r="AA172" s="131" t="s">
        <v>375</v>
      </c>
      <c r="AB172" s="130">
        <v>2293703.4679680001</v>
      </c>
      <c r="AC172" s="130">
        <v>2293703.4679680001</v>
      </c>
    </row>
    <row r="173" spans="1:29" x14ac:dyDescent="0.25">
      <c r="A173" t="str">
        <f t="shared" si="3"/>
        <v xml:space="preserve">1014057STERGOB ED          </v>
      </c>
      <c r="B173" s="96">
        <v>1015460</v>
      </c>
      <c r="C173" s="96" t="s">
        <v>659</v>
      </c>
      <c r="D173" s="96" t="s">
        <v>421</v>
      </c>
      <c r="E173" s="96" t="s">
        <v>623</v>
      </c>
      <c r="F173" s="96" t="s">
        <v>624</v>
      </c>
      <c r="G173" s="99">
        <v>0</v>
      </c>
      <c r="H173" s="97">
        <v>0</v>
      </c>
      <c r="I173" s="98">
        <v>0</v>
      </c>
      <c r="J173" s="97">
        <v>0</v>
      </c>
      <c r="K173" s="98">
        <v>0</v>
      </c>
      <c r="L173" s="99">
        <v>0</v>
      </c>
      <c r="M173" s="98">
        <v>0</v>
      </c>
      <c r="N173" s="99">
        <v>0</v>
      </c>
      <c r="O173" s="98">
        <v>0</v>
      </c>
      <c r="P173" s="99">
        <v>0</v>
      </c>
      <c r="Q173" s="98">
        <v>0</v>
      </c>
      <c r="R173" s="96" t="s">
        <v>625</v>
      </c>
      <c r="S173" s="96">
        <v>7414000005</v>
      </c>
      <c r="W173" s="129">
        <v>2001142</v>
      </c>
      <c r="X173" s="130">
        <v>0</v>
      </c>
      <c r="AA173" s="131" t="s">
        <v>399</v>
      </c>
      <c r="AB173" s="130">
        <v>6386499.6868390003</v>
      </c>
      <c r="AC173" s="130">
        <v>6386499.6868390003</v>
      </c>
    </row>
    <row r="174" spans="1:29" x14ac:dyDescent="0.25">
      <c r="A174" t="str">
        <f t="shared" si="3"/>
        <v xml:space="preserve">1014057SVIVE50 C3          </v>
      </c>
      <c r="B174" s="96">
        <v>1015473</v>
      </c>
      <c r="C174" s="96" t="s">
        <v>660</v>
      </c>
      <c r="D174" s="96" t="s">
        <v>422</v>
      </c>
      <c r="E174" s="96" t="s">
        <v>623</v>
      </c>
      <c r="F174" s="96" t="s">
        <v>624</v>
      </c>
      <c r="G174" s="99">
        <v>610</v>
      </c>
      <c r="H174" s="97">
        <v>97.654420999999999</v>
      </c>
      <c r="I174" s="98">
        <v>59569.196810000001</v>
      </c>
      <c r="J174" s="97">
        <v>98.224185000000006</v>
      </c>
      <c r="K174" s="98">
        <v>-347.55604</v>
      </c>
      <c r="L174" s="99">
        <v>0</v>
      </c>
      <c r="M174" s="98">
        <v>0</v>
      </c>
      <c r="N174" s="99">
        <v>0</v>
      </c>
      <c r="O174" s="98">
        <v>0</v>
      </c>
      <c r="P174" s="99">
        <v>610</v>
      </c>
      <c r="Q174" s="98">
        <v>59569.196810000001</v>
      </c>
      <c r="R174" s="96" t="s">
        <v>625</v>
      </c>
      <c r="S174" s="96">
        <v>7414000005</v>
      </c>
      <c r="W174" s="129">
        <v>65502128155</v>
      </c>
      <c r="X174" s="130">
        <v>142354598.82729799</v>
      </c>
      <c r="AA174" s="131" t="s">
        <v>429</v>
      </c>
      <c r="AB174" s="130">
        <v>7083908.2336860001</v>
      </c>
      <c r="AC174" s="130">
        <v>7083908.2336860001</v>
      </c>
    </row>
    <row r="175" spans="1:29" x14ac:dyDescent="0.25">
      <c r="A175" t="str">
        <f t="shared" si="3"/>
        <v xml:space="preserve">1015460STRGOB2 B4          </v>
      </c>
      <c r="B175" s="96">
        <v>1015473</v>
      </c>
      <c r="C175" s="96" t="s">
        <v>660</v>
      </c>
      <c r="D175" s="96" t="s">
        <v>363</v>
      </c>
      <c r="E175" s="96" t="s">
        <v>623</v>
      </c>
      <c r="F175" s="96" t="s">
        <v>624</v>
      </c>
      <c r="G175" s="99">
        <v>129882</v>
      </c>
      <c r="H175" s="97">
        <v>9.4935880000000008</v>
      </c>
      <c r="I175" s="98">
        <v>1233046.196616</v>
      </c>
      <c r="J175" s="97">
        <v>8.4405498100000003</v>
      </c>
      <c r="K175" s="98">
        <v>136770.70619358</v>
      </c>
      <c r="L175" s="99">
        <v>0</v>
      </c>
      <c r="M175" s="98">
        <v>0</v>
      </c>
      <c r="N175" s="99">
        <v>0</v>
      </c>
      <c r="O175" s="98">
        <v>0</v>
      </c>
      <c r="P175" s="99">
        <v>129882</v>
      </c>
      <c r="Q175" s="98">
        <v>1233046.196616</v>
      </c>
      <c r="R175" s="96" t="s">
        <v>625</v>
      </c>
      <c r="S175" s="96">
        <v>7414000005</v>
      </c>
      <c r="W175" s="129">
        <v>1033543</v>
      </c>
      <c r="X175" s="130">
        <v>1160397.0025419998</v>
      </c>
      <c r="AA175" s="131" t="s">
        <v>394</v>
      </c>
      <c r="AB175" s="130">
        <v>8370030.3999180002</v>
      </c>
      <c r="AC175" s="130">
        <v>8370030.3999180002</v>
      </c>
    </row>
    <row r="176" spans="1:29" x14ac:dyDescent="0.25">
      <c r="A176" t="str">
        <f t="shared" si="3"/>
        <v xml:space="preserve">1015473CETELEM 22          </v>
      </c>
      <c r="B176" s="96">
        <v>1015473</v>
      </c>
      <c r="C176" s="96" t="s">
        <v>660</v>
      </c>
      <c r="D176" s="96" t="s">
        <v>409</v>
      </c>
      <c r="E176" s="96" t="s">
        <v>623</v>
      </c>
      <c r="F176" s="96" t="s">
        <v>624</v>
      </c>
      <c r="G176" s="99">
        <v>176890</v>
      </c>
      <c r="H176" s="97">
        <v>9.3381629999999998</v>
      </c>
      <c r="I176" s="98">
        <v>1651827.65307</v>
      </c>
      <c r="J176" s="97">
        <v>8.3307969100000001</v>
      </c>
      <c r="K176" s="98">
        <v>178192.98766010001</v>
      </c>
      <c r="L176" s="99">
        <v>0</v>
      </c>
      <c r="M176" s="98">
        <v>0</v>
      </c>
      <c r="N176" s="99">
        <v>0</v>
      </c>
      <c r="O176" s="98">
        <v>0</v>
      </c>
      <c r="P176" s="99">
        <v>176890</v>
      </c>
      <c r="Q176" s="98">
        <v>1651827.65307</v>
      </c>
      <c r="R176" s="96" t="s">
        <v>625</v>
      </c>
      <c r="S176" s="96">
        <v>7414000005</v>
      </c>
      <c r="W176" s="129">
        <v>1033544</v>
      </c>
      <c r="X176" s="130">
        <v>48967.917637999999</v>
      </c>
      <c r="AA176" s="131" t="s">
        <v>379</v>
      </c>
      <c r="AB176" s="130">
        <v>1539533.320911</v>
      </c>
      <c r="AC176" s="130">
        <v>1539533.320911</v>
      </c>
    </row>
    <row r="177" spans="1:29" x14ac:dyDescent="0.25">
      <c r="A177" t="str">
        <f t="shared" si="3"/>
        <v xml:space="preserve">1015473CETES 241003        </v>
      </c>
      <c r="B177" s="96">
        <v>1015473</v>
      </c>
      <c r="C177" s="96" t="s">
        <v>660</v>
      </c>
      <c r="D177" s="96" t="s">
        <v>375</v>
      </c>
      <c r="E177" s="96" t="s">
        <v>623</v>
      </c>
      <c r="F177" s="96" t="s">
        <v>624</v>
      </c>
      <c r="G177" s="99">
        <v>7559</v>
      </c>
      <c r="H177" s="97">
        <v>98.730349000000004</v>
      </c>
      <c r="I177" s="98">
        <v>746302.70809099998</v>
      </c>
      <c r="J177" s="97">
        <v>104.28077916390264</v>
      </c>
      <c r="K177" s="98">
        <v>-41955.701608939999</v>
      </c>
      <c r="L177" s="99">
        <v>0</v>
      </c>
      <c r="M177" s="98">
        <v>0</v>
      </c>
      <c r="N177" s="99">
        <v>0</v>
      </c>
      <c r="O177" s="98">
        <v>0</v>
      </c>
      <c r="P177" s="99">
        <v>7559</v>
      </c>
      <c r="Q177" s="98">
        <v>746302.70809099998</v>
      </c>
      <c r="R177" s="96" t="s">
        <v>625</v>
      </c>
      <c r="S177" s="96">
        <v>7414000005</v>
      </c>
      <c r="W177" s="129">
        <v>65507504761</v>
      </c>
      <c r="X177" s="130">
        <v>21481585.130616002</v>
      </c>
      <c r="AA177" s="131" t="s">
        <v>377</v>
      </c>
      <c r="AB177" s="130">
        <v>942133.61823999998</v>
      </c>
      <c r="AC177" s="130">
        <v>942133.61823999998</v>
      </c>
    </row>
    <row r="178" spans="1:29" x14ac:dyDescent="0.25">
      <c r="A178" t="str">
        <f t="shared" si="3"/>
        <v xml:space="preserve">1015473CETES 241128        </v>
      </c>
      <c r="B178" s="96">
        <v>1015473</v>
      </c>
      <c r="C178" s="96" t="s">
        <v>660</v>
      </c>
      <c r="D178" s="96" t="s">
        <v>376</v>
      </c>
      <c r="E178" s="96" t="s">
        <v>623</v>
      </c>
      <c r="F178" s="96" t="s">
        <v>624</v>
      </c>
      <c r="G178" s="99">
        <v>9263</v>
      </c>
      <c r="H178" s="97">
        <v>99.247497999999993</v>
      </c>
      <c r="I178" s="98">
        <v>919329.57397400006</v>
      </c>
      <c r="J178" s="97">
        <v>112.254154175536</v>
      </c>
      <c r="K178" s="98">
        <v>-120480.65615399</v>
      </c>
      <c r="L178" s="99">
        <v>0</v>
      </c>
      <c r="M178" s="98">
        <v>0</v>
      </c>
      <c r="N178" s="99">
        <v>0</v>
      </c>
      <c r="O178" s="98">
        <v>0</v>
      </c>
      <c r="P178" s="99">
        <v>9263</v>
      </c>
      <c r="Q178" s="98">
        <v>919329.57397400006</v>
      </c>
      <c r="R178" s="96" t="s">
        <v>625</v>
      </c>
      <c r="S178" s="96">
        <v>7414000005</v>
      </c>
      <c r="W178" s="129">
        <v>1033545</v>
      </c>
      <c r="X178" s="130">
        <v>6653932.8813429996</v>
      </c>
      <c r="AA178" s="131" t="s">
        <v>422</v>
      </c>
      <c r="AB178" s="130">
        <v>192476.86379100001</v>
      </c>
      <c r="AC178" s="130">
        <v>192476.86379100001</v>
      </c>
    </row>
    <row r="179" spans="1:29" x14ac:dyDescent="0.25">
      <c r="A179" t="str">
        <f t="shared" si="3"/>
        <v xml:space="preserve">1015473GOBFED 240905       </v>
      </c>
      <c r="B179" s="96">
        <v>1015473</v>
      </c>
      <c r="C179" s="96" t="s">
        <v>660</v>
      </c>
      <c r="D179" s="96" t="s">
        <v>377</v>
      </c>
      <c r="E179" s="96" t="s">
        <v>623</v>
      </c>
      <c r="F179" s="96" t="s">
        <v>624</v>
      </c>
      <c r="G179" s="99">
        <v>3060</v>
      </c>
      <c r="H179" s="97">
        <v>94.973146999999997</v>
      </c>
      <c r="I179" s="98">
        <v>290617.82981999998</v>
      </c>
      <c r="J179" s="97">
        <v>89.778084726895429</v>
      </c>
      <c r="K179" s="98">
        <v>15896.8905557</v>
      </c>
      <c r="L179" s="99">
        <v>0</v>
      </c>
      <c r="M179" s="98">
        <v>0</v>
      </c>
      <c r="N179" s="99">
        <v>0</v>
      </c>
      <c r="O179" s="98">
        <v>0</v>
      </c>
      <c r="P179" s="99">
        <v>3060</v>
      </c>
      <c r="Q179" s="98">
        <v>290617.82981999998</v>
      </c>
      <c r="R179" s="96" t="s">
        <v>625</v>
      </c>
      <c r="S179" s="96">
        <v>7414000005</v>
      </c>
      <c r="W179" s="129">
        <v>1033546</v>
      </c>
      <c r="X179" s="130">
        <v>3056053.010545</v>
      </c>
      <c r="AA179" s="131" t="s">
        <v>392</v>
      </c>
      <c r="AB179" s="130">
        <v>8967635.5408640001</v>
      </c>
      <c r="AC179" s="130">
        <v>8967635.5408640001</v>
      </c>
    </row>
    <row r="180" spans="1:29" x14ac:dyDescent="0.25">
      <c r="A180" t="str">
        <f t="shared" si="3"/>
        <v xml:space="preserve">1015473GOBFED 241205       </v>
      </c>
      <c r="B180" s="96">
        <v>1015473</v>
      </c>
      <c r="C180" s="96" t="s">
        <v>660</v>
      </c>
      <c r="D180" s="96" t="s">
        <v>378</v>
      </c>
      <c r="E180" s="96" t="s">
        <v>623</v>
      </c>
      <c r="F180" s="96" t="s">
        <v>624</v>
      </c>
      <c r="G180" s="99">
        <v>10331</v>
      </c>
      <c r="H180" s="97">
        <v>91.911821000000003</v>
      </c>
      <c r="I180" s="98">
        <v>949541.02275100001</v>
      </c>
      <c r="J180" s="97">
        <v>93.2088459</v>
      </c>
      <c r="K180" s="98">
        <v>-13399.5642419</v>
      </c>
      <c r="L180" s="99">
        <v>0</v>
      </c>
      <c r="M180" s="98">
        <v>0</v>
      </c>
      <c r="N180" s="99">
        <v>0</v>
      </c>
      <c r="O180" s="98">
        <v>0</v>
      </c>
      <c r="P180" s="99">
        <v>10331</v>
      </c>
      <c r="Q180" s="98">
        <v>949541.02275100001</v>
      </c>
      <c r="R180" s="96" t="s">
        <v>625</v>
      </c>
      <c r="S180" s="96">
        <v>7414000005</v>
      </c>
      <c r="W180" s="129">
        <v>1031341</v>
      </c>
      <c r="X180" s="130">
        <v>26358687.108624</v>
      </c>
      <c r="AA180" s="131" t="s">
        <v>386</v>
      </c>
      <c r="AB180" s="130">
        <v>6784107.8408040004</v>
      </c>
      <c r="AC180" s="130">
        <v>6784107.8408040004</v>
      </c>
    </row>
    <row r="181" spans="1:29" x14ac:dyDescent="0.25">
      <c r="A181" t="str">
        <f t="shared" si="3"/>
        <v xml:space="preserve">1015473GOBFED 250306       </v>
      </c>
      <c r="B181" s="96">
        <v>1015473</v>
      </c>
      <c r="C181" s="96" t="s">
        <v>660</v>
      </c>
      <c r="D181" s="96" t="s">
        <v>499</v>
      </c>
      <c r="E181" s="96" t="s">
        <v>623</v>
      </c>
      <c r="F181" s="96" t="s">
        <v>624</v>
      </c>
      <c r="G181" s="99">
        <v>5390</v>
      </c>
      <c r="H181" s="97">
        <v>92.954503000000003</v>
      </c>
      <c r="I181" s="98">
        <v>501024.77117000002</v>
      </c>
      <c r="J181" s="97">
        <v>93.326693087847872</v>
      </c>
      <c r="K181" s="98">
        <v>-2006.1045735</v>
      </c>
      <c r="L181" s="99">
        <v>0</v>
      </c>
      <c r="M181" s="98">
        <v>0</v>
      </c>
      <c r="N181" s="99">
        <v>0</v>
      </c>
      <c r="O181" s="98">
        <v>0</v>
      </c>
      <c r="P181" s="99">
        <v>5390</v>
      </c>
      <c r="Q181" s="98">
        <v>501024.77117000002</v>
      </c>
      <c r="R181" s="96" t="s">
        <v>625</v>
      </c>
      <c r="S181" s="96">
        <v>7414000005</v>
      </c>
      <c r="W181" s="129">
        <v>1032746</v>
      </c>
      <c r="X181" s="130">
        <v>208600192.50844401</v>
      </c>
      <c r="AA181" s="131" t="s">
        <v>363</v>
      </c>
      <c r="AB181" s="130">
        <v>4012806.7373680002</v>
      </c>
      <c r="AC181" s="130">
        <v>4012806.7373680002</v>
      </c>
    </row>
    <row r="182" spans="1:29" x14ac:dyDescent="0.25">
      <c r="A182" t="str">
        <f t="shared" si="3"/>
        <v xml:space="preserve">1015473GOBFED 260305       </v>
      </c>
      <c r="B182" s="96">
        <v>1015473</v>
      </c>
      <c r="C182" s="96" t="s">
        <v>660</v>
      </c>
      <c r="D182" s="96" t="s">
        <v>379</v>
      </c>
      <c r="E182" s="96" t="s">
        <v>623</v>
      </c>
      <c r="F182" s="96" t="s">
        <v>624</v>
      </c>
      <c r="G182" s="99">
        <v>5354</v>
      </c>
      <c r="H182" s="97">
        <v>88.698122999999995</v>
      </c>
      <c r="I182" s="98">
        <v>474889.75054199999</v>
      </c>
      <c r="J182" s="97">
        <v>85.585677442756818</v>
      </c>
      <c r="K182" s="98">
        <v>16664.033513480001</v>
      </c>
      <c r="L182" s="99">
        <v>0</v>
      </c>
      <c r="M182" s="98">
        <v>0</v>
      </c>
      <c r="N182" s="99">
        <v>0</v>
      </c>
      <c r="O182" s="98">
        <v>0</v>
      </c>
      <c r="P182" s="99">
        <v>5354</v>
      </c>
      <c r="Q182" s="98">
        <v>474889.75054199999</v>
      </c>
      <c r="R182" s="96" t="s">
        <v>625</v>
      </c>
      <c r="S182" s="96">
        <v>7414000005</v>
      </c>
      <c r="W182" s="129">
        <v>1032747</v>
      </c>
      <c r="X182" s="130">
        <v>20794139.831067998</v>
      </c>
      <c r="AA182" s="131" t="s">
        <v>409</v>
      </c>
      <c r="AB182" s="130">
        <v>5375887.0574700003</v>
      </c>
      <c r="AC182" s="130">
        <v>5375887.0574700003</v>
      </c>
    </row>
    <row r="183" spans="1:29" x14ac:dyDescent="0.25">
      <c r="A183" t="str">
        <f t="shared" si="3"/>
        <v xml:space="preserve">1015473GOBFED 260903       </v>
      </c>
      <c r="B183" s="96">
        <v>1015473</v>
      </c>
      <c r="C183" s="96" t="s">
        <v>660</v>
      </c>
      <c r="D183" s="96" t="s">
        <v>380</v>
      </c>
      <c r="E183" s="96" t="s">
        <v>623</v>
      </c>
      <c r="F183" s="96" t="s">
        <v>624</v>
      </c>
      <c r="G183" s="99">
        <v>10230</v>
      </c>
      <c r="H183" s="97">
        <v>93.314192000000006</v>
      </c>
      <c r="I183" s="98">
        <v>954604.18415999995</v>
      </c>
      <c r="J183" s="97">
        <v>98.836472145376348</v>
      </c>
      <c r="K183" s="98">
        <v>-56492.925887199999</v>
      </c>
      <c r="L183" s="99">
        <v>0</v>
      </c>
      <c r="M183" s="98">
        <v>0</v>
      </c>
      <c r="N183" s="99">
        <v>0</v>
      </c>
      <c r="O183" s="98">
        <v>0</v>
      </c>
      <c r="P183" s="99">
        <v>10230</v>
      </c>
      <c r="Q183" s="98">
        <v>954604.18415999995</v>
      </c>
      <c r="R183" s="96" t="s">
        <v>625</v>
      </c>
      <c r="S183" s="96">
        <v>7414000005</v>
      </c>
      <c r="W183" s="129">
        <v>65502262917</v>
      </c>
      <c r="X183" s="130">
        <v>25703030.650028002</v>
      </c>
      <c r="AA183" s="131" t="s">
        <v>383</v>
      </c>
      <c r="AB183" s="130">
        <v>7219009.4699999997</v>
      </c>
      <c r="AC183" s="130">
        <v>7219009.4699999997</v>
      </c>
    </row>
    <row r="184" spans="1:29" x14ac:dyDescent="0.25">
      <c r="A184" t="str">
        <f t="shared" si="3"/>
        <v xml:space="preserve">1015473GOBFED 270304       </v>
      </c>
      <c r="B184" s="96">
        <v>1015473</v>
      </c>
      <c r="C184" s="96" t="s">
        <v>660</v>
      </c>
      <c r="D184" s="96" t="s">
        <v>507</v>
      </c>
      <c r="E184" s="96" t="s">
        <v>623</v>
      </c>
      <c r="F184" s="96" t="s">
        <v>624</v>
      </c>
      <c r="G184" s="99">
        <v>9410</v>
      </c>
      <c r="H184" s="97">
        <v>94.864168000000006</v>
      </c>
      <c r="I184" s="98">
        <v>892671.82088000001</v>
      </c>
      <c r="J184" s="97">
        <v>96.406295566673748</v>
      </c>
      <c r="K184" s="98">
        <v>-14511.420402399999</v>
      </c>
      <c r="L184" s="99">
        <v>0</v>
      </c>
      <c r="M184" s="98">
        <v>0</v>
      </c>
      <c r="N184" s="99">
        <v>0</v>
      </c>
      <c r="O184" s="98">
        <v>0</v>
      </c>
      <c r="P184" s="99">
        <v>9410</v>
      </c>
      <c r="Q184" s="98">
        <v>892671.82088000001</v>
      </c>
      <c r="R184" s="96" t="s">
        <v>625</v>
      </c>
      <c r="S184" s="96">
        <v>7414000005</v>
      </c>
      <c r="W184" s="129">
        <v>65507528155</v>
      </c>
      <c r="X184" s="130">
        <v>11500584.420524001</v>
      </c>
      <c r="AA184" s="131" t="s">
        <v>397</v>
      </c>
      <c r="AB184" s="130">
        <v>1454447.6531529999</v>
      </c>
      <c r="AC184" s="130">
        <v>1454447.6531529999</v>
      </c>
    </row>
    <row r="185" spans="1:29" x14ac:dyDescent="0.25">
      <c r="A185" t="str">
        <f t="shared" si="3"/>
        <v xml:space="preserve">1015473GOBFED 270603       </v>
      </c>
      <c r="B185" s="96">
        <v>1015473</v>
      </c>
      <c r="C185" s="96" t="s">
        <v>660</v>
      </c>
      <c r="D185" s="96" t="s">
        <v>381</v>
      </c>
      <c r="E185" s="96" t="s">
        <v>623</v>
      </c>
      <c r="F185" s="96" t="s">
        <v>624</v>
      </c>
      <c r="G185" s="99">
        <v>46161</v>
      </c>
      <c r="H185" s="97">
        <v>94.870157000000006</v>
      </c>
      <c r="I185" s="98">
        <v>4379301.3172770003</v>
      </c>
      <c r="J185" s="97">
        <v>97.073413020367624</v>
      </c>
      <c r="K185" s="98">
        <v>-101704.50115619</v>
      </c>
      <c r="L185" s="99">
        <v>0</v>
      </c>
      <c r="M185" s="98">
        <v>0</v>
      </c>
      <c r="N185" s="99">
        <v>0</v>
      </c>
      <c r="O185" s="98">
        <v>0</v>
      </c>
      <c r="P185" s="99">
        <v>46161</v>
      </c>
      <c r="Q185" s="98">
        <v>4379301.3172770003</v>
      </c>
      <c r="R185" s="96" t="s">
        <v>625</v>
      </c>
      <c r="S185" s="96">
        <v>7414000005</v>
      </c>
      <c r="W185" s="129">
        <v>65507528400</v>
      </c>
      <c r="X185" s="130">
        <v>111981871.528042</v>
      </c>
      <c r="AA185" s="131" t="s">
        <v>499</v>
      </c>
      <c r="AB185" s="130">
        <v>1625774.2574700001</v>
      </c>
      <c r="AC185" s="130">
        <v>1625774.2574700001</v>
      </c>
    </row>
    <row r="186" spans="1:29" x14ac:dyDescent="0.25">
      <c r="A186" t="str">
        <f t="shared" si="3"/>
        <v xml:space="preserve">1015473GOBFED 290301       </v>
      </c>
      <c r="B186" s="96">
        <v>1015473</v>
      </c>
      <c r="C186" s="96" t="s">
        <v>660</v>
      </c>
      <c r="D186" s="96" t="s">
        <v>382</v>
      </c>
      <c r="E186" s="96" t="s">
        <v>623</v>
      </c>
      <c r="F186" s="96" t="s">
        <v>624</v>
      </c>
      <c r="G186" s="99">
        <v>12537</v>
      </c>
      <c r="H186" s="97">
        <v>89.489464999999996</v>
      </c>
      <c r="I186" s="98">
        <v>1121929.422705</v>
      </c>
      <c r="J186" s="97">
        <v>91.602808392334694</v>
      </c>
      <c r="K186" s="98">
        <v>-26494.986109699999</v>
      </c>
      <c r="L186" s="99">
        <v>0</v>
      </c>
      <c r="M186" s="98">
        <v>0</v>
      </c>
      <c r="N186" s="99">
        <v>0</v>
      </c>
      <c r="O186" s="98">
        <v>0</v>
      </c>
      <c r="P186" s="99">
        <v>12537</v>
      </c>
      <c r="Q186" s="98">
        <v>1121929.422705</v>
      </c>
      <c r="R186" s="96" t="s">
        <v>625</v>
      </c>
      <c r="S186" s="96">
        <v>7414000005</v>
      </c>
      <c r="W186" s="129">
        <v>65507671187</v>
      </c>
      <c r="X186" s="130">
        <v>55433717.057081997</v>
      </c>
      <c r="AA186" s="131" t="s">
        <v>507</v>
      </c>
      <c r="AB186" s="130">
        <v>2915175.88264</v>
      </c>
      <c r="AC186" s="130">
        <v>2915175.88264</v>
      </c>
    </row>
    <row r="187" spans="1:29" x14ac:dyDescent="0.25">
      <c r="A187" t="str">
        <f t="shared" si="3"/>
        <v xml:space="preserve">1015473GOBFED 290531       </v>
      </c>
      <c r="B187" s="96">
        <v>1015473</v>
      </c>
      <c r="C187" s="96" t="s">
        <v>660</v>
      </c>
      <c r="D187" s="96" t="s">
        <v>383</v>
      </c>
      <c r="E187" s="96" t="s">
        <v>623</v>
      </c>
      <c r="F187" s="96" t="s">
        <v>624</v>
      </c>
      <c r="G187" s="99">
        <v>24530</v>
      </c>
      <c r="H187" s="97">
        <v>86.197128000000006</v>
      </c>
      <c r="I187" s="98">
        <v>2114415.54984</v>
      </c>
      <c r="J187" s="97">
        <v>89.62414919991032</v>
      </c>
      <c r="K187" s="98">
        <v>-84064.830033799997</v>
      </c>
      <c r="L187" s="99">
        <v>0</v>
      </c>
      <c r="M187" s="98">
        <v>0</v>
      </c>
      <c r="N187" s="99">
        <v>0</v>
      </c>
      <c r="O187" s="98">
        <v>0</v>
      </c>
      <c r="P187" s="99">
        <v>24530</v>
      </c>
      <c r="Q187" s="98">
        <v>2114415.54984</v>
      </c>
      <c r="R187" s="96" t="s">
        <v>625</v>
      </c>
      <c r="S187" s="96">
        <v>7414000005</v>
      </c>
      <c r="W187" s="129">
        <v>65507684270</v>
      </c>
      <c r="X187" s="130">
        <v>73521122.644917995</v>
      </c>
      <c r="AA187" s="129">
        <v>1018695</v>
      </c>
      <c r="AB187" s="130">
        <v>2648670.4919789992</v>
      </c>
      <c r="AC187" s="130">
        <v>2648670.4919789992</v>
      </c>
    </row>
    <row r="188" spans="1:29" x14ac:dyDescent="0.25">
      <c r="A188" t="str">
        <f t="shared" si="3"/>
        <v xml:space="preserve">1015473GOBFED 310529       </v>
      </c>
      <c r="B188" s="96">
        <v>1015473</v>
      </c>
      <c r="C188" s="96" t="s">
        <v>660</v>
      </c>
      <c r="D188" s="96" t="s">
        <v>427</v>
      </c>
      <c r="E188" s="96" t="s">
        <v>623</v>
      </c>
      <c r="F188" s="96" t="s">
        <v>624</v>
      </c>
      <c r="G188" s="99">
        <v>14897</v>
      </c>
      <c r="H188" s="97">
        <v>86.469353999999996</v>
      </c>
      <c r="I188" s="98">
        <v>1288133.9665379999</v>
      </c>
      <c r="J188" s="97">
        <v>90.762857651495608</v>
      </c>
      <c r="K188" s="98">
        <v>-63960.323896330003</v>
      </c>
      <c r="L188" s="99">
        <v>0</v>
      </c>
      <c r="M188" s="98">
        <v>0</v>
      </c>
      <c r="N188" s="99">
        <v>0</v>
      </c>
      <c r="O188" s="98">
        <v>0</v>
      </c>
      <c r="P188" s="99">
        <v>14897</v>
      </c>
      <c r="Q188" s="98">
        <v>1288133.9665379999</v>
      </c>
      <c r="R188" s="96" t="s">
        <v>625</v>
      </c>
      <c r="S188" s="96">
        <v>7414000005</v>
      </c>
      <c r="W188" s="129">
        <v>65507684389</v>
      </c>
      <c r="X188" s="130">
        <v>464909709.46544802</v>
      </c>
      <c r="AA188" s="131" t="s">
        <v>376</v>
      </c>
      <c r="AB188" s="130">
        <v>73641.643515999996</v>
      </c>
      <c r="AC188" s="130">
        <v>73641.643515999996</v>
      </c>
    </row>
    <row r="189" spans="1:29" x14ac:dyDescent="0.25">
      <c r="A189" t="str">
        <f t="shared" si="3"/>
        <v xml:space="preserve">1015473GOBFED 330526       </v>
      </c>
      <c r="B189" s="96">
        <v>1015473</v>
      </c>
      <c r="C189" s="96" t="s">
        <v>660</v>
      </c>
      <c r="D189" s="96" t="s">
        <v>418</v>
      </c>
      <c r="E189" s="96" t="s">
        <v>623</v>
      </c>
      <c r="F189" s="96" t="s">
        <v>624</v>
      </c>
      <c r="G189" s="99">
        <v>863</v>
      </c>
      <c r="H189" s="97">
        <v>101.45096599999999</v>
      </c>
      <c r="I189" s="98">
        <v>87552.183657999994</v>
      </c>
      <c r="J189" s="97">
        <v>114.11447106</v>
      </c>
      <c r="K189" s="98">
        <v>-10928.604866780001</v>
      </c>
      <c r="L189" s="99">
        <v>0</v>
      </c>
      <c r="M189" s="98">
        <v>0</v>
      </c>
      <c r="N189" s="99">
        <v>0</v>
      </c>
      <c r="O189" s="98">
        <v>0</v>
      </c>
      <c r="P189" s="99">
        <v>863</v>
      </c>
      <c r="Q189" s="98">
        <v>87552.183657999994</v>
      </c>
      <c r="R189" s="96" t="s">
        <v>625</v>
      </c>
      <c r="S189" s="96">
        <v>7414000005</v>
      </c>
      <c r="W189" s="129">
        <v>1033795</v>
      </c>
      <c r="X189" s="130">
        <v>11634623.918634001</v>
      </c>
      <c r="AA189" s="131" t="s">
        <v>378</v>
      </c>
      <c r="AB189" s="130">
        <v>61856.655532999997</v>
      </c>
      <c r="AC189" s="130">
        <v>61856.655532999997</v>
      </c>
    </row>
    <row r="190" spans="1:29" x14ac:dyDescent="0.25">
      <c r="A190" t="str">
        <f t="shared" si="3"/>
        <v xml:space="preserve">1015473GOBFED 341123       </v>
      </c>
      <c r="B190" s="96">
        <v>1015473</v>
      </c>
      <c r="C190" s="96" t="s">
        <v>660</v>
      </c>
      <c r="D190" s="96" t="s">
        <v>408</v>
      </c>
      <c r="E190" s="96" t="s">
        <v>623</v>
      </c>
      <c r="F190" s="96" t="s">
        <v>624</v>
      </c>
      <c r="G190" s="99">
        <v>735</v>
      </c>
      <c r="H190" s="97">
        <v>89.643172000000007</v>
      </c>
      <c r="I190" s="98">
        <v>65887.731419999996</v>
      </c>
      <c r="J190" s="97">
        <v>108.47711812999999</v>
      </c>
      <c r="K190" s="98">
        <v>-13842.95040555</v>
      </c>
      <c r="L190" s="99">
        <v>0</v>
      </c>
      <c r="M190" s="98">
        <v>0</v>
      </c>
      <c r="N190" s="99">
        <v>0</v>
      </c>
      <c r="O190" s="98">
        <v>0</v>
      </c>
      <c r="P190" s="99">
        <v>735</v>
      </c>
      <c r="Q190" s="98">
        <v>65887.731419999996</v>
      </c>
      <c r="R190" s="96" t="s">
        <v>625</v>
      </c>
      <c r="S190" s="96">
        <v>7414000005</v>
      </c>
      <c r="W190" s="129">
        <v>1033796</v>
      </c>
      <c r="X190" s="130">
        <v>737.09952399999997</v>
      </c>
      <c r="AA190" s="131" t="s">
        <v>380</v>
      </c>
      <c r="AB190" s="130">
        <v>122241.59152</v>
      </c>
      <c r="AC190" s="130">
        <v>122241.59152</v>
      </c>
    </row>
    <row r="191" spans="1:29" x14ac:dyDescent="0.25">
      <c r="A191" t="str">
        <f t="shared" si="3"/>
        <v xml:space="preserve">1015473GOBFED 361120       </v>
      </c>
      <c r="B191" s="96">
        <v>1015473</v>
      </c>
      <c r="C191" s="96" t="s">
        <v>660</v>
      </c>
      <c r="D191" s="96" t="s">
        <v>384</v>
      </c>
      <c r="E191" s="96" t="s">
        <v>623</v>
      </c>
      <c r="F191" s="96" t="s">
        <v>624</v>
      </c>
      <c r="G191" s="99">
        <v>16762</v>
      </c>
      <c r="H191" s="97">
        <v>81.738860000000003</v>
      </c>
      <c r="I191" s="98">
        <v>1370106.7713200001</v>
      </c>
      <c r="J191" s="97">
        <v>86.366601686218829</v>
      </c>
      <c r="K191" s="98">
        <v>-77570.206144399999</v>
      </c>
      <c r="L191" s="99">
        <v>0</v>
      </c>
      <c r="M191" s="98">
        <v>0</v>
      </c>
      <c r="N191" s="99">
        <v>0</v>
      </c>
      <c r="O191" s="98">
        <v>0</v>
      </c>
      <c r="P191" s="99">
        <v>16762</v>
      </c>
      <c r="Q191" s="98">
        <v>1370106.7713200001</v>
      </c>
      <c r="R191" s="96" t="s">
        <v>625</v>
      </c>
      <c r="S191" s="96">
        <v>7414000005</v>
      </c>
      <c r="W191" s="129">
        <v>1032902</v>
      </c>
      <c r="X191" s="130">
        <v>15887015.147024</v>
      </c>
      <c r="AA191" s="131" t="s">
        <v>382</v>
      </c>
      <c r="AB191" s="130">
        <v>14497.29333</v>
      </c>
      <c r="AC191" s="130">
        <v>14497.29333</v>
      </c>
    </row>
    <row r="192" spans="1:29" x14ac:dyDescent="0.25">
      <c r="A192" t="str">
        <f t="shared" si="3"/>
        <v xml:space="preserve">1015473GOBFED 381118       </v>
      </c>
      <c r="B192" s="96">
        <v>1015473</v>
      </c>
      <c r="C192" s="96" t="s">
        <v>660</v>
      </c>
      <c r="D192" s="96" t="s">
        <v>385</v>
      </c>
      <c r="E192" s="96" t="s">
        <v>623</v>
      </c>
      <c r="F192" s="96" t="s">
        <v>624</v>
      </c>
      <c r="G192" s="99">
        <v>3135</v>
      </c>
      <c r="H192" s="97">
        <v>83.200761</v>
      </c>
      <c r="I192" s="98">
        <v>260834.38573499999</v>
      </c>
      <c r="J192" s="97">
        <v>94.401034177942577</v>
      </c>
      <c r="K192" s="98">
        <v>-35112.85641285</v>
      </c>
      <c r="L192" s="99">
        <v>0</v>
      </c>
      <c r="M192" s="98">
        <v>0</v>
      </c>
      <c r="N192" s="99">
        <v>0</v>
      </c>
      <c r="O192" s="98">
        <v>0</v>
      </c>
      <c r="P192" s="99">
        <v>3135</v>
      </c>
      <c r="Q192" s="98">
        <v>260834.38573499999</v>
      </c>
      <c r="R192" s="96" t="s">
        <v>625</v>
      </c>
      <c r="S192" s="96">
        <v>7414000005</v>
      </c>
      <c r="W192" s="129">
        <v>1034700</v>
      </c>
      <c r="X192" s="130">
        <v>6097351.8011959996</v>
      </c>
      <c r="AA192" s="131" t="s">
        <v>427</v>
      </c>
      <c r="AB192" s="130">
        <v>5188.1612400000004</v>
      </c>
      <c r="AC192" s="130">
        <v>5188.1612400000004</v>
      </c>
    </row>
    <row r="193" spans="1:29" x14ac:dyDescent="0.25">
      <c r="A193" t="str">
        <f t="shared" si="3"/>
        <v xml:space="preserve">1015473GOBFED 421113       </v>
      </c>
      <c r="B193" s="96">
        <v>1015473</v>
      </c>
      <c r="C193" s="96" t="s">
        <v>660</v>
      </c>
      <c r="D193" s="96" t="s">
        <v>386</v>
      </c>
      <c r="E193" s="96" t="s">
        <v>623</v>
      </c>
      <c r="F193" s="96" t="s">
        <v>624</v>
      </c>
      <c r="G193" s="99">
        <v>28277</v>
      </c>
      <c r="H193" s="97">
        <v>82.159907000000004</v>
      </c>
      <c r="I193" s="98">
        <v>2323235.6902390001</v>
      </c>
      <c r="J193" s="97">
        <v>84.062520635517913</v>
      </c>
      <c r="K193" s="98">
        <v>-53800.205771540001</v>
      </c>
      <c r="L193" s="99">
        <v>0</v>
      </c>
      <c r="M193" s="98">
        <v>0</v>
      </c>
      <c r="N193" s="99">
        <v>0</v>
      </c>
      <c r="O193" s="98">
        <v>0</v>
      </c>
      <c r="P193" s="99">
        <v>28277</v>
      </c>
      <c r="Q193" s="98">
        <v>2323235.6902390001</v>
      </c>
      <c r="R193" s="96" t="s">
        <v>625</v>
      </c>
      <c r="S193" s="96">
        <v>7414000005</v>
      </c>
      <c r="W193" s="129">
        <v>65507747706</v>
      </c>
      <c r="X193" s="130">
        <v>2988249.0251039998</v>
      </c>
      <c r="AA193" s="131" t="s">
        <v>418</v>
      </c>
      <c r="AB193" s="130">
        <v>5985.6069939999998</v>
      </c>
      <c r="AC193" s="130">
        <v>5985.6069939999998</v>
      </c>
    </row>
    <row r="194" spans="1:29" x14ac:dyDescent="0.25">
      <c r="A194" t="str">
        <f t="shared" si="3"/>
        <v xml:space="preserve">1015473GOBFED 471107       </v>
      </c>
      <c r="B194" s="96">
        <v>1015473</v>
      </c>
      <c r="C194" s="96" t="s">
        <v>660</v>
      </c>
      <c r="D194" s="96" t="s">
        <v>428</v>
      </c>
      <c r="E194" s="96" t="s">
        <v>623</v>
      </c>
      <c r="F194" s="96" t="s">
        <v>624</v>
      </c>
      <c r="G194" s="99">
        <v>0</v>
      </c>
      <c r="H194" s="97">
        <v>0</v>
      </c>
      <c r="I194" s="98">
        <v>0</v>
      </c>
      <c r="J194" s="97">
        <v>0</v>
      </c>
      <c r="K194" s="98">
        <v>0</v>
      </c>
      <c r="L194" s="99">
        <v>0</v>
      </c>
      <c r="M194" s="98">
        <v>0</v>
      </c>
      <c r="N194" s="99">
        <v>0</v>
      </c>
      <c r="O194" s="98">
        <v>0</v>
      </c>
      <c r="P194" s="99">
        <v>0</v>
      </c>
      <c r="Q194" s="98">
        <v>0</v>
      </c>
      <c r="R194" s="96" t="s">
        <v>625</v>
      </c>
      <c r="S194" s="96">
        <v>7414000005</v>
      </c>
      <c r="W194" s="129">
        <v>65507430562</v>
      </c>
      <c r="X194" s="130">
        <v>219370869.39074799</v>
      </c>
      <c r="AA194" s="131" t="s">
        <v>408</v>
      </c>
      <c r="AB194" s="130">
        <v>5647.5198360000004</v>
      </c>
      <c r="AC194" s="130">
        <v>5647.5198360000004</v>
      </c>
    </row>
    <row r="195" spans="1:29" x14ac:dyDescent="0.25">
      <c r="A195" t="str">
        <f t="shared" si="3"/>
        <v xml:space="preserve">1015473GOBFED 530731       </v>
      </c>
      <c r="B195" s="96">
        <v>1015473</v>
      </c>
      <c r="C195" s="96" t="s">
        <v>660</v>
      </c>
      <c r="D195" s="96" t="s">
        <v>429</v>
      </c>
      <c r="E195" s="96" t="s">
        <v>623</v>
      </c>
      <c r="F195" s="96" t="s">
        <v>624</v>
      </c>
      <c r="G195" s="99">
        <v>21690</v>
      </c>
      <c r="H195" s="97">
        <v>98.007834000000003</v>
      </c>
      <c r="I195" s="98">
        <v>2125789.91946</v>
      </c>
      <c r="J195" s="97">
        <v>89.821179151327797</v>
      </c>
      <c r="K195" s="98">
        <v>177568.5436677</v>
      </c>
      <c r="L195" s="99">
        <v>0</v>
      </c>
      <c r="M195" s="98">
        <v>0</v>
      </c>
      <c r="N195" s="99">
        <v>0</v>
      </c>
      <c r="O195" s="98">
        <v>0</v>
      </c>
      <c r="P195" s="99">
        <v>21690</v>
      </c>
      <c r="Q195" s="98">
        <v>2125789.91946</v>
      </c>
      <c r="R195" s="96" t="s">
        <v>625</v>
      </c>
      <c r="S195" s="96">
        <v>7414000005</v>
      </c>
      <c r="W195" s="129">
        <v>1031340</v>
      </c>
      <c r="X195" s="130">
        <v>32195624.158808</v>
      </c>
      <c r="AA195" s="131" t="s">
        <v>384</v>
      </c>
      <c r="AB195" s="130">
        <v>66126.737739999997</v>
      </c>
      <c r="AC195" s="130">
        <v>66126.737739999997</v>
      </c>
    </row>
    <row r="196" spans="1:29" x14ac:dyDescent="0.25">
      <c r="A196" t="str">
        <f t="shared" si="3"/>
        <v xml:space="preserve">1015473LIVEPOL 19          </v>
      </c>
      <c r="B196" s="96">
        <v>1015473</v>
      </c>
      <c r="C196" s="96" t="s">
        <v>660</v>
      </c>
      <c r="D196" s="96" t="s">
        <v>430</v>
      </c>
      <c r="E196" s="96" t="s">
        <v>623</v>
      </c>
      <c r="F196" s="96" t="s">
        <v>624</v>
      </c>
      <c r="G196" s="99">
        <v>4188210</v>
      </c>
      <c r="H196" s="97">
        <v>3.1390400000000001</v>
      </c>
      <c r="I196" s="98">
        <v>13146958.7184</v>
      </c>
      <c r="J196" s="97">
        <v>2.374308757201764</v>
      </c>
      <c r="K196" s="98">
        <v>3202855.0384</v>
      </c>
      <c r="L196" s="99">
        <v>0</v>
      </c>
      <c r="M196" s="98">
        <v>0</v>
      </c>
      <c r="N196" s="99">
        <v>0</v>
      </c>
      <c r="O196" s="98">
        <v>0</v>
      </c>
      <c r="P196" s="99">
        <v>4188210</v>
      </c>
      <c r="Q196" s="98">
        <v>13146958.7184</v>
      </c>
      <c r="R196" s="96" t="s">
        <v>625</v>
      </c>
      <c r="S196" s="96">
        <v>7414000005</v>
      </c>
      <c r="W196" s="129">
        <v>65507895505</v>
      </c>
      <c r="X196" s="130">
        <v>5848028.7495429991</v>
      </c>
      <c r="AA196" s="131" t="s">
        <v>389</v>
      </c>
      <c r="AB196" s="130">
        <v>185810.22194399999</v>
      </c>
      <c r="AC196" s="130">
        <v>185810.22194399999</v>
      </c>
    </row>
    <row r="197" spans="1:29" x14ac:dyDescent="0.25">
      <c r="A197" t="str">
        <f t="shared" si="3"/>
        <v xml:space="preserve">1015473PEMEX 13-2          </v>
      </c>
      <c r="B197" s="96">
        <v>1015473</v>
      </c>
      <c r="C197" s="96" t="s">
        <v>660</v>
      </c>
      <c r="D197" s="96" t="s">
        <v>389</v>
      </c>
      <c r="E197" s="96" t="s">
        <v>623</v>
      </c>
      <c r="F197" s="96" t="s">
        <v>624</v>
      </c>
      <c r="G197" s="99">
        <v>847437</v>
      </c>
      <c r="H197" s="97">
        <v>3.3967719999999999</v>
      </c>
      <c r="I197" s="98">
        <v>2878550.273364</v>
      </c>
      <c r="J197" s="97">
        <v>3.3030302075552518</v>
      </c>
      <c r="K197" s="98">
        <v>79440.263363999999</v>
      </c>
      <c r="L197" s="99">
        <v>0</v>
      </c>
      <c r="M197" s="98">
        <v>0</v>
      </c>
      <c r="N197" s="99">
        <v>0</v>
      </c>
      <c r="O197" s="98">
        <v>0</v>
      </c>
      <c r="P197" s="99">
        <v>847437</v>
      </c>
      <c r="Q197" s="98">
        <v>2878550.273364</v>
      </c>
      <c r="R197" s="96" t="s">
        <v>625</v>
      </c>
      <c r="S197" s="96">
        <v>7414000005</v>
      </c>
      <c r="W197" s="129">
        <v>1036613</v>
      </c>
      <c r="X197" s="130">
        <v>136726683.61000001</v>
      </c>
      <c r="AA197" s="131" t="s">
        <v>391</v>
      </c>
      <c r="AB197" s="130">
        <v>171427.88492700001</v>
      </c>
      <c r="AC197" s="130">
        <v>171427.88492700001</v>
      </c>
    </row>
    <row r="198" spans="1:29" x14ac:dyDescent="0.25">
      <c r="A198" t="str">
        <f t="shared" si="3"/>
        <v xml:space="preserve">1015473ST&amp;ER-C ED          </v>
      </c>
      <c r="B198" s="96">
        <v>1015473</v>
      </c>
      <c r="C198" s="96" t="s">
        <v>660</v>
      </c>
      <c r="D198" s="96" t="s">
        <v>391</v>
      </c>
      <c r="E198" s="96" t="s">
        <v>623</v>
      </c>
      <c r="F198" s="96" t="s">
        <v>624</v>
      </c>
      <c r="G198" s="99">
        <v>2308</v>
      </c>
      <c r="H198" s="97">
        <v>775.69178699999998</v>
      </c>
      <c r="I198" s="98">
        <v>1790296.6443960001</v>
      </c>
      <c r="J198" s="97">
        <v>766.69784126000002</v>
      </c>
      <c r="K198" s="98">
        <v>20758.026767920001</v>
      </c>
      <c r="L198" s="99">
        <v>0</v>
      </c>
      <c r="M198" s="98">
        <v>0</v>
      </c>
      <c r="N198" s="99">
        <v>0</v>
      </c>
      <c r="O198" s="98">
        <v>0</v>
      </c>
      <c r="P198" s="99">
        <v>2308</v>
      </c>
      <c r="Q198" s="98">
        <v>1790296.6443960001</v>
      </c>
      <c r="R198" s="96" t="s">
        <v>625</v>
      </c>
      <c r="S198" s="96">
        <v>7414000005</v>
      </c>
      <c r="W198" s="129">
        <v>1036691</v>
      </c>
      <c r="X198" s="130">
        <v>981466.69845200004</v>
      </c>
      <c r="AA198" s="131" t="s">
        <v>395</v>
      </c>
      <c r="AB198" s="130">
        <v>50240.252724999998</v>
      </c>
      <c r="AC198" s="130">
        <v>50240.252724999998</v>
      </c>
    </row>
    <row r="199" spans="1:29" x14ac:dyDescent="0.25">
      <c r="A199" t="str">
        <f t="shared" ref="A199:A262" si="4">B197&amp;D197</f>
        <v xml:space="preserve">1015473STERGOB ED          </v>
      </c>
      <c r="B199" s="96">
        <v>1015473</v>
      </c>
      <c r="C199" s="96" t="s">
        <v>660</v>
      </c>
      <c r="D199" s="96" t="s">
        <v>392</v>
      </c>
      <c r="E199" s="96" t="s">
        <v>623</v>
      </c>
      <c r="F199" s="96" t="s">
        <v>624</v>
      </c>
      <c r="G199" s="99">
        <v>3687</v>
      </c>
      <c r="H199" s="97">
        <v>747.17843200000004</v>
      </c>
      <c r="I199" s="98">
        <v>2754846.8787839999</v>
      </c>
      <c r="J199" s="97">
        <v>723.89957231611061</v>
      </c>
      <c r="K199" s="98">
        <v>85829.155654500006</v>
      </c>
      <c r="L199" s="99">
        <v>0</v>
      </c>
      <c r="M199" s="98">
        <v>0</v>
      </c>
      <c r="N199" s="99">
        <v>0</v>
      </c>
      <c r="O199" s="98">
        <v>0</v>
      </c>
      <c r="P199" s="99">
        <v>3687</v>
      </c>
      <c r="Q199" s="98">
        <v>2754846.8787839999</v>
      </c>
      <c r="R199" s="96" t="s">
        <v>625</v>
      </c>
      <c r="S199" s="96">
        <v>7414000005</v>
      </c>
      <c r="W199" s="129">
        <v>65507142173</v>
      </c>
      <c r="X199" s="130">
        <v>739470.93246499996</v>
      </c>
      <c r="AA199" s="131" t="s">
        <v>396</v>
      </c>
      <c r="AB199" s="130">
        <v>49068.435519999999</v>
      </c>
      <c r="AC199" s="130">
        <v>49068.435519999999</v>
      </c>
    </row>
    <row r="200" spans="1:29" x14ac:dyDescent="0.25">
      <c r="A200" t="str">
        <f t="shared" si="4"/>
        <v xml:space="preserve">1015473UDIBONO 251204      </v>
      </c>
      <c r="B200" s="96">
        <v>1015473</v>
      </c>
      <c r="C200" s="96" t="s">
        <v>660</v>
      </c>
      <c r="D200" s="96" t="s">
        <v>393</v>
      </c>
      <c r="E200" s="96" t="s">
        <v>623</v>
      </c>
      <c r="F200" s="96" t="s">
        <v>624</v>
      </c>
      <c r="G200" s="99">
        <v>1155</v>
      </c>
      <c r="H200" s="97">
        <v>765.92388300000005</v>
      </c>
      <c r="I200" s="98">
        <v>884642.08486499998</v>
      </c>
      <c r="J200" s="97">
        <v>752.73890871038964</v>
      </c>
      <c r="K200" s="98">
        <v>15228.6453045</v>
      </c>
      <c r="L200" s="99">
        <v>0</v>
      </c>
      <c r="M200" s="98">
        <v>0</v>
      </c>
      <c r="N200" s="99">
        <v>0</v>
      </c>
      <c r="O200" s="98">
        <v>0</v>
      </c>
      <c r="P200" s="99">
        <v>1155</v>
      </c>
      <c r="Q200" s="98">
        <v>884642.08486499998</v>
      </c>
      <c r="R200" s="96" t="s">
        <v>625</v>
      </c>
      <c r="S200" s="96">
        <v>7414000005</v>
      </c>
      <c r="W200" s="129">
        <v>65507143699</v>
      </c>
      <c r="X200" s="130">
        <v>469565.06172900001</v>
      </c>
      <c r="AA200" s="131" t="s">
        <v>398</v>
      </c>
      <c r="AB200" s="130">
        <v>68808.864877</v>
      </c>
      <c r="AC200" s="130">
        <v>68808.864877</v>
      </c>
    </row>
    <row r="201" spans="1:29" x14ac:dyDescent="0.25">
      <c r="A201" t="str">
        <f t="shared" si="4"/>
        <v xml:space="preserve">1015473UDIBONO 261203      </v>
      </c>
      <c r="B201" s="96">
        <v>1015473</v>
      </c>
      <c r="C201" s="96" t="s">
        <v>660</v>
      </c>
      <c r="D201" s="96" t="s">
        <v>394</v>
      </c>
      <c r="E201" s="96" t="s">
        <v>623</v>
      </c>
      <c r="F201" s="96" t="s">
        <v>624</v>
      </c>
      <c r="G201" s="99">
        <v>2111</v>
      </c>
      <c r="H201" s="97">
        <v>684.88915799999995</v>
      </c>
      <c r="I201" s="98">
        <v>1445801.012538</v>
      </c>
      <c r="J201" s="97">
        <v>680.64370190023681</v>
      </c>
      <c r="K201" s="98">
        <v>8962.1578265999997</v>
      </c>
      <c r="L201" s="99">
        <v>0</v>
      </c>
      <c r="M201" s="98">
        <v>0</v>
      </c>
      <c r="N201" s="99">
        <v>0</v>
      </c>
      <c r="O201" s="98">
        <v>0</v>
      </c>
      <c r="P201" s="99">
        <v>2111</v>
      </c>
      <c r="Q201" s="98">
        <v>1445801.012538</v>
      </c>
      <c r="R201" s="96" t="s">
        <v>625</v>
      </c>
      <c r="S201" s="96">
        <v>7414000005</v>
      </c>
      <c r="W201" s="129">
        <v>65507143745</v>
      </c>
      <c r="X201" s="130">
        <v>296669.94669900002</v>
      </c>
      <c r="AA201" s="131" t="s">
        <v>381</v>
      </c>
      <c r="AB201" s="130">
        <v>140692.44283099999</v>
      </c>
      <c r="AC201" s="130">
        <v>140692.44283099999</v>
      </c>
    </row>
    <row r="202" spans="1:29" x14ac:dyDescent="0.25">
      <c r="A202" t="str">
        <f t="shared" si="4"/>
        <v xml:space="preserve">1015473UDIBONO 281130      </v>
      </c>
      <c r="B202" s="96">
        <v>1015473</v>
      </c>
      <c r="C202" s="96" t="s">
        <v>660</v>
      </c>
      <c r="D202" s="96" t="s">
        <v>395</v>
      </c>
      <c r="E202" s="96" t="s">
        <v>623</v>
      </c>
      <c r="F202" s="96" t="s">
        <v>624</v>
      </c>
      <c r="G202" s="99">
        <v>1208</v>
      </c>
      <c r="H202" s="97">
        <v>772.926965</v>
      </c>
      <c r="I202" s="98">
        <v>933695.77372000006</v>
      </c>
      <c r="J202" s="97">
        <v>801.70523519389076</v>
      </c>
      <c r="K202" s="98">
        <v>-34764.15039422</v>
      </c>
      <c r="L202" s="99">
        <v>0</v>
      </c>
      <c r="M202" s="98">
        <v>0</v>
      </c>
      <c r="N202" s="99">
        <v>0</v>
      </c>
      <c r="O202" s="98">
        <v>0</v>
      </c>
      <c r="P202" s="99">
        <v>1208</v>
      </c>
      <c r="Q202" s="98">
        <v>933695.77372000006</v>
      </c>
      <c r="R202" s="96" t="s">
        <v>625</v>
      </c>
      <c r="S202" s="96">
        <v>7414000005</v>
      </c>
      <c r="W202" s="129">
        <v>1033811</v>
      </c>
      <c r="X202" s="130">
        <v>3248841.5216000001</v>
      </c>
      <c r="AA202" s="131" t="s">
        <v>430</v>
      </c>
      <c r="AB202" s="130">
        <v>668584.12959999999</v>
      </c>
      <c r="AC202" s="130">
        <v>668584.12959999999</v>
      </c>
    </row>
    <row r="203" spans="1:29" x14ac:dyDescent="0.25">
      <c r="A203" t="str">
        <f t="shared" si="4"/>
        <v xml:space="preserve">1015473UDIBONO 311127      </v>
      </c>
      <c r="B203" s="96">
        <v>1015473</v>
      </c>
      <c r="C203" s="96" t="s">
        <v>660</v>
      </c>
      <c r="D203" s="96" t="s">
        <v>396</v>
      </c>
      <c r="E203" s="96" t="s">
        <v>623</v>
      </c>
      <c r="F203" s="96" t="s">
        <v>624</v>
      </c>
      <c r="G203" s="99">
        <v>1315</v>
      </c>
      <c r="H203" s="97">
        <v>721.59464000000003</v>
      </c>
      <c r="I203" s="98">
        <v>948896.95160000003</v>
      </c>
      <c r="J203" s="97">
        <v>757.25098799905709</v>
      </c>
      <c r="K203" s="98">
        <v>-46888.097618760003</v>
      </c>
      <c r="L203" s="99">
        <v>0</v>
      </c>
      <c r="M203" s="98">
        <v>0</v>
      </c>
      <c r="N203" s="99">
        <v>0</v>
      </c>
      <c r="O203" s="98">
        <v>0</v>
      </c>
      <c r="P203" s="99">
        <v>1315</v>
      </c>
      <c r="Q203" s="98">
        <v>948896.95160000003</v>
      </c>
      <c r="R203" s="96" t="s">
        <v>625</v>
      </c>
      <c r="S203" s="96">
        <v>7414000005</v>
      </c>
      <c r="W203" s="129">
        <v>1037087</v>
      </c>
      <c r="X203" s="130">
        <v>18359.321096</v>
      </c>
      <c r="AA203" s="131" t="s">
        <v>393</v>
      </c>
      <c r="AB203" s="130">
        <v>54380.595693000003</v>
      </c>
      <c r="AC203" s="130">
        <v>54380.595693000003</v>
      </c>
    </row>
    <row r="204" spans="1:29" x14ac:dyDescent="0.25">
      <c r="A204" t="str">
        <f t="shared" si="4"/>
        <v xml:space="preserve">1015473UDIBONO 351122      </v>
      </c>
      <c r="B204" s="96">
        <v>1015473</v>
      </c>
      <c r="C204" s="96" t="s">
        <v>660</v>
      </c>
      <c r="D204" s="96" t="s">
        <v>397</v>
      </c>
      <c r="E204" s="96" t="s">
        <v>623</v>
      </c>
      <c r="F204" s="96" t="s">
        <v>624</v>
      </c>
      <c r="G204" s="99">
        <v>703</v>
      </c>
      <c r="H204" s="97">
        <v>635.96311900000001</v>
      </c>
      <c r="I204" s="98">
        <v>447082.07265699998</v>
      </c>
      <c r="J204" s="97">
        <v>647.93802047999998</v>
      </c>
      <c r="K204" s="98">
        <v>-8418.3557404399999</v>
      </c>
      <c r="L204" s="99">
        <v>0</v>
      </c>
      <c r="M204" s="98">
        <v>0</v>
      </c>
      <c r="N204" s="99">
        <v>0</v>
      </c>
      <c r="O204" s="98">
        <v>0</v>
      </c>
      <c r="P204" s="99">
        <v>703</v>
      </c>
      <c r="Q204" s="98">
        <v>447082.07265699998</v>
      </c>
      <c r="R204" s="96" t="s">
        <v>625</v>
      </c>
      <c r="S204" s="96">
        <v>7414000005</v>
      </c>
      <c r="W204" s="129">
        <v>1037090</v>
      </c>
      <c r="X204" s="130">
        <v>16704197.451416001</v>
      </c>
      <c r="AA204" s="131" t="s">
        <v>385</v>
      </c>
      <c r="AB204" s="130">
        <v>19552.178834999999</v>
      </c>
      <c r="AC204" s="130">
        <v>19552.178834999999</v>
      </c>
    </row>
    <row r="205" spans="1:29" x14ac:dyDescent="0.25">
      <c r="A205" t="str">
        <f t="shared" si="4"/>
        <v xml:space="preserve">1015473UDIBONO 401115      </v>
      </c>
      <c r="B205" s="96">
        <v>1015473</v>
      </c>
      <c r="C205" s="96" t="s">
        <v>660</v>
      </c>
      <c r="D205" s="96" t="s">
        <v>398</v>
      </c>
      <c r="E205" s="96" t="s">
        <v>623</v>
      </c>
      <c r="F205" s="96" t="s">
        <v>624</v>
      </c>
      <c r="G205" s="99">
        <v>1585</v>
      </c>
      <c r="H205" s="97">
        <v>709.36974099999998</v>
      </c>
      <c r="I205" s="98">
        <v>1124351.0394850001</v>
      </c>
      <c r="J205" s="97">
        <v>724.70531170327445</v>
      </c>
      <c r="K205" s="98">
        <v>-24306.87956469</v>
      </c>
      <c r="L205" s="99">
        <v>0</v>
      </c>
      <c r="M205" s="98">
        <v>0</v>
      </c>
      <c r="N205" s="99">
        <v>0</v>
      </c>
      <c r="O205" s="98">
        <v>0</v>
      </c>
      <c r="P205" s="99">
        <v>1585</v>
      </c>
      <c r="Q205" s="98">
        <v>1124351.0394850001</v>
      </c>
      <c r="R205" s="96" t="s">
        <v>625</v>
      </c>
      <c r="S205" s="96">
        <v>7414000005</v>
      </c>
      <c r="W205" s="129">
        <v>1037113</v>
      </c>
      <c r="X205" s="130">
        <v>7989275.5879040007</v>
      </c>
      <c r="AA205" s="131" t="s">
        <v>375</v>
      </c>
      <c r="AB205" s="130">
        <v>38406.105760999999</v>
      </c>
      <c r="AC205" s="130">
        <v>38406.105760999999</v>
      </c>
    </row>
    <row r="206" spans="1:29" x14ac:dyDescent="0.25">
      <c r="A206" t="str">
        <f t="shared" si="4"/>
        <v xml:space="preserve">1015473UDIBONO 431112      </v>
      </c>
      <c r="B206" s="96">
        <v>1015473</v>
      </c>
      <c r="C206" s="96" t="s">
        <v>660</v>
      </c>
      <c r="D206" s="96" t="s">
        <v>399</v>
      </c>
      <c r="E206" s="96" t="s">
        <v>623</v>
      </c>
      <c r="F206" s="96" t="s">
        <v>624</v>
      </c>
      <c r="G206" s="99">
        <v>2848</v>
      </c>
      <c r="H206" s="97">
        <v>694.41118700000004</v>
      </c>
      <c r="I206" s="98">
        <v>1977683.060576</v>
      </c>
      <c r="J206" s="97">
        <v>725.77152153504915</v>
      </c>
      <c r="K206" s="98">
        <v>-89314.232755820005</v>
      </c>
      <c r="L206" s="99">
        <v>0</v>
      </c>
      <c r="M206" s="98">
        <v>0</v>
      </c>
      <c r="N206" s="99">
        <v>0</v>
      </c>
      <c r="O206" s="98">
        <v>0</v>
      </c>
      <c r="P206" s="99">
        <v>2848</v>
      </c>
      <c r="Q206" s="98">
        <v>1977683.060576</v>
      </c>
      <c r="R206" s="96" t="s">
        <v>625</v>
      </c>
      <c r="S206" s="96">
        <v>7414000005</v>
      </c>
      <c r="W206" s="129">
        <v>1037115</v>
      </c>
      <c r="X206" s="130">
        <v>11248503.419558</v>
      </c>
      <c r="AA206" s="131" t="s">
        <v>399</v>
      </c>
      <c r="AB206" s="130">
        <v>154159.28351400001</v>
      </c>
      <c r="AC206" s="130">
        <v>154159.28351400001</v>
      </c>
    </row>
    <row r="207" spans="1:29" x14ac:dyDescent="0.25">
      <c r="A207" t="str">
        <f t="shared" si="4"/>
        <v xml:space="preserve">1015473UDIBONO 461108      </v>
      </c>
      <c r="B207" s="96">
        <v>1015474</v>
      </c>
      <c r="C207" s="96" t="s">
        <v>660</v>
      </c>
      <c r="D207" s="96" t="s">
        <v>422</v>
      </c>
      <c r="E207" s="96" t="s">
        <v>623</v>
      </c>
      <c r="F207" s="96" t="s">
        <v>624</v>
      </c>
      <c r="G207" s="99">
        <v>517</v>
      </c>
      <c r="H207" s="97">
        <v>97.654420999999999</v>
      </c>
      <c r="I207" s="98">
        <v>50487.335657000003</v>
      </c>
      <c r="J207" s="97">
        <v>98.224185000000006</v>
      </c>
      <c r="K207" s="98">
        <v>-294.56798800000001</v>
      </c>
      <c r="L207" s="99">
        <v>0</v>
      </c>
      <c r="M207" s="98">
        <v>0</v>
      </c>
      <c r="N207" s="99">
        <v>0</v>
      </c>
      <c r="O207" s="98">
        <v>0</v>
      </c>
      <c r="P207" s="99">
        <v>517</v>
      </c>
      <c r="Q207" s="98">
        <v>50487.335657000003</v>
      </c>
      <c r="R207" s="96" t="s">
        <v>625</v>
      </c>
      <c r="S207" s="96">
        <v>7414000005</v>
      </c>
      <c r="W207" s="129">
        <v>1037117</v>
      </c>
      <c r="X207" s="130">
        <v>8890963.5312760007</v>
      </c>
      <c r="AA207" s="131" t="s">
        <v>429</v>
      </c>
      <c r="AB207" s="130">
        <v>167201.36480400001</v>
      </c>
      <c r="AC207" s="130">
        <v>167201.36480400001</v>
      </c>
    </row>
    <row r="208" spans="1:29" x14ac:dyDescent="0.25">
      <c r="A208" t="str">
        <f t="shared" si="4"/>
        <v xml:space="preserve">1015473UDIBONO 501103      </v>
      </c>
      <c r="B208" s="96">
        <v>1015474</v>
      </c>
      <c r="C208" s="96" t="s">
        <v>660</v>
      </c>
      <c r="D208" s="96" t="s">
        <v>363</v>
      </c>
      <c r="E208" s="96" t="s">
        <v>623</v>
      </c>
      <c r="F208" s="96" t="s">
        <v>624</v>
      </c>
      <c r="G208" s="99">
        <v>111169</v>
      </c>
      <c r="H208" s="97">
        <v>9.4935880000000008</v>
      </c>
      <c r="I208" s="98">
        <v>1055392.6843719999</v>
      </c>
      <c r="J208" s="97">
        <v>8.4405498100000003</v>
      </c>
      <c r="K208" s="98">
        <v>117065.20254411</v>
      </c>
      <c r="L208" s="99">
        <v>0</v>
      </c>
      <c r="M208" s="98">
        <v>0</v>
      </c>
      <c r="N208" s="99">
        <v>0</v>
      </c>
      <c r="O208" s="98">
        <v>0</v>
      </c>
      <c r="P208" s="99">
        <v>111169</v>
      </c>
      <c r="Q208" s="98">
        <v>1055392.6843719999</v>
      </c>
      <c r="R208" s="96" t="s">
        <v>625</v>
      </c>
      <c r="S208" s="96">
        <v>7414000005</v>
      </c>
      <c r="W208" s="129">
        <v>1037118</v>
      </c>
      <c r="X208" s="130">
        <v>14737348.621164</v>
      </c>
      <c r="AA208" s="131" t="s">
        <v>394</v>
      </c>
      <c r="AB208" s="130">
        <v>93829.814645999999</v>
      </c>
      <c r="AC208" s="130">
        <v>93829.814645999999</v>
      </c>
    </row>
    <row r="209" spans="1:29" x14ac:dyDescent="0.25">
      <c r="A209" t="str">
        <f t="shared" si="4"/>
        <v xml:space="preserve">1015474CETELEM 22          </v>
      </c>
      <c r="B209" s="96">
        <v>1015474</v>
      </c>
      <c r="C209" s="96" t="s">
        <v>660</v>
      </c>
      <c r="D209" s="96" t="s">
        <v>409</v>
      </c>
      <c r="E209" s="96" t="s">
        <v>623</v>
      </c>
      <c r="F209" s="96" t="s">
        <v>624</v>
      </c>
      <c r="G209" s="99">
        <v>151380</v>
      </c>
      <c r="H209" s="97">
        <v>9.3381629999999998</v>
      </c>
      <c r="I209" s="98">
        <v>1413611.11494</v>
      </c>
      <c r="J209" s="97">
        <v>8.3307969100000001</v>
      </c>
      <c r="K209" s="98">
        <v>152495.07870419999</v>
      </c>
      <c r="L209" s="99">
        <v>0</v>
      </c>
      <c r="M209" s="98">
        <v>0</v>
      </c>
      <c r="N209" s="99">
        <v>0</v>
      </c>
      <c r="O209" s="98">
        <v>0</v>
      </c>
      <c r="P209" s="99">
        <v>151380</v>
      </c>
      <c r="Q209" s="98">
        <v>1413611.11494</v>
      </c>
      <c r="R209" s="96" t="s">
        <v>625</v>
      </c>
      <c r="S209" s="96">
        <v>7414000005</v>
      </c>
      <c r="W209" s="129">
        <v>65501902345</v>
      </c>
      <c r="X209" s="130">
        <v>29211516.135896001</v>
      </c>
      <c r="AA209" s="131" t="s">
        <v>379</v>
      </c>
      <c r="AB209" s="130">
        <v>28028.606867999999</v>
      </c>
      <c r="AC209" s="130">
        <v>28028.606867999999</v>
      </c>
    </row>
    <row r="210" spans="1:29" x14ac:dyDescent="0.25">
      <c r="A210" t="str">
        <f t="shared" si="4"/>
        <v xml:space="preserve">1015474CETES 241003        </v>
      </c>
      <c r="B210" s="96">
        <v>1015474</v>
      </c>
      <c r="C210" s="96" t="s">
        <v>660</v>
      </c>
      <c r="D210" s="96" t="s">
        <v>375</v>
      </c>
      <c r="E210" s="96" t="s">
        <v>623</v>
      </c>
      <c r="F210" s="96" t="s">
        <v>624</v>
      </c>
      <c r="G210" s="99">
        <v>6408</v>
      </c>
      <c r="H210" s="97">
        <v>98.730349000000004</v>
      </c>
      <c r="I210" s="98">
        <v>632664.07639199996</v>
      </c>
      <c r="J210" s="97">
        <v>104.31018780918852</v>
      </c>
      <c r="K210" s="98">
        <v>-35755.607089279998</v>
      </c>
      <c r="L210" s="99">
        <v>0</v>
      </c>
      <c r="M210" s="98">
        <v>0</v>
      </c>
      <c r="N210" s="99">
        <v>0</v>
      </c>
      <c r="O210" s="98">
        <v>0</v>
      </c>
      <c r="P210" s="99">
        <v>6408</v>
      </c>
      <c r="Q210" s="98">
        <v>632664.07639199996</v>
      </c>
      <c r="R210" s="96" t="s">
        <v>625</v>
      </c>
      <c r="S210" s="96">
        <v>7414000005</v>
      </c>
      <c r="W210" s="129">
        <v>65502397418</v>
      </c>
      <c r="X210" s="130">
        <v>21732632.524448</v>
      </c>
      <c r="AA210" s="131" t="s">
        <v>377</v>
      </c>
      <c r="AB210" s="130">
        <v>18044.897929999999</v>
      </c>
      <c r="AC210" s="130">
        <v>18044.897929999999</v>
      </c>
    </row>
    <row r="211" spans="1:29" x14ac:dyDescent="0.25">
      <c r="A211" t="str">
        <f t="shared" si="4"/>
        <v xml:space="preserve">1015474CETES 241128        </v>
      </c>
      <c r="B211" s="96">
        <v>1015474</v>
      </c>
      <c r="C211" s="96" t="s">
        <v>660</v>
      </c>
      <c r="D211" s="96" t="s">
        <v>376</v>
      </c>
      <c r="E211" s="96" t="s">
        <v>623</v>
      </c>
      <c r="F211" s="96" t="s">
        <v>624</v>
      </c>
      <c r="G211" s="99">
        <v>7929</v>
      </c>
      <c r="H211" s="97">
        <v>99.247497999999993</v>
      </c>
      <c r="I211" s="98">
        <v>786933.41164199996</v>
      </c>
      <c r="J211" s="97">
        <v>112.2401488518817</v>
      </c>
      <c r="K211" s="98">
        <v>-103018.72860457</v>
      </c>
      <c r="L211" s="99">
        <v>0</v>
      </c>
      <c r="M211" s="98">
        <v>0</v>
      </c>
      <c r="N211" s="99">
        <v>0</v>
      </c>
      <c r="O211" s="98">
        <v>0</v>
      </c>
      <c r="P211" s="99">
        <v>7929</v>
      </c>
      <c r="Q211" s="98">
        <v>786933.41164199996</v>
      </c>
      <c r="R211" s="96" t="s">
        <v>625</v>
      </c>
      <c r="S211" s="96">
        <v>7414000005</v>
      </c>
      <c r="W211" s="129">
        <v>1036525</v>
      </c>
      <c r="X211" s="130">
        <v>2119073.3439429998</v>
      </c>
      <c r="AA211" s="131" t="s">
        <v>422</v>
      </c>
      <c r="AB211" s="130">
        <v>3417.9047350000001</v>
      </c>
      <c r="AC211" s="130">
        <v>3417.9047350000001</v>
      </c>
    </row>
    <row r="212" spans="1:29" x14ac:dyDescent="0.25">
      <c r="A212" t="str">
        <f t="shared" si="4"/>
        <v xml:space="preserve">1015474GOBFED 240905       </v>
      </c>
      <c r="B212" s="96">
        <v>1015474</v>
      </c>
      <c r="C212" s="96" t="s">
        <v>660</v>
      </c>
      <c r="D212" s="96" t="s">
        <v>377</v>
      </c>
      <c r="E212" s="96" t="s">
        <v>623</v>
      </c>
      <c r="F212" s="96" t="s">
        <v>624</v>
      </c>
      <c r="G212" s="99">
        <v>2610</v>
      </c>
      <c r="H212" s="97">
        <v>94.973146999999997</v>
      </c>
      <c r="I212" s="98">
        <v>247879.91367000001</v>
      </c>
      <c r="J212" s="97">
        <v>89.776975398927206</v>
      </c>
      <c r="K212" s="98">
        <v>13562.007878799999</v>
      </c>
      <c r="L212" s="99">
        <v>0</v>
      </c>
      <c r="M212" s="98">
        <v>0</v>
      </c>
      <c r="N212" s="99">
        <v>0</v>
      </c>
      <c r="O212" s="98">
        <v>0</v>
      </c>
      <c r="P212" s="99">
        <v>2610</v>
      </c>
      <c r="Q212" s="98">
        <v>247879.91367000001</v>
      </c>
      <c r="R212" s="96" t="s">
        <v>625</v>
      </c>
      <c r="S212" s="96">
        <v>7414000005</v>
      </c>
      <c r="W212" s="129">
        <v>1036526</v>
      </c>
      <c r="X212" s="130">
        <v>1067046.578792</v>
      </c>
      <c r="AA212" s="131" t="s">
        <v>392</v>
      </c>
      <c r="AB212" s="130">
        <v>145699.79423999999</v>
      </c>
      <c r="AC212" s="130">
        <v>145699.79423999999</v>
      </c>
    </row>
    <row r="213" spans="1:29" x14ac:dyDescent="0.25">
      <c r="A213" t="str">
        <f t="shared" si="4"/>
        <v xml:space="preserve">1015474GOBFED 241205       </v>
      </c>
      <c r="B213" s="96">
        <v>1015474</v>
      </c>
      <c r="C213" s="96" t="s">
        <v>660</v>
      </c>
      <c r="D213" s="96" t="s">
        <v>378</v>
      </c>
      <c r="E213" s="96" t="s">
        <v>623</v>
      </c>
      <c r="F213" s="96" t="s">
        <v>624</v>
      </c>
      <c r="G213" s="99">
        <v>8849</v>
      </c>
      <c r="H213" s="97">
        <v>91.911821000000003</v>
      </c>
      <c r="I213" s="98">
        <v>813327.70402900001</v>
      </c>
      <c r="J213" s="97">
        <v>93.2088459</v>
      </c>
      <c r="K213" s="98">
        <v>-11477.373340100001</v>
      </c>
      <c r="L213" s="99">
        <v>0</v>
      </c>
      <c r="M213" s="98">
        <v>0</v>
      </c>
      <c r="N213" s="99">
        <v>0</v>
      </c>
      <c r="O213" s="98">
        <v>0</v>
      </c>
      <c r="P213" s="99">
        <v>8849</v>
      </c>
      <c r="Q213" s="98">
        <v>813327.70402900001</v>
      </c>
      <c r="R213" s="96" t="s">
        <v>625</v>
      </c>
      <c r="S213" s="96">
        <v>7414000005</v>
      </c>
      <c r="W213" s="129">
        <v>1036527</v>
      </c>
      <c r="X213" s="130">
        <v>35638167.537603997</v>
      </c>
      <c r="AA213" s="131" t="s">
        <v>386</v>
      </c>
      <c r="AB213" s="130">
        <v>21608.055541000002</v>
      </c>
      <c r="AC213" s="130">
        <v>21608.055541000002</v>
      </c>
    </row>
    <row r="214" spans="1:29" x14ac:dyDescent="0.25">
      <c r="A214" t="str">
        <f t="shared" si="4"/>
        <v xml:space="preserve">1015474GOBFED 250306       </v>
      </c>
      <c r="B214" s="96">
        <v>1015474</v>
      </c>
      <c r="C214" s="96" t="s">
        <v>660</v>
      </c>
      <c r="D214" s="96" t="s">
        <v>499</v>
      </c>
      <c r="E214" s="96" t="s">
        <v>623</v>
      </c>
      <c r="F214" s="96" t="s">
        <v>624</v>
      </c>
      <c r="G214" s="99">
        <v>4630</v>
      </c>
      <c r="H214" s="97">
        <v>92.954503000000003</v>
      </c>
      <c r="I214" s="98">
        <v>430379.34889000002</v>
      </c>
      <c r="J214" s="97">
        <v>93.325851670388772</v>
      </c>
      <c r="K214" s="98">
        <v>-1719.3443439</v>
      </c>
      <c r="L214" s="99">
        <v>0</v>
      </c>
      <c r="M214" s="98">
        <v>0</v>
      </c>
      <c r="N214" s="99">
        <v>0</v>
      </c>
      <c r="O214" s="98">
        <v>0</v>
      </c>
      <c r="P214" s="99">
        <v>4630</v>
      </c>
      <c r="Q214" s="98">
        <v>430379.34889000002</v>
      </c>
      <c r="R214" s="96" t="s">
        <v>625</v>
      </c>
      <c r="S214" s="96">
        <v>7414000005</v>
      </c>
      <c r="W214" s="129">
        <v>1036528</v>
      </c>
      <c r="X214" s="130">
        <v>39490518.886013985</v>
      </c>
      <c r="AA214" s="131" t="s">
        <v>383</v>
      </c>
      <c r="AB214" s="130">
        <v>113780.20896</v>
      </c>
      <c r="AC214" s="130">
        <v>113780.20896</v>
      </c>
    </row>
    <row r="215" spans="1:29" x14ac:dyDescent="0.25">
      <c r="A215" t="str">
        <f t="shared" si="4"/>
        <v xml:space="preserve">1015474GOBFED 260305       </v>
      </c>
      <c r="B215" s="96">
        <v>1015474</v>
      </c>
      <c r="C215" s="96" t="s">
        <v>660</v>
      </c>
      <c r="D215" s="96" t="s">
        <v>379</v>
      </c>
      <c r="E215" s="96" t="s">
        <v>623</v>
      </c>
      <c r="F215" s="96" t="s">
        <v>624</v>
      </c>
      <c r="G215" s="99">
        <v>4584</v>
      </c>
      <c r="H215" s="97">
        <v>88.698122999999995</v>
      </c>
      <c r="I215" s="98">
        <v>406592.195832</v>
      </c>
      <c r="J215" s="97">
        <v>85.585976865994766</v>
      </c>
      <c r="K215" s="98">
        <v>14266.077878280001</v>
      </c>
      <c r="L215" s="99">
        <v>0</v>
      </c>
      <c r="M215" s="98">
        <v>0</v>
      </c>
      <c r="N215" s="99">
        <v>0</v>
      </c>
      <c r="O215" s="98">
        <v>0</v>
      </c>
      <c r="P215" s="99">
        <v>4584</v>
      </c>
      <c r="Q215" s="98">
        <v>406592.195832</v>
      </c>
      <c r="R215" s="96" t="s">
        <v>625</v>
      </c>
      <c r="S215" s="96">
        <v>7414000005</v>
      </c>
      <c r="W215" s="129">
        <v>1036529</v>
      </c>
      <c r="X215" s="130">
        <v>12520465.63951</v>
      </c>
      <c r="AA215" s="131" t="s">
        <v>397</v>
      </c>
      <c r="AB215" s="130">
        <v>19714.856689</v>
      </c>
      <c r="AC215" s="130">
        <v>19714.856689</v>
      </c>
    </row>
    <row r="216" spans="1:29" x14ac:dyDescent="0.25">
      <c r="A216" t="str">
        <f t="shared" si="4"/>
        <v xml:space="preserve">1015474GOBFED 260903       </v>
      </c>
      <c r="B216" s="96">
        <v>1015474</v>
      </c>
      <c r="C216" s="96" t="s">
        <v>660</v>
      </c>
      <c r="D216" s="96" t="s">
        <v>380</v>
      </c>
      <c r="E216" s="96" t="s">
        <v>623</v>
      </c>
      <c r="F216" s="96" t="s">
        <v>624</v>
      </c>
      <c r="G216" s="99">
        <v>8740</v>
      </c>
      <c r="H216" s="97">
        <v>93.314192000000006</v>
      </c>
      <c r="I216" s="98">
        <v>815566.03807999997</v>
      </c>
      <c r="J216" s="97">
        <v>98.652228244038895</v>
      </c>
      <c r="K216" s="98">
        <v>-46654.436772900001</v>
      </c>
      <c r="L216" s="99">
        <v>0</v>
      </c>
      <c r="M216" s="98">
        <v>0</v>
      </c>
      <c r="N216" s="99">
        <v>0</v>
      </c>
      <c r="O216" s="98">
        <v>0</v>
      </c>
      <c r="P216" s="99">
        <v>8740</v>
      </c>
      <c r="Q216" s="98">
        <v>815566.03807999997</v>
      </c>
      <c r="R216" s="96" t="s">
        <v>625</v>
      </c>
      <c r="S216" s="96">
        <v>7414000005</v>
      </c>
      <c r="W216" s="129">
        <v>1036530</v>
      </c>
      <c r="X216" s="130">
        <v>13382850.821404001</v>
      </c>
      <c r="AA216" s="131" t="s">
        <v>499</v>
      </c>
      <c r="AB216" s="130">
        <v>26956.80587</v>
      </c>
      <c r="AC216" s="130">
        <v>26956.80587</v>
      </c>
    </row>
    <row r="217" spans="1:29" x14ac:dyDescent="0.25">
      <c r="A217" t="str">
        <f t="shared" si="4"/>
        <v xml:space="preserve">1015474GOBFED 270304       </v>
      </c>
      <c r="B217" s="96">
        <v>1015474</v>
      </c>
      <c r="C217" s="96" t="s">
        <v>660</v>
      </c>
      <c r="D217" s="96" t="s">
        <v>507</v>
      </c>
      <c r="E217" s="96" t="s">
        <v>623</v>
      </c>
      <c r="F217" s="96" t="s">
        <v>624</v>
      </c>
      <c r="G217" s="99">
        <v>8050</v>
      </c>
      <c r="H217" s="97">
        <v>94.864168000000006</v>
      </c>
      <c r="I217" s="98">
        <v>763656.55240000004</v>
      </c>
      <c r="J217" s="97">
        <v>96.406456791875783</v>
      </c>
      <c r="K217" s="98">
        <v>-12415.4247746</v>
      </c>
      <c r="L217" s="99">
        <v>0</v>
      </c>
      <c r="M217" s="98">
        <v>0</v>
      </c>
      <c r="N217" s="99">
        <v>0</v>
      </c>
      <c r="O217" s="98">
        <v>0</v>
      </c>
      <c r="P217" s="99">
        <v>8050</v>
      </c>
      <c r="Q217" s="98">
        <v>763656.55240000004</v>
      </c>
      <c r="R217" s="96" t="s">
        <v>625</v>
      </c>
      <c r="S217" s="96">
        <v>7414000005</v>
      </c>
      <c r="W217" s="129">
        <v>65501285111</v>
      </c>
      <c r="X217" s="130">
        <v>32732470.33326</v>
      </c>
      <c r="AA217" s="131" t="s">
        <v>507</v>
      </c>
      <c r="AB217" s="130">
        <v>54072.57576</v>
      </c>
      <c r="AC217" s="130">
        <v>54072.57576</v>
      </c>
    </row>
    <row r="218" spans="1:29" x14ac:dyDescent="0.25">
      <c r="A218" t="str">
        <f t="shared" si="4"/>
        <v xml:space="preserve">1015474GOBFED 270603       </v>
      </c>
      <c r="B218" s="96">
        <v>1015474</v>
      </c>
      <c r="C218" s="96" t="s">
        <v>660</v>
      </c>
      <c r="D218" s="96" t="s">
        <v>381</v>
      </c>
      <c r="E218" s="96" t="s">
        <v>623</v>
      </c>
      <c r="F218" s="96" t="s">
        <v>624</v>
      </c>
      <c r="G218" s="99">
        <v>22164</v>
      </c>
      <c r="H218" s="97">
        <v>94.870157000000006</v>
      </c>
      <c r="I218" s="98">
        <v>2102702.1597480001</v>
      </c>
      <c r="J218" s="97">
        <v>96.826569857579855</v>
      </c>
      <c r="K218" s="98">
        <v>-43361.934575400002</v>
      </c>
      <c r="L218" s="99">
        <v>0</v>
      </c>
      <c r="M218" s="98">
        <v>0</v>
      </c>
      <c r="N218" s="99">
        <v>0</v>
      </c>
      <c r="O218" s="98">
        <v>0</v>
      </c>
      <c r="P218" s="99">
        <v>22164</v>
      </c>
      <c r="Q218" s="98">
        <v>2102702.1597480001</v>
      </c>
      <c r="R218" s="96" t="s">
        <v>625</v>
      </c>
      <c r="S218" s="96">
        <v>7414000005</v>
      </c>
      <c r="W218" s="129">
        <v>1034042</v>
      </c>
      <c r="X218" s="130">
        <v>2651823761.6945496</v>
      </c>
      <c r="AA218" s="129">
        <v>1018867</v>
      </c>
      <c r="AB218" s="130">
        <v>29175276.964768</v>
      </c>
      <c r="AC218" s="130">
        <v>29175276.964768</v>
      </c>
    </row>
    <row r="219" spans="1:29" x14ac:dyDescent="0.25">
      <c r="A219" t="str">
        <f t="shared" si="4"/>
        <v xml:space="preserve">1015474GOBFED 290301       </v>
      </c>
      <c r="B219" s="96">
        <v>1015474</v>
      </c>
      <c r="C219" s="96" t="s">
        <v>660</v>
      </c>
      <c r="D219" s="96" t="s">
        <v>382</v>
      </c>
      <c r="E219" s="96" t="s">
        <v>623</v>
      </c>
      <c r="F219" s="96" t="s">
        <v>624</v>
      </c>
      <c r="G219" s="99">
        <v>8482</v>
      </c>
      <c r="H219" s="97">
        <v>89.489464999999996</v>
      </c>
      <c r="I219" s="98">
        <v>759049.64213000005</v>
      </c>
      <c r="J219" s="97">
        <v>90.484544077868421</v>
      </c>
      <c r="K219" s="98">
        <v>-8440.2607384799994</v>
      </c>
      <c r="L219" s="99">
        <v>0</v>
      </c>
      <c r="M219" s="98">
        <v>0</v>
      </c>
      <c r="N219" s="99">
        <v>0</v>
      </c>
      <c r="O219" s="98">
        <v>0</v>
      </c>
      <c r="P219" s="99">
        <v>8482</v>
      </c>
      <c r="Q219" s="98">
        <v>759049.64213000005</v>
      </c>
      <c r="R219" s="96" t="s">
        <v>625</v>
      </c>
      <c r="S219" s="96">
        <v>7414000005</v>
      </c>
      <c r="W219" s="129">
        <v>1037085</v>
      </c>
      <c r="X219" s="130">
        <v>40351701.630644001</v>
      </c>
      <c r="AA219" s="131" t="s">
        <v>431</v>
      </c>
      <c r="AB219" s="130">
        <v>29175276.964768</v>
      </c>
      <c r="AC219" s="130">
        <v>29175276.964768</v>
      </c>
    </row>
    <row r="220" spans="1:29" x14ac:dyDescent="0.25">
      <c r="A220" t="str">
        <f t="shared" si="4"/>
        <v xml:space="preserve">1015474GOBFED 290531       </v>
      </c>
      <c r="B220" s="96">
        <v>1015474</v>
      </c>
      <c r="C220" s="96" t="s">
        <v>660</v>
      </c>
      <c r="D220" s="96" t="s">
        <v>383</v>
      </c>
      <c r="E220" s="96" t="s">
        <v>623</v>
      </c>
      <c r="F220" s="96" t="s">
        <v>624</v>
      </c>
      <c r="G220" s="99">
        <v>18360</v>
      </c>
      <c r="H220" s="97">
        <v>86.197128000000006</v>
      </c>
      <c r="I220" s="98">
        <v>1582579.2700799999</v>
      </c>
      <c r="J220" s="97">
        <v>89.64878798292483</v>
      </c>
      <c r="K220" s="98">
        <v>-63372.477286499998</v>
      </c>
      <c r="L220" s="99">
        <v>0</v>
      </c>
      <c r="M220" s="98">
        <v>0</v>
      </c>
      <c r="N220" s="99">
        <v>0</v>
      </c>
      <c r="O220" s="98">
        <v>0</v>
      </c>
      <c r="P220" s="99">
        <v>18360</v>
      </c>
      <c r="Q220" s="98">
        <v>1582579.2700799999</v>
      </c>
      <c r="R220" s="96" t="s">
        <v>625</v>
      </c>
      <c r="S220" s="96">
        <v>7414000005</v>
      </c>
      <c r="W220" s="129">
        <v>1037086</v>
      </c>
      <c r="X220" s="130">
        <v>55433047.280056</v>
      </c>
      <c r="AA220" s="129">
        <v>1018997</v>
      </c>
      <c r="AB220" s="130">
        <v>0</v>
      </c>
      <c r="AC220" s="130">
        <v>0</v>
      </c>
    </row>
    <row r="221" spans="1:29" x14ac:dyDescent="0.25">
      <c r="A221" t="str">
        <f t="shared" si="4"/>
        <v xml:space="preserve">1015474GOBFED 310529       </v>
      </c>
      <c r="B221" s="96">
        <v>1015474</v>
      </c>
      <c r="C221" s="96" t="s">
        <v>660</v>
      </c>
      <c r="D221" s="96" t="s">
        <v>427</v>
      </c>
      <c r="E221" s="96" t="s">
        <v>623</v>
      </c>
      <c r="F221" s="96" t="s">
        <v>624</v>
      </c>
      <c r="G221" s="99">
        <v>20994</v>
      </c>
      <c r="H221" s="97">
        <v>86.469353999999996</v>
      </c>
      <c r="I221" s="98">
        <v>1815337.617876</v>
      </c>
      <c r="J221" s="97">
        <v>90.893867012348764</v>
      </c>
      <c r="K221" s="98">
        <v>-92888.226181249993</v>
      </c>
      <c r="L221" s="99">
        <v>0</v>
      </c>
      <c r="M221" s="98">
        <v>0</v>
      </c>
      <c r="N221" s="99">
        <v>0</v>
      </c>
      <c r="O221" s="98">
        <v>0</v>
      </c>
      <c r="P221" s="99">
        <v>20994</v>
      </c>
      <c r="Q221" s="98">
        <v>1815337.617876</v>
      </c>
      <c r="R221" s="96" t="s">
        <v>625</v>
      </c>
      <c r="S221" s="96">
        <v>7414000005</v>
      </c>
      <c r="W221" s="129">
        <v>1037124</v>
      </c>
      <c r="X221" s="130">
        <v>2875696.5890790001</v>
      </c>
      <c r="AA221" s="131" t="s">
        <v>432</v>
      </c>
      <c r="AB221" s="130">
        <v>0</v>
      </c>
      <c r="AC221" s="130">
        <v>0</v>
      </c>
    </row>
    <row r="222" spans="1:29" x14ac:dyDescent="0.25">
      <c r="A222" t="str">
        <f t="shared" si="4"/>
        <v xml:space="preserve">1015474GOBFED 330526       </v>
      </c>
      <c r="B222" s="96">
        <v>1015474</v>
      </c>
      <c r="C222" s="96" t="s">
        <v>660</v>
      </c>
      <c r="D222" s="96" t="s">
        <v>418</v>
      </c>
      <c r="E222" s="96" t="s">
        <v>623</v>
      </c>
      <c r="F222" s="96" t="s">
        <v>624</v>
      </c>
      <c r="G222" s="99">
        <v>739</v>
      </c>
      <c r="H222" s="97">
        <v>101.45096599999999</v>
      </c>
      <c r="I222" s="98">
        <v>74972.263873999997</v>
      </c>
      <c r="J222" s="97">
        <v>114.11447106</v>
      </c>
      <c r="K222" s="98">
        <v>-9358.3302393400008</v>
      </c>
      <c r="L222" s="99">
        <v>0</v>
      </c>
      <c r="M222" s="98">
        <v>0</v>
      </c>
      <c r="N222" s="99">
        <v>0</v>
      </c>
      <c r="O222" s="98">
        <v>0</v>
      </c>
      <c r="P222" s="99">
        <v>739</v>
      </c>
      <c r="Q222" s="98">
        <v>74972.263873999997</v>
      </c>
      <c r="R222" s="96" t="s">
        <v>625</v>
      </c>
      <c r="S222" s="96">
        <v>7414000005</v>
      </c>
      <c r="W222" s="129">
        <v>1037125</v>
      </c>
      <c r="X222" s="130">
        <v>37110417.361504003</v>
      </c>
      <c r="AA222" s="129">
        <v>1020027</v>
      </c>
      <c r="AB222" s="130">
        <v>0</v>
      </c>
      <c r="AC222" s="130">
        <v>0</v>
      </c>
    </row>
    <row r="223" spans="1:29" x14ac:dyDescent="0.25">
      <c r="A223" t="str">
        <f t="shared" si="4"/>
        <v xml:space="preserve">1015474GOBFED 341123       </v>
      </c>
      <c r="B223" s="96">
        <v>1015474</v>
      </c>
      <c r="C223" s="96" t="s">
        <v>660</v>
      </c>
      <c r="D223" s="96" t="s">
        <v>408</v>
      </c>
      <c r="E223" s="96" t="s">
        <v>623</v>
      </c>
      <c r="F223" s="96" t="s">
        <v>624</v>
      </c>
      <c r="G223" s="99">
        <v>634</v>
      </c>
      <c r="H223" s="97">
        <v>89.643172000000007</v>
      </c>
      <c r="I223" s="98">
        <v>56833.771048000002</v>
      </c>
      <c r="J223" s="97">
        <v>108.47711812999999</v>
      </c>
      <c r="K223" s="98">
        <v>-11940.72184642</v>
      </c>
      <c r="L223" s="99">
        <v>0</v>
      </c>
      <c r="M223" s="98">
        <v>0</v>
      </c>
      <c r="N223" s="99">
        <v>0</v>
      </c>
      <c r="O223" s="98">
        <v>0</v>
      </c>
      <c r="P223" s="99">
        <v>634</v>
      </c>
      <c r="Q223" s="98">
        <v>56833.771048000002</v>
      </c>
      <c r="R223" s="96" t="s">
        <v>625</v>
      </c>
      <c r="S223" s="96">
        <v>7414000005</v>
      </c>
      <c r="W223" s="129" t="s">
        <v>20</v>
      </c>
      <c r="X223" s="130"/>
      <c r="AA223" s="131" t="s">
        <v>419</v>
      </c>
      <c r="AB223" s="130">
        <v>0</v>
      </c>
      <c r="AC223" s="130">
        <v>0</v>
      </c>
    </row>
    <row r="224" spans="1:29" x14ac:dyDescent="0.25">
      <c r="A224" t="str">
        <f t="shared" si="4"/>
        <v xml:space="preserve">1015474GOBFED 361120       </v>
      </c>
      <c r="B224" s="96">
        <v>1015474</v>
      </c>
      <c r="C224" s="96" t="s">
        <v>660</v>
      </c>
      <c r="D224" s="96" t="s">
        <v>384</v>
      </c>
      <c r="E224" s="96" t="s">
        <v>623</v>
      </c>
      <c r="F224" s="96" t="s">
        <v>624</v>
      </c>
      <c r="G224" s="99">
        <v>15271</v>
      </c>
      <c r="H224" s="97">
        <v>81.738860000000003</v>
      </c>
      <c r="I224" s="98">
        <v>1248234.13106</v>
      </c>
      <c r="J224" s="97">
        <v>86.434963932790254</v>
      </c>
      <c r="K224" s="98">
        <v>-71714.203157640004</v>
      </c>
      <c r="L224" s="99">
        <v>0</v>
      </c>
      <c r="M224" s="98">
        <v>0</v>
      </c>
      <c r="N224" s="99">
        <v>0</v>
      </c>
      <c r="O224" s="98">
        <v>0</v>
      </c>
      <c r="P224" s="99">
        <v>15271</v>
      </c>
      <c r="Q224" s="98">
        <v>1248234.13106</v>
      </c>
      <c r="R224" s="96" t="s">
        <v>625</v>
      </c>
      <c r="S224" s="96">
        <v>7414000005</v>
      </c>
      <c r="W224" s="129">
        <v>1036724</v>
      </c>
      <c r="X224" s="130">
        <v>9398474.0984480008</v>
      </c>
      <c r="AA224" s="129">
        <v>1020029</v>
      </c>
      <c r="AB224" s="130">
        <v>0</v>
      </c>
      <c r="AC224" s="130">
        <v>0</v>
      </c>
    </row>
    <row r="225" spans="1:29" x14ac:dyDescent="0.25">
      <c r="A225" t="str">
        <f t="shared" si="4"/>
        <v xml:space="preserve">1015474GOBFED 381118       </v>
      </c>
      <c r="B225" s="96">
        <v>1015474</v>
      </c>
      <c r="C225" s="96" t="s">
        <v>660</v>
      </c>
      <c r="D225" s="96" t="s">
        <v>385</v>
      </c>
      <c r="E225" s="96" t="s">
        <v>623</v>
      </c>
      <c r="F225" s="96" t="s">
        <v>624</v>
      </c>
      <c r="G225" s="99">
        <v>3549</v>
      </c>
      <c r="H225" s="97">
        <v>83.200761</v>
      </c>
      <c r="I225" s="98">
        <v>295279.50078900001</v>
      </c>
      <c r="J225" s="97">
        <v>93.143183912344327</v>
      </c>
      <c r="K225" s="98">
        <v>-35285.658915909997</v>
      </c>
      <c r="L225" s="99">
        <v>0</v>
      </c>
      <c r="M225" s="98">
        <v>0</v>
      </c>
      <c r="N225" s="99">
        <v>0</v>
      </c>
      <c r="O225" s="98">
        <v>0</v>
      </c>
      <c r="P225" s="99">
        <v>3549</v>
      </c>
      <c r="Q225" s="98">
        <v>295279.50078900001</v>
      </c>
      <c r="R225" s="96" t="s">
        <v>625</v>
      </c>
      <c r="S225" s="96">
        <v>7414000005</v>
      </c>
      <c r="W225" s="129">
        <v>65508989338</v>
      </c>
      <c r="X225" s="130">
        <v>57461140.273712002</v>
      </c>
      <c r="AA225" s="131" t="s">
        <v>419</v>
      </c>
      <c r="AB225" s="130">
        <v>0</v>
      </c>
      <c r="AC225" s="130">
        <v>0</v>
      </c>
    </row>
    <row r="226" spans="1:29" x14ac:dyDescent="0.25">
      <c r="A226" t="str">
        <f t="shared" si="4"/>
        <v xml:space="preserve">1015474GOBFED 421113       </v>
      </c>
      <c r="B226" s="96">
        <v>1015474</v>
      </c>
      <c r="C226" s="96" t="s">
        <v>660</v>
      </c>
      <c r="D226" s="96" t="s">
        <v>386</v>
      </c>
      <c r="E226" s="96" t="s">
        <v>623</v>
      </c>
      <c r="F226" s="96" t="s">
        <v>624</v>
      </c>
      <c r="G226" s="99">
        <v>25610</v>
      </c>
      <c r="H226" s="97">
        <v>82.159907000000004</v>
      </c>
      <c r="I226" s="98">
        <v>2104115.2182700001</v>
      </c>
      <c r="J226" s="97">
        <v>83.989124130640377</v>
      </c>
      <c r="K226" s="98">
        <v>-46846.2507157</v>
      </c>
      <c r="L226" s="99">
        <v>0</v>
      </c>
      <c r="M226" s="98">
        <v>0</v>
      </c>
      <c r="N226" s="99">
        <v>0</v>
      </c>
      <c r="O226" s="98">
        <v>0</v>
      </c>
      <c r="P226" s="99">
        <v>25610</v>
      </c>
      <c r="Q226" s="98">
        <v>2104115.2182700001</v>
      </c>
      <c r="R226" s="96" t="s">
        <v>625</v>
      </c>
      <c r="S226" s="96">
        <v>7414000005</v>
      </c>
      <c r="W226" s="129">
        <v>1037923</v>
      </c>
      <c r="X226" s="130">
        <v>1499134.751252</v>
      </c>
      <c r="AA226" s="129">
        <v>1020040</v>
      </c>
      <c r="AB226" s="130">
        <v>0</v>
      </c>
      <c r="AC226" s="130">
        <v>0</v>
      </c>
    </row>
    <row r="227" spans="1:29" x14ac:dyDescent="0.25">
      <c r="A227" t="str">
        <f t="shared" si="4"/>
        <v xml:space="preserve">1015474GOBFED 471107       </v>
      </c>
      <c r="B227" s="96">
        <v>1015474</v>
      </c>
      <c r="C227" s="96" t="s">
        <v>660</v>
      </c>
      <c r="D227" s="96" t="s">
        <v>429</v>
      </c>
      <c r="E227" s="96" t="s">
        <v>623</v>
      </c>
      <c r="F227" s="96" t="s">
        <v>624</v>
      </c>
      <c r="G227" s="99">
        <v>18558</v>
      </c>
      <c r="H227" s="97">
        <v>98.007834000000003</v>
      </c>
      <c r="I227" s="98">
        <v>1818829.383372</v>
      </c>
      <c r="J227" s="97">
        <v>89.820929565081371</v>
      </c>
      <c r="K227" s="98">
        <v>151932.57250322</v>
      </c>
      <c r="L227" s="99">
        <v>0</v>
      </c>
      <c r="M227" s="98">
        <v>0</v>
      </c>
      <c r="N227" s="99">
        <v>0</v>
      </c>
      <c r="O227" s="98">
        <v>0</v>
      </c>
      <c r="P227" s="99">
        <v>18558</v>
      </c>
      <c r="Q227" s="98">
        <v>1818829.383372</v>
      </c>
      <c r="R227" s="96" t="s">
        <v>625</v>
      </c>
      <c r="S227" s="96">
        <v>7414000005</v>
      </c>
      <c r="W227" s="129">
        <v>1037925</v>
      </c>
      <c r="X227" s="130">
        <v>1531784.5237159999</v>
      </c>
      <c r="AA227" s="131" t="s">
        <v>419</v>
      </c>
      <c r="AB227" s="130">
        <v>0</v>
      </c>
      <c r="AC227" s="130">
        <v>0</v>
      </c>
    </row>
    <row r="228" spans="1:29" x14ac:dyDescent="0.25">
      <c r="A228" t="str">
        <f t="shared" si="4"/>
        <v xml:space="preserve">1015474GOBFED 530731       </v>
      </c>
      <c r="B228" s="96">
        <v>1015474</v>
      </c>
      <c r="C228" s="96" t="s">
        <v>660</v>
      </c>
      <c r="D228" s="96" t="s">
        <v>430</v>
      </c>
      <c r="E228" s="96" t="s">
        <v>623</v>
      </c>
      <c r="F228" s="96" t="s">
        <v>624</v>
      </c>
      <c r="G228" s="99">
        <v>3582960</v>
      </c>
      <c r="H228" s="97">
        <v>3.1390400000000001</v>
      </c>
      <c r="I228" s="98">
        <v>11247054.758400001</v>
      </c>
      <c r="J228" s="97">
        <v>2.3738999123629623</v>
      </c>
      <c r="K228" s="98">
        <v>2741466.3284</v>
      </c>
      <c r="L228" s="99">
        <v>0</v>
      </c>
      <c r="M228" s="98">
        <v>0</v>
      </c>
      <c r="N228" s="99">
        <v>0</v>
      </c>
      <c r="O228" s="98">
        <v>0</v>
      </c>
      <c r="P228" s="99">
        <v>3582960</v>
      </c>
      <c r="Q228" s="98">
        <v>11247054.758400001</v>
      </c>
      <c r="R228" s="96" t="s">
        <v>625</v>
      </c>
      <c r="S228" s="96">
        <v>7414000005</v>
      </c>
      <c r="W228" s="129">
        <v>1037540</v>
      </c>
      <c r="X228" s="130">
        <v>27059361.441995993</v>
      </c>
      <c r="AA228" s="129">
        <v>1021018</v>
      </c>
      <c r="AB228" s="130">
        <v>1843646607.1411057</v>
      </c>
      <c r="AC228" s="130">
        <v>1843646607.1411057</v>
      </c>
    </row>
    <row r="229" spans="1:29" x14ac:dyDescent="0.25">
      <c r="A229" t="str">
        <f t="shared" si="4"/>
        <v xml:space="preserve">1015474PEMEX 13-2          </v>
      </c>
      <c r="B229" s="96">
        <v>1015474</v>
      </c>
      <c r="C229" s="96" t="s">
        <v>660</v>
      </c>
      <c r="D229" s="96" t="s">
        <v>389</v>
      </c>
      <c r="E229" s="96" t="s">
        <v>623</v>
      </c>
      <c r="F229" s="96" t="s">
        <v>624</v>
      </c>
      <c r="G229" s="99">
        <v>1026763</v>
      </c>
      <c r="H229" s="97">
        <v>3.3967719999999999</v>
      </c>
      <c r="I229" s="98">
        <v>3487679.8090360002</v>
      </c>
      <c r="J229" s="97">
        <v>3.2938378087250904</v>
      </c>
      <c r="K229" s="98">
        <v>105689.019036</v>
      </c>
      <c r="L229" s="99">
        <v>0</v>
      </c>
      <c r="M229" s="98">
        <v>0</v>
      </c>
      <c r="N229" s="99">
        <v>0</v>
      </c>
      <c r="O229" s="98">
        <v>0</v>
      </c>
      <c r="P229" s="99">
        <v>1026763</v>
      </c>
      <c r="Q229" s="98">
        <v>3487679.8090360002</v>
      </c>
      <c r="R229" s="96" t="s">
        <v>625</v>
      </c>
      <c r="S229" s="96">
        <v>7414000005</v>
      </c>
      <c r="W229" s="129">
        <v>65508702490</v>
      </c>
      <c r="X229" s="130">
        <v>196894751.760088</v>
      </c>
      <c r="AA229" s="131" t="s">
        <v>366</v>
      </c>
      <c r="AB229" s="130">
        <v>26779266.66</v>
      </c>
      <c r="AC229" s="130">
        <v>26779266.66</v>
      </c>
    </row>
    <row r="230" spans="1:29" x14ac:dyDescent="0.25">
      <c r="A230" t="str">
        <f t="shared" si="4"/>
        <v xml:space="preserve">1015474ST&amp;ER-C ED          </v>
      </c>
      <c r="B230" s="96">
        <v>1015474</v>
      </c>
      <c r="C230" s="96" t="s">
        <v>660</v>
      </c>
      <c r="D230" s="96" t="s">
        <v>391</v>
      </c>
      <c r="E230" s="96" t="s">
        <v>623</v>
      </c>
      <c r="F230" s="96" t="s">
        <v>624</v>
      </c>
      <c r="G230" s="99">
        <v>1979</v>
      </c>
      <c r="H230" s="97">
        <v>775.69178699999998</v>
      </c>
      <c r="I230" s="98">
        <v>1535094.046473</v>
      </c>
      <c r="J230" s="97">
        <v>766.69784126000002</v>
      </c>
      <c r="K230" s="98">
        <v>17799.018619459999</v>
      </c>
      <c r="L230" s="99">
        <v>0</v>
      </c>
      <c r="M230" s="98">
        <v>0</v>
      </c>
      <c r="N230" s="99">
        <v>0</v>
      </c>
      <c r="O230" s="98">
        <v>0</v>
      </c>
      <c r="P230" s="99">
        <v>1979</v>
      </c>
      <c r="Q230" s="98">
        <v>1535094.046473</v>
      </c>
      <c r="R230" s="96" t="s">
        <v>625</v>
      </c>
      <c r="S230" s="96">
        <v>7414000005</v>
      </c>
      <c r="W230" s="129">
        <v>1036723</v>
      </c>
      <c r="X230" s="130">
        <v>4302568.8086080002</v>
      </c>
      <c r="AA230" s="131" t="s">
        <v>376</v>
      </c>
      <c r="AB230" s="130">
        <v>21699373.715222001</v>
      </c>
      <c r="AC230" s="130">
        <v>21699373.715222001</v>
      </c>
    </row>
    <row r="231" spans="1:29" x14ac:dyDescent="0.25">
      <c r="A231" t="str">
        <f t="shared" si="4"/>
        <v xml:space="preserve">1015474STERGOB ED          </v>
      </c>
      <c r="B231" s="96">
        <v>1015474</v>
      </c>
      <c r="C231" s="96" t="s">
        <v>660</v>
      </c>
      <c r="D231" s="96" t="s">
        <v>392</v>
      </c>
      <c r="E231" s="96" t="s">
        <v>623</v>
      </c>
      <c r="F231" s="96" t="s">
        <v>624</v>
      </c>
      <c r="G231" s="99">
        <v>3163</v>
      </c>
      <c r="H231" s="97">
        <v>747.17843200000004</v>
      </c>
      <c r="I231" s="98">
        <v>2363325.3804159998</v>
      </c>
      <c r="J231" s="97">
        <v>723.86476962782172</v>
      </c>
      <c r="K231" s="98">
        <v>73741.114083199995</v>
      </c>
      <c r="L231" s="99">
        <v>0</v>
      </c>
      <c r="M231" s="98">
        <v>0</v>
      </c>
      <c r="N231" s="99">
        <v>0</v>
      </c>
      <c r="O231" s="98">
        <v>0</v>
      </c>
      <c r="P231" s="99">
        <v>3163</v>
      </c>
      <c r="Q231" s="98">
        <v>2363325.3804159998</v>
      </c>
      <c r="R231" s="96" t="s">
        <v>625</v>
      </c>
      <c r="S231" s="96">
        <v>7414000005</v>
      </c>
      <c r="W231" s="129">
        <v>1000001573</v>
      </c>
      <c r="X231" s="130">
        <v>316697159.45986885</v>
      </c>
      <c r="AA231" s="131" t="s">
        <v>382</v>
      </c>
      <c r="AB231" s="130">
        <v>7159157.2000000002</v>
      </c>
      <c r="AC231" s="130">
        <v>7159157.2000000002</v>
      </c>
    </row>
    <row r="232" spans="1:29" x14ac:dyDescent="0.25">
      <c r="A232" t="str">
        <f t="shared" si="4"/>
        <v xml:space="preserve">1015474UDIBONO 251204      </v>
      </c>
      <c r="B232" s="96">
        <v>1015474</v>
      </c>
      <c r="C232" s="96" t="s">
        <v>660</v>
      </c>
      <c r="D232" s="96" t="s">
        <v>393</v>
      </c>
      <c r="E232" s="96" t="s">
        <v>623</v>
      </c>
      <c r="F232" s="96" t="s">
        <v>624</v>
      </c>
      <c r="G232" s="99">
        <v>1006</v>
      </c>
      <c r="H232" s="97">
        <v>765.92388300000005</v>
      </c>
      <c r="I232" s="98">
        <v>770519.42629800003</v>
      </c>
      <c r="J232" s="97">
        <v>752.47319028974152</v>
      </c>
      <c r="K232" s="98">
        <v>13531.396866519999</v>
      </c>
      <c r="L232" s="99">
        <v>0</v>
      </c>
      <c r="M232" s="98">
        <v>0</v>
      </c>
      <c r="N232" s="99">
        <v>0</v>
      </c>
      <c r="O232" s="98">
        <v>0</v>
      </c>
      <c r="P232" s="99">
        <v>1006</v>
      </c>
      <c r="Q232" s="98">
        <v>770519.42629800003</v>
      </c>
      <c r="R232" s="96" t="s">
        <v>625</v>
      </c>
      <c r="S232" s="96">
        <v>7414000005</v>
      </c>
      <c r="W232" s="129">
        <v>1000002191</v>
      </c>
      <c r="X232" s="130">
        <v>319598965.16798598</v>
      </c>
      <c r="AA232" s="131" t="s">
        <v>391</v>
      </c>
      <c r="AB232" s="130">
        <v>85467272.475234002</v>
      </c>
      <c r="AC232" s="130">
        <v>85467272.475234002</v>
      </c>
    </row>
    <row r="233" spans="1:29" x14ac:dyDescent="0.25">
      <c r="A233" t="str">
        <f t="shared" si="4"/>
        <v xml:space="preserve">1015474UDIBONO 261203      </v>
      </c>
      <c r="B233" s="96">
        <v>1015474</v>
      </c>
      <c r="C233" s="96" t="s">
        <v>660</v>
      </c>
      <c r="D233" s="96" t="s">
        <v>394</v>
      </c>
      <c r="E233" s="96" t="s">
        <v>623</v>
      </c>
      <c r="F233" s="96" t="s">
        <v>624</v>
      </c>
      <c r="G233" s="99">
        <v>1813</v>
      </c>
      <c r="H233" s="97">
        <v>684.88915799999995</v>
      </c>
      <c r="I233" s="98">
        <v>1241704.043454</v>
      </c>
      <c r="J233" s="97">
        <v>680.5910191140099</v>
      </c>
      <c r="K233" s="98">
        <v>7792.5258002999999</v>
      </c>
      <c r="L233" s="99">
        <v>0</v>
      </c>
      <c r="M233" s="98">
        <v>0</v>
      </c>
      <c r="N233" s="99">
        <v>0</v>
      </c>
      <c r="O233" s="98">
        <v>0</v>
      </c>
      <c r="P233" s="99">
        <v>1813</v>
      </c>
      <c r="Q233" s="98">
        <v>1241704.043454</v>
      </c>
      <c r="R233" s="96" t="s">
        <v>625</v>
      </c>
      <c r="S233" s="96">
        <v>7414000005</v>
      </c>
      <c r="W233" s="129">
        <v>1015460</v>
      </c>
      <c r="X233" s="130">
        <v>0</v>
      </c>
      <c r="AA233" s="131" t="s">
        <v>434</v>
      </c>
      <c r="AB233" s="130">
        <v>24548831.2608</v>
      </c>
      <c r="AC233" s="130">
        <v>24548831.2608</v>
      </c>
    </row>
    <row r="234" spans="1:29" x14ac:dyDescent="0.25">
      <c r="A234" t="str">
        <f t="shared" si="4"/>
        <v xml:space="preserve">1015474UDIBONO 281130      </v>
      </c>
      <c r="B234" s="96">
        <v>1015474</v>
      </c>
      <c r="C234" s="96" t="s">
        <v>660</v>
      </c>
      <c r="D234" s="96" t="s">
        <v>395</v>
      </c>
      <c r="E234" s="96" t="s">
        <v>623</v>
      </c>
      <c r="F234" s="96" t="s">
        <v>624</v>
      </c>
      <c r="G234" s="99">
        <v>1035</v>
      </c>
      <c r="H234" s="97">
        <v>772.926965</v>
      </c>
      <c r="I234" s="98">
        <v>799979.40877500002</v>
      </c>
      <c r="J234" s="97">
        <v>801.69943516787441</v>
      </c>
      <c r="K234" s="98">
        <v>-29779.50662375</v>
      </c>
      <c r="L234" s="99">
        <v>0</v>
      </c>
      <c r="M234" s="98">
        <v>0</v>
      </c>
      <c r="N234" s="99">
        <v>0</v>
      </c>
      <c r="O234" s="98">
        <v>0</v>
      </c>
      <c r="P234" s="99">
        <v>1035</v>
      </c>
      <c r="Q234" s="98">
        <v>799979.40877500002</v>
      </c>
      <c r="R234" s="96" t="s">
        <v>625</v>
      </c>
      <c r="S234" s="96">
        <v>7414000005</v>
      </c>
      <c r="W234" s="129">
        <v>1032436</v>
      </c>
      <c r="X234" s="130">
        <v>4479548.5287760003</v>
      </c>
      <c r="AA234" s="131" t="s">
        <v>437</v>
      </c>
      <c r="AB234" s="130">
        <v>5985186.5160999997</v>
      </c>
      <c r="AC234" s="130">
        <v>5985186.5160999997</v>
      </c>
    </row>
    <row r="235" spans="1:29" x14ac:dyDescent="0.25">
      <c r="A235" t="str">
        <f t="shared" si="4"/>
        <v xml:space="preserve">1015474UDIBONO 311127      </v>
      </c>
      <c r="B235" s="96">
        <v>1015474</v>
      </c>
      <c r="C235" s="96" t="s">
        <v>660</v>
      </c>
      <c r="D235" s="96" t="s">
        <v>396</v>
      </c>
      <c r="E235" s="96" t="s">
        <v>623</v>
      </c>
      <c r="F235" s="96" t="s">
        <v>624</v>
      </c>
      <c r="G235" s="99">
        <v>1123</v>
      </c>
      <c r="H235" s="97">
        <v>721.59464000000003</v>
      </c>
      <c r="I235" s="98">
        <v>810350.78072000004</v>
      </c>
      <c r="J235" s="97">
        <v>757.24852496216386</v>
      </c>
      <c r="K235" s="98">
        <v>-40039.312812509997</v>
      </c>
      <c r="L235" s="99">
        <v>0</v>
      </c>
      <c r="M235" s="98">
        <v>0</v>
      </c>
      <c r="N235" s="99">
        <v>0</v>
      </c>
      <c r="O235" s="98">
        <v>0</v>
      </c>
      <c r="P235" s="99">
        <v>1123</v>
      </c>
      <c r="Q235" s="98">
        <v>810350.78072000004</v>
      </c>
      <c r="R235" s="96" t="s">
        <v>625</v>
      </c>
      <c r="S235" s="96">
        <v>7414000005</v>
      </c>
      <c r="W235" s="129">
        <v>1032437</v>
      </c>
      <c r="X235" s="130">
        <v>3925572.4221359999</v>
      </c>
      <c r="AA235" s="131" t="s">
        <v>424</v>
      </c>
      <c r="AB235" s="130">
        <v>24604529.684360001</v>
      </c>
      <c r="AC235" s="130">
        <v>24604529.684360001</v>
      </c>
    </row>
    <row r="236" spans="1:29" x14ac:dyDescent="0.25">
      <c r="A236" t="str">
        <f t="shared" si="4"/>
        <v xml:space="preserve">1015474UDIBONO 351122      </v>
      </c>
      <c r="B236" s="96">
        <v>1015474</v>
      </c>
      <c r="C236" s="96" t="s">
        <v>660</v>
      </c>
      <c r="D236" s="96" t="s">
        <v>397</v>
      </c>
      <c r="E236" s="96" t="s">
        <v>623</v>
      </c>
      <c r="F236" s="96" t="s">
        <v>624</v>
      </c>
      <c r="G236" s="99">
        <v>597</v>
      </c>
      <c r="H236" s="97">
        <v>635.96311900000001</v>
      </c>
      <c r="I236" s="98">
        <v>379669.982043</v>
      </c>
      <c r="J236" s="97">
        <v>647.93802047999998</v>
      </c>
      <c r="K236" s="98">
        <v>-7149.0161835600002</v>
      </c>
      <c r="L236" s="99">
        <v>0</v>
      </c>
      <c r="M236" s="98">
        <v>0</v>
      </c>
      <c r="N236" s="99">
        <v>0</v>
      </c>
      <c r="O236" s="98">
        <v>0</v>
      </c>
      <c r="P236" s="99">
        <v>597</v>
      </c>
      <c r="Q236" s="98">
        <v>379669.982043</v>
      </c>
      <c r="R236" s="96" t="s">
        <v>625</v>
      </c>
      <c r="S236" s="96">
        <v>7414000005</v>
      </c>
      <c r="W236" s="129">
        <v>1032438</v>
      </c>
      <c r="X236" s="130">
        <v>15451747.354831999</v>
      </c>
      <c r="AA236" s="131" t="s">
        <v>435</v>
      </c>
      <c r="AB236" s="130">
        <v>2353821.6600509998</v>
      </c>
      <c r="AC236" s="130">
        <v>2353821.6600509998</v>
      </c>
    </row>
    <row r="237" spans="1:29" x14ac:dyDescent="0.25">
      <c r="A237" t="str">
        <f t="shared" si="4"/>
        <v xml:space="preserve">1015474UDIBONO 401115      </v>
      </c>
      <c r="B237" s="96">
        <v>1015474</v>
      </c>
      <c r="C237" s="96" t="s">
        <v>660</v>
      </c>
      <c r="D237" s="96" t="s">
        <v>398</v>
      </c>
      <c r="E237" s="96" t="s">
        <v>623</v>
      </c>
      <c r="F237" s="96" t="s">
        <v>624</v>
      </c>
      <c r="G237" s="99">
        <v>1496</v>
      </c>
      <c r="H237" s="97">
        <v>709.36974099999998</v>
      </c>
      <c r="I237" s="98">
        <v>1061217.1325360001</v>
      </c>
      <c r="J237" s="97">
        <v>728.64687149318854</v>
      </c>
      <c r="K237" s="98">
        <v>-28838.58721781</v>
      </c>
      <c r="L237" s="99">
        <v>0</v>
      </c>
      <c r="M237" s="98">
        <v>0</v>
      </c>
      <c r="N237" s="99">
        <v>0</v>
      </c>
      <c r="O237" s="98">
        <v>0</v>
      </c>
      <c r="P237" s="99">
        <v>1496</v>
      </c>
      <c r="Q237" s="98">
        <v>1061217.1325360001</v>
      </c>
      <c r="R237" s="96" t="s">
        <v>625</v>
      </c>
      <c r="S237" s="96">
        <v>7414000005</v>
      </c>
      <c r="W237" s="129">
        <v>1032439</v>
      </c>
      <c r="X237" s="130">
        <v>44032599.217880003</v>
      </c>
      <c r="AA237" s="131" t="s">
        <v>422</v>
      </c>
      <c r="AB237" s="130">
        <v>2845942.7912030001</v>
      </c>
      <c r="AC237" s="130">
        <v>2845942.7912030001</v>
      </c>
    </row>
    <row r="238" spans="1:29" x14ac:dyDescent="0.25">
      <c r="A238" t="str">
        <f t="shared" si="4"/>
        <v xml:space="preserve">1015474UDIBONO 431112      </v>
      </c>
      <c r="B238" s="96">
        <v>1015474</v>
      </c>
      <c r="C238" s="96" t="s">
        <v>660</v>
      </c>
      <c r="D238" s="96" t="s">
        <v>399</v>
      </c>
      <c r="E238" s="96" t="s">
        <v>623</v>
      </c>
      <c r="F238" s="96" t="s">
        <v>624</v>
      </c>
      <c r="G238" s="99">
        <v>2427</v>
      </c>
      <c r="H238" s="97">
        <v>694.41118700000004</v>
      </c>
      <c r="I238" s="98">
        <v>1685335.9508489999</v>
      </c>
      <c r="J238" s="97">
        <v>725.92860517697568</v>
      </c>
      <c r="K238" s="98">
        <v>-76492.773915519996</v>
      </c>
      <c r="L238" s="99">
        <v>0</v>
      </c>
      <c r="M238" s="98">
        <v>0</v>
      </c>
      <c r="N238" s="99">
        <v>0</v>
      </c>
      <c r="O238" s="98">
        <v>0</v>
      </c>
      <c r="P238" s="99">
        <v>2427</v>
      </c>
      <c r="Q238" s="98">
        <v>1685335.9508489999</v>
      </c>
      <c r="R238" s="96" t="s">
        <v>625</v>
      </c>
      <c r="S238" s="96">
        <v>7414000005</v>
      </c>
      <c r="W238" s="129">
        <v>1032440</v>
      </c>
      <c r="X238" s="130">
        <v>821847.40873599995</v>
      </c>
      <c r="AA238" s="131" t="s">
        <v>392</v>
      </c>
      <c r="AB238" s="130">
        <v>62847419.450815998</v>
      </c>
      <c r="AC238" s="130">
        <v>62847419.450815998</v>
      </c>
    </row>
    <row r="239" spans="1:29" x14ac:dyDescent="0.25">
      <c r="A239" t="str">
        <f t="shared" si="4"/>
        <v xml:space="preserve">1015474UDIBONO 461108      </v>
      </c>
      <c r="B239" s="96">
        <v>1018694</v>
      </c>
      <c r="C239" s="96" t="s">
        <v>661</v>
      </c>
      <c r="D239" s="96" t="s">
        <v>422</v>
      </c>
      <c r="E239" s="96" t="s">
        <v>623</v>
      </c>
      <c r="F239" s="96" t="s">
        <v>624</v>
      </c>
      <c r="G239" s="99">
        <v>1971</v>
      </c>
      <c r="H239" s="97">
        <v>97.654420999999999</v>
      </c>
      <c r="I239" s="98">
        <v>192476.86379100001</v>
      </c>
      <c r="J239" s="97">
        <v>98.224185000000006</v>
      </c>
      <c r="K239" s="98">
        <v>-1123.004844</v>
      </c>
      <c r="L239" s="99">
        <v>0</v>
      </c>
      <c r="M239" s="98">
        <v>0</v>
      </c>
      <c r="N239" s="99">
        <v>0</v>
      </c>
      <c r="O239" s="98">
        <v>0</v>
      </c>
      <c r="P239" s="99">
        <v>1971</v>
      </c>
      <c r="Q239" s="98">
        <v>192476.86379100001</v>
      </c>
      <c r="R239" s="96" t="s">
        <v>625</v>
      </c>
      <c r="S239" s="96">
        <v>7414000005</v>
      </c>
      <c r="W239" s="129">
        <v>1032441</v>
      </c>
      <c r="X239" s="130">
        <v>2953789.9910320002</v>
      </c>
      <c r="AA239" s="131" t="s">
        <v>433</v>
      </c>
      <c r="AB239" s="130">
        <v>30000016.800000001</v>
      </c>
      <c r="AC239" s="130">
        <v>30000016.800000001</v>
      </c>
    </row>
    <row r="240" spans="1:29" x14ac:dyDescent="0.25">
      <c r="A240" t="str">
        <f t="shared" si="4"/>
        <v xml:space="preserve">1015474UDIBONO 501103      </v>
      </c>
      <c r="B240" s="96">
        <v>1018694</v>
      </c>
      <c r="C240" s="96" t="s">
        <v>661</v>
      </c>
      <c r="D240" s="96" t="s">
        <v>363</v>
      </c>
      <c r="E240" s="96" t="s">
        <v>623</v>
      </c>
      <c r="F240" s="96" t="s">
        <v>624</v>
      </c>
      <c r="G240" s="99">
        <v>422686</v>
      </c>
      <c r="H240" s="97">
        <v>9.4935880000000008</v>
      </c>
      <c r="I240" s="98">
        <v>4012806.7373680002</v>
      </c>
      <c r="J240" s="97">
        <v>8.4405498100000003</v>
      </c>
      <c r="K240" s="98">
        <v>445104.50037834002</v>
      </c>
      <c r="L240" s="99">
        <v>0</v>
      </c>
      <c r="M240" s="98">
        <v>0</v>
      </c>
      <c r="N240" s="99">
        <v>0</v>
      </c>
      <c r="O240" s="98">
        <v>0</v>
      </c>
      <c r="P240" s="99">
        <v>422686</v>
      </c>
      <c r="Q240" s="98">
        <v>4012806.7373680002</v>
      </c>
      <c r="R240" s="96" t="s">
        <v>625</v>
      </c>
      <c r="S240" s="96">
        <v>7414000005</v>
      </c>
      <c r="W240" s="129">
        <v>1032442</v>
      </c>
      <c r="X240" s="130">
        <v>3468384.8608479998</v>
      </c>
      <c r="AA240" s="131" t="s">
        <v>436</v>
      </c>
      <c r="AB240" s="130">
        <v>17791461.9047</v>
      </c>
      <c r="AC240" s="130">
        <v>17791461.9047</v>
      </c>
    </row>
    <row r="241" spans="1:29" x14ac:dyDescent="0.25">
      <c r="A241" t="str">
        <f t="shared" si="4"/>
        <v xml:space="preserve">1018694CETELEM 22          </v>
      </c>
      <c r="B241" s="96">
        <v>1018694</v>
      </c>
      <c r="C241" s="96" t="s">
        <v>661</v>
      </c>
      <c r="D241" s="96" t="s">
        <v>409</v>
      </c>
      <c r="E241" s="96" t="s">
        <v>623</v>
      </c>
      <c r="F241" s="96" t="s">
        <v>624</v>
      </c>
      <c r="G241" s="99">
        <v>575690</v>
      </c>
      <c r="H241" s="97">
        <v>9.3381629999999998</v>
      </c>
      <c r="I241" s="98">
        <v>5375887.0574700003</v>
      </c>
      <c r="J241" s="97">
        <v>8.3307969100000001</v>
      </c>
      <c r="K241" s="98">
        <v>579930.58435210004</v>
      </c>
      <c r="L241" s="99">
        <v>0</v>
      </c>
      <c r="M241" s="98">
        <v>0</v>
      </c>
      <c r="N241" s="99">
        <v>0</v>
      </c>
      <c r="O241" s="98">
        <v>0</v>
      </c>
      <c r="P241" s="99">
        <v>575690</v>
      </c>
      <c r="Q241" s="98">
        <v>5375887.0574700003</v>
      </c>
      <c r="R241" s="96" t="s">
        <v>625</v>
      </c>
      <c r="S241" s="96">
        <v>7414000005</v>
      </c>
      <c r="W241" s="129">
        <v>1032443</v>
      </c>
      <c r="X241" s="130">
        <v>3501016.097232</v>
      </c>
      <c r="AA241" s="131" t="s">
        <v>425</v>
      </c>
      <c r="AB241" s="130">
        <v>9852057.5665000007</v>
      </c>
      <c r="AC241" s="130">
        <v>9852057.5665000007</v>
      </c>
    </row>
    <row r="242" spans="1:29" x14ac:dyDescent="0.25">
      <c r="A242" t="str">
        <f t="shared" si="4"/>
        <v xml:space="preserve">1018694CETES 241003        </v>
      </c>
      <c r="B242" s="96">
        <v>1018694</v>
      </c>
      <c r="C242" s="96" t="s">
        <v>661</v>
      </c>
      <c r="D242" s="96" t="s">
        <v>375</v>
      </c>
      <c r="E242" s="96" t="s">
        <v>623</v>
      </c>
      <c r="F242" s="96" t="s">
        <v>624</v>
      </c>
      <c r="G242" s="99">
        <v>23232</v>
      </c>
      <c r="H242" s="97">
        <v>98.730349000000004</v>
      </c>
      <c r="I242" s="98">
        <v>2293703.4679680001</v>
      </c>
      <c r="J242" s="97">
        <v>104.65571289378099</v>
      </c>
      <c r="K242" s="98">
        <v>-137658.05398031999</v>
      </c>
      <c r="L242" s="99">
        <v>0</v>
      </c>
      <c r="M242" s="98">
        <v>0</v>
      </c>
      <c r="N242" s="99">
        <v>0</v>
      </c>
      <c r="O242" s="98">
        <v>0</v>
      </c>
      <c r="P242" s="99">
        <v>23232</v>
      </c>
      <c r="Q242" s="98">
        <v>2293703.4679680001</v>
      </c>
      <c r="R242" s="96" t="s">
        <v>625</v>
      </c>
      <c r="S242" s="96">
        <v>7414000005</v>
      </c>
      <c r="W242" s="129">
        <v>1032445</v>
      </c>
      <c r="X242" s="130">
        <v>1327862.80696</v>
      </c>
      <c r="AA242" s="131" t="s">
        <v>438</v>
      </c>
      <c r="AB242" s="130">
        <v>11099718.370650001</v>
      </c>
      <c r="AC242" s="130">
        <v>11099718.370650001</v>
      </c>
    </row>
    <row r="243" spans="1:29" x14ac:dyDescent="0.25">
      <c r="A243" t="str">
        <f t="shared" si="4"/>
        <v xml:space="preserve">1018694CETES 241128        </v>
      </c>
      <c r="B243" s="96">
        <v>1018694</v>
      </c>
      <c r="C243" s="96" t="s">
        <v>661</v>
      </c>
      <c r="D243" s="96" t="s">
        <v>376</v>
      </c>
      <c r="E243" s="96" t="s">
        <v>623</v>
      </c>
      <c r="F243" s="96" t="s">
        <v>624</v>
      </c>
      <c r="G243" s="99">
        <v>31335</v>
      </c>
      <c r="H243" s="97">
        <v>99.247497999999993</v>
      </c>
      <c r="I243" s="98">
        <v>3109920.3498300002</v>
      </c>
      <c r="J243" s="97">
        <v>112.37579195702409</v>
      </c>
      <c r="K243" s="98">
        <v>-411375.09114335</v>
      </c>
      <c r="L243" s="99">
        <v>0</v>
      </c>
      <c r="M243" s="98">
        <v>0</v>
      </c>
      <c r="N243" s="99">
        <v>0</v>
      </c>
      <c r="O243" s="98">
        <v>0</v>
      </c>
      <c r="P243" s="99">
        <v>31335</v>
      </c>
      <c r="Q243" s="98">
        <v>3109920.3498300002</v>
      </c>
      <c r="R243" s="96" t="s">
        <v>625</v>
      </c>
      <c r="S243" s="96">
        <v>7414000005</v>
      </c>
      <c r="W243" s="129">
        <v>1032446</v>
      </c>
      <c r="X243" s="130">
        <v>2297101.6610719999</v>
      </c>
      <c r="AA243" s="131" t="s">
        <v>383</v>
      </c>
      <c r="AB243" s="130">
        <v>102894373.66487999</v>
      </c>
      <c r="AC243" s="130">
        <v>102894373.66487999</v>
      </c>
    </row>
    <row r="244" spans="1:29" x14ac:dyDescent="0.25">
      <c r="A244" t="str">
        <f t="shared" si="4"/>
        <v xml:space="preserve">1018694GOBFED 240905       </v>
      </c>
      <c r="B244" s="96">
        <v>1018694</v>
      </c>
      <c r="C244" s="96" t="s">
        <v>661</v>
      </c>
      <c r="D244" s="96" t="s">
        <v>377</v>
      </c>
      <c r="E244" s="96" t="s">
        <v>623</v>
      </c>
      <c r="F244" s="96" t="s">
        <v>624</v>
      </c>
      <c r="G244" s="99">
        <v>9920</v>
      </c>
      <c r="H244" s="97">
        <v>94.973146999999997</v>
      </c>
      <c r="I244" s="98">
        <v>942133.61823999998</v>
      </c>
      <c r="J244" s="97">
        <v>89.778146203931456</v>
      </c>
      <c r="K244" s="98">
        <v>51534.407896999997</v>
      </c>
      <c r="L244" s="99">
        <v>0</v>
      </c>
      <c r="M244" s="98">
        <v>0</v>
      </c>
      <c r="N244" s="99">
        <v>0</v>
      </c>
      <c r="O244" s="98">
        <v>0</v>
      </c>
      <c r="P244" s="99">
        <v>9920</v>
      </c>
      <c r="Q244" s="98">
        <v>942133.61823999998</v>
      </c>
      <c r="R244" s="96" t="s">
        <v>625</v>
      </c>
      <c r="S244" s="96">
        <v>7414000005</v>
      </c>
      <c r="W244" s="129">
        <v>1036731</v>
      </c>
      <c r="X244" s="130">
        <v>613029.25910400006</v>
      </c>
      <c r="AA244" s="131" t="s">
        <v>364</v>
      </c>
      <c r="AB244" s="130">
        <v>54221808.299999997</v>
      </c>
      <c r="AC244" s="130">
        <v>54221808.299999997</v>
      </c>
    </row>
    <row r="245" spans="1:29" x14ac:dyDescent="0.25">
      <c r="A245" t="str">
        <f t="shared" si="4"/>
        <v xml:space="preserve">1018694GOBFED 241205       </v>
      </c>
      <c r="B245" s="96">
        <v>1018694</v>
      </c>
      <c r="C245" s="96" t="s">
        <v>661</v>
      </c>
      <c r="D245" s="96" t="s">
        <v>378</v>
      </c>
      <c r="E245" s="96" t="s">
        <v>623</v>
      </c>
      <c r="F245" s="96" t="s">
        <v>624</v>
      </c>
      <c r="G245" s="99">
        <v>33911</v>
      </c>
      <c r="H245" s="97">
        <v>91.911821000000003</v>
      </c>
      <c r="I245" s="98">
        <v>3116821.7619309998</v>
      </c>
      <c r="J245" s="97">
        <v>93.2088459</v>
      </c>
      <c r="K245" s="98">
        <v>-43983.411383899998</v>
      </c>
      <c r="L245" s="99">
        <v>0</v>
      </c>
      <c r="M245" s="98">
        <v>0</v>
      </c>
      <c r="N245" s="99">
        <v>0</v>
      </c>
      <c r="O245" s="98">
        <v>0</v>
      </c>
      <c r="P245" s="99">
        <v>33911</v>
      </c>
      <c r="Q245" s="98">
        <v>3116821.7619309998</v>
      </c>
      <c r="R245" s="96" t="s">
        <v>625</v>
      </c>
      <c r="S245" s="96">
        <v>7414000005</v>
      </c>
      <c r="W245" s="129">
        <v>1037097</v>
      </c>
      <c r="X245" s="130">
        <v>4638287.4560000002</v>
      </c>
      <c r="AA245" s="131" t="s">
        <v>502</v>
      </c>
      <c r="AB245" s="130">
        <v>6458300.6896099998</v>
      </c>
      <c r="AC245" s="130">
        <v>6458300.6896099998</v>
      </c>
    </row>
    <row r="246" spans="1:29" x14ac:dyDescent="0.25">
      <c r="A246" t="str">
        <f t="shared" si="4"/>
        <v xml:space="preserve">1018694GOBFED 250306       </v>
      </c>
      <c r="B246" s="96">
        <v>1018694</v>
      </c>
      <c r="C246" s="96" t="s">
        <v>661</v>
      </c>
      <c r="D246" s="96" t="s">
        <v>499</v>
      </c>
      <c r="E246" s="96" t="s">
        <v>623</v>
      </c>
      <c r="F246" s="96" t="s">
        <v>624</v>
      </c>
      <c r="G246" s="99">
        <v>17490</v>
      </c>
      <c r="H246" s="97">
        <v>92.954503000000003</v>
      </c>
      <c r="I246" s="98">
        <v>1625774.2574700001</v>
      </c>
      <c r="J246" s="97">
        <v>93.326299851440822</v>
      </c>
      <c r="K246" s="98">
        <v>-6502.7269317</v>
      </c>
      <c r="L246" s="99">
        <v>0</v>
      </c>
      <c r="M246" s="98">
        <v>0</v>
      </c>
      <c r="N246" s="99">
        <v>0</v>
      </c>
      <c r="O246" s="98">
        <v>0</v>
      </c>
      <c r="P246" s="99">
        <v>17490</v>
      </c>
      <c r="Q246" s="98">
        <v>1625774.2574700001</v>
      </c>
      <c r="R246" s="96" t="s">
        <v>625</v>
      </c>
      <c r="S246" s="96">
        <v>7414000005</v>
      </c>
      <c r="W246" s="129">
        <v>1037109</v>
      </c>
      <c r="X246" s="130">
        <v>6374054.3197760005</v>
      </c>
      <c r="AA246" s="131" t="s">
        <v>509</v>
      </c>
      <c r="AB246" s="130">
        <v>226883989.13076001</v>
      </c>
      <c r="AC246" s="130">
        <v>226883989.13076001</v>
      </c>
    </row>
    <row r="247" spans="1:29" x14ac:dyDescent="0.25">
      <c r="A247" t="str">
        <f t="shared" si="4"/>
        <v xml:space="preserve">1018694GOBFED 260305       </v>
      </c>
      <c r="B247" s="96">
        <v>1018694</v>
      </c>
      <c r="C247" s="96" t="s">
        <v>661</v>
      </c>
      <c r="D247" s="96" t="s">
        <v>379</v>
      </c>
      <c r="E247" s="96" t="s">
        <v>623</v>
      </c>
      <c r="F247" s="96" t="s">
        <v>624</v>
      </c>
      <c r="G247" s="99">
        <v>17357</v>
      </c>
      <c r="H247" s="97">
        <v>88.698122999999995</v>
      </c>
      <c r="I247" s="98">
        <v>1539533.320911</v>
      </c>
      <c r="J247" s="97">
        <v>85.583216460166497</v>
      </c>
      <c r="K247" s="98">
        <v>54065.432811890001</v>
      </c>
      <c r="L247" s="99">
        <v>0</v>
      </c>
      <c r="M247" s="98">
        <v>0</v>
      </c>
      <c r="N247" s="99">
        <v>0</v>
      </c>
      <c r="O247" s="98">
        <v>0</v>
      </c>
      <c r="P247" s="99">
        <v>17357</v>
      </c>
      <c r="Q247" s="98">
        <v>1539533.320911</v>
      </c>
      <c r="R247" s="96" t="s">
        <v>625</v>
      </c>
      <c r="S247" s="96">
        <v>7414000005</v>
      </c>
      <c r="W247" s="129">
        <v>1038853</v>
      </c>
      <c r="X247" s="130">
        <v>982585.83231199998</v>
      </c>
      <c r="AA247" s="131" t="s">
        <v>542</v>
      </c>
      <c r="AB247" s="130">
        <v>499749485</v>
      </c>
      <c r="AC247" s="130">
        <v>499749485</v>
      </c>
    </row>
    <row r="248" spans="1:29" x14ac:dyDescent="0.25">
      <c r="A248" t="str">
        <f t="shared" si="4"/>
        <v xml:space="preserve">1018694GOBFED 260903       </v>
      </c>
      <c r="B248" s="96">
        <v>1018694</v>
      </c>
      <c r="C248" s="96" t="s">
        <v>661</v>
      </c>
      <c r="D248" s="96" t="s">
        <v>380</v>
      </c>
      <c r="E248" s="96" t="s">
        <v>623</v>
      </c>
      <c r="F248" s="96" t="s">
        <v>624</v>
      </c>
      <c r="G248" s="99">
        <v>33880</v>
      </c>
      <c r="H248" s="97">
        <v>93.314192000000006</v>
      </c>
      <c r="I248" s="98">
        <v>3161484.8249599999</v>
      </c>
      <c r="J248" s="97">
        <v>98.894973383435655</v>
      </c>
      <c r="K248" s="98">
        <v>-189076.87327079999</v>
      </c>
      <c r="L248" s="99">
        <v>0</v>
      </c>
      <c r="M248" s="98">
        <v>0</v>
      </c>
      <c r="N248" s="99">
        <v>0</v>
      </c>
      <c r="O248" s="98">
        <v>0</v>
      </c>
      <c r="P248" s="99">
        <v>33880</v>
      </c>
      <c r="Q248" s="98">
        <v>3161484.8249599999</v>
      </c>
      <c r="R248" s="96" t="s">
        <v>625</v>
      </c>
      <c r="S248" s="96">
        <v>7414000005</v>
      </c>
      <c r="W248" s="129">
        <v>65509560409</v>
      </c>
      <c r="X248" s="130">
        <v>57344512.107092001</v>
      </c>
      <c r="AA248" s="131" t="s">
        <v>546</v>
      </c>
      <c r="AB248" s="130">
        <v>99183683</v>
      </c>
      <c r="AC248" s="130">
        <v>99183683</v>
      </c>
    </row>
    <row r="249" spans="1:29" x14ac:dyDescent="0.25">
      <c r="A249" t="str">
        <f t="shared" si="4"/>
        <v xml:space="preserve">1018694GOBFED 270304       </v>
      </c>
      <c r="B249" s="96">
        <v>1018694</v>
      </c>
      <c r="C249" s="96" t="s">
        <v>661</v>
      </c>
      <c r="D249" s="96" t="s">
        <v>507</v>
      </c>
      <c r="E249" s="96" t="s">
        <v>623</v>
      </c>
      <c r="F249" s="96" t="s">
        <v>624</v>
      </c>
      <c r="G249" s="99">
        <v>30730</v>
      </c>
      <c r="H249" s="97">
        <v>94.864168000000006</v>
      </c>
      <c r="I249" s="98">
        <v>2915175.88264</v>
      </c>
      <c r="J249" s="97">
        <v>96.403544792235607</v>
      </c>
      <c r="K249" s="98">
        <v>-47305.048825400001</v>
      </c>
      <c r="L249" s="99">
        <v>0</v>
      </c>
      <c r="M249" s="98">
        <v>0</v>
      </c>
      <c r="N249" s="99">
        <v>0</v>
      </c>
      <c r="O249" s="98">
        <v>0</v>
      </c>
      <c r="P249" s="99">
        <v>30730</v>
      </c>
      <c r="Q249" s="98">
        <v>2915175.88264</v>
      </c>
      <c r="R249" s="96" t="s">
        <v>625</v>
      </c>
      <c r="S249" s="96">
        <v>7414000005</v>
      </c>
      <c r="W249" s="129">
        <v>65509560426</v>
      </c>
      <c r="X249" s="130">
        <v>217913.11411600001</v>
      </c>
      <c r="AA249" s="131" t="s">
        <v>554</v>
      </c>
      <c r="AB249" s="130">
        <v>144524664.1036</v>
      </c>
      <c r="AC249" s="130">
        <v>144524664.1036</v>
      </c>
    </row>
    <row r="250" spans="1:29" x14ac:dyDescent="0.25">
      <c r="A250" t="str">
        <f t="shared" si="4"/>
        <v xml:space="preserve">1018694GOBFED 270603       </v>
      </c>
      <c r="B250" s="96">
        <v>1018694</v>
      </c>
      <c r="C250" s="96" t="s">
        <v>661</v>
      </c>
      <c r="D250" s="96" t="s">
        <v>381</v>
      </c>
      <c r="E250" s="96" t="s">
        <v>623</v>
      </c>
      <c r="F250" s="96" t="s">
        <v>624</v>
      </c>
      <c r="G250" s="99">
        <v>89129</v>
      </c>
      <c r="H250" s="97">
        <v>94.870157000000006</v>
      </c>
      <c r="I250" s="98">
        <v>8455682.2232530005</v>
      </c>
      <c r="J250" s="97">
        <v>96.750571777887103</v>
      </c>
      <c r="K250" s="98">
        <v>-167599.48873829999</v>
      </c>
      <c r="L250" s="99">
        <v>0</v>
      </c>
      <c r="M250" s="98">
        <v>0</v>
      </c>
      <c r="N250" s="99">
        <v>0</v>
      </c>
      <c r="O250" s="98">
        <v>0</v>
      </c>
      <c r="P250" s="99">
        <v>89129</v>
      </c>
      <c r="Q250" s="98">
        <v>8455682.2232530005</v>
      </c>
      <c r="R250" s="96" t="s">
        <v>625</v>
      </c>
      <c r="S250" s="96">
        <v>7414000005</v>
      </c>
      <c r="W250" s="129">
        <v>65509560443</v>
      </c>
      <c r="X250" s="130">
        <v>594835.91909600003</v>
      </c>
      <c r="AA250" s="131" t="s">
        <v>555</v>
      </c>
      <c r="AB250" s="130">
        <v>199388156</v>
      </c>
      <c r="AC250" s="130">
        <v>199388156</v>
      </c>
    </row>
    <row r="251" spans="1:29" x14ac:dyDescent="0.25">
      <c r="A251" t="str">
        <f t="shared" si="4"/>
        <v xml:space="preserve">1018694GOBFED 290301       </v>
      </c>
      <c r="B251" s="96">
        <v>1018694</v>
      </c>
      <c r="C251" s="96" t="s">
        <v>661</v>
      </c>
      <c r="D251" s="96" t="s">
        <v>382</v>
      </c>
      <c r="E251" s="96" t="s">
        <v>623</v>
      </c>
      <c r="F251" s="96" t="s">
        <v>624</v>
      </c>
      <c r="G251" s="99">
        <v>41710</v>
      </c>
      <c r="H251" s="97">
        <v>89.489464999999996</v>
      </c>
      <c r="I251" s="98">
        <v>3732605.5851500002</v>
      </c>
      <c r="J251" s="97">
        <v>90.958526981819702</v>
      </c>
      <c r="K251" s="98">
        <v>-61274.575261700003</v>
      </c>
      <c r="L251" s="99">
        <v>0</v>
      </c>
      <c r="M251" s="98">
        <v>0</v>
      </c>
      <c r="N251" s="99">
        <v>0</v>
      </c>
      <c r="O251" s="98">
        <v>0</v>
      </c>
      <c r="P251" s="99">
        <v>41710</v>
      </c>
      <c r="Q251" s="98">
        <v>3732605.5851500002</v>
      </c>
      <c r="R251" s="96" t="s">
        <v>625</v>
      </c>
      <c r="S251" s="96">
        <v>7414000005</v>
      </c>
      <c r="W251" s="129">
        <v>65509560457</v>
      </c>
      <c r="X251" s="130">
        <v>1277403.6654079999</v>
      </c>
      <c r="AA251" s="131" t="s">
        <v>613</v>
      </c>
      <c r="AB251" s="130">
        <v>82229550.108459994</v>
      </c>
      <c r="AC251" s="130">
        <v>82229550.108459994</v>
      </c>
    </row>
    <row r="252" spans="1:29" x14ac:dyDescent="0.25">
      <c r="A252" t="str">
        <f t="shared" si="4"/>
        <v xml:space="preserve">1018694GOBFED 290531       </v>
      </c>
      <c r="B252" s="96">
        <v>1018694</v>
      </c>
      <c r="C252" s="96" t="s">
        <v>661</v>
      </c>
      <c r="D252" s="96" t="s">
        <v>383</v>
      </c>
      <c r="E252" s="96" t="s">
        <v>623</v>
      </c>
      <c r="F252" s="96" t="s">
        <v>624</v>
      </c>
      <c r="G252" s="99">
        <v>83750</v>
      </c>
      <c r="H252" s="97">
        <v>86.197128000000006</v>
      </c>
      <c r="I252" s="98">
        <v>7219009.4699999997</v>
      </c>
      <c r="J252" s="97">
        <v>89.67892150592597</v>
      </c>
      <c r="K252" s="98">
        <v>-291600.2061213</v>
      </c>
      <c r="L252" s="99">
        <v>0</v>
      </c>
      <c r="M252" s="98">
        <v>0</v>
      </c>
      <c r="N252" s="99">
        <v>0</v>
      </c>
      <c r="O252" s="98">
        <v>0</v>
      </c>
      <c r="P252" s="99">
        <v>83750</v>
      </c>
      <c r="Q252" s="98">
        <v>7219009.4699999997</v>
      </c>
      <c r="R252" s="96" t="s">
        <v>625</v>
      </c>
      <c r="S252" s="96">
        <v>7414000005</v>
      </c>
      <c r="W252" s="129">
        <v>1000001940</v>
      </c>
      <c r="X252" s="130">
        <v>137939612.65438801</v>
      </c>
      <c r="AA252" s="131" t="s">
        <v>615</v>
      </c>
      <c r="AB252" s="130">
        <v>31793895</v>
      </c>
      <c r="AC252" s="130">
        <v>31793895</v>
      </c>
    </row>
    <row r="253" spans="1:29" x14ac:dyDescent="0.25">
      <c r="A253" t="str">
        <f t="shared" si="4"/>
        <v xml:space="preserve">1018694GOBFED 310529       </v>
      </c>
      <c r="B253" s="96">
        <v>1018694</v>
      </c>
      <c r="C253" s="96" t="s">
        <v>661</v>
      </c>
      <c r="D253" s="96" t="s">
        <v>427</v>
      </c>
      <c r="E253" s="96" t="s">
        <v>623</v>
      </c>
      <c r="F253" s="96" t="s">
        <v>624</v>
      </c>
      <c r="G253" s="99">
        <v>66571</v>
      </c>
      <c r="H253" s="97">
        <v>86.469353999999996</v>
      </c>
      <c r="I253" s="98">
        <v>5756351.3651339998</v>
      </c>
      <c r="J253" s="97">
        <v>90.709951541621876</v>
      </c>
      <c r="K253" s="98">
        <v>-282300.81894331001</v>
      </c>
      <c r="L253" s="99">
        <v>0</v>
      </c>
      <c r="M253" s="98">
        <v>0</v>
      </c>
      <c r="N253" s="99">
        <v>0</v>
      </c>
      <c r="O253" s="98">
        <v>0</v>
      </c>
      <c r="P253" s="99">
        <v>66571</v>
      </c>
      <c r="Q253" s="98">
        <v>5756351.3651339998</v>
      </c>
      <c r="R253" s="96" t="s">
        <v>625</v>
      </c>
      <c r="S253" s="96">
        <v>7414000005</v>
      </c>
      <c r="W253" s="129">
        <v>1000002861</v>
      </c>
      <c r="X253" s="130">
        <v>13097239.509880001</v>
      </c>
      <c r="AA253" s="131" t="s">
        <v>616</v>
      </c>
      <c r="AB253" s="130">
        <v>19999951.800000001</v>
      </c>
      <c r="AC253" s="130">
        <v>19999951.800000001</v>
      </c>
    </row>
    <row r="254" spans="1:29" x14ac:dyDescent="0.25">
      <c r="A254" t="str">
        <f t="shared" si="4"/>
        <v xml:space="preserve">1018694GOBFED 330526       </v>
      </c>
      <c r="B254" s="96">
        <v>1018694</v>
      </c>
      <c r="C254" s="96" t="s">
        <v>661</v>
      </c>
      <c r="D254" s="96" t="s">
        <v>418</v>
      </c>
      <c r="E254" s="96" t="s">
        <v>623</v>
      </c>
      <c r="F254" s="96" t="s">
        <v>624</v>
      </c>
      <c r="G254" s="99">
        <v>2803</v>
      </c>
      <c r="H254" s="97">
        <v>101.45096599999999</v>
      </c>
      <c r="I254" s="98">
        <v>284367.05769799999</v>
      </c>
      <c r="J254" s="97">
        <v>114.11447106</v>
      </c>
      <c r="K254" s="98">
        <v>-35495.804683180002</v>
      </c>
      <c r="L254" s="99">
        <v>0</v>
      </c>
      <c r="M254" s="98">
        <v>0</v>
      </c>
      <c r="N254" s="99">
        <v>0</v>
      </c>
      <c r="O254" s="98">
        <v>0</v>
      </c>
      <c r="P254" s="99">
        <v>2803</v>
      </c>
      <c r="Q254" s="98">
        <v>284367.05769799999</v>
      </c>
      <c r="R254" s="96" t="s">
        <v>625</v>
      </c>
      <c r="S254" s="96">
        <v>7414000005</v>
      </c>
      <c r="W254" s="129">
        <v>1000003291</v>
      </c>
      <c r="X254" s="130">
        <v>60779327.953492001</v>
      </c>
      <c r="AA254" s="131" t="s">
        <v>628</v>
      </c>
      <c r="AB254" s="130">
        <v>17999853.300000001</v>
      </c>
      <c r="AC254" s="130">
        <v>17999853.300000001</v>
      </c>
    </row>
    <row r="255" spans="1:29" x14ac:dyDescent="0.25">
      <c r="A255" t="str">
        <f t="shared" si="4"/>
        <v xml:space="preserve">1018694GOBFED 341123       </v>
      </c>
      <c r="B255" s="96">
        <v>1018694</v>
      </c>
      <c r="C255" s="96" t="s">
        <v>661</v>
      </c>
      <c r="D255" s="96" t="s">
        <v>408</v>
      </c>
      <c r="E255" s="96" t="s">
        <v>623</v>
      </c>
      <c r="F255" s="96" t="s">
        <v>624</v>
      </c>
      <c r="G255" s="99">
        <v>2448</v>
      </c>
      <c r="H255" s="97">
        <v>89.643172000000007</v>
      </c>
      <c r="I255" s="98">
        <v>219446.485056</v>
      </c>
      <c r="J255" s="97">
        <v>108.47711812999999</v>
      </c>
      <c r="K255" s="98">
        <v>-46105.500126239996</v>
      </c>
      <c r="L255" s="99">
        <v>0</v>
      </c>
      <c r="M255" s="98">
        <v>0</v>
      </c>
      <c r="N255" s="99">
        <v>0</v>
      </c>
      <c r="O255" s="98">
        <v>0</v>
      </c>
      <c r="P255" s="99">
        <v>2448</v>
      </c>
      <c r="Q255" s="98">
        <v>219446.485056</v>
      </c>
      <c r="R255" s="96" t="s">
        <v>625</v>
      </c>
      <c r="S255" s="96">
        <v>7414000005</v>
      </c>
      <c r="W255" s="129">
        <v>1000003292</v>
      </c>
      <c r="X255" s="130">
        <v>8581992.0128080007</v>
      </c>
      <c r="AA255" s="131" t="s">
        <v>649</v>
      </c>
      <c r="AB255" s="130">
        <v>25284840.988159999</v>
      </c>
      <c r="AC255" s="130">
        <v>25284840.988159999</v>
      </c>
    </row>
    <row r="256" spans="1:29" x14ac:dyDescent="0.25">
      <c r="A256" t="str">
        <f t="shared" si="4"/>
        <v xml:space="preserve">1018694GOBFED 361120       </v>
      </c>
      <c r="B256" s="96">
        <v>1018694</v>
      </c>
      <c r="C256" s="96" t="s">
        <v>661</v>
      </c>
      <c r="D256" s="96" t="s">
        <v>384</v>
      </c>
      <c r="E256" s="96" t="s">
        <v>623</v>
      </c>
      <c r="F256" s="96" t="s">
        <v>624</v>
      </c>
      <c r="G256" s="99">
        <v>57775</v>
      </c>
      <c r="H256" s="97">
        <v>81.738860000000003</v>
      </c>
      <c r="I256" s="98">
        <v>4722462.6365</v>
      </c>
      <c r="J256" s="97">
        <v>86.431341162410732</v>
      </c>
      <c r="K256" s="98">
        <v>-271108.09915828001</v>
      </c>
      <c r="L256" s="99">
        <v>0</v>
      </c>
      <c r="M256" s="98">
        <v>0</v>
      </c>
      <c r="N256" s="99">
        <v>0</v>
      </c>
      <c r="O256" s="98">
        <v>0</v>
      </c>
      <c r="P256" s="99">
        <v>57775</v>
      </c>
      <c r="Q256" s="98">
        <v>4722462.6365</v>
      </c>
      <c r="R256" s="96" t="s">
        <v>625</v>
      </c>
      <c r="S256" s="96">
        <v>7414000005</v>
      </c>
      <c r="W256" s="129">
        <v>1000003293</v>
      </c>
      <c r="X256" s="130">
        <v>31340123.241996001</v>
      </c>
      <c r="AA256" s="129">
        <v>1021427</v>
      </c>
      <c r="AB256" s="130">
        <v>0</v>
      </c>
      <c r="AC256" s="130">
        <v>0</v>
      </c>
    </row>
    <row r="257" spans="1:29" x14ac:dyDescent="0.25">
      <c r="A257" t="str">
        <f t="shared" si="4"/>
        <v xml:space="preserve">1018694GOBFED 381118       </v>
      </c>
      <c r="B257" s="96">
        <v>1018694</v>
      </c>
      <c r="C257" s="96" t="s">
        <v>661</v>
      </c>
      <c r="D257" s="96" t="s">
        <v>385</v>
      </c>
      <c r="E257" s="96" t="s">
        <v>623</v>
      </c>
      <c r="F257" s="96" t="s">
        <v>624</v>
      </c>
      <c r="G257" s="99">
        <v>16984</v>
      </c>
      <c r="H257" s="97">
        <v>83.200761</v>
      </c>
      <c r="I257" s="98">
        <v>1413081.7248239999</v>
      </c>
      <c r="J257" s="97">
        <v>92.435743429566656</v>
      </c>
      <c r="K257" s="98">
        <v>-156846.94158376</v>
      </c>
      <c r="L257" s="99">
        <v>0</v>
      </c>
      <c r="M257" s="98">
        <v>0</v>
      </c>
      <c r="N257" s="99">
        <v>0</v>
      </c>
      <c r="O257" s="98">
        <v>0</v>
      </c>
      <c r="P257" s="99">
        <v>16984</v>
      </c>
      <c r="Q257" s="98">
        <v>1413081.7248239999</v>
      </c>
      <c r="R257" s="96" t="s">
        <v>625</v>
      </c>
      <c r="S257" s="96">
        <v>7414000005</v>
      </c>
      <c r="W257" s="129">
        <v>1000003294</v>
      </c>
      <c r="X257" s="130">
        <v>2752363.5903360001</v>
      </c>
      <c r="AA257" s="131" t="s">
        <v>442</v>
      </c>
      <c r="AB257" s="130">
        <v>0</v>
      </c>
      <c r="AC257" s="130">
        <v>0</v>
      </c>
    </row>
    <row r="258" spans="1:29" x14ac:dyDescent="0.25">
      <c r="A258" t="str">
        <f t="shared" si="4"/>
        <v xml:space="preserve">1018694GOBFED 421113       </v>
      </c>
      <c r="B258" s="96">
        <v>1018694</v>
      </c>
      <c r="C258" s="96" t="s">
        <v>661</v>
      </c>
      <c r="D258" s="96" t="s">
        <v>386</v>
      </c>
      <c r="E258" s="96" t="s">
        <v>623</v>
      </c>
      <c r="F258" s="96" t="s">
        <v>624</v>
      </c>
      <c r="G258" s="99">
        <v>82572</v>
      </c>
      <c r="H258" s="97">
        <v>82.159907000000004</v>
      </c>
      <c r="I258" s="98">
        <v>6784107.8408040004</v>
      </c>
      <c r="J258" s="97">
        <v>84.188416131988319</v>
      </c>
      <c r="K258" s="98">
        <v>-167498.05604654</v>
      </c>
      <c r="L258" s="99">
        <v>0</v>
      </c>
      <c r="M258" s="98">
        <v>0</v>
      </c>
      <c r="N258" s="99">
        <v>0</v>
      </c>
      <c r="O258" s="98">
        <v>0</v>
      </c>
      <c r="P258" s="99">
        <v>82572</v>
      </c>
      <c r="Q258" s="98">
        <v>6784107.8408040004</v>
      </c>
      <c r="R258" s="96" t="s">
        <v>625</v>
      </c>
      <c r="S258" s="96">
        <v>7414000005</v>
      </c>
      <c r="W258" s="129">
        <v>1000003295</v>
      </c>
      <c r="X258" s="130">
        <v>82669240.862708002</v>
      </c>
      <c r="AA258" s="131" t="s">
        <v>443</v>
      </c>
      <c r="AB258" s="130">
        <v>0</v>
      </c>
      <c r="AC258" s="130">
        <v>0</v>
      </c>
    </row>
    <row r="259" spans="1:29" x14ac:dyDescent="0.25">
      <c r="A259" t="str">
        <f t="shared" si="4"/>
        <v xml:space="preserve">1018694GOBFED 471107       </v>
      </c>
      <c r="B259" s="96">
        <v>1018694</v>
      </c>
      <c r="C259" s="96" t="s">
        <v>661</v>
      </c>
      <c r="D259" s="96" t="s">
        <v>419</v>
      </c>
      <c r="E259" s="96" t="s">
        <v>623</v>
      </c>
      <c r="F259" s="96" t="s">
        <v>624</v>
      </c>
      <c r="G259" s="99">
        <v>0</v>
      </c>
      <c r="H259" s="97">
        <v>0</v>
      </c>
      <c r="I259" s="98">
        <v>0</v>
      </c>
      <c r="J259" s="97">
        <v>0</v>
      </c>
      <c r="K259" s="98">
        <v>0</v>
      </c>
      <c r="L259" s="99">
        <v>0</v>
      </c>
      <c r="M259" s="98">
        <v>0</v>
      </c>
      <c r="N259" s="99">
        <v>0</v>
      </c>
      <c r="O259" s="98">
        <v>0</v>
      </c>
      <c r="P259" s="99">
        <v>0</v>
      </c>
      <c r="Q259" s="98">
        <v>0</v>
      </c>
      <c r="R259" s="96" t="s">
        <v>625</v>
      </c>
      <c r="S259" s="96">
        <v>7414000005</v>
      </c>
      <c r="W259" s="129">
        <v>1000003296</v>
      </c>
      <c r="X259" s="130">
        <v>29963625.547031999</v>
      </c>
      <c r="AA259" s="131" t="s">
        <v>444</v>
      </c>
      <c r="AB259" s="130">
        <v>0</v>
      </c>
      <c r="AC259" s="130">
        <v>0</v>
      </c>
    </row>
    <row r="260" spans="1:29" x14ac:dyDescent="0.25">
      <c r="A260" t="str">
        <f t="shared" si="4"/>
        <v xml:space="preserve">1018694GOBFED 530731       </v>
      </c>
      <c r="B260" s="96">
        <v>1018694</v>
      </c>
      <c r="C260" s="96" t="s">
        <v>661</v>
      </c>
      <c r="D260" s="96" t="s">
        <v>429</v>
      </c>
      <c r="E260" s="96" t="s">
        <v>623</v>
      </c>
      <c r="F260" s="96" t="s">
        <v>624</v>
      </c>
      <c r="G260" s="99">
        <v>72279</v>
      </c>
      <c r="H260" s="97">
        <v>98.007834000000003</v>
      </c>
      <c r="I260" s="98">
        <v>7083908.2336860001</v>
      </c>
      <c r="J260" s="97">
        <v>89.811540712579585</v>
      </c>
      <c r="K260" s="98">
        <v>592419.88252145995</v>
      </c>
      <c r="L260" s="99">
        <v>0</v>
      </c>
      <c r="M260" s="98">
        <v>0</v>
      </c>
      <c r="N260" s="99">
        <v>0</v>
      </c>
      <c r="O260" s="98">
        <v>0</v>
      </c>
      <c r="P260" s="99">
        <v>72279</v>
      </c>
      <c r="Q260" s="98">
        <v>7083908.2336860001</v>
      </c>
      <c r="R260" s="96" t="s">
        <v>625</v>
      </c>
      <c r="S260" s="96">
        <v>7414000005</v>
      </c>
      <c r="W260" s="129">
        <v>1000003297</v>
      </c>
      <c r="X260" s="130">
        <v>10801619.469752001</v>
      </c>
      <c r="AA260" s="131" t="s">
        <v>445</v>
      </c>
      <c r="AB260" s="130">
        <v>0</v>
      </c>
      <c r="AC260" s="130">
        <v>0</v>
      </c>
    </row>
    <row r="261" spans="1:29" x14ac:dyDescent="0.25">
      <c r="A261" t="str">
        <f t="shared" si="4"/>
        <v xml:space="preserve">1018694IENOVA *            </v>
      </c>
      <c r="B261" s="96">
        <v>1018694</v>
      </c>
      <c r="C261" s="96" t="s">
        <v>661</v>
      </c>
      <c r="D261" s="96" t="s">
        <v>389</v>
      </c>
      <c r="E261" s="96" t="s">
        <v>623</v>
      </c>
      <c r="F261" s="96" t="s">
        <v>624</v>
      </c>
      <c r="G261" s="99">
        <v>3047659</v>
      </c>
      <c r="H261" s="97">
        <v>3.3967719999999999</v>
      </c>
      <c r="I261" s="98">
        <v>10352202.756748</v>
      </c>
      <c r="J261" s="97">
        <v>3.3096765681462395</v>
      </c>
      <c r="K261" s="98">
        <v>265437.17674800003</v>
      </c>
      <c r="L261" s="99">
        <v>0</v>
      </c>
      <c r="M261" s="98">
        <v>0</v>
      </c>
      <c r="N261" s="99">
        <v>0</v>
      </c>
      <c r="O261" s="98">
        <v>0</v>
      </c>
      <c r="P261" s="99">
        <v>3047659</v>
      </c>
      <c r="Q261" s="98">
        <v>10352202.756748</v>
      </c>
      <c r="R261" s="96" t="s">
        <v>625</v>
      </c>
      <c r="S261" s="96">
        <v>7414000005</v>
      </c>
      <c r="W261" s="129">
        <v>1000003298</v>
      </c>
      <c r="X261" s="130">
        <v>26481530.031164002</v>
      </c>
      <c r="AA261" s="131" t="s">
        <v>446</v>
      </c>
      <c r="AB261" s="130">
        <v>0</v>
      </c>
      <c r="AC261" s="130">
        <v>0</v>
      </c>
    </row>
    <row r="262" spans="1:29" x14ac:dyDescent="0.25">
      <c r="A262" t="str">
        <f t="shared" si="4"/>
        <v xml:space="preserve">1018694PEMEX 13-2          </v>
      </c>
      <c r="B262" s="96">
        <v>1018694</v>
      </c>
      <c r="C262" s="96" t="s">
        <v>661</v>
      </c>
      <c r="D262" s="96" t="s">
        <v>391</v>
      </c>
      <c r="E262" s="96" t="s">
        <v>623</v>
      </c>
      <c r="F262" s="96" t="s">
        <v>624</v>
      </c>
      <c r="G262" s="99">
        <v>5861</v>
      </c>
      <c r="H262" s="97">
        <v>775.69178699999998</v>
      </c>
      <c r="I262" s="98">
        <v>4546329.5636069998</v>
      </c>
      <c r="J262" s="97">
        <v>766.69784126000002</v>
      </c>
      <c r="K262" s="98">
        <v>52713.515982140001</v>
      </c>
      <c r="L262" s="99">
        <v>0</v>
      </c>
      <c r="M262" s="98">
        <v>0</v>
      </c>
      <c r="N262" s="99">
        <v>0</v>
      </c>
      <c r="O262" s="98">
        <v>0</v>
      </c>
      <c r="P262" s="99">
        <v>5861</v>
      </c>
      <c r="Q262" s="98">
        <v>4546329.5636069998</v>
      </c>
      <c r="R262" s="96" t="s">
        <v>625</v>
      </c>
      <c r="S262" s="96">
        <v>7414000005</v>
      </c>
      <c r="W262" s="129">
        <v>1000003299</v>
      </c>
      <c r="X262" s="130">
        <v>96704930.350431994</v>
      </c>
      <c r="AA262" s="131" t="s">
        <v>447</v>
      </c>
      <c r="AB262" s="130">
        <v>0</v>
      </c>
      <c r="AC262" s="130">
        <v>0</v>
      </c>
    </row>
    <row r="263" spans="1:29" x14ac:dyDescent="0.25">
      <c r="A263" t="str">
        <f t="shared" ref="A263:A326" si="5">B261&amp;D261</f>
        <v xml:space="preserve">1018694STERGOB ED          </v>
      </c>
      <c r="B263" s="96">
        <v>1018694</v>
      </c>
      <c r="C263" s="96" t="s">
        <v>661</v>
      </c>
      <c r="D263" s="96" t="s">
        <v>392</v>
      </c>
      <c r="E263" s="96" t="s">
        <v>623</v>
      </c>
      <c r="F263" s="96" t="s">
        <v>624</v>
      </c>
      <c r="G263" s="99">
        <v>12002</v>
      </c>
      <c r="H263" s="97">
        <v>747.17843200000004</v>
      </c>
      <c r="I263" s="98">
        <v>8967635.5408640001</v>
      </c>
      <c r="J263" s="97">
        <v>723.84327280451589</v>
      </c>
      <c r="K263" s="98">
        <v>280068.58066420001</v>
      </c>
      <c r="L263" s="99">
        <v>0</v>
      </c>
      <c r="M263" s="98">
        <v>0</v>
      </c>
      <c r="N263" s="99">
        <v>0</v>
      </c>
      <c r="O263" s="98">
        <v>0</v>
      </c>
      <c r="P263" s="99">
        <v>12002</v>
      </c>
      <c r="Q263" s="98">
        <v>8967635.5408640001</v>
      </c>
      <c r="R263" s="96" t="s">
        <v>625</v>
      </c>
      <c r="S263" s="96">
        <v>7414000005</v>
      </c>
      <c r="W263" s="129">
        <v>1000003300</v>
      </c>
      <c r="X263" s="130">
        <v>10765009.061136</v>
      </c>
      <c r="AA263" s="131" t="s">
        <v>426</v>
      </c>
      <c r="AB263" s="130">
        <v>0</v>
      </c>
      <c r="AC263" s="130">
        <v>0</v>
      </c>
    </row>
    <row r="264" spans="1:29" x14ac:dyDescent="0.25">
      <c r="A264" t="str">
        <f t="shared" si="5"/>
        <v xml:space="preserve">1018694UDIBONO 251204      </v>
      </c>
      <c r="B264" s="96">
        <v>1018694</v>
      </c>
      <c r="C264" s="96" t="s">
        <v>661</v>
      </c>
      <c r="D264" s="96" t="s">
        <v>393</v>
      </c>
      <c r="E264" s="96" t="s">
        <v>623</v>
      </c>
      <c r="F264" s="96" t="s">
        <v>624</v>
      </c>
      <c r="G264" s="99">
        <v>3840</v>
      </c>
      <c r="H264" s="97">
        <v>765.92388300000005</v>
      </c>
      <c r="I264" s="98">
        <v>2941147.7107199999</v>
      </c>
      <c r="J264" s="97">
        <v>752.52974169119796</v>
      </c>
      <c r="K264" s="98">
        <v>51433.5026258</v>
      </c>
      <c r="L264" s="99">
        <v>0</v>
      </c>
      <c r="M264" s="98">
        <v>0</v>
      </c>
      <c r="N264" s="99">
        <v>0</v>
      </c>
      <c r="O264" s="98">
        <v>0</v>
      </c>
      <c r="P264" s="99">
        <v>3840</v>
      </c>
      <c r="Q264" s="98">
        <v>2941147.7107199999</v>
      </c>
      <c r="R264" s="96" t="s">
        <v>625</v>
      </c>
      <c r="S264" s="96">
        <v>7414000005</v>
      </c>
      <c r="W264" s="129">
        <v>1000003301</v>
      </c>
      <c r="X264" s="130">
        <v>21470183.983491998</v>
      </c>
      <c r="AA264" s="131" t="s">
        <v>376</v>
      </c>
      <c r="AB264" s="130">
        <v>0</v>
      </c>
      <c r="AC264" s="130">
        <v>0</v>
      </c>
    </row>
    <row r="265" spans="1:29" x14ac:dyDescent="0.25">
      <c r="A265" t="str">
        <f t="shared" si="5"/>
        <v xml:space="preserve">1018694UDIBONO 261203      </v>
      </c>
      <c r="B265" s="96">
        <v>1018694</v>
      </c>
      <c r="C265" s="96" t="s">
        <v>661</v>
      </c>
      <c r="D265" s="96" t="s">
        <v>394</v>
      </c>
      <c r="E265" s="96" t="s">
        <v>623</v>
      </c>
      <c r="F265" s="96" t="s">
        <v>624</v>
      </c>
      <c r="G265" s="99">
        <v>12221</v>
      </c>
      <c r="H265" s="97">
        <v>684.88915799999995</v>
      </c>
      <c r="I265" s="98">
        <v>8370030.3999180002</v>
      </c>
      <c r="J265" s="97">
        <v>678.03104617035433</v>
      </c>
      <c r="K265" s="98">
        <v>83812.984670100006</v>
      </c>
      <c r="L265" s="99">
        <v>0</v>
      </c>
      <c r="M265" s="98">
        <v>0</v>
      </c>
      <c r="N265" s="99">
        <v>0</v>
      </c>
      <c r="O265" s="98">
        <v>0</v>
      </c>
      <c r="P265" s="99">
        <v>12221</v>
      </c>
      <c r="Q265" s="98">
        <v>8370030.3999180002</v>
      </c>
      <c r="R265" s="96" t="s">
        <v>625</v>
      </c>
      <c r="S265" s="96">
        <v>7414000005</v>
      </c>
      <c r="W265" s="129">
        <v>1000003302</v>
      </c>
      <c r="X265" s="130">
        <v>13975865.53926</v>
      </c>
      <c r="AA265" s="131" t="s">
        <v>450</v>
      </c>
      <c r="AB265" s="130">
        <v>0</v>
      </c>
      <c r="AC265" s="130">
        <v>0</v>
      </c>
    </row>
    <row r="266" spans="1:29" x14ac:dyDescent="0.25">
      <c r="A266" t="str">
        <f t="shared" si="5"/>
        <v xml:space="preserve">1018694UDIBONO 281130      </v>
      </c>
      <c r="B266" s="96">
        <v>1018694</v>
      </c>
      <c r="C266" s="96" t="s">
        <v>661</v>
      </c>
      <c r="D266" s="96" t="s">
        <v>395</v>
      </c>
      <c r="E266" s="96" t="s">
        <v>623</v>
      </c>
      <c r="F266" s="96" t="s">
        <v>624</v>
      </c>
      <c r="G266" s="99">
        <v>793</v>
      </c>
      <c r="H266" s="97">
        <v>772.926965</v>
      </c>
      <c r="I266" s="98">
        <v>612931.08324499999</v>
      </c>
      <c r="J266" s="97">
        <v>798.93664675000002</v>
      </c>
      <c r="K266" s="98">
        <v>-20625.677627749999</v>
      </c>
      <c r="L266" s="99">
        <v>0</v>
      </c>
      <c r="M266" s="98">
        <v>0</v>
      </c>
      <c r="N266" s="99">
        <v>0</v>
      </c>
      <c r="O266" s="98">
        <v>0</v>
      </c>
      <c r="P266" s="99">
        <v>793</v>
      </c>
      <c r="Q266" s="98">
        <v>612931.08324499999</v>
      </c>
      <c r="R266" s="96" t="s">
        <v>625</v>
      </c>
      <c r="S266" s="96">
        <v>7414000005</v>
      </c>
      <c r="W266" s="129">
        <v>1000003305</v>
      </c>
      <c r="X266" s="130">
        <v>10526385.828136001</v>
      </c>
      <c r="AA266" s="131" t="s">
        <v>451</v>
      </c>
      <c r="AB266" s="130">
        <v>0</v>
      </c>
      <c r="AC266" s="130">
        <v>0</v>
      </c>
    </row>
    <row r="267" spans="1:29" x14ac:dyDescent="0.25">
      <c r="A267" t="str">
        <f t="shared" si="5"/>
        <v xml:space="preserve">1018694UDIBONO 311127      </v>
      </c>
      <c r="B267" s="96">
        <v>1018694</v>
      </c>
      <c r="C267" s="96" t="s">
        <v>661</v>
      </c>
      <c r="D267" s="96" t="s">
        <v>396</v>
      </c>
      <c r="E267" s="96" t="s">
        <v>623</v>
      </c>
      <c r="F267" s="96" t="s">
        <v>624</v>
      </c>
      <c r="G267" s="99">
        <v>4837</v>
      </c>
      <c r="H267" s="97">
        <v>721.59464000000003</v>
      </c>
      <c r="I267" s="98">
        <v>3490353.2736800001</v>
      </c>
      <c r="J267" s="97">
        <v>757.14391105401694</v>
      </c>
      <c r="K267" s="98">
        <v>-171951.82408828</v>
      </c>
      <c r="L267" s="99">
        <v>0</v>
      </c>
      <c r="M267" s="98">
        <v>0</v>
      </c>
      <c r="N267" s="99">
        <v>0</v>
      </c>
      <c r="O267" s="98">
        <v>0</v>
      </c>
      <c r="P267" s="99">
        <v>4837</v>
      </c>
      <c r="Q267" s="98">
        <v>3490353.2736800001</v>
      </c>
      <c r="R267" s="96" t="s">
        <v>625</v>
      </c>
      <c r="S267" s="96">
        <v>7414000005</v>
      </c>
      <c r="W267" s="129">
        <v>65508881201</v>
      </c>
      <c r="X267" s="130">
        <v>1529145.231872</v>
      </c>
      <c r="AA267" s="131" t="s">
        <v>452</v>
      </c>
      <c r="AB267" s="130">
        <v>0</v>
      </c>
      <c r="AC267" s="130">
        <v>0</v>
      </c>
    </row>
    <row r="268" spans="1:29" x14ac:dyDescent="0.25">
      <c r="A268" t="str">
        <f t="shared" si="5"/>
        <v xml:space="preserve">1018694UDIBONO 351122      </v>
      </c>
      <c r="B268" s="96">
        <v>1018694</v>
      </c>
      <c r="C268" s="96" t="s">
        <v>661</v>
      </c>
      <c r="D268" s="96" t="s">
        <v>397</v>
      </c>
      <c r="E268" s="96" t="s">
        <v>623</v>
      </c>
      <c r="F268" s="96" t="s">
        <v>624</v>
      </c>
      <c r="G268" s="99">
        <v>2287</v>
      </c>
      <c r="H268" s="97">
        <v>635.96311900000001</v>
      </c>
      <c r="I268" s="98">
        <v>1454447.6531529999</v>
      </c>
      <c r="J268" s="97">
        <v>647.93802047999998</v>
      </c>
      <c r="K268" s="98">
        <v>-27386.59968476</v>
      </c>
      <c r="L268" s="99">
        <v>0</v>
      </c>
      <c r="M268" s="98">
        <v>0</v>
      </c>
      <c r="N268" s="99">
        <v>0</v>
      </c>
      <c r="O268" s="98">
        <v>0</v>
      </c>
      <c r="P268" s="99">
        <v>2287</v>
      </c>
      <c r="Q268" s="98">
        <v>1454447.6531529999</v>
      </c>
      <c r="R268" s="96" t="s">
        <v>625</v>
      </c>
      <c r="S268" s="96">
        <v>7414000005</v>
      </c>
      <c r="W268" s="129">
        <v>65508886089</v>
      </c>
      <c r="X268" s="130">
        <v>96488725.812631994</v>
      </c>
      <c r="AA268" s="131" t="s">
        <v>391</v>
      </c>
      <c r="AB268" s="130">
        <v>0</v>
      </c>
      <c r="AC268" s="130">
        <v>0</v>
      </c>
    </row>
    <row r="269" spans="1:29" x14ac:dyDescent="0.25">
      <c r="A269" t="str">
        <f t="shared" si="5"/>
        <v xml:space="preserve">1018694UDIBONO 401115      </v>
      </c>
      <c r="B269" s="96">
        <v>1018694</v>
      </c>
      <c r="C269" s="96" t="s">
        <v>661</v>
      </c>
      <c r="D269" s="96" t="s">
        <v>398</v>
      </c>
      <c r="E269" s="96" t="s">
        <v>623</v>
      </c>
      <c r="F269" s="96" t="s">
        <v>624</v>
      </c>
      <c r="G269" s="99">
        <v>5175</v>
      </c>
      <c r="H269" s="97">
        <v>709.36974099999998</v>
      </c>
      <c r="I269" s="98">
        <v>3670988.4096749998</v>
      </c>
      <c r="J269" s="97">
        <v>724.7392342995015</v>
      </c>
      <c r="K269" s="98">
        <v>-79537.127824919997</v>
      </c>
      <c r="L269" s="99">
        <v>0</v>
      </c>
      <c r="M269" s="98">
        <v>0</v>
      </c>
      <c r="N269" s="99">
        <v>0</v>
      </c>
      <c r="O269" s="98">
        <v>0</v>
      </c>
      <c r="P269" s="99">
        <v>5175</v>
      </c>
      <c r="Q269" s="98">
        <v>3670988.4096749998</v>
      </c>
      <c r="R269" s="96" t="s">
        <v>625</v>
      </c>
      <c r="S269" s="96">
        <v>7414000005</v>
      </c>
      <c r="W269" s="129">
        <v>65508888184</v>
      </c>
      <c r="X269" s="130">
        <v>1513312.8775800001</v>
      </c>
      <c r="AA269" s="131" t="s">
        <v>396</v>
      </c>
      <c r="AB269" s="130">
        <v>0</v>
      </c>
      <c r="AC269" s="130">
        <v>0</v>
      </c>
    </row>
    <row r="270" spans="1:29" x14ac:dyDescent="0.25">
      <c r="A270" t="str">
        <f t="shared" si="5"/>
        <v xml:space="preserve">1018694UDIBONO 431112      </v>
      </c>
      <c r="B270" s="96">
        <v>1018694</v>
      </c>
      <c r="C270" s="96" t="s">
        <v>661</v>
      </c>
      <c r="D270" s="96" t="s">
        <v>399</v>
      </c>
      <c r="E270" s="96" t="s">
        <v>623</v>
      </c>
      <c r="F270" s="96" t="s">
        <v>624</v>
      </c>
      <c r="G270" s="99">
        <v>9197</v>
      </c>
      <c r="H270" s="97">
        <v>694.41118700000004</v>
      </c>
      <c r="I270" s="98">
        <v>6386499.6868390003</v>
      </c>
      <c r="J270" s="97">
        <v>721.263691953288</v>
      </c>
      <c r="K270" s="98">
        <v>-246962.48805538999</v>
      </c>
      <c r="L270" s="99">
        <v>0</v>
      </c>
      <c r="M270" s="98">
        <v>0</v>
      </c>
      <c r="N270" s="99">
        <v>0</v>
      </c>
      <c r="O270" s="98">
        <v>0</v>
      </c>
      <c r="P270" s="99">
        <v>9197</v>
      </c>
      <c r="Q270" s="98">
        <v>6386499.6868390003</v>
      </c>
      <c r="R270" s="96" t="s">
        <v>625</v>
      </c>
      <c r="S270" s="96">
        <v>7414000005</v>
      </c>
      <c r="W270" s="129">
        <v>65509889998</v>
      </c>
      <c r="X270" s="130">
        <v>8487768.9542999994</v>
      </c>
      <c r="AA270" s="131" t="s">
        <v>361</v>
      </c>
      <c r="AB270" s="130">
        <v>0</v>
      </c>
      <c r="AC270" s="130">
        <v>0</v>
      </c>
    </row>
    <row r="271" spans="1:29" x14ac:dyDescent="0.25">
      <c r="A271" t="str">
        <f t="shared" si="5"/>
        <v xml:space="preserve">1018694UDIBONO 461108      </v>
      </c>
      <c r="B271" s="96">
        <v>1018695</v>
      </c>
      <c r="C271" s="96" t="s">
        <v>662</v>
      </c>
      <c r="D271" s="96" t="s">
        <v>422</v>
      </c>
      <c r="E271" s="96" t="s">
        <v>623</v>
      </c>
      <c r="F271" s="96" t="s">
        <v>624</v>
      </c>
      <c r="G271" s="99">
        <v>35</v>
      </c>
      <c r="H271" s="97">
        <v>97.654420999999999</v>
      </c>
      <c r="I271" s="98">
        <v>3417.9047350000001</v>
      </c>
      <c r="J271" s="97">
        <v>98.224185000000006</v>
      </c>
      <c r="K271" s="98">
        <v>-19.941739999999999</v>
      </c>
      <c r="L271" s="99">
        <v>0</v>
      </c>
      <c r="M271" s="98">
        <v>0</v>
      </c>
      <c r="N271" s="99">
        <v>0</v>
      </c>
      <c r="O271" s="98">
        <v>0</v>
      </c>
      <c r="P271" s="99">
        <v>35</v>
      </c>
      <c r="Q271" s="98">
        <v>3417.9047350000001</v>
      </c>
      <c r="R271" s="96" t="s">
        <v>625</v>
      </c>
      <c r="S271" s="96">
        <v>7414000005</v>
      </c>
      <c r="W271" s="129">
        <v>65509890080</v>
      </c>
      <c r="X271" s="130">
        <v>164613488.29682401</v>
      </c>
      <c r="AA271" s="131" t="s">
        <v>432</v>
      </c>
      <c r="AB271" s="130">
        <v>0</v>
      </c>
      <c r="AC271" s="130">
        <v>0</v>
      </c>
    </row>
    <row r="272" spans="1:29" x14ac:dyDescent="0.25">
      <c r="A272" t="str">
        <f t="shared" si="5"/>
        <v xml:space="preserve">1018694UDIBONO 501103      </v>
      </c>
      <c r="B272" s="96">
        <v>1018695</v>
      </c>
      <c r="C272" s="96" t="s">
        <v>662</v>
      </c>
      <c r="D272" s="96" t="s">
        <v>375</v>
      </c>
      <c r="E272" s="96" t="s">
        <v>623</v>
      </c>
      <c r="F272" s="96" t="s">
        <v>624</v>
      </c>
      <c r="G272" s="99">
        <v>389</v>
      </c>
      <c r="H272" s="97">
        <v>98.730349000000004</v>
      </c>
      <c r="I272" s="98">
        <v>38406.105760999999</v>
      </c>
      <c r="J272" s="97">
        <v>104.81191507</v>
      </c>
      <c r="K272" s="98">
        <v>-2365.7292012299999</v>
      </c>
      <c r="L272" s="99">
        <v>0</v>
      </c>
      <c r="M272" s="98">
        <v>0</v>
      </c>
      <c r="N272" s="99">
        <v>0</v>
      </c>
      <c r="O272" s="98">
        <v>0</v>
      </c>
      <c r="P272" s="99">
        <v>389</v>
      </c>
      <c r="Q272" s="98">
        <v>38406.105760999999</v>
      </c>
      <c r="R272" s="96" t="s">
        <v>625</v>
      </c>
      <c r="S272" s="96">
        <v>7414000005</v>
      </c>
      <c r="W272" s="129">
        <v>65509890154</v>
      </c>
      <c r="X272" s="130">
        <v>6151374.0630839998</v>
      </c>
      <c r="AA272" s="131" t="s">
        <v>449</v>
      </c>
      <c r="AB272" s="130">
        <v>0</v>
      </c>
      <c r="AC272" s="130">
        <v>0</v>
      </c>
    </row>
    <row r="273" spans="1:29" x14ac:dyDescent="0.25">
      <c r="A273" t="str">
        <f t="shared" si="5"/>
        <v xml:space="preserve">1018695CETELEM 22          </v>
      </c>
      <c r="B273" s="96">
        <v>1018695</v>
      </c>
      <c r="C273" s="96" t="s">
        <v>662</v>
      </c>
      <c r="D273" s="96" t="s">
        <v>376</v>
      </c>
      <c r="E273" s="96" t="s">
        <v>623</v>
      </c>
      <c r="F273" s="96" t="s">
        <v>624</v>
      </c>
      <c r="G273" s="99">
        <v>742</v>
      </c>
      <c r="H273" s="97">
        <v>99.247497999999993</v>
      </c>
      <c r="I273" s="98">
        <v>73641.643515999996</v>
      </c>
      <c r="J273" s="97">
        <v>112.90833475762803</v>
      </c>
      <c r="K273" s="98">
        <v>-10136.34087416</v>
      </c>
      <c r="L273" s="99">
        <v>0</v>
      </c>
      <c r="M273" s="98">
        <v>0</v>
      </c>
      <c r="N273" s="99">
        <v>0</v>
      </c>
      <c r="O273" s="98">
        <v>0</v>
      </c>
      <c r="P273" s="99">
        <v>742</v>
      </c>
      <c r="Q273" s="98">
        <v>73641.643515999996</v>
      </c>
      <c r="R273" s="96" t="s">
        <v>625</v>
      </c>
      <c r="S273" s="96">
        <v>7414000005</v>
      </c>
      <c r="W273" s="129">
        <v>65509890276</v>
      </c>
      <c r="X273" s="130">
        <v>6706960.2817200003</v>
      </c>
      <c r="AA273" s="131" t="s">
        <v>439</v>
      </c>
      <c r="AB273" s="130">
        <v>0</v>
      </c>
      <c r="AC273" s="130">
        <v>0</v>
      </c>
    </row>
    <row r="274" spans="1:29" x14ac:dyDescent="0.25">
      <c r="A274" t="str">
        <f t="shared" si="5"/>
        <v xml:space="preserve">1018695GOBFED 240905       </v>
      </c>
      <c r="B274" s="96">
        <v>1018695</v>
      </c>
      <c r="C274" s="96" t="s">
        <v>662</v>
      </c>
      <c r="D274" s="96" t="s">
        <v>377</v>
      </c>
      <c r="E274" s="96" t="s">
        <v>623</v>
      </c>
      <c r="F274" s="96" t="s">
        <v>624</v>
      </c>
      <c r="G274" s="99">
        <v>190</v>
      </c>
      <c r="H274" s="97">
        <v>94.973146999999997</v>
      </c>
      <c r="I274" s="98">
        <v>18044.897929999999</v>
      </c>
      <c r="J274" s="97">
        <v>89.786778143157889</v>
      </c>
      <c r="K274" s="98">
        <v>985.41008280000005</v>
      </c>
      <c r="L274" s="99">
        <v>0</v>
      </c>
      <c r="M274" s="98">
        <v>0</v>
      </c>
      <c r="N274" s="99">
        <v>0</v>
      </c>
      <c r="O274" s="98">
        <v>0</v>
      </c>
      <c r="P274" s="99">
        <v>190</v>
      </c>
      <c r="Q274" s="98">
        <v>18044.897929999999</v>
      </c>
      <c r="R274" s="96" t="s">
        <v>625</v>
      </c>
      <c r="S274" s="96">
        <v>7414000005</v>
      </c>
      <c r="W274" s="129">
        <v>1000001249</v>
      </c>
      <c r="X274" s="130">
        <v>4424422.0716279997</v>
      </c>
      <c r="AA274" s="131" t="s">
        <v>440</v>
      </c>
      <c r="AB274" s="130">
        <v>0</v>
      </c>
      <c r="AC274" s="130">
        <v>0</v>
      </c>
    </row>
    <row r="275" spans="1:29" x14ac:dyDescent="0.25">
      <c r="A275" t="str">
        <f t="shared" si="5"/>
        <v xml:space="preserve">1018695GOBFED 241205       </v>
      </c>
      <c r="B275" s="96">
        <v>1018695</v>
      </c>
      <c r="C275" s="96" t="s">
        <v>662</v>
      </c>
      <c r="D275" s="96" t="s">
        <v>378</v>
      </c>
      <c r="E275" s="96" t="s">
        <v>623</v>
      </c>
      <c r="F275" s="96" t="s">
        <v>624</v>
      </c>
      <c r="G275" s="99">
        <v>673</v>
      </c>
      <c r="H275" s="97">
        <v>91.911821000000003</v>
      </c>
      <c r="I275" s="98">
        <v>61856.655532999997</v>
      </c>
      <c r="J275" s="97">
        <v>93.2088459</v>
      </c>
      <c r="K275" s="98">
        <v>-872.89775770000006</v>
      </c>
      <c r="L275" s="99">
        <v>0</v>
      </c>
      <c r="M275" s="98">
        <v>0</v>
      </c>
      <c r="N275" s="99">
        <v>0</v>
      </c>
      <c r="O275" s="98">
        <v>0</v>
      </c>
      <c r="P275" s="99">
        <v>673</v>
      </c>
      <c r="Q275" s="98">
        <v>61856.655532999997</v>
      </c>
      <c r="R275" s="96" t="s">
        <v>625</v>
      </c>
      <c r="S275" s="96">
        <v>7414000005</v>
      </c>
      <c r="W275" s="129">
        <v>1000002677</v>
      </c>
      <c r="X275" s="130">
        <v>1037139.253318</v>
      </c>
      <c r="AA275" s="131" t="s">
        <v>441</v>
      </c>
      <c r="AB275" s="130">
        <v>0</v>
      </c>
      <c r="AC275" s="130">
        <v>0</v>
      </c>
    </row>
    <row r="276" spans="1:29" x14ac:dyDescent="0.25">
      <c r="A276" t="str">
        <f t="shared" si="5"/>
        <v xml:space="preserve">1018695GOBFED 250306       </v>
      </c>
      <c r="B276" s="96">
        <v>1018695</v>
      </c>
      <c r="C276" s="96" t="s">
        <v>662</v>
      </c>
      <c r="D276" s="96" t="s">
        <v>499</v>
      </c>
      <c r="E276" s="96" t="s">
        <v>623</v>
      </c>
      <c r="F276" s="96" t="s">
        <v>624</v>
      </c>
      <c r="G276" s="99">
        <v>290</v>
      </c>
      <c r="H276" s="97">
        <v>92.954503000000003</v>
      </c>
      <c r="I276" s="98">
        <v>26956.80587</v>
      </c>
      <c r="J276" s="97">
        <v>93.332995301034487</v>
      </c>
      <c r="K276" s="98">
        <v>-109.76276729999999</v>
      </c>
      <c r="L276" s="99">
        <v>0</v>
      </c>
      <c r="M276" s="98">
        <v>0</v>
      </c>
      <c r="N276" s="99">
        <v>0</v>
      </c>
      <c r="O276" s="98">
        <v>0</v>
      </c>
      <c r="P276" s="99">
        <v>290</v>
      </c>
      <c r="Q276" s="98">
        <v>26956.80587</v>
      </c>
      <c r="R276" s="96" t="s">
        <v>625</v>
      </c>
      <c r="S276" s="96">
        <v>7414000005</v>
      </c>
      <c r="W276" s="129">
        <v>1000003307</v>
      </c>
      <c r="X276" s="130">
        <v>7177.3792359999998</v>
      </c>
      <c r="AA276" s="131" t="s">
        <v>448</v>
      </c>
      <c r="AB276" s="130">
        <v>0</v>
      </c>
      <c r="AC276" s="130">
        <v>0</v>
      </c>
    </row>
    <row r="277" spans="1:29" x14ac:dyDescent="0.25">
      <c r="A277" t="str">
        <f t="shared" si="5"/>
        <v xml:space="preserve">1018695GOBFED 260305       </v>
      </c>
      <c r="B277" s="96">
        <v>1018695</v>
      </c>
      <c r="C277" s="96" t="s">
        <v>662</v>
      </c>
      <c r="D277" s="96" t="s">
        <v>379</v>
      </c>
      <c r="E277" s="96" t="s">
        <v>623</v>
      </c>
      <c r="F277" s="96" t="s">
        <v>624</v>
      </c>
      <c r="G277" s="99">
        <v>316</v>
      </c>
      <c r="H277" s="97">
        <v>88.698122999999995</v>
      </c>
      <c r="I277" s="98">
        <v>28028.606867999999</v>
      </c>
      <c r="J277" s="97">
        <v>85.568848202151898</v>
      </c>
      <c r="K277" s="98">
        <v>988.85083612000005</v>
      </c>
      <c r="L277" s="99">
        <v>0</v>
      </c>
      <c r="M277" s="98">
        <v>0</v>
      </c>
      <c r="N277" s="99">
        <v>0</v>
      </c>
      <c r="O277" s="98">
        <v>0</v>
      </c>
      <c r="P277" s="99">
        <v>316</v>
      </c>
      <c r="Q277" s="98">
        <v>28028.606867999999</v>
      </c>
      <c r="R277" s="96" t="s">
        <v>625</v>
      </c>
      <c r="S277" s="96">
        <v>7414000005</v>
      </c>
      <c r="W277" s="129">
        <v>1000003633</v>
      </c>
      <c r="X277" s="130">
        <v>417343521.534922</v>
      </c>
      <c r="AA277" s="129">
        <v>1024556</v>
      </c>
      <c r="AB277" s="130">
        <v>1202406286.1068881</v>
      </c>
      <c r="AC277" s="130">
        <v>1202406286.1068881</v>
      </c>
    </row>
    <row r="278" spans="1:29" x14ac:dyDescent="0.25">
      <c r="A278" t="str">
        <f t="shared" si="5"/>
        <v xml:space="preserve">1018695GOBFED 260903       </v>
      </c>
      <c r="B278" s="96">
        <v>1018695</v>
      </c>
      <c r="C278" s="96" t="s">
        <v>662</v>
      </c>
      <c r="D278" s="96" t="s">
        <v>380</v>
      </c>
      <c r="E278" s="96" t="s">
        <v>623</v>
      </c>
      <c r="F278" s="96" t="s">
        <v>624</v>
      </c>
      <c r="G278" s="99">
        <v>1310</v>
      </c>
      <c r="H278" s="97">
        <v>93.314192000000006</v>
      </c>
      <c r="I278" s="98">
        <v>122241.59152</v>
      </c>
      <c r="J278" s="97">
        <v>96.714839917862591</v>
      </c>
      <c r="K278" s="98">
        <v>-4454.8487723999997</v>
      </c>
      <c r="L278" s="99">
        <v>0</v>
      </c>
      <c r="M278" s="98">
        <v>0</v>
      </c>
      <c r="N278" s="99">
        <v>0</v>
      </c>
      <c r="O278" s="98">
        <v>0</v>
      </c>
      <c r="P278" s="99">
        <v>1310</v>
      </c>
      <c r="Q278" s="98">
        <v>122241.59152</v>
      </c>
      <c r="R278" s="96" t="s">
        <v>625</v>
      </c>
      <c r="S278" s="96">
        <v>7414000005</v>
      </c>
      <c r="W278" s="129">
        <v>1000003315</v>
      </c>
      <c r="X278" s="130">
        <v>22289085.259999998</v>
      </c>
      <c r="AA278" s="131" t="s">
        <v>366</v>
      </c>
      <c r="AB278" s="130">
        <v>75048349.030000001</v>
      </c>
      <c r="AC278" s="130">
        <v>75048349.030000001</v>
      </c>
    </row>
    <row r="279" spans="1:29" x14ac:dyDescent="0.25">
      <c r="A279" t="str">
        <f t="shared" si="5"/>
        <v xml:space="preserve">1018695GOBFED 270304       </v>
      </c>
      <c r="B279" s="96">
        <v>1018695</v>
      </c>
      <c r="C279" s="96" t="s">
        <v>662</v>
      </c>
      <c r="D279" s="96" t="s">
        <v>507</v>
      </c>
      <c r="E279" s="96" t="s">
        <v>623</v>
      </c>
      <c r="F279" s="96" t="s">
        <v>624</v>
      </c>
      <c r="G279" s="99">
        <v>570</v>
      </c>
      <c r="H279" s="97">
        <v>94.864168000000006</v>
      </c>
      <c r="I279" s="98">
        <v>54072.57576</v>
      </c>
      <c r="J279" s="97">
        <v>96.385970966842109</v>
      </c>
      <c r="K279" s="98">
        <v>-867.42769109999995</v>
      </c>
      <c r="L279" s="99">
        <v>0</v>
      </c>
      <c r="M279" s="98">
        <v>0</v>
      </c>
      <c r="N279" s="99">
        <v>0</v>
      </c>
      <c r="O279" s="98">
        <v>0</v>
      </c>
      <c r="P279" s="99">
        <v>570</v>
      </c>
      <c r="Q279" s="98">
        <v>54072.57576</v>
      </c>
      <c r="R279" s="96" t="s">
        <v>625</v>
      </c>
      <c r="S279" s="96">
        <v>7414000005</v>
      </c>
      <c r="W279" s="129" t="s">
        <v>21</v>
      </c>
      <c r="X279" s="130">
        <v>33777800309.778954</v>
      </c>
      <c r="AA279" s="131" t="s">
        <v>376</v>
      </c>
      <c r="AB279" s="130">
        <v>3973572.077426</v>
      </c>
      <c r="AC279" s="130">
        <v>3973572.077426</v>
      </c>
    </row>
    <row r="280" spans="1:29" x14ac:dyDescent="0.25">
      <c r="A280" t="str">
        <f t="shared" si="5"/>
        <v xml:space="preserve">1018695GOBFED 270603       </v>
      </c>
      <c r="B280" s="96">
        <v>1018695</v>
      </c>
      <c r="C280" s="96" t="s">
        <v>662</v>
      </c>
      <c r="D280" s="96" t="s">
        <v>381</v>
      </c>
      <c r="E280" s="96" t="s">
        <v>623</v>
      </c>
      <c r="F280" s="96" t="s">
        <v>624</v>
      </c>
      <c r="G280" s="99">
        <v>1483</v>
      </c>
      <c r="H280" s="97">
        <v>94.870157000000006</v>
      </c>
      <c r="I280" s="98">
        <v>140692.44283099999</v>
      </c>
      <c r="J280" s="97">
        <v>96.965956425219147</v>
      </c>
      <c r="K280" s="98">
        <v>-3108.0705475999998</v>
      </c>
      <c r="L280" s="99">
        <v>0</v>
      </c>
      <c r="M280" s="98">
        <v>0</v>
      </c>
      <c r="N280" s="99">
        <v>0</v>
      </c>
      <c r="O280" s="98">
        <v>0</v>
      </c>
      <c r="P280" s="99">
        <v>1483</v>
      </c>
      <c r="Q280" s="98">
        <v>140692.44283099999</v>
      </c>
      <c r="R280" s="96" t="s">
        <v>625</v>
      </c>
      <c r="S280" s="96">
        <v>7414000005</v>
      </c>
      <c r="X280"/>
      <c r="AA280" s="131" t="s">
        <v>378</v>
      </c>
      <c r="AB280" s="130">
        <v>13627489.964206999</v>
      </c>
      <c r="AC280" s="130">
        <v>13627489.964206999</v>
      </c>
    </row>
    <row r="281" spans="1:29" x14ac:dyDescent="0.25">
      <c r="A281" t="str">
        <f t="shared" si="5"/>
        <v xml:space="preserve">1018695GOBFED 290301       </v>
      </c>
      <c r="B281" s="96">
        <v>1018695</v>
      </c>
      <c r="C281" s="96" t="s">
        <v>662</v>
      </c>
      <c r="D281" s="96" t="s">
        <v>382</v>
      </c>
      <c r="E281" s="96" t="s">
        <v>623</v>
      </c>
      <c r="F281" s="96" t="s">
        <v>624</v>
      </c>
      <c r="G281" s="99">
        <v>162</v>
      </c>
      <c r="H281" s="97">
        <v>89.489464999999996</v>
      </c>
      <c r="I281" s="98">
        <v>14497.29333</v>
      </c>
      <c r="J281" s="97">
        <v>92.773634099999995</v>
      </c>
      <c r="K281" s="98">
        <v>-532.03539420000004</v>
      </c>
      <c r="L281" s="99">
        <v>0</v>
      </c>
      <c r="M281" s="98">
        <v>0</v>
      </c>
      <c r="N281" s="99">
        <v>0</v>
      </c>
      <c r="O281" s="98">
        <v>0</v>
      </c>
      <c r="P281" s="99">
        <v>162</v>
      </c>
      <c r="Q281" s="98">
        <v>14497.29333</v>
      </c>
      <c r="R281" s="96" t="s">
        <v>625</v>
      </c>
      <c r="S281" s="96">
        <v>7414000005</v>
      </c>
      <c r="X281"/>
      <c r="AA281" s="131" t="s">
        <v>380</v>
      </c>
      <c r="AB281" s="130">
        <v>17138084.502719998</v>
      </c>
      <c r="AC281" s="130">
        <v>17138084.502719998</v>
      </c>
    </row>
    <row r="282" spans="1:29" x14ac:dyDescent="0.25">
      <c r="A282" t="str">
        <f t="shared" si="5"/>
        <v xml:space="preserve">1018695GOBFED 290531       </v>
      </c>
      <c r="B282" s="96">
        <v>1018695</v>
      </c>
      <c r="C282" s="96" t="s">
        <v>662</v>
      </c>
      <c r="D282" s="96" t="s">
        <v>383</v>
      </c>
      <c r="E282" s="96" t="s">
        <v>623</v>
      </c>
      <c r="F282" s="96" t="s">
        <v>624</v>
      </c>
      <c r="G282" s="99">
        <v>1320</v>
      </c>
      <c r="H282" s="97">
        <v>86.197128000000006</v>
      </c>
      <c r="I282" s="98">
        <v>113780.20896</v>
      </c>
      <c r="J282" s="97">
        <v>89.427180993787886</v>
      </c>
      <c r="K282" s="98">
        <v>-4263.6699517999996</v>
      </c>
      <c r="L282" s="99">
        <v>0</v>
      </c>
      <c r="M282" s="98">
        <v>0</v>
      </c>
      <c r="N282" s="99">
        <v>0</v>
      </c>
      <c r="O282" s="98">
        <v>0</v>
      </c>
      <c r="P282" s="99">
        <v>1320</v>
      </c>
      <c r="Q282" s="98">
        <v>113780.20896</v>
      </c>
      <c r="R282" s="96" t="s">
        <v>625</v>
      </c>
      <c r="S282" s="96">
        <v>7414000005</v>
      </c>
      <c r="X282"/>
      <c r="AA282" s="131" t="s">
        <v>382</v>
      </c>
      <c r="AB282" s="130">
        <v>58458903.521784998</v>
      </c>
      <c r="AC282" s="130">
        <v>58458903.521784998</v>
      </c>
    </row>
    <row r="283" spans="1:29" x14ac:dyDescent="0.25">
      <c r="A283" t="str">
        <f t="shared" si="5"/>
        <v xml:space="preserve">1018695GOBFED 310529       </v>
      </c>
      <c r="B283" s="96">
        <v>1018695</v>
      </c>
      <c r="C283" s="96" t="s">
        <v>662</v>
      </c>
      <c r="D283" s="96" t="s">
        <v>427</v>
      </c>
      <c r="E283" s="96" t="s">
        <v>623</v>
      </c>
      <c r="F283" s="96" t="s">
        <v>624</v>
      </c>
      <c r="G283" s="99">
        <v>60</v>
      </c>
      <c r="H283" s="97">
        <v>86.469353999999996</v>
      </c>
      <c r="I283" s="98">
        <v>5188.1612400000004</v>
      </c>
      <c r="J283" s="97">
        <v>112.18590945</v>
      </c>
      <c r="K283" s="98">
        <v>-1542.9933269999999</v>
      </c>
      <c r="L283" s="99">
        <v>0</v>
      </c>
      <c r="M283" s="98">
        <v>0</v>
      </c>
      <c r="N283" s="99">
        <v>0</v>
      </c>
      <c r="O283" s="98">
        <v>0</v>
      </c>
      <c r="P283" s="99">
        <v>60</v>
      </c>
      <c r="Q283" s="98">
        <v>5188.1612400000004</v>
      </c>
      <c r="R283" s="96" t="s">
        <v>625</v>
      </c>
      <c r="S283" s="96">
        <v>7414000005</v>
      </c>
      <c r="X283"/>
      <c r="AA283" s="131" t="s">
        <v>389</v>
      </c>
      <c r="AB283" s="130">
        <v>6991796.5977800004</v>
      </c>
      <c r="AC283" s="130">
        <v>6991796.5977800004</v>
      </c>
    </row>
    <row r="284" spans="1:29" x14ac:dyDescent="0.25">
      <c r="A284" t="str">
        <f t="shared" si="5"/>
        <v xml:space="preserve">1018695GOBFED 330526       </v>
      </c>
      <c r="B284" s="96">
        <v>1018695</v>
      </c>
      <c r="C284" s="96" t="s">
        <v>662</v>
      </c>
      <c r="D284" s="96" t="s">
        <v>418</v>
      </c>
      <c r="E284" s="96" t="s">
        <v>623</v>
      </c>
      <c r="F284" s="96" t="s">
        <v>624</v>
      </c>
      <c r="G284" s="99">
        <v>59</v>
      </c>
      <c r="H284" s="97">
        <v>101.45096599999999</v>
      </c>
      <c r="I284" s="98">
        <v>5985.6069939999998</v>
      </c>
      <c r="J284" s="97">
        <v>114.11447106</v>
      </c>
      <c r="K284" s="98">
        <v>-747.14679853999996</v>
      </c>
      <c r="L284" s="99">
        <v>0</v>
      </c>
      <c r="M284" s="98">
        <v>0</v>
      </c>
      <c r="N284" s="99">
        <v>0</v>
      </c>
      <c r="O284" s="98">
        <v>0</v>
      </c>
      <c r="P284" s="99">
        <v>59</v>
      </c>
      <c r="Q284" s="98">
        <v>5985.6069939999998</v>
      </c>
      <c r="R284" s="96" t="s">
        <v>625</v>
      </c>
      <c r="S284" s="96">
        <v>7414000005</v>
      </c>
      <c r="X284"/>
      <c r="AA284" s="131" t="s">
        <v>391</v>
      </c>
      <c r="AB284" s="130">
        <v>65227922.368830003</v>
      </c>
      <c r="AC284" s="130">
        <v>65227922.368830003</v>
      </c>
    </row>
    <row r="285" spans="1:29" x14ac:dyDescent="0.25">
      <c r="A285" t="str">
        <f t="shared" si="5"/>
        <v xml:space="preserve">1018695GOBFED 341123       </v>
      </c>
      <c r="B285" s="96">
        <v>1018695</v>
      </c>
      <c r="C285" s="96" t="s">
        <v>662</v>
      </c>
      <c r="D285" s="96" t="s">
        <v>408</v>
      </c>
      <c r="E285" s="96" t="s">
        <v>623</v>
      </c>
      <c r="F285" s="96" t="s">
        <v>624</v>
      </c>
      <c r="G285" s="99">
        <v>63</v>
      </c>
      <c r="H285" s="97">
        <v>89.643172000000007</v>
      </c>
      <c r="I285" s="98">
        <v>5647.5198360000004</v>
      </c>
      <c r="J285" s="97">
        <v>108.47711812999999</v>
      </c>
      <c r="K285" s="98">
        <v>-1186.5386061900001</v>
      </c>
      <c r="L285" s="99">
        <v>0</v>
      </c>
      <c r="M285" s="98">
        <v>0</v>
      </c>
      <c r="N285" s="99">
        <v>0</v>
      </c>
      <c r="O285" s="98">
        <v>0</v>
      </c>
      <c r="P285" s="99">
        <v>63</v>
      </c>
      <c r="Q285" s="98">
        <v>5647.5198360000004</v>
      </c>
      <c r="R285" s="96" t="s">
        <v>625</v>
      </c>
      <c r="S285" s="96">
        <v>7414000005</v>
      </c>
      <c r="X285"/>
      <c r="AA285" s="131" t="s">
        <v>381</v>
      </c>
      <c r="AB285" s="130">
        <v>66586896.574217997</v>
      </c>
      <c r="AC285" s="130">
        <v>66586896.574217997</v>
      </c>
    </row>
    <row r="286" spans="1:29" x14ac:dyDescent="0.25">
      <c r="A286" t="str">
        <f t="shared" si="5"/>
        <v xml:space="preserve">1018695GOBFED 361120       </v>
      </c>
      <c r="B286" s="96">
        <v>1018695</v>
      </c>
      <c r="C286" s="96" t="s">
        <v>662</v>
      </c>
      <c r="D286" s="96" t="s">
        <v>384</v>
      </c>
      <c r="E286" s="96" t="s">
        <v>623</v>
      </c>
      <c r="F286" s="96" t="s">
        <v>624</v>
      </c>
      <c r="G286" s="99">
        <v>809</v>
      </c>
      <c r="H286" s="97">
        <v>81.738860000000003</v>
      </c>
      <c r="I286" s="98">
        <v>66126.737739999997</v>
      </c>
      <c r="J286" s="97">
        <v>86.177542760939431</v>
      </c>
      <c r="K286" s="98">
        <v>-3590.8943536000002</v>
      </c>
      <c r="L286" s="99">
        <v>0</v>
      </c>
      <c r="M286" s="98">
        <v>0</v>
      </c>
      <c r="N286" s="99">
        <v>0</v>
      </c>
      <c r="O286" s="98">
        <v>0</v>
      </c>
      <c r="P286" s="99">
        <v>809</v>
      </c>
      <c r="Q286" s="98">
        <v>66126.737739999997</v>
      </c>
      <c r="R286" s="96" t="s">
        <v>625</v>
      </c>
      <c r="S286" s="96">
        <v>7414000005</v>
      </c>
      <c r="X286"/>
      <c r="AA286" s="131" t="s">
        <v>458</v>
      </c>
      <c r="AB286" s="130">
        <v>9753078.9578120001</v>
      </c>
      <c r="AC286" s="130">
        <v>9753078.9578120001</v>
      </c>
    </row>
    <row r="287" spans="1:29" x14ac:dyDescent="0.25">
      <c r="A287" t="str">
        <f t="shared" si="5"/>
        <v xml:space="preserve">1018695GOBFED 381118       </v>
      </c>
      <c r="B287" s="96">
        <v>1018695</v>
      </c>
      <c r="C287" s="96" t="s">
        <v>662</v>
      </c>
      <c r="D287" s="96" t="s">
        <v>385</v>
      </c>
      <c r="E287" s="96" t="s">
        <v>623</v>
      </c>
      <c r="F287" s="96" t="s">
        <v>624</v>
      </c>
      <c r="G287" s="99">
        <v>235</v>
      </c>
      <c r="H287" s="97">
        <v>83.200761</v>
      </c>
      <c r="I287" s="98">
        <v>19552.178834999999</v>
      </c>
      <c r="J287" s="97">
        <v>94.885158046170218</v>
      </c>
      <c r="K287" s="98">
        <v>-2745.8333058500002</v>
      </c>
      <c r="L287" s="99">
        <v>0</v>
      </c>
      <c r="M287" s="98">
        <v>0</v>
      </c>
      <c r="N287" s="99">
        <v>0</v>
      </c>
      <c r="O287" s="98">
        <v>0</v>
      </c>
      <c r="P287" s="99">
        <v>235</v>
      </c>
      <c r="Q287" s="98">
        <v>19552.178834999999</v>
      </c>
      <c r="R287" s="96" t="s">
        <v>625</v>
      </c>
      <c r="S287" s="96">
        <v>7414000005</v>
      </c>
      <c r="X287"/>
      <c r="AA287" s="131" t="s">
        <v>393</v>
      </c>
      <c r="AB287" s="130">
        <v>48962450.144657999</v>
      </c>
      <c r="AC287" s="130">
        <v>48962450.144657999</v>
      </c>
    </row>
    <row r="288" spans="1:29" x14ac:dyDescent="0.25">
      <c r="A288" t="str">
        <f t="shared" si="5"/>
        <v xml:space="preserve">1018695GOBFED 421113       </v>
      </c>
      <c r="B288" s="96">
        <v>1018695</v>
      </c>
      <c r="C288" s="96" t="s">
        <v>662</v>
      </c>
      <c r="D288" s="96" t="s">
        <v>386</v>
      </c>
      <c r="E288" s="96" t="s">
        <v>623</v>
      </c>
      <c r="F288" s="96" t="s">
        <v>624</v>
      </c>
      <c r="G288" s="99">
        <v>263</v>
      </c>
      <c r="H288" s="97">
        <v>82.159907000000004</v>
      </c>
      <c r="I288" s="98">
        <v>21608.055541000002</v>
      </c>
      <c r="J288" s="97">
        <v>86.420874420000004</v>
      </c>
      <c r="K288" s="98">
        <v>-1120.6344314600001</v>
      </c>
      <c r="L288" s="99">
        <v>0</v>
      </c>
      <c r="M288" s="98">
        <v>0</v>
      </c>
      <c r="N288" s="99">
        <v>0</v>
      </c>
      <c r="O288" s="98">
        <v>0</v>
      </c>
      <c r="P288" s="99">
        <v>263</v>
      </c>
      <c r="Q288" s="98">
        <v>21608.055541000002</v>
      </c>
      <c r="R288" s="96" t="s">
        <v>625</v>
      </c>
      <c r="S288" s="96">
        <v>7414000005</v>
      </c>
      <c r="X288"/>
      <c r="AA288" s="131" t="s">
        <v>455</v>
      </c>
      <c r="AB288" s="130">
        <v>12285936.550000001</v>
      </c>
      <c r="AC288" s="130">
        <v>12285936.550000001</v>
      </c>
    </row>
    <row r="289" spans="1:29" x14ac:dyDescent="0.25">
      <c r="A289" t="str">
        <f t="shared" si="5"/>
        <v xml:space="preserve">1018695GOBFED 471107       </v>
      </c>
      <c r="B289" s="96">
        <v>1018695</v>
      </c>
      <c r="C289" s="96" t="s">
        <v>662</v>
      </c>
      <c r="D289" s="96" t="s">
        <v>429</v>
      </c>
      <c r="E289" s="96" t="s">
        <v>623</v>
      </c>
      <c r="F289" s="96" t="s">
        <v>624</v>
      </c>
      <c r="G289" s="99">
        <v>1706</v>
      </c>
      <c r="H289" s="97">
        <v>98.007834000000003</v>
      </c>
      <c r="I289" s="98">
        <v>167201.36480400001</v>
      </c>
      <c r="J289" s="97">
        <v>89.8322275917116</v>
      </c>
      <c r="K289" s="98">
        <v>13947.584532540001</v>
      </c>
      <c r="L289" s="99">
        <v>0</v>
      </c>
      <c r="M289" s="98">
        <v>0</v>
      </c>
      <c r="N289" s="99">
        <v>0</v>
      </c>
      <c r="O289" s="98">
        <v>0</v>
      </c>
      <c r="P289" s="99">
        <v>1706</v>
      </c>
      <c r="Q289" s="98">
        <v>167201.36480400001</v>
      </c>
      <c r="R289" s="96" t="s">
        <v>625</v>
      </c>
      <c r="S289" s="96">
        <v>7414000005</v>
      </c>
      <c r="X289"/>
      <c r="AA289" s="131" t="s">
        <v>456</v>
      </c>
      <c r="AB289" s="130">
        <v>7454260.8082370004</v>
      </c>
      <c r="AC289" s="130">
        <v>7454260.8082370004</v>
      </c>
    </row>
    <row r="290" spans="1:29" x14ac:dyDescent="0.25">
      <c r="A290" t="str">
        <f t="shared" si="5"/>
        <v xml:space="preserve">1018695GOBFED 530731       </v>
      </c>
      <c r="B290" s="96">
        <v>1018695</v>
      </c>
      <c r="C290" s="96" t="s">
        <v>662</v>
      </c>
      <c r="D290" s="96" t="s">
        <v>430</v>
      </c>
      <c r="E290" s="96" t="s">
        <v>623</v>
      </c>
      <c r="F290" s="96" t="s">
        <v>624</v>
      </c>
      <c r="G290" s="99">
        <v>212990</v>
      </c>
      <c r="H290" s="97">
        <v>3.1390400000000001</v>
      </c>
      <c r="I290" s="98">
        <v>668584.12959999999</v>
      </c>
      <c r="J290" s="97">
        <v>2.3135499788722473</v>
      </c>
      <c r="K290" s="98">
        <v>175821.11960000001</v>
      </c>
      <c r="L290" s="99">
        <v>0</v>
      </c>
      <c r="M290" s="98">
        <v>0</v>
      </c>
      <c r="N290" s="99">
        <v>0</v>
      </c>
      <c r="O290" s="98">
        <v>0</v>
      </c>
      <c r="P290" s="99">
        <v>212990</v>
      </c>
      <c r="Q290" s="98">
        <v>668584.12959999999</v>
      </c>
      <c r="R290" s="96" t="s">
        <v>625</v>
      </c>
      <c r="S290" s="96">
        <v>7414000005</v>
      </c>
      <c r="X290"/>
      <c r="AA290" s="131" t="s">
        <v>375</v>
      </c>
      <c r="AB290" s="130">
        <v>5317715.3274889998</v>
      </c>
      <c r="AC290" s="130">
        <v>5317715.3274889998</v>
      </c>
    </row>
    <row r="291" spans="1:29" x14ac:dyDescent="0.25">
      <c r="A291" t="str">
        <f t="shared" si="5"/>
        <v xml:space="preserve">1018695PEMEX 13-2          </v>
      </c>
      <c r="B291" s="96">
        <v>1018695</v>
      </c>
      <c r="C291" s="96" t="s">
        <v>662</v>
      </c>
      <c r="D291" s="96" t="s">
        <v>389</v>
      </c>
      <c r="E291" s="96" t="s">
        <v>623</v>
      </c>
      <c r="F291" s="96" t="s">
        <v>624</v>
      </c>
      <c r="G291" s="99">
        <v>54702</v>
      </c>
      <c r="H291" s="97">
        <v>3.3967719999999999</v>
      </c>
      <c r="I291" s="98">
        <v>185810.22194399999</v>
      </c>
      <c r="J291" s="97">
        <v>3.2923437899893973</v>
      </c>
      <c r="K291" s="98">
        <v>5712.4319439999999</v>
      </c>
      <c r="L291" s="99">
        <v>0</v>
      </c>
      <c r="M291" s="98">
        <v>0</v>
      </c>
      <c r="N291" s="99">
        <v>0</v>
      </c>
      <c r="O291" s="98">
        <v>0</v>
      </c>
      <c r="P291" s="99">
        <v>54702</v>
      </c>
      <c r="Q291" s="98">
        <v>185810.22194399999</v>
      </c>
      <c r="R291" s="96" t="s">
        <v>625</v>
      </c>
      <c r="S291" s="96">
        <v>7414000005</v>
      </c>
      <c r="X291"/>
      <c r="AA291" s="131" t="s">
        <v>434</v>
      </c>
      <c r="AB291" s="130">
        <v>17362519.577190001</v>
      </c>
      <c r="AC291" s="130">
        <v>17362519.577190001</v>
      </c>
    </row>
    <row r="292" spans="1:29" x14ac:dyDescent="0.25">
      <c r="A292" t="str">
        <f t="shared" si="5"/>
        <v xml:space="preserve">1018695ST&amp;ER-C ED          </v>
      </c>
      <c r="B292" s="96">
        <v>1018695</v>
      </c>
      <c r="C292" s="96" t="s">
        <v>662</v>
      </c>
      <c r="D292" s="96" t="s">
        <v>391</v>
      </c>
      <c r="E292" s="96" t="s">
        <v>623</v>
      </c>
      <c r="F292" s="96" t="s">
        <v>624</v>
      </c>
      <c r="G292" s="99">
        <v>221</v>
      </c>
      <c r="H292" s="97">
        <v>775.69178699999998</v>
      </c>
      <c r="I292" s="98">
        <v>171427.88492700001</v>
      </c>
      <c r="J292" s="97">
        <v>766.69784126000002</v>
      </c>
      <c r="K292" s="98">
        <v>1987.66200854</v>
      </c>
      <c r="L292" s="99">
        <v>0</v>
      </c>
      <c r="M292" s="98">
        <v>0</v>
      </c>
      <c r="N292" s="99">
        <v>0</v>
      </c>
      <c r="O292" s="98">
        <v>0</v>
      </c>
      <c r="P292" s="99">
        <v>221</v>
      </c>
      <c r="Q292" s="98">
        <v>171427.88492700001</v>
      </c>
      <c r="R292" s="96" t="s">
        <v>625</v>
      </c>
      <c r="S292" s="96">
        <v>7414000005</v>
      </c>
      <c r="X292"/>
      <c r="AA292" s="131" t="s">
        <v>394</v>
      </c>
      <c r="AB292" s="130">
        <v>40147517.552801996</v>
      </c>
      <c r="AC292" s="130">
        <v>40147517.552801996</v>
      </c>
    </row>
    <row r="293" spans="1:29" x14ac:dyDescent="0.25">
      <c r="A293" t="str">
        <f t="shared" si="5"/>
        <v xml:space="preserve">1018695STERGOB ED          </v>
      </c>
      <c r="B293" s="96">
        <v>1018695</v>
      </c>
      <c r="C293" s="96" t="s">
        <v>662</v>
      </c>
      <c r="D293" s="96" t="s">
        <v>392</v>
      </c>
      <c r="E293" s="96" t="s">
        <v>623</v>
      </c>
      <c r="F293" s="96" t="s">
        <v>624</v>
      </c>
      <c r="G293" s="99">
        <v>195</v>
      </c>
      <c r="H293" s="97">
        <v>747.17843200000004</v>
      </c>
      <c r="I293" s="98">
        <v>145699.79423999999</v>
      </c>
      <c r="J293" s="97">
        <v>723.27277492615383</v>
      </c>
      <c r="K293" s="98">
        <v>4661.6031294000004</v>
      </c>
      <c r="L293" s="99">
        <v>0</v>
      </c>
      <c r="M293" s="98">
        <v>0</v>
      </c>
      <c r="N293" s="99">
        <v>0</v>
      </c>
      <c r="O293" s="98">
        <v>0</v>
      </c>
      <c r="P293" s="99">
        <v>195</v>
      </c>
      <c r="Q293" s="98">
        <v>145699.79423999999</v>
      </c>
      <c r="R293" s="96" t="s">
        <v>625</v>
      </c>
      <c r="S293" s="96">
        <v>7414000005</v>
      </c>
      <c r="X293"/>
      <c r="AA293" s="131" t="s">
        <v>454</v>
      </c>
      <c r="AB293" s="130">
        <v>5357683.5049000001</v>
      </c>
      <c r="AC293" s="130">
        <v>5357683.5049000001</v>
      </c>
    </row>
    <row r="294" spans="1:29" x14ac:dyDescent="0.25">
      <c r="A294" t="str">
        <f t="shared" si="5"/>
        <v xml:space="preserve">1018695UDIBONO 251204      </v>
      </c>
      <c r="B294" s="96">
        <v>1018695</v>
      </c>
      <c r="C294" s="96" t="s">
        <v>662</v>
      </c>
      <c r="D294" s="96" t="s">
        <v>393</v>
      </c>
      <c r="E294" s="96" t="s">
        <v>623</v>
      </c>
      <c r="F294" s="96" t="s">
        <v>624</v>
      </c>
      <c r="G294" s="99">
        <v>71</v>
      </c>
      <c r="H294" s="97">
        <v>765.92388300000005</v>
      </c>
      <c r="I294" s="98">
        <v>54380.595693000003</v>
      </c>
      <c r="J294" s="97">
        <v>755.62436577450705</v>
      </c>
      <c r="K294" s="98">
        <v>731.26572300999999</v>
      </c>
      <c r="L294" s="99">
        <v>0</v>
      </c>
      <c r="M294" s="98">
        <v>0</v>
      </c>
      <c r="N294" s="99">
        <v>0</v>
      </c>
      <c r="O294" s="98">
        <v>0</v>
      </c>
      <c r="P294" s="99">
        <v>71</v>
      </c>
      <c r="Q294" s="98">
        <v>54380.595693000003</v>
      </c>
      <c r="R294" s="96" t="s">
        <v>625</v>
      </c>
      <c r="S294" s="96">
        <v>7414000005</v>
      </c>
      <c r="X294"/>
      <c r="AA294" s="131" t="s">
        <v>424</v>
      </c>
      <c r="AB294" s="130">
        <v>29462772.678959999</v>
      </c>
      <c r="AC294" s="130">
        <v>29462772.678959999</v>
      </c>
    </row>
    <row r="295" spans="1:29" x14ac:dyDescent="0.25">
      <c r="A295" t="str">
        <f t="shared" si="5"/>
        <v xml:space="preserve">1018695UDIBONO 261203      </v>
      </c>
      <c r="B295" s="96">
        <v>1018695</v>
      </c>
      <c r="C295" s="96" t="s">
        <v>662</v>
      </c>
      <c r="D295" s="96" t="s">
        <v>394</v>
      </c>
      <c r="E295" s="96" t="s">
        <v>623</v>
      </c>
      <c r="F295" s="96" t="s">
        <v>624</v>
      </c>
      <c r="G295" s="99">
        <v>137</v>
      </c>
      <c r="H295" s="97">
        <v>684.88915799999995</v>
      </c>
      <c r="I295" s="98">
        <v>93829.814645999999</v>
      </c>
      <c r="J295" s="97">
        <v>678.63896544744523</v>
      </c>
      <c r="K295" s="98">
        <v>856.27637970000001</v>
      </c>
      <c r="L295" s="99">
        <v>0</v>
      </c>
      <c r="M295" s="98">
        <v>0</v>
      </c>
      <c r="N295" s="99">
        <v>0</v>
      </c>
      <c r="O295" s="98">
        <v>0</v>
      </c>
      <c r="P295" s="99">
        <v>137</v>
      </c>
      <c r="Q295" s="98">
        <v>93829.814645999999</v>
      </c>
      <c r="R295" s="96" t="s">
        <v>625</v>
      </c>
      <c r="S295" s="96">
        <v>7414000005</v>
      </c>
      <c r="X295"/>
      <c r="AA295" s="131" t="s">
        <v>379</v>
      </c>
      <c r="AB295" s="130">
        <v>20860201.963385999</v>
      </c>
      <c r="AC295" s="130">
        <v>20860201.963385999</v>
      </c>
    </row>
    <row r="296" spans="1:29" x14ac:dyDescent="0.25">
      <c r="A296" t="str">
        <f t="shared" si="5"/>
        <v xml:space="preserve">1018695UDIBONO 281130      </v>
      </c>
      <c r="B296" s="96">
        <v>1018695</v>
      </c>
      <c r="C296" s="96" t="s">
        <v>662</v>
      </c>
      <c r="D296" s="96" t="s">
        <v>395</v>
      </c>
      <c r="E296" s="96" t="s">
        <v>623</v>
      </c>
      <c r="F296" s="96" t="s">
        <v>624</v>
      </c>
      <c r="G296" s="99">
        <v>65</v>
      </c>
      <c r="H296" s="97">
        <v>772.926965</v>
      </c>
      <c r="I296" s="98">
        <v>50240.252724999998</v>
      </c>
      <c r="J296" s="97">
        <v>801.54097862599997</v>
      </c>
      <c r="K296" s="98">
        <v>-1859.91088569</v>
      </c>
      <c r="L296" s="99">
        <v>0</v>
      </c>
      <c r="M296" s="98">
        <v>0</v>
      </c>
      <c r="N296" s="99">
        <v>0</v>
      </c>
      <c r="O296" s="98">
        <v>0</v>
      </c>
      <c r="P296" s="99">
        <v>65</v>
      </c>
      <c r="Q296" s="98">
        <v>50240.252724999998</v>
      </c>
      <c r="R296" s="96" t="s">
        <v>625</v>
      </c>
      <c r="S296" s="96">
        <v>7414000005</v>
      </c>
      <c r="X296"/>
      <c r="AA296" s="131" t="s">
        <v>435</v>
      </c>
      <c r="AB296" s="130">
        <v>2353821.6600509998</v>
      </c>
      <c r="AC296" s="130">
        <v>2353821.6600509998</v>
      </c>
    </row>
    <row r="297" spans="1:29" x14ac:dyDescent="0.25">
      <c r="A297" t="str">
        <f t="shared" si="5"/>
        <v xml:space="preserve">1018695UDIBONO 311127      </v>
      </c>
      <c r="B297" s="96">
        <v>1018695</v>
      </c>
      <c r="C297" s="96" t="s">
        <v>662</v>
      </c>
      <c r="D297" s="96" t="s">
        <v>396</v>
      </c>
      <c r="E297" s="96" t="s">
        <v>623</v>
      </c>
      <c r="F297" s="96" t="s">
        <v>624</v>
      </c>
      <c r="G297" s="99">
        <v>68</v>
      </c>
      <c r="H297" s="97">
        <v>721.59464000000003</v>
      </c>
      <c r="I297" s="98">
        <v>49068.435519999999</v>
      </c>
      <c r="J297" s="97">
        <v>757.11254959897053</v>
      </c>
      <c r="K297" s="98">
        <v>-2415.2178527299998</v>
      </c>
      <c r="L297" s="99">
        <v>0</v>
      </c>
      <c r="M297" s="98">
        <v>0</v>
      </c>
      <c r="N297" s="99">
        <v>0</v>
      </c>
      <c r="O297" s="98">
        <v>0</v>
      </c>
      <c r="P297" s="99">
        <v>68</v>
      </c>
      <c r="Q297" s="98">
        <v>49068.435519999999</v>
      </c>
      <c r="R297" s="96" t="s">
        <v>625</v>
      </c>
      <c r="S297" s="96">
        <v>7414000005</v>
      </c>
      <c r="X297"/>
      <c r="AA297" s="131" t="s">
        <v>453</v>
      </c>
      <c r="AB297" s="130">
        <v>7093345.6181579996</v>
      </c>
      <c r="AC297" s="130">
        <v>7093345.6181579996</v>
      </c>
    </row>
    <row r="298" spans="1:29" x14ac:dyDescent="0.25">
      <c r="A298" t="str">
        <f t="shared" si="5"/>
        <v xml:space="preserve">1018695UDIBONO 351122      </v>
      </c>
      <c r="B298" s="96">
        <v>1018695</v>
      </c>
      <c r="C298" s="96" t="s">
        <v>662</v>
      </c>
      <c r="D298" s="96" t="s">
        <v>397</v>
      </c>
      <c r="E298" s="96" t="s">
        <v>623</v>
      </c>
      <c r="F298" s="96" t="s">
        <v>624</v>
      </c>
      <c r="G298" s="99">
        <v>31</v>
      </c>
      <c r="H298" s="97">
        <v>635.96311900000001</v>
      </c>
      <c r="I298" s="98">
        <v>19714.856689</v>
      </c>
      <c r="J298" s="97">
        <v>647.93802047999998</v>
      </c>
      <c r="K298" s="98">
        <v>-371.22194588000002</v>
      </c>
      <c r="L298" s="99">
        <v>0</v>
      </c>
      <c r="M298" s="98">
        <v>0</v>
      </c>
      <c r="N298" s="99">
        <v>0</v>
      </c>
      <c r="O298" s="98">
        <v>0</v>
      </c>
      <c r="P298" s="99">
        <v>31</v>
      </c>
      <c r="Q298" s="98">
        <v>19714.856689</v>
      </c>
      <c r="R298" s="96" t="s">
        <v>625</v>
      </c>
      <c r="S298" s="96">
        <v>7414000005</v>
      </c>
      <c r="X298"/>
      <c r="AA298" s="131" t="s">
        <v>457</v>
      </c>
      <c r="AB298" s="130">
        <v>24050547.600000001</v>
      </c>
      <c r="AC298" s="130">
        <v>24050547.600000001</v>
      </c>
    </row>
    <row r="299" spans="1:29" x14ac:dyDescent="0.25">
      <c r="A299" t="str">
        <f t="shared" si="5"/>
        <v xml:space="preserve">1018695UDIBONO 401115      </v>
      </c>
      <c r="B299" s="96">
        <v>1018695</v>
      </c>
      <c r="C299" s="96" t="s">
        <v>662</v>
      </c>
      <c r="D299" s="96" t="s">
        <v>398</v>
      </c>
      <c r="E299" s="96" t="s">
        <v>623</v>
      </c>
      <c r="F299" s="96" t="s">
        <v>624</v>
      </c>
      <c r="G299" s="99">
        <v>97</v>
      </c>
      <c r="H299" s="97">
        <v>709.36974099999998</v>
      </c>
      <c r="I299" s="98">
        <v>68808.864877</v>
      </c>
      <c r="J299" s="97">
        <v>724.63651936999997</v>
      </c>
      <c r="K299" s="98">
        <v>-1480.8775018900001</v>
      </c>
      <c r="L299" s="99">
        <v>0</v>
      </c>
      <c r="M299" s="98">
        <v>0</v>
      </c>
      <c r="N299" s="99">
        <v>0</v>
      </c>
      <c r="O299" s="98">
        <v>0</v>
      </c>
      <c r="P299" s="99">
        <v>97</v>
      </c>
      <c r="Q299" s="98">
        <v>68808.864877</v>
      </c>
      <c r="R299" s="96" t="s">
        <v>625</v>
      </c>
      <c r="S299" s="96">
        <v>7414000005</v>
      </c>
      <c r="X299"/>
      <c r="AA299" s="131" t="s">
        <v>377</v>
      </c>
      <c r="AB299" s="130">
        <v>8528683.5737469997</v>
      </c>
      <c r="AC299" s="130">
        <v>8528683.5737469997</v>
      </c>
    </row>
    <row r="300" spans="1:29" x14ac:dyDescent="0.25">
      <c r="A300" t="str">
        <f t="shared" si="5"/>
        <v xml:space="preserve">1018695UDIBONO 431112      </v>
      </c>
      <c r="B300" s="96">
        <v>1018695</v>
      </c>
      <c r="C300" s="96" t="s">
        <v>662</v>
      </c>
      <c r="D300" s="96" t="s">
        <v>399</v>
      </c>
      <c r="E300" s="96" t="s">
        <v>623</v>
      </c>
      <c r="F300" s="96" t="s">
        <v>624</v>
      </c>
      <c r="G300" s="99">
        <v>222</v>
      </c>
      <c r="H300" s="97">
        <v>694.41118700000004</v>
      </c>
      <c r="I300" s="98">
        <v>154159.28351400001</v>
      </c>
      <c r="J300" s="97">
        <v>720.77534897378382</v>
      </c>
      <c r="K300" s="98">
        <v>-5852.8439581800003</v>
      </c>
      <c r="L300" s="99">
        <v>0</v>
      </c>
      <c r="M300" s="98">
        <v>0</v>
      </c>
      <c r="N300" s="99">
        <v>0</v>
      </c>
      <c r="O300" s="98">
        <v>0</v>
      </c>
      <c r="P300" s="99">
        <v>222</v>
      </c>
      <c r="Q300" s="98">
        <v>154159.28351400001</v>
      </c>
      <c r="R300" s="96" t="s">
        <v>625</v>
      </c>
      <c r="S300" s="96">
        <v>7414000005</v>
      </c>
      <c r="X300"/>
      <c r="AA300" s="131" t="s">
        <v>422</v>
      </c>
      <c r="AB300" s="130">
        <v>5841589.8097989997</v>
      </c>
      <c r="AC300" s="130">
        <v>5841589.8097989997</v>
      </c>
    </row>
    <row r="301" spans="1:29" x14ac:dyDescent="0.25">
      <c r="A301" t="str">
        <f t="shared" si="5"/>
        <v xml:space="preserve">1018695UDIBONO 461108      </v>
      </c>
      <c r="B301" s="96">
        <v>1018867</v>
      </c>
      <c r="C301" s="96" t="s">
        <v>663</v>
      </c>
      <c r="D301" s="96" t="s">
        <v>431</v>
      </c>
      <c r="E301" s="96" t="s">
        <v>623</v>
      </c>
      <c r="F301" s="96" t="s">
        <v>624</v>
      </c>
      <c r="G301" s="99">
        <v>8579692</v>
      </c>
      <c r="H301" s="97">
        <v>3.4005040000000002</v>
      </c>
      <c r="I301" s="98">
        <v>29175276.964768</v>
      </c>
      <c r="J301" s="97">
        <v>3.3808276835578712</v>
      </c>
      <c r="K301" s="98">
        <v>168816.73476799999</v>
      </c>
      <c r="L301" s="99">
        <v>0</v>
      </c>
      <c r="M301" s="98">
        <v>0</v>
      </c>
      <c r="N301" s="99">
        <v>0</v>
      </c>
      <c r="O301" s="98">
        <v>0</v>
      </c>
      <c r="P301" s="99">
        <v>8579692</v>
      </c>
      <c r="Q301" s="98">
        <v>29175276.964768</v>
      </c>
      <c r="R301" s="96" t="s">
        <v>625</v>
      </c>
      <c r="S301" s="96">
        <v>7414000005</v>
      </c>
      <c r="X301"/>
      <c r="AA301" s="131" t="s">
        <v>392</v>
      </c>
      <c r="AB301" s="130">
        <v>119709192.48288</v>
      </c>
      <c r="AC301" s="130">
        <v>119709192.48288</v>
      </c>
    </row>
    <row r="302" spans="1:29" x14ac:dyDescent="0.25">
      <c r="A302" t="str">
        <f t="shared" si="5"/>
        <v xml:space="preserve">1018695UDIBONO 501103      </v>
      </c>
      <c r="B302" s="96">
        <v>1018997</v>
      </c>
      <c r="C302" s="96" t="s">
        <v>664</v>
      </c>
      <c r="D302" s="96" t="s">
        <v>432</v>
      </c>
      <c r="E302" s="96" t="s">
        <v>623</v>
      </c>
      <c r="F302" s="96" t="s">
        <v>624</v>
      </c>
      <c r="G302" s="99">
        <v>0</v>
      </c>
      <c r="H302" s="97">
        <v>0</v>
      </c>
      <c r="I302" s="98">
        <v>0</v>
      </c>
      <c r="J302" s="97">
        <v>0</v>
      </c>
      <c r="K302" s="98">
        <v>0</v>
      </c>
      <c r="L302" s="99">
        <v>0</v>
      </c>
      <c r="M302" s="98">
        <v>0</v>
      </c>
      <c r="N302" s="99">
        <v>0</v>
      </c>
      <c r="O302" s="98">
        <v>0</v>
      </c>
      <c r="P302" s="99">
        <v>0</v>
      </c>
      <c r="Q302" s="98">
        <v>0</v>
      </c>
      <c r="R302" s="96" t="s">
        <v>625</v>
      </c>
      <c r="S302" s="96">
        <v>7414000005</v>
      </c>
      <c r="X302"/>
      <c r="AA302" s="131" t="s">
        <v>433</v>
      </c>
      <c r="AB302" s="130">
        <v>20000011.199999999</v>
      </c>
      <c r="AC302" s="130">
        <v>20000011.199999999</v>
      </c>
    </row>
    <row r="303" spans="1:29" x14ac:dyDescent="0.25">
      <c r="A303" t="str">
        <f t="shared" si="5"/>
        <v xml:space="preserve">1018867STERGOB B1          </v>
      </c>
      <c r="B303" s="96">
        <v>1020027</v>
      </c>
      <c r="C303" s="96" t="s">
        <v>665</v>
      </c>
      <c r="D303" s="96" t="s">
        <v>419</v>
      </c>
      <c r="E303" s="96" t="s">
        <v>623</v>
      </c>
      <c r="F303" s="96" t="s">
        <v>624</v>
      </c>
      <c r="G303" s="99">
        <v>0</v>
      </c>
      <c r="H303" s="97">
        <v>0</v>
      </c>
      <c r="I303" s="98">
        <v>0</v>
      </c>
      <c r="J303" s="97">
        <v>0</v>
      </c>
      <c r="K303" s="98">
        <v>0</v>
      </c>
      <c r="L303" s="99">
        <v>0</v>
      </c>
      <c r="M303" s="98">
        <v>0</v>
      </c>
      <c r="N303" s="99">
        <v>0</v>
      </c>
      <c r="O303" s="98">
        <v>0</v>
      </c>
      <c r="P303" s="99">
        <v>0</v>
      </c>
      <c r="Q303" s="98">
        <v>0</v>
      </c>
      <c r="R303" s="96" t="s">
        <v>625</v>
      </c>
      <c r="S303" s="96">
        <v>7414000005</v>
      </c>
      <c r="X303"/>
      <c r="AA303" s="131" t="s">
        <v>436</v>
      </c>
      <c r="AB303" s="130">
        <v>12197517.5953</v>
      </c>
      <c r="AC303" s="130">
        <v>12197517.5953</v>
      </c>
    </row>
    <row r="304" spans="1:29" x14ac:dyDescent="0.25">
      <c r="A304" t="str">
        <f t="shared" si="5"/>
        <v xml:space="preserve">1018997SANMEX B            </v>
      </c>
      <c r="B304" s="96">
        <v>1020029</v>
      </c>
      <c r="C304" s="96" t="s">
        <v>666</v>
      </c>
      <c r="D304" s="96" t="s">
        <v>419</v>
      </c>
      <c r="E304" s="96" t="s">
        <v>623</v>
      </c>
      <c r="F304" s="96" t="s">
        <v>624</v>
      </c>
      <c r="G304" s="99">
        <v>0</v>
      </c>
      <c r="H304" s="97">
        <v>0</v>
      </c>
      <c r="I304" s="98">
        <v>0</v>
      </c>
      <c r="J304" s="97">
        <v>0</v>
      </c>
      <c r="K304" s="98">
        <v>0</v>
      </c>
      <c r="L304" s="99">
        <v>0</v>
      </c>
      <c r="M304" s="98">
        <v>0</v>
      </c>
      <c r="N304" s="99">
        <v>0</v>
      </c>
      <c r="O304" s="98">
        <v>0</v>
      </c>
      <c r="P304" s="99">
        <v>0</v>
      </c>
      <c r="Q304" s="98">
        <v>0</v>
      </c>
      <c r="R304" s="96" t="s">
        <v>625</v>
      </c>
      <c r="S304" s="96">
        <v>7414000005</v>
      </c>
      <c r="X304"/>
      <c r="AA304" s="131" t="s">
        <v>425</v>
      </c>
      <c r="AB304" s="130">
        <v>232048.46247999999</v>
      </c>
      <c r="AC304" s="130">
        <v>232048.46247999999</v>
      </c>
    </row>
    <row r="305" spans="1:29" x14ac:dyDescent="0.25">
      <c r="A305" t="str">
        <f t="shared" si="5"/>
        <v xml:space="preserve">1020027IENOVA *            </v>
      </c>
      <c r="B305" s="96">
        <v>1020040</v>
      </c>
      <c r="C305" s="96" t="s">
        <v>667</v>
      </c>
      <c r="D305" s="96" t="s">
        <v>419</v>
      </c>
      <c r="E305" s="96" t="s">
        <v>623</v>
      </c>
      <c r="F305" s="96" t="s">
        <v>624</v>
      </c>
      <c r="G305" s="99">
        <v>0</v>
      </c>
      <c r="H305" s="97">
        <v>0</v>
      </c>
      <c r="I305" s="98">
        <v>0</v>
      </c>
      <c r="J305" s="97">
        <v>0</v>
      </c>
      <c r="K305" s="98">
        <v>0</v>
      </c>
      <c r="L305" s="99">
        <v>0</v>
      </c>
      <c r="M305" s="98">
        <v>0</v>
      </c>
      <c r="N305" s="99">
        <v>0</v>
      </c>
      <c r="O305" s="98">
        <v>0</v>
      </c>
      <c r="P305" s="99">
        <v>0</v>
      </c>
      <c r="Q305" s="98">
        <v>0</v>
      </c>
      <c r="R305" s="96" t="s">
        <v>625</v>
      </c>
      <c r="S305" s="96">
        <v>7414000005</v>
      </c>
      <c r="X305"/>
      <c r="AA305" s="131" t="s">
        <v>423</v>
      </c>
      <c r="AB305" s="130">
        <v>6670033.4625599999</v>
      </c>
      <c r="AC305" s="130">
        <v>6670033.4625599999</v>
      </c>
    </row>
    <row r="306" spans="1:29" x14ac:dyDescent="0.25">
      <c r="A306" t="str">
        <f t="shared" si="5"/>
        <v xml:space="preserve">1020029IENOVA *            </v>
      </c>
      <c r="B306" s="96">
        <v>1021018</v>
      </c>
      <c r="C306" s="96" t="s">
        <v>668</v>
      </c>
      <c r="D306" s="96" t="s">
        <v>502</v>
      </c>
      <c r="E306" s="96" t="s">
        <v>623</v>
      </c>
      <c r="F306" s="96" t="s">
        <v>624</v>
      </c>
      <c r="G306" s="99">
        <v>682</v>
      </c>
      <c r="H306" s="97">
        <v>9469.6491050000004</v>
      </c>
      <c r="I306" s="98">
        <v>6458300.6896099998</v>
      </c>
      <c r="J306" s="97">
        <v>9977.4</v>
      </c>
      <c r="K306" s="98">
        <v>-346286.11038999999</v>
      </c>
      <c r="L306" s="99">
        <v>0</v>
      </c>
      <c r="M306" s="98">
        <v>0</v>
      </c>
      <c r="N306" s="99">
        <v>0</v>
      </c>
      <c r="O306" s="98">
        <v>0</v>
      </c>
      <c r="P306" s="99">
        <v>682</v>
      </c>
      <c r="Q306" s="98">
        <v>6458300.6896099998</v>
      </c>
      <c r="R306" s="96" t="s">
        <v>625</v>
      </c>
      <c r="S306" s="96">
        <v>7414000005</v>
      </c>
      <c r="X306"/>
      <c r="AA306" s="131" t="s">
        <v>438</v>
      </c>
      <c r="AB306" s="130">
        <v>7597229.5003800001</v>
      </c>
      <c r="AC306" s="130">
        <v>7597229.5003800001</v>
      </c>
    </row>
    <row r="307" spans="1:29" x14ac:dyDescent="0.25">
      <c r="A307" t="str">
        <f t="shared" si="5"/>
        <v xml:space="preserve">1020040IENOVA *            </v>
      </c>
      <c r="B307" s="96">
        <v>1021018</v>
      </c>
      <c r="C307" s="96" t="s">
        <v>668</v>
      </c>
      <c r="D307" s="96" t="s">
        <v>433</v>
      </c>
      <c r="E307" s="96" t="s">
        <v>623</v>
      </c>
      <c r="F307" s="96" t="s">
        <v>624</v>
      </c>
      <c r="G307" s="99">
        <v>300000</v>
      </c>
      <c r="H307" s="97">
        <v>100.000056</v>
      </c>
      <c r="I307" s="98">
        <v>30000016.800000001</v>
      </c>
      <c r="J307" s="97">
        <v>100</v>
      </c>
      <c r="K307" s="98">
        <v>16.8</v>
      </c>
      <c r="L307" s="99">
        <v>0</v>
      </c>
      <c r="M307" s="98">
        <v>0</v>
      </c>
      <c r="N307" s="99">
        <v>0</v>
      </c>
      <c r="O307" s="98">
        <v>0</v>
      </c>
      <c r="P307" s="99">
        <v>300000</v>
      </c>
      <c r="Q307" s="98">
        <v>30000016.800000001</v>
      </c>
      <c r="R307" s="96" t="s">
        <v>625</v>
      </c>
      <c r="S307" s="96">
        <v>7414000005</v>
      </c>
      <c r="X307"/>
      <c r="AA307" s="131" t="s">
        <v>409</v>
      </c>
      <c r="AB307" s="130">
        <v>27787394.214003</v>
      </c>
      <c r="AC307" s="130">
        <v>27787394.214003</v>
      </c>
    </row>
    <row r="308" spans="1:29" x14ac:dyDescent="0.25">
      <c r="A308" t="str">
        <f t="shared" si="5"/>
        <v xml:space="preserve">1021018AMX 0131X           </v>
      </c>
      <c r="B308" s="96">
        <v>1021018</v>
      </c>
      <c r="C308" s="96" t="s">
        <v>668</v>
      </c>
      <c r="D308" s="96" t="s">
        <v>509</v>
      </c>
      <c r="E308" s="96" t="s">
        <v>623</v>
      </c>
      <c r="F308" s="96" t="s">
        <v>624</v>
      </c>
      <c r="G308" s="99">
        <v>2269560</v>
      </c>
      <c r="H308" s="97">
        <v>99.968271000000001</v>
      </c>
      <c r="I308" s="98">
        <v>226883989.13076001</v>
      </c>
      <c r="J308" s="97">
        <v>99.896581785896828</v>
      </c>
      <c r="K308" s="98">
        <v>162702.97276</v>
      </c>
      <c r="L308" s="99">
        <v>0</v>
      </c>
      <c r="M308" s="98">
        <v>0</v>
      </c>
      <c r="N308" s="99">
        <v>0</v>
      </c>
      <c r="O308" s="98">
        <v>0</v>
      </c>
      <c r="P308" s="99">
        <v>2269560</v>
      </c>
      <c r="Q308" s="98">
        <v>226883989.13076001</v>
      </c>
      <c r="R308" s="96" t="s">
        <v>625</v>
      </c>
      <c r="S308" s="96">
        <v>7414000005</v>
      </c>
      <c r="X308"/>
      <c r="AA308" s="131" t="s">
        <v>383</v>
      </c>
      <c r="AB308" s="130">
        <v>50365843.861680001</v>
      </c>
      <c r="AC308" s="130">
        <v>50365843.861680001</v>
      </c>
    </row>
    <row r="309" spans="1:29" x14ac:dyDescent="0.25">
      <c r="A309" t="str">
        <f t="shared" si="5"/>
        <v xml:space="preserve">1021018BBVAMX 22X          </v>
      </c>
      <c r="B309" s="96">
        <v>1021018</v>
      </c>
      <c r="C309" s="96" t="s">
        <v>668</v>
      </c>
      <c r="D309" s="96" t="s">
        <v>542</v>
      </c>
      <c r="E309" s="96" t="s">
        <v>623</v>
      </c>
      <c r="F309" s="96" t="s">
        <v>624</v>
      </c>
      <c r="G309" s="99">
        <v>5000000</v>
      </c>
      <c r="H309" s="97">
        <v>99.949897000000007</v>
      </c>
      <c r="I309" s="98">
        <v>499749485</v>
      </c>
      <c r="J309" s="97">
        <v>99.893904000000006</v>
      </c>
      <c r="K309" s="98">
        <v>279965</v>
      </c>
      <c r="L309" s="99">
        <v>0</v>
      </c>
      <c r="M309" s="98">
        <v>0</v>
      </c>
      <c r="N309" s="99">
        <v>0</v>
      </c>
      <c r="O309" s="98">
        <v>0</v>
      </c>
      <c r="P309" s="99">
        <v>5000000</v>
      </c>
      <c r="Q309" s="98">
        <v>499749485</v>
      </c>
      <c r="R309" s="96" t="s">
        <v>625</v>
      </c>
      <c r="S309" s="96">
        <v>7414000005</v>
      </c>
      <c r="X309"/>
      <c r="AA309" s="131" t="s">
        <v>364</v>
      </c>
      <c r="AB309" s="130">
        <v>63678551.174369998</v>
      </c>
      <c r="AC309" s="130">
        <v>63678551.174369998</v>
      </c>
    </row>
    <row r="310" spans="1:29" x14ac:dyDescent="0.25">
      <c r="A310" t="str">
        <f t="shared" si="5"/>
        <v xml:space="preserve">1021018BONDESF 240815      </v>
      </c>
      <c r="B310" s="96">
        <v>1021018</v>
      </c>
      <c r="C310" s="96" t="s">
        <v>668</v>
      </c>
      <c r="D310" s="96" t="s">
        <v>434</v>
      </c>
      <c r="E310" s="96" t="s">
        <v>623</v>
      </c>
      <c r="F310" s="96" t="s">
        <v>624</v>
      </c>
      <c r="G310" s="99">
        <v>246400</v>
      </c>
      <c r="H310" s="97">
        <v>99.629997000000003</v>
      </c>
      <c r="I310" s="98">
        <v>24548831.2608</v>
      </c>
      <c r="J310" s="97">
        <v>99.126983839999994</v>
      </c>
      <c r="K310" s="98">
        <v>123942.442624</v>
      </c>
      <c r="L310" s="99">
        <v>0</v>
      </c>
      <c r="M310" s="98">
        <v>0</v>
      </c>
      <c r="N310" s="99">
        <v>0</v>
      </c>
      <c r="O310" s="98">
        <v>0</v>
      </c>
      <c r="P310" s="99">
        <v>246400</v>
      </c>
      <c r="Q310" s="98">
        <v>24548831.2608</v>
      </c>
      <c r="R310" s="96" t="s">
        <v>625</v>
      </c>
      <c r="S310" s="96">
        <v>7414000005</v>
      </c>
      <c r="X310"/>
      <c r="AA310" s="131" t="s">
        <v>499</v>
      </c>
      <c r="AB310" s="130">
        <v>40564415.564170003</v>
      </c>
      <c r="AC310" s="130">
        <v>40564415.564170003</v>
      </c>
    </row>
    <row r="311" spans="1:29" x14ac:dyDescent="0.25">
      <c r="A311" t="str">
        <f t="shared" si="5"/>
        <v xml:space="preserve">1021018BONDESF 241107      </v>
      </c>
      <c r="B311" s="96">
        <v>1021018</v>
      </c>
      <c r="C311" s="96" t="s">
        <v>668</v>
      </c>
      <c r="D311" s="96" t="s">
        <v>546</v>
      </c>
      <c r="E311" s="96" t="s">
        <v>623</v>
      </c>
      <c r="F311" s="96" t="s">
        <v>624</v>
      </c>
      <c r="G311" s="99">
        <v>1000000</v>
      </c>
      <c r="H311" s="97">
        <v>99.183683000000002</v>
      </c>
      <c r="I311" s="98">
        <v>99183683</v>
      </c>
      <c r="J311" s="97">
        <v>99.051699999999997</v>
      </c>
      <c r="K311" s="98">
        <v>131983</v>
      </c>
      <c r="L311" s="99">
        <v>0</v>
      </c>
      <c r="M311" s="98">
        <v>0</v>
      </c>
      <c r="N311" s="99">
        <v>0</v>
      </c>
      <c r="O311" s="98">
        <v>0</v>
      </c>
      <c r="P311" s="99">
        <v>1000000</v>
      </c>
      <c r="Q311" s="98">
        <v>99183683</v>
      </c>
      <c r="R311" s="96" t="s">
        <v>625</v>
      </c>
      <c r="S311" s="96">
        <v>7414000005</v>
      </c>
      <c r="X311"/>
      <c r="AA311" s="131" t="s">
        <v>502</v>
      </c>
      <c r="AB311" s="130">
        <v>1477265.2603800001</v>
      </c>
      <c r="AC311" s="130">
        <v>1477265.2603800001</v>
      </c>
    </row>
    <row r="312" spans="1:29" x14ac:dyDescent="0.25">
      <c r="A312" t="str">
        <f t="shared" si="5"/>
        <v xml:space="preserve">1021018BPA182 270121       </v>
      </c>
      <c r="B312" s="96">
        <v>1021018</v>
      </c>
      <c r="C312" s="96" t="s">
        <v>668</v>
      </c>
      <c r="D312" s="96" t="s">
        <v>555</v>
      </c>
      <c r="E312" s="96" t="s">
        <v>623</v>
      </c>
      <c r="F312" s="96" t="s">
        <v>624</v>
      </c>
      <c r="G312" s="99">
        <v>2000000</v>
      </c>
      <c r="H312" s="97">
        <v>99.694078000000005</v>
      </c>
      <c r="I312" s="98">
        <v>199388156</v>
      </c>
      <c r="J312" s="97">
        <v>99.673544739999997</v>
      </c>
      <c r="K312" s="98">
        <v>41066.519999999997</v>
      </c>
      <c r="L312" s="99">
        <v>0</v>
      </c>
      <c r="M312" s="98">
        <v>0</v>
      </c>
      <c r="N312" s="99">
        <v>0</v>
      </c>
      <c r="O312" s="98">
        <v>0</v>
      </c>
      <c r="P312" s="99">
        <v>2000000</v>
      </c>
      <c r="Q312" s="98">
        <v>199388156</v>
      </c>
      <c r="R312" s="96" t="s">
        <v>625</v>
      </c>
      <c r="S312" s="96">
        <v>7414000005</v>
      </c>
      <c r="X312"/>
      <c r="AA312" s="131" t="s">
        <v>507</v>
      </c>
      <c r="AB312" s="130">
        <v>15747451.888</v>
      </c>
      <c r="AC312" s="130">
        <v>15747451.888</v>
      </c>
    </row>
    <row r="313" spans="1:29" x14ac:dyDescent="0.25">
      <c r="A313" t="str">
        <f t="shared" si="5"/>
        <v xml:space="preserve">1021018BPA182 301010       </v>
      </c>
      <c r="B313" s="96">
        <v>1021018</v>
      </c>
      <c r="C313" s="96" t="s">
        <v>668</v>
      </c>
      <c r="D313" s="96" t="s">
        <v>435</v>
      </c>
      <c r="E313" s="96" t="s">
        <v>623</v>
      </c>
      <c r="F313" s="96" t="s">
        <v>624</v>
      </c>
      <c r="G313" s="99">
        <v>25593</v>
      </c>
      <c r="H313" s="97">
        <v>91.971306999999996</v>
      </c>
      <c r="I313" s="98">
        <v>2353821.6600509998</v>
      </c>
      <c r="J313" s="97">
        <v>100</v>
      </c>
      <c r="K313" s="98">
        <v>-205478.33994899999</v>
      </c>
      <c r="L313" s="99">
        <v>0</v>
      </c>
      <c r="M313" s="98">
        <v>0</v>
      </c>
      <c r="N313" s="99">
        <v>0</v>
      </c>
      <c r="O313" s="98">
        <v>0</v>
      </c>
      <c r="P313" s="99">
        <v>25593</v>
      </c>
      <c r="Q313" s="98">
        <v>2353821.6600509998</v>
      </c>
      <c r="R313" s="96" t="s">
        <v>625</v>
      </c>
      <c r="S313" s="96">
        <v>7414000005</v>
      </c>
      <c r="X313"/>
      <c r="AA313" s="131" t="s">
        <v>508</v>
      </c>
      <c r="AB313" s="130">
        <v>33998213.73263</v>
      </c>
      <c r="AC313" s="130">
        <v>33998213.73263</v>
      </c>
    </row>
    <row r="314" spans="1:29" x14ac:dyDescent="0.25">
      <c r="A314" t="str">
        <f t="shared" si="5"/>
        <v xml:space="preserve">1021018BPAG91 270107       </v>
      </c>
      <c r="B314" s="96">
        <v>1021018</v>
      </c>
      <c r="C314" s="96" t="s">
        <v>668</v>
      </c>
      <c r="D314" s="96" t="s">
        <v>422</v>
      </c>
      <c r="E314" s="96" t="s">
        <v>623</v>
      </c>
      <c r="F314" s="96" t="s">
        <v>624</v>
      </c>
      <c r="G314" s="99">
        <v>29143</v>
      </c>
      <c r="H314" s="97">
        <v>97.654420999999999</v>
      </c>
      <c r="I314" s="98">
        <v>2845942.7912030001</v>
      </c>
      <c r="J314" s="97">
        <v>98.224185000000006</v>
      </c>
      <c r="K314" s="98">
        <v>-16604.632251999999</v>
      </c>
      <c r="L314" s="99">
        <v>0</v>
      </c>
      <c r="M314" s="98">
        <v>0</v>
      </c>
      <c r="N314" s="99">
        <v>0</v>
      </c>
      <c r="O314" s="98">
        <v>0</v>
      </c>
      <c r="P314" s="99">
        <v>29143</v>
      </c>
      <c r="Q314" s="98">
        <v>2845942.7912030001</v>
      </c>
      <c r="R314" s="96" t="s">
        <v>625</v>
      </c>
      <c r="S314" s="96">
        <v>7414000005</v>
      </c>
      <c r="X314"/>
      <c r="AA314" s="131" t="s">
        <v>543</v>
      </c>
      <c r="AB314" s="130">
        <v>85044190</v>
      </c>
      <c r="AC314" s="130">
        <v>85044190</v>
      </c>
    </row>
    <row r="315" spans="1:29" x14ac:dyDescent="0.25">
      <c r="A315" t="str">
        <f t="shared" si="5"/>
        <v xml:space="preserve">1021018CETELEM 21-4        </v>
      </c>
      <c r="B315" s="96">
        <v>1021018</v>
      </c>
      <c r="C315" s="96" t="s">
        <v>668</v>
      </c>
      <c r="D315" s="96" t="s">
        <v>364</v>
      </c>
      <c r="E315" s="96" t="s">
        <v>623</v>
      </c>
      <c r="F315" s="96" t="s">
        <v>624</v>
      </c>
      <c r="G315" s="99">
        <v>5900000</v>
      </c>
      <c r="H315" s="97">
        <v>9.190137</v>
      </c>
      <c r="I315" s="98">
        <v>54221808.299999997</v>
      </c>
      <c r="J315" s="97">
        <v>8.1723636899999992</v>
      </c>
      <c r="K315" s="98">
        <v>6004862.5290000001</v>
      </c>
      <c r="L315" s="99">
        <v>0</v>
      </c>
      <c r="M315" s="98">
        <v>0</v>
      </c>
      <c r="N315" s="99">
        <v>0</v>
      </c>
      <c r="O315" s="98">
        <v>0</v>
      </c>
      <c r="P315" s="99">
        <v>5900000</v>
      </c>
      <c r="Q315" s="98">
        <v>54221808.299999997</v>
      </c>
      <c r="R315" s="96" t="s">
        <v>625</v>
      </c>
      <c r="S315" s="96">
        <v>7414000005</v>
      </c>
      <c r="X315"/>
      <c r="AA315" s="131" t="s">
        <v>552</v>
      </c>
      <c r="AB315" s="130">
        <v>11858057.392720001</v>
      </c>
      <c r="AC315" s="130">
        <v>11858057.392720001</v>
      </c>
    </row>
    <row r="316" spans="1:29" x14ac:dyDescent="0.25">
      <c r="A316" t="str">
        <f t="shared" si="5"/>
        <v xml:space="preserve">1021018CETELEM 22          </v>
      </c>
      <c r="B316" s="96">
        <v>1021018</v>
      </c>
      <c r="C316" s="96" t="s">
        <v>668</v>
      </c>
      <c r="D316" s="96" t="s">
        <v>615</v>
      </c>
      <c r="E316" s="96" t="s">
        <v>623</v>
      </c>
      <c r="F316" s="96" t="s">
        <v>624</v>
      </c>
      <c r="G316" s="99">
        <v>3500000</v>
      </c>
      <c r="H316" s="97">
        <v>9.0839700000000008</v>
      </c>
      <c r="I316" s="98">
        <v>31793895</v>
      </c>
      <c r="J316" s="97">
        <v>8.9878796600000008</v>
      </c>
      <c r="K316" s="98">
        <v>336316.19</v>
      </c>
      <c r="L316" s="99">
        <v>0</v>
      </c>
      <c r="M316" s="98">
        <v>0</v>
      </c>
      <c r="N316" s="99">
        <v>0</v>
      </c>
      <c r="O316" s="98">
        <v>0</v>
      </c>
      <c r="P316" s="99">
        <v>3500000</v>
      </c>
      <c r="Q316" s="98">
        <v>31793895</v>
      </c>
      <c r="R316" s="96" t="s">
        <v>625</v>
      </c>
      <c r="S316" s="96">
        <v>7414000005</v>
      </c>
      <c r="X316"/>
      <c r="AA316" s="131" t="s">
        <v>554</v>
      </c>
      <c r="AB316" s="130">
        <v>32151952.011629999</v>
      </c>
      <c r="AC316" s="130">
        <v>32151952.011629999</v>
      </c>
    </row>
    <row r="317" spans="1:29" x14ac:dyDescent="0.25">
      <c r="A317" t="str">
        <f t="shared" si="5"/>
        <v xml:space="preserve">1021018CETES 250123        </v>
      </c>
      <c r="B317" s="96">
        <v>1021018</v>
      </c>
      <c r="C317" s="96" t="s">
        <v>668</v>
      </c>
      <c r="D317" s="96" t="s">
        <v>649</v>
      </c>
      <c r="E317" s="96" t="s">
        <v>623</v>
      </c>
      <c r="F317" s="96" t="s">
        <v>624</v>
      </c>
      <c r="G317" s="99">
        <v>2805920</v>
      </c>
      <c r="H317" s="97">
        <v>9.0112480000000001</v>
      </c>
      <c r="I317" s="98">
        <v>25284840.988159999</v>
      </c>
      <c r="J317" s="97">
        <v>8.9969798000000001</v>
      </c>
      <c r="K317" s="98">
        <v>40035.427744000001</v>
      </c>
      <c r="L317" s="99">
        <v>0</v>
      </c>
      <c r="M317" s="98">
        <v>0</v>
      </c>
      <c r="N317" s="99">
        <v>0</v>
      </c>
      <c r="O317" s="98">
        <v>0</v>
      </c>
      <c r="P317" s="99">
        <v>2805920</v>
      </c>
      <c r="Q317" s="98">
        <v>25284840.988159999</v>
      </c>
      <c r="R317" s="96" t="s">
        <v>625</v>
      </c>
      <c r="S317" s="96">
        <v>7414000005</v>
      </c>
      <c r="X317"/>
      <c r="AA317" s="131" t="s">
        <v>612</v>
      </c>
      <c r="AB317" s="130">
        <v>24656807.5</v>
      </c>
      <c r="AC317" s="130">
        <v>24656807.5</v>
      </c>
    </row>
    <row r="318" spans="1:29" x14ac:dyDescent="0.25">
      <c r="A318" t="str">
        <f t="shared" si="5"/>
        <v xml:space="preserve">1021018CETES 250306        </v>
      </c>
      <c r="B318" s="96">
        <v>1021018</v>
      </c>
      <c r="C318" s="96" t="s">
        <v>668</v>
      </c>
      <c r="D318" s="96" t="s">
        <v>554</v>
      </c>
      <c r="E318" s="96" t="s">
        <v>623</v>
      </c>
      <c r="F318" s="96" t="s">
        <v>624</v>
      </c>
      <c r="G318" s="99">
        <v>17243600</v>
      </c>
      <c r="H318" s="97">
        <v>8.3813510000000004</v>
      </c>
      <c r="I318" s="98">
        <v>144524664.1036</v>
      </c>
      <c r="J318" s="97">
        <v>8.2713826212420489</v>
      </c>
      <c r="K318" s="98">
        <v>1896250.7359505999</v>
      </c>
      <c r="L318" s="99">
        <v>0</v>
      </c>
      <c r="M318" s="98">
        <v>0</v>
      </c>
      <c r="N318" s="99">
        <v>0</v>
      </c>
      <c r="O318" s="98">
        <v>0</v>
      </c>
      <c r="P318" s="99">
        <v>17243600</v>
      </c>
      <c r="Q318" s="98">
        <v>144524664.1036</v>
      </c>
      <c r="R318" s="96" t="s">
        <v>625</v>
      </c>
      <c r="S318" s="96">
        <v>7414000005</v>
      </c>
      <c r="X318"/>
      <c r="AA318" s="131" t="s">
        <v>613</v>
      </c>
      <c r="AB318" s="130">
        <v>36931635.712350003</v>
      </c>
      <c r="AC318" s="130">
        <v>36931635.712350003</v>
      </c>
    </row>
    <row r="319" spans="1:29" x14ac:dyDescent="0.25">
      <c r="A319" t="str">
        <f t="shared" si="5"/>
        <v xml:space="preserve">1021018CETES 250403        </v>
      </c>
      <c r="B319" s="96">
        <v>1021018</v>
      </c>
      <c r="C319" s="96" t="s">
        <v>668</v>
      </c>
      <c r="D319" s="96" t="s">
        <v>613</v>
      </c>
      <c r="E319" s="96" t="s">
        <v>623</v>
      </c>
      <c r="F319" s="96" t="s">
        <v>624</v>
      </c>
      <c r="G319" s="99">
        <v>9957484</v>
      </c>
      <c r="H319" s="97">
        <v>8.2580650000000002</v>
      </c>
      <c r="I319" s="98">
        <v>82229550.108459994</v>
      </c>
      <c r="J319" s="97">
        <v>8.2572237890671545</v>
      </c>
      <c r="K319" s="98">
        <v>8376.3444044400003</v>
      </c>
      <c r="L319" s="99">
        <v>0</v>
      </c>
      <c r="M319" s="98">
        <v>0</v>
      </c>
      <c r="N319" s="99">
        <v>0</v>
      </c>
      <c r="O319" s="98">
        <v>0</v>
      </c>
      <c r="P319" s="99">
        <v>9957484</v>
      </c>
      <c r="Q319" s="98">
        <v>82229550.108459994</v>
      </c>
      <c r="R319" s="96" t="s">
        <v>625</v>
      </c>
      <c r="S319" s="96">
        <v>7414000005</v>
      </c>
      <c r="X319"/>
      <c r="AA319" s="131" t="s">
        <v>615</v>
      </c>
      <c r="AB319" s="130">
        <v>31248856.800000001</v>
      </c>
      <c r="AC319" s="130">
        <v>31248856.800000001</v>
      </c>
    </row>
    <row r="320" spans="1:29" x14ac:dyDescent="0.25">
      <c r="A320" t="str">
        <f t="shared" si="5"/>
        <v xml:space="preserve">1021018CETES 251224        </v>
      </c>
      <c r="B320" s="96">
        <v>1021018</v>
      </c>
      <c r="C320" s="96" t="s">
        <v>668</v>
      </c>
      <c r="D320" s="96" t="s">
        <v>424</v>
      </c>
      <c r="E320" s="96" t="s">
        <v>623</v>
      </c>
      <c r="F320" s="96" t="s">
        <v>624</v>
      </c>
      <c r="G320" s="99">
        <v>263860</v>
      </c>
      <c r="H320" s="97">
        <v>93.248425999999995</v>
      </c>
      <c r="I320" s="98">
        <v>24604529.684360001</v>
      </c>
      <c r="J320" s="97">
        <v>96.751658399322366</v>
      </c>
      <c r="K320" s="98">
        <v>-924362.90088520001</v>
      </c>
      <c r="L320" s="99">
        <v>0</v>
      </c>
      <c r="M320" s="98">
        <v>0</v>
      </c>
      <c r="N320" s="99">
        <v>0</v>
      </c>
      <c r="O320" s="98">
        <v>0</v>
      </c>
      <c r="P320" s="99">
        <v>263860</v>
      </c>
      <c r="Q320" s="98">
        <v>24604529.684360001</v>
      </c>
      <c r="R320" s="96" t="s">
        <v>625</v>
      </c>
      <c r="S320" s="96">
        <v>7414000005</v>
      </c>
      <c r="X320"/>
      <c r="AA320" s="131" t="s">
        <v>628</v>
      </c>
      <c r="AB320" s="130">
        <v>11999902.199999999</v>
      </c>
      <c r="AC320" s="130">
        <v>11999902.199999999</v>
      </c>
    </row>
    <row r="321" spans="1:29" x14ac:dyDescent="0.25">
      <c r="A321" t="str">
        <f t="shared" si="5"/>
        <v xml:space="preserve">1021018CETES 260219        </v>
      </c>
      <c r="B321" s="96">
        <v>1021018</v>
      </c>
      <c r="C321" s="96" t="s">
        <v>668</v>
      </c>
      <c r="D321" s="96" t="s">
        <v>366</v>
      </c>
      <c r="E321" s="96" t="s">
        <v>623</v>
      </c>
      <c r="F321" s="96" t="s">
        <v>624</v>
      </c>
      <c r="G321" s="99">
        <v>0</v>
      </c>
      <c r="H321" s="97">
        <v>0</v>
      </c>
      <c r="I321" s="98">
        <v>26779266.66</v>
      </c>
      <c r="J321" s="97">
        <v>0</v>
      </c>
      <c r="K321" s="98">
        <v>0</v>
      </c>
      <c r="L321" s="99">
        <v>0</v>
      </c>
      <c r="M321" s="98">
        <v>0</v>
      </c>
      <c r="N321" s="99">
        <v>0</v>
      </c>
      <c r="O321" s="98">
        <v>0</v>
      </c>
      <c r="P321" s="99">
        <v>0</v>
      </c>
      <c r="Q321" s="98">
        <v>26779266.66</v>
      </c>
      <c r="R321" s="96" t="s">
        <v>625</v>
      </c>
      <c r="S321" s="96">
        <v>7414000005</v>
      </c>
      <c r="X321"/>
      <c r="AA321" s="131" t="s">
        <v>649</v>
      </c>
      <c r="AB321" s="130">
        <v>16604576.1272</v>
      </c>
      <c r="AC321" s="130">
        <v>16604576.1272</v>
      </c>
    </row>
    <row r="322" spans="1:29" x14ac:dyDescent="0.25">
      <c r="A322" t="str">
        <f t="shared" si="5"/>
        <v xml:space="preserve">1021018CFE 14-2            </v>
      </c>
      <c r="B322" s="96">
        <v>1021018</v>
      </c>
      <c r="C322" s="96" t="s">
        <v>668</v>
      </c>
      <c r="D322" s="96" t="s">
        <v>616</v>
      </c>
      <c r="E322" s="96" t="s">
        <v>623</v>
      </c>
      <c r="F322" s="96" t="s">
        <v>624</v>
      </c>
      <c r="G322" s="99">
        <v>200000</v>
      </c>
      <c r="H322" s="97">
        <v>99.999758999999997</v>
      </c>
      <c r="I322" s="98">
        <v>19999951.800000001</v>
      </c>
      <c r="J322" s="97">
        <v>100</v>
      </c>
      <c r="K322" s="98">
        <v>-48.2</v>
      </c>
      <c r="L322" s="99">
        <v>0</v>
      </c>
      <c r="M322" s="98">
        <v>0</v>
      </c>
      <c r="N322" s="99">
        <v>0</v>
      </c>
      <c r="O322" s="98">
        <v>0</v>
      </c>
      <c r="P322" s="99">
        <v>200000</v>
      </c>
      <c r="Q322" s="98">
        <v>19999951.800000001</v>
      </c>
      <c r="R322" s="96" t="s">
        <v>625</v>
      </c>
      <c r="S322" s="96">
        <v>7414000005</v>
      </c>
      <c r="X322"/>
      <c r="AA322" s="129">
        <v>1024836</v>
      </c>
      <c r="AB322" s="130">
        <v>4492036.28</v>
      </c>
      <c r="AC322" s="130">
        <v>4492036.28</v>
      </c>
    </row>
    <row r="323" spans="1:29" x14ac:dyDescent="0.25">
      <c r="A323" t="str">
        <f t="shared" si="5"/>
        <v>1021018EFECTIVO</v>
      </c>
      <c r="B323" s="96">
        <v>1021018</v>
      </c>
      <c r="C323" s="96" t="s">
        <v>668</v>
      </c>
      <c r="D323" s="96" t="s">
        <v>436</v>
      </c>
      <c r="E323" s="96" t="s">
        <v>623</v>
      </c>
      <c r="F323" s="96" t="s">
        <v>624</v>
      </c>
      <c r="G323" s="99">
        <v>177980</v>
      </c>
      <c r="H323" s="97">
        <v>99.963265000000007</v>
      </c>
      <c r="I323" s="98">
        <v>17791461.9047</v>
      </c>
      <c r="J323" s="97">
        <v>100</v>
      </c>
      <c r="K323" s="98">
        <v>-6538.0953</v>
      </c>
      <c r="L323" s="99">
        <v>0</v>
      </c>
      <c r="M323" s="98">
        <v>0</v>
      </c>
      <c r="N323" s="99">
        <v>0</v>
      </c>
      <c r="O323" s="98">
        <v>0</v>
      </c>
      <c r="P323" s="99">
        <v>177980</v>
      </c>
      <c r="Q323" s="98">
        <v>17791461.9047</v>
      </c>
      <c r="R323" s="96" t="s">
        <v>625</v>
      </c>
      <c r="S323" s="96">
        <v>7414000005</v>
      </c>
      <c r="X323"/>
      <c r="AA323" s="131" t="s">
        <v>366</v>
      </c>
      <c r="AB323" s="130">
        <v>4492036.28</v>
      </c>
      <c r="AC323" s="130">
        <v>4492036.28</v>
      </c>
    </row>
    <row r="324" spans="1:29" x14ac:dyDescent="0.25">
      <c r="A324" t="str">
        <f t="shared" si="5"/>
        <v xml:space="preserve">1021018FEFA 24             </v>
      </c>
      <c r="B324" s="96">
        <v>1021018</v>
      </c>
      <c r="C324" s="96" t="s">
        <v>668</v>
      </c>
      <c r="D324" s="96" t="s">
        <v>425</v>
      </c>
      <c r="E324" s="96" t="s">
        <v>623</v>
      </c>
      <c r="F324" s="96" t="s">
        <v>624</v>
      </c>
      <c r="G324" s="99">
        <v>98500</v>
      </c>
      <c r="H324" s="97">
        <v>100.020889</v>
      </c>
      <c r="I324" s="98">
        <v>9852057.5665000007</v>
      </c>
      <c r="J324" s="97">
        <v>100</v>
      </c>
      <c r="K324" s="98">
        <v>2057.5664999999999</v>
      </c>
      <c r="L324" s="99">
        <v>0</v>
      </c>
      <c r="M324" s="98">
        <v>0</v>
      </c>
      <c r="N324" s="99">
        <v>0</v>
      </c>
      <c r="O324" s="98">
        <v>0</v>
      </c>
      <c r="P324" s="99">
        <v>98500</v>
      </c>
      <c r="Q324" s="98">
        <v>9852057.5665000007</v>
      </c>
      <c r="R324" s="96" t="s">
        <v>625</v>
      </c>
      <c r="S324" s="96">
        <v>7414000005</v>
      </c>
      <c r="X324"/>
      <c r="AA324" s="129">
        <v>143510</v>
      </c>
      <c r="AB324" s="130">
        <v>0</v>
      </c>
      <c r="AC324" s="130">
        <v>0</v>
      </c>
    </row>
    <row r="325" spans="1:29" x14ac:dyDescent="0.25">
      <c r="A325" t="str">
        <f t="shared" si="5"/>
        <v xml:space="preserve">1021018FNCOT 22S           </v>
      </c>
      <c r="B325" s="96">
        <v>1021018</v>
      </c>
      <c r="C325" s="96" t="s">
        <v>668</v>
      </c>
      <c r="D325" s="96" t="s">
        <v>376</v>
      </c>
      <c r="E325" s="96" t="s">
        <v>623</v>
      </c>
      <c r="F325" s="96" t="s">
        <v>624</v>
      </c>
      <c r="G325" s="99">
        <v>218639</v>
      </c>
      <c r="H325" s="97">
        <v>99.247497999999993</v>
      </c>
      <c r="I325" s="98">
        <v>21699373.715222001</v>
      </c>
      <c r="J325" s="97">
        <v>113.85269369559191</v>
      </c>
      <c r="K325" s="98">
        <v>-3193265.3816885198</v>
      </c>
      <c r="L325" s="99">
        <v>0</v>
      </c>
      <c r="M325" s="98">
        <v>0</v>
      </c>
      <c r="N325" s="99">
        <v>0</v>
      </c>
      <c r="O325" s="98">
        <v>0</v>
      </c>
      <c r="P325" s="99">
        <v>218639</v>
      </c>
      <c r="Q325" s="98">
        <v>21699373.715222001</v>
      </c>
      <c r="R325" s="96" t="s">
        <v>625</v>
      </c>
      <c r="S325" s="96">
        <v>7414000005</v>
      </c>
      <c r="X325"/>
      <c r="AA325" s="131" t="s">
        <v>468</v>
      </c>
      <c r="AB325" s="130">
        <v>0</v>
      </c>
      <c r="AC325" s="130">
        <v>0</v>
      </c>
    </row>
    <row r="326" spans="1:29" x14ac:dyDescent="0.25">
      <c r="A326" t="str">
        <f t="shared" si="5"/>
        <v xml:space="preserve">1021018GAP 22L             </v>
      </c>
      <c r="B326" s="96">
        <v>1021018</v>
      </c>
      <c r="C326" s="96" t="s">
        <v>668</v>
      </c>
      <c r="D326" s="96" t="s">
        <v>382</v>
      </c>
      <c r="E326" s="96" t="s">
        <v>623</v>
      </c>
      <c r="F326" s="96" t="s">
        <v>624</v>
      </c>
      <c r="G326" s="99">
        <v>80000</v>
      </c>
      <c r="H326" s="97">
        <v>89.489464999999996</v>
      </c>
      <c r="I326" s="98">
        <v>7159157.2000000002</v>
      </c>
      <c r="J326" s="97">
        <v>92.406682059999994</v>
      </c>
      <c r="K326" s="98">
        <v>-233377.36480000001</v>
      </c>
      <c r="L326" s="99">
        <v>0</v>
      </c>
      <c r="M326" s="98">
        <v>0</v>
      </c>
      <c r="N326" s="99">
        <v>0</v>
      </c>
      <c r="O326" s="98">
        <v>0</v>
      </c>
      <c r="P326" s="99">
        <v>80000</v>
      </c>
      <c r="Q326" s="98">
        <v>7159157.2000000002</v>
      </c>
      <c r="R326" s="96" t="s">
        <v>625</v>
      </c>
      <c r="S326" s="96">
        <v>7414000005</v>
      </c>
      <c r="X326"/>
      <c r="AA326" s="131" t="s">
        <v>469</v>
      </c>
      <c r="AB326" s="130">
        <v>0</v>
      </c>
      <c r="AC326" s="130">
        <v>0</v>
      </c>
    </row>
    <row r="327" spans="1:29" x14ac:dyDescent="0.25">
      <c r="A327" t="str">
        <f t="shared" ref="A327:A390" si="6">B325&amp;D325</f>
        <v xml:space="preserve">1021018GOBFED 241205       </v>
      </c>
      <c r="B327" s="96">
        <v>1021018</v>
      </c>
      <c r="C327" s="96" t="s">
        <v>668</v>
      </c>
      <c r="D327" s="96" t="s">
        <v>383</v>
      </c>
      <c r="E327" s="96" t="s">
        <v>623</v>
      </c>
      <c r="F327" s="96" t="s">
        <v>624</v>
      </c>
      <c r="G327" s="99">
        <v>1193710</v>
      </c>
      <c r="H327" s="97">
        <v>86.197128000000006</v>
      </c>
      <c r="I327" s="98">
        <v>102894373.66487999</v>
      </c>
      <c r="J327" s="97">
        <v>88.601538131157653</v>
      </c>
      <c r="K327" s="98">
        <v>-2870168.4176642001</v>
      </c>
      <c r="L327" s="99">
        <v>0</v>
      </c>
      <c r="M327" s="98">
        <v>0</v>
      </c>
      <c r="N327" s="99">
        <v>0</v>
      </c>
      <c r="O327" s="98">
        <v>0</v>
      </c>
      <c r="P327" s="99">
        <v>1193710</v>
      </c>
      <c r="Q327" s="98">
        <v>102894373.66487999</v>
      </c>
      <c r="R327" s="96" t="s">
        <v>625</v>
      </c>
      <c r="S327" s="96">
        <v>7414000005</v>
      </c>
      <c r="X327"/>
      <c r="AA327" s="131" t="s">
        <v>470</v>
      </c>
      <c r="AB327" s="130">
        <v>0</v>
      </c>
      <c r="AC327" s="130">
        <v>0</v>
      </c>
    </row>
    <row r="328" spans="1:29" x14ac:dyDescent="0.25">
      <c r="A328" t="str">
        <f t="shared" si="6"/>
        <v xml:space="preserve">1021018GOBFED 310529       </v>
      </c>
      <c r="B328" s="96">
        <v>1021018</v>
      </c>
      <c r="C328" s="96" t="s">
        <v>668</v>
      </c>
      <c r="D328" s="96" t="s">
        <v>628</v>
      </c>
      <c r="E328" s="96" t="s">
        <v>623</v>
      </c>
      <c r="F328" s="96" t="s">
        <v>624</v>
      </c>
      <c r="G328" s="99">
        <v>180000</v>
      </c>
      <c r="H328" s="97">
        <v>99.999184999999997</v>
      </c>
      <c r="I328" s="98">
        <v>17999853.300000001</v>
      </c>
      <c r="J328" s="97">
        <v>100</v>
      </c>
      <c r="K328" s="98">
        <v>-146.69999999999999</v>
      </c>
      <c r="L328" s="99">
        <v>0</v>
      </c>
      <c r="M328" s="98">
        <v>0</v>
      </c>
      <c r="N328" s="99">
        <v>0</v>
      </c>
      <c r="O328" s="98">
        <v>0</v>
      </c>
      <c r="P328" s="99">
        <v>180000</v>
      </c>
      <c r="Q328" s="98">
        <v>17999853.300000001</v>
      </c>
      <c r="R328" s="96" t="s">
        <v>625</v>
      </c>
      <c r="S328" s="96">
        <v>7414000005</v>
      </c>
      <c r="X328"/>
      <c r="AA328" s="129">
        <v>147309</v>
      </c>
      <c r="AB328" s="130">
        <v>323537018.66242707</v>
      </c>
      <c r="AC328" s="130">
        <v>323537018.66242707</v>
      </c>
    </row>
    <row r="329" spans="1:29" x14ac:dyDescent="0.25">
      <c r="A329" t="str">
        <f t="shared" si="6"/>
        <v xml:space="preserve">1021018GOBFED 330526       </v>
      </c>
      <c r="B329" s="96">
        <v>1021018</v>
      </c>
      <c r="C329" s="96" t="s">
        <v>668</v>
      </c>
      <c r="D329" s="96" t="s">
        <v>437</v>
      </c>
      <c r="E329" s="96" t="s">
        <v>623</v>
      </c>
      <c r="F329" s="96" t="s">
        <v>624</v>
      </c>
      <c r="G329" s="99">
        <v>59620</v>
      </c>
      <c r="H329" s="97">
        <v>100.38890499999999</v>
      </c>
      <c r="I329" s="98">
        <v>5985186.5160999997</v>
      </c>
      <c r="J329" s="97">
        <v>91.398345289999995</v>
      </c>
      <c r="K329" s="98">
        <v>536017.16991020006</v>
      </c>
      <c r="L329" s="99">
        <v>0</v>
      </c>
      <c r="M329" s="98">
        <v>0</v>
      </c>
      <c r="N329" s="99">
        <v>0</v>
      </c>
      <c r="O329" s="98">
        <v>0</v>
      </c>
      <c r="P329" s="99">
        <v>59620</v>
      </c>
      <c r="Q329" s="98">
        <v>5985186.5160999997</v>
      </c>
      <c r="R329" s="96" t="s">
        <v>625</v>
      </c>
      <c r="S329" s="96">
        <v>7414000005</v>
      </c>
      <c r="X329"/>
      <c r="AA329" s="131" t="s">
        <v>366</v>
      </c>
      <c r="AB329" s="130">
        <v>1098894.58</v>
      </c>
      <c r="AC329" s="130">
        <v>1098894.58</v>
      </c>
    </row>
    <row r="330" spans="1:29" x14ac:dyDescent="0.25">
      <c r="A330" t="str">
        <f t="shared" si="6"/>
        <v xml:space="preserve">1021018MEGA 24X            </v>
      </c>
      <c r="B330" s="96">
        <v>1021018</v>
      </c>
      <c r="C330" s="96" t="s">
        <v>668</v>
      </c>
      <c r="D330" s="96" t="s">
        <v>391</v>
      </c>
      <c r="E330" s="96" t="s">
        <v>623</v>
      </c>
      <c r="F330" s="96" t="s">
        <v>624</v>
      </c>
      <c r="G330" s="99">
        <v>110182</v>
      </c>
      <c r="H330" s="97">
        <v>775.69178699999998</v>
      </c>
      <c r="I330" s="98">
        <v>85467272.475234002</v>
      </c>
      <c r="J330" s="97">
        <v>767.99907064386025</v>
      </c>
      <c r="K330" s="98">
        <v>847598.87355219002</v>
      </c>
      <c r="L330" s="99">
        <v>0</v>
      </c>
      <c r="M330" s="98">
        <v>0</v>
      </c>
      <c r="N330" s="99">
        <v>0</v>
      </c>
      <c r="O330" s="98">
        <v>0</v>
      </c>
      <c r="P330" s="99">
        <v>110182</v>
      </c>
      <c r="Q330" s="98">
        <v>85467272.475234002</v>
      </c>
      <c r="R330" s="96" t="s">
        <v>625</v>
      </c>
      <c r="S330" s="96">
        <v>7414000005</v>
      </c>
      <c r="X330"/>
      <c r="AA330" s="131" t="s">
        <v>376</v>
      </c>
      <c r="AB330" s="130">
        <v>21223084.972320002</v>
      </c>
      <c r="AC330" s="130">
        <v>21223084.972320002</v>
      </c>
    </row>
    <row r="331" spans="1:29" x14ac:dyDescent="0.25">
      <c r="A331" t="str">
        <f t="shared" si="6"/>
        <v xml:space="preserve">1021018PEMEX 19            </v>
      </c>
      <c r="B331" s="96">
        <v>1021018</v>
      </c>
      <c r="C331" s="96" t="s">
        <v>668</v>
      </c>
      <c r="D331" s="96" t="s">
        <v>392</v>
      </c>
      <c r="E331" s="96" t="s">
        <v>623</v>
      </c>
      <c r="F331" s="96" t="s">
        <v>624</v>
      </c>
      <c r="G331" s="99">
        <v>84113</v>
      </c>
      <c r="H331" s="97">
        <v>747.17843200000004</v>
      </c>
      <c r="I331" s="98">
        <v>62847419.450815998</v>
      </c>
      <c r="J331" s="97">
        <v>727.52431638487747</v>
      </c>
      <c r="K331" s="98">
        <v>1653166.6267347999</v>
      </c>
      <c r="L331" s="99">
        <v>0</v>
      </c>
      <c r="M331" s="98">
        <v>0</v>
      </c>
      <c r="N331" s="99">
        <v>0</v>
      </c>
      <c r="O331" s="98">
        <v>0</v>
      </c>
      <c r="P331" s="99">
        <v>84113</v>
      </c>
      <c r="Q331" s="98">
        <v>62847419.450815998</v>
      </c>
      <c r="R331" s="96" t="s">
        <v>625</v>
      </c>
      <c r="S331" s="96">
        <v>7414000005</v>
      </c>
      <c r="X331"/>
      <c r="AA331" s="131" t="s">
        <v>378</v>
      </c>
      <c r="AB331" s="130">
        <v>36773735.758458003</v>
      </c>
      <c r="AC331" s="130">
        <v>36773735.758458003</v>
      </c>
    </row>
    <row r="332" spans="1:29" x14ac:dyDescent="0.25">
      <c r="A332" t="str">
        <f t="shared" si="6"/>
        <v xml:space="preserve">1021018UDIBONO 251204      </v>
      </c>
      <c r="B332" s="96">
        <v>1021018</v>
      </c>
      <c r="C332" s="96" t="s">
        <v>668</v>
      </c>
      <c r="D332" s="96" t="s">
        <v>438</v>
      </c>
      <c r="E332" s="96" t="s">
        <v>623</v>
      </c>
      <c r="F332" s="96" t="s">
        <v>624</v>
      </c>
      <c r="G332" s="99">
        <v>110950</v>
      </c>
      <c r="H332" s="97">
        <v>100.04252700000001</v>
      </c>
      <c r="I332" s="98">
        <v>11099718.370650001</v>
      </c>
      <c r="J332" s="97">
        <v>100</v>
      </c>
      <c r="K332" s="98">
        <v>4718.3706499999998</v>
      </c>
      <c r="L332" s="99">
        <v>0</v>
      </c>
      <c r="M332" s="98">
        <v>0</v>
      </c>
      <c r="N332" s="99">
        <v>0</v>
      </c>
      <c r="O332" s="98">
        <v>0</v>
      </c>
      <c r="P332" s="99">
        <v>110950</v>
      </c>
      <c r="Q332" s="98">
        <v>11099718.370650001</v>
      </c>
      <c r="R332" s="96" t="s">
        <v>625</v>
      </c>
      <c r="S332" s="96">
        <v>7414000005</v>
      </c>
      <c r="X332"/>
      <c r="AA332" s="131" t="s">
        <v>380</v>
      </c>
      <c r="AB332" s="130">
        <v>24308347.015999999</v>
      </c>
      <c r="AC332" s="130">
        <v>24308347.015999999</v>
      </c>
    </row>
    <row r="333" spans="1:29" x14ac:dyDescent="0.25">
      <c r="A333" t="str">
        <f t="shared" si="6"/>
        <v xml:space="preserve">1021018UDIBONO 261203      </v>
      </c>
      <c r="B333" s="96">
        <v>1021427</v>
      </c>
      <c r="C333" s="96" t="s">
        <v>669</v>
      </c>
      <c r="D333" s="96" t="s">
        <v>361</v>
      </c>
      <c r="E333" s="96" t="s">
        <v>623</v>
      </c>
      <c r="F333" s="96" t="s">
        <v>624</v>
      </c>
      <c r="G333" s="99">
        <v>0</v>
      </c>
      <c r="H333" s="97">
        <v>0</v>
      </c>
      <c r="I333" s="98">
        <v>0</v>
      </c>
      <c r="J333" s="97">
        <v>0</v>
      </c>
      <c r="K333" s="98">
        <v>0</v>
      </c>
      <c r="L333" s="99">
        <v>0</v>
      </c>
      <c r="M333" s="98">
        <v>0</v>
      </c>
      <c r="N333" s="99">
        <v>0</v>
      </c>
      <c r="O333" s="98">
        <v>0</v>
      </c>
      <c r="P333" s="99">
        <v>0</v>
      </c>
      <c r="Q333" s="98">
        <v>0</v>
      </c>
      <c r="R333" s="96" t="s">
        <v>625</v>
      </c>
      <c r="S333" s="96">
        <v>7414000005</v>
      </c>
      <c r="X333"/>
      <c r="AA333" s="131" t="s">
        <v>382</v>
      </c>
      <c r="AB333" s="130">
        <v>0</v>
      </c>
      <c r="AC333" s="130">
        <v>0</v>
      </c>
    </row>
    <row r="334" spans="1:29" x14ac:dyDescent="0.25">
      <c r="A334" t="str">
        <f t="shared" si="6"/>
        <v xml:space="preserve">1021018VWLEASE 22-2        </v>
      </c>
      <c r="B334" s="96">
        <v>1021427</v>
      </c>
      <c r="C334" s="96" t="s">
        <v>669</v>
      </c>
      <c r="D334" s="96" t="s">
        <v>439</v>
      </c>
      <c r="E334" s="96" t="s">
        <v>623</v>
      </c>
      <c r="F334" s="96" t="s">
        <v>624</v>
      </c>
      <c r="G334" s="99">
        <v>0</v>
      </c>
      <c r="H334" s="97">
        <v>0</v>
      </c>
      <c r="I334" s="98">
        <v>0</v>
      </c>
      <c r="J334" s="97">
        <v>0</v>
      </c>
      <c r="K334" s="98">
        <v>0</v>
      </c>
      <c r="L334" s="99">
        <v>0</v>
      </c>
      <c r="M334" s="98">
        <v>0</v>
      </c>
      <c r="N334" s="99">
        <v>0</v>
      </c>
      <c r="O334" s="98">
        <v>0</v>
      </c>
      <c r="P334" s="99">
        <v>0</v>
      </c>
      <c r="Q334" s="98">
        <v>0</v>
      </c>
      <c r="R334" s="96" t="s">
        <v>625</v>
      </c>
      <c r="S334" s="96">
        <v>7414000005</v>
      </c>
      <c r="X334"/>
      <c r="AA334" s="131" t="s">
        <v>391</v>
      </c>
      <c r="AB334" s="130">
        <v>38784.589350000002</v>
      </c>
      <c r="AC334" s="130">
        <v>38784.589350000002</v>
      </c>
    </row>
    <row r="335" spans="1:29" x14ac:dyDescent="0.25">
      <c r="A335" t="str">
        <f t="shared" si="6"/>
        <v xml:space="preserve">1021427BIMBO A             </v>
      </c>
      <c r="B335" s="96">
        <v>1021427</v>
      </c>
      <c r="C335" s="96" t="s">
        <v>669</v>
      </c>
      <c r="D335" s="96" t="s">
        <v>440</v>
      </c>
      <c r="E335" s="96" t="s">
        <v>623</v>
      </c>
      <c r="F335" s="96" t="s">
        <v>624</v>
      </c>
      <c r="G335" s="99">
        <v>0</v>
      </c>
      <c r="H335" s="97">
        <v>0</v>
      </c>
      <c r="I335" s="98">
        <v>0</v>
      </c>
      <c r="J335" s="97">
        <v>0</v>
      </c>
      <c r="K335" s="98">
        <v>0</v>
      </c>
      <c r="L335" s="99">
        <v>0</v>
      </c>
      <c r="M335" s="98">
        <v>0</v>
      </c>
      <c r="N335" s="99">
        <v>0</v>
      </c>
      <c r="O335" s="98">
        <v>0</v>
      </c>
      <c r="P335" s="99">
        <v>0</v>
      </c>
      <c r="Q335" s="98">
        <v>0</v>
      </c>
      <c r="R335" s="96" t="s">
        <v>625</v>
      </c>
      <c r="S335" s="96">
        <v>7414000005</v>
      </c>
      <c r="X335"/>
      <c r="AA335" s="131" t="s">
        <v>472</v>
      </c>
      <c r="AB335" s="130">
        <v>48544267.200000003</v>
      </c>
      <c r="AC335" s="130">
        <v>48544267.200000003</v>
      </c>
    </row>
    <row r="336" spans="1:29" x14ac:dyDescent="0.25">
      <c r="A336" t="str">
        <f t="shared" si="6"/>
        <v xml:space="preserve">1021427CETES 151015        </v>
      </c>
      <c r="B336" s="96">
        <v>1021427</v>
      </c>
      <c r="C336" s="96" t="s">
        <v>669</v>
      </c>
      <c r="D336" s="96" t="s">
        <v>441</v>
      </c>
      <c r="E336" s="96" t="s">
        <v>623</v>
      </c>
      <c r="F336" s="96" t="s">
        <v>624</v>
      </c>
      <c r="G336" s="99">
        <v>0</v>
      </c>
      <c r="H336" s="97">
        <v>0</v>
      </c>
      <c r="I336" s="98">
        <v>0</v>
      </c>
      <c r="J336" s="97">
        <v>0</v>
      </c>
      <c r="K336" s="98">
        <v>0</v>
      </c>
      <c r="L336" s="99">
        <v>0</v>
      </c>
      <c r="M336" s="98">
        <v>0</v>
      </c>
      <c r="N336" s="99">
        <v>0</v>
      </c>
      <c r="O336" s="98">
        <v>0</v>
      </c>
      <c r="P336" s="99">
        <v>0</v>
      </c>
      <c r="Q336" s="98">
        <v>0</v>
      </c>
      <c r="R336" s="96" t="s">
        <v>625</v>
      </c>
      <c r="S336" s="96">
        <v>7414000005</v>
      </c>
      <c r="X336"/>
      <c r="AA336" s="131" t="s">
        <v>375</v>
      </c>
      <c r="AB336" s="130">
        <v>5576290.1115199998</v>
      </c>
      <c r="AC336" s="130">
        <v>5576290.1115199998</v>
      </c>
    </row>
    <row r="337" spans="1:29" x14ac:dyDescent="0.25">
      <c r="A337" t="str">
        <f t="shared" si="6"/>
        <v xml:space="preserve">1021427CETES 160414        </v>
      </c>
      <c r="B337" s="96">
        <v>1021427</v>
      </c>
      <c r="C337" s="96" t="s">
        <v>669</v>
      </c>
      <c r="D337" s="96" t="s">
        <v>442</v>
      </c>
      <c r="E337" s="96" t="s">
        <v>623</v>
      </c>
      <c r="F337" s="96" t="s">
        <v>624</v>
      </c>
      <c r="G337" s="99">
        <v>0</v>
      </c>
      <c r="H337" s="97">
        <v>0</v>
      </c>
      <c r="I337" s="98">
        <v>0</v>
      </c>
      <c r="J337" s="97">
        <v>0</v>
      </c>
      <c r="K337" s="98">
        <v>0</v>
      </c>
      <c r="L337" s="99">
        <v>0</v>
      </c>
      <c r="M337" s="98">
        <v>0</v>
      </c>
      <c r="N337" s="99">
        <v>0</v>
      </c>
      <c r="O337" s="98">
        <v>0</v>
      </c>
      <c r="P337" s="99">
        <v>0</v>
      </c>
      <c r="Q337" s="98">
        <v>0</v>
      </c>
      <c r="R337" s="96" t="s">
        <v>625</v>
      </c>
      <c r="S337" s="96">
        <v>7414000005</v>
      </c>
      <c r="X337"/>
      <c r="AA337" s="131" t="s">
        <v>429</v>
      </c>
      <c r="AB337" s="130">
        <v>2015041.0670400001</v>
      </c>
      <c r="AC337" s="130">
        <v>2015041.0670400001</v>
      </c>
    </row>
    <row r="338" spans="1:29" x14ac:dyDescent="0.25">
      <c r="A338" t="str">
        <f t="shared" si="6"/>
        <v xml:space="preserve">1021427CETES 160428        </v>
      </c>
      <c r="B338" s="96">
        <v>1021427</v>
      </c>
      <c r="C338" s="96" t="s">
        <v>669</v>
      </c>
      <c r="D338" s="96" t="s">
        <v>443</v>
      </c>
      <c r="E338" s="96" t="s">
        <v>623</v>
      </c>
      <c r="F338" s="96" t="s">
        <v>624</v>
      </c>
      <c r="G338" s="99">
        <v>0</v>
      </c>
      <c r="H338" s="97">
        <v>0</v>
      </c>
      <c r="I338" s="98">
        <v>0</v>
      </c>
      <c r="J338" s="97">
        <v>0</v>
      </c>
      <c r="K338" s="98">
        <v>0</v>
      </c>
      <c r="L338" s="99">
        <v>0</v>
      </c>
      <c r="M338" s="98">
        <v>0</v>
      </c>
      <c r="N338" s="99">
        <v>0</v>
      </c>
      <c r="O338" s="98">
        <v>0</v>
      </c>
      <c r="P338" s="99">
        <v>0</v>
      </c>
      <c r="Q338" s="98">
        <v>0</v>
      </c>
      <c r="R338" s="96" t="s">
        <v>625</v>
      </c>
      <c r="S338" s="96">
        <v>7414000005</v>
      </c>
      <c r="X338"/>
      <c r="AA338" s="131" t="s">
        <v>437</v>
      </c>
      <c r="AB338" s="130">
        <v>5818540.9337999998</v>
      </c>
      <c r="AC338" s="130">
        <v>5818540.9337999998</v>
      </c>
    </row>
    <row r="339" spans="1:29" x14ac:dyDescent="0.25">
      <c r="A339" t="str">
        <f t="shared" si="6"/>
        <v xml:space="preserve">1021427GOBFED 170615       </v>
      </c>
      <c r="B339" s="96">
        <v>1021427</v>
      </c>
      <c r="C339" s="96" t="s">
        <v>669</v>
      </c>
      <c r="D339" s="96" t="s">
        <v>444</v>
      </c>
      <c r="E339" s="96" t="s">
        <v>623</v>
      </c>
      <c r="F339" s="96" t="s">
        <v>624</v>
      </c>
      <c r="G339" s="99">
        <v>0</v>
      </c>
      <c r="H339" s="97">
        <v>0</v>
      </c>
      <c r="I339" s="98">
        <v>0</v>
      </c>
      <c r="J339" s="97">
        <v>0</v>
      </c>
      <c r="K339" s="98">
        <v>0</v>
      </c>
      <c r="L339" s="99">
        <v>0</v>
      </c>
      <c r="M339" s="98">
        <v>0</v>
      </c>
      <c r="N339" s="99">
        <v>0</v>
      </c>
      <c r="O339" s="98">
        <v>0</v>
      </c>
      <c r="P339" s="99">
        <v>0</v>
      </c>
      <c r="Q339" s="98">
        <v>0</v>
      </c>
      <c r="R339" s="96" t="s">
        <v>625</v>
      </c>
      <c r="S339" s="96">
        <v>7414000005</v>
      </c>
      <c r="X339"/>
      <c r="AA339" s="131" t="s">
        <v>379</v>
      </c>
      <c r="AB339" s="130">
        <v>23650378.818597</v>
      </c>
      <c r="AC339" s="130">
        <v>23650378.818597</v>
      </c>
    </row>
    <row r="340" spans="1:29" x14ac:dyDescent="0.25">
      <c r="A340" t="str">
        <f t="shared" si="6"/>
        <v xml:space="preserve">1021427GOBFED 180614       </v>
      </c>
      <c r="B340" s="96">
        <v>1021427</v>
      </c>
      <c r="C340" s="96" t="s">
        <v>669</v>
      </c>
      <c r="D340" s="96" t="s">
        <v>445</v>
      </c>
      <c r="E340" s="96" t="s">
        <v>623</v>
      </c>
      <c r="F340" s="96" t="s">
        <v>624</v>
      </c>
      <c r="G340" s="99">
        <v>0</v>
      </c>
      <c r="H340" s="97">
        <v>0</v>
      </c>
      <c r="I340" s="98">
        <v>0</v>
      </c>
      <c r="J340" s="97">
        <v>0</v>
      </c>
      <c r="K340" s="98">
        <v>0</v>
      </c>
      <c r="L340" s="99">
        <v>0</v>
      </c>
      <c r="M340" s="98">
        <v>0</v>
      </c>
      <c r="N340" s="99">
        <v>0</v>
      </c>
      <c r="O340" s="98">
        <v>0</v>
      </c>
      <c r="P340" s="99">
        <v>0</v>
      </c>
      <c r="Q340" s="98">
        <v>0</v>
      </c>
      <c r="R340" s="96" t="s">
        <v>625</v>
      </c>
      <c r="S340" s="96">
        <v>7414000005</v>
      </c>
      <c r="X340"/>
      <c r="AA340" s="131" t="s">
        <v>377</v>
      </c>
      <c r="AB340" s="130">
        <v>20108664.414310001</v>
      </c>
      <c r="AC340" s="130">
        <v>20108664.414310001</v>
      </c>
    </row>
    <row r="341" spans="1:29" x14ac:dyDescent="0.25">
      <c r="A341" t="str">
        <f t="shared" si="6"/>
        <v xml:space="preserve">1021427GOBFED 191211       </v>
      </c>
      <c r="B341" s="96">
        <v>1021427</v>
      </c>
      <c r="C341" s="96" t="s">
        <v>669</v>
      </c>
      <c r="D341" s="96" t="s">
        <v>446</v>
      </c>
      <c r="E341" s="96" t="s">
        <v>623</v>
      </c>
      <c r="F341" s="96" t="s">
        <v>624</v>
      </c>
      <c r="G341" s="99">
        <v>0</v>
      </c>
      <c r="H341" s="97">
        <v>0</v>
      </c>
      <c r="I341" s="98">
        <v>0</v>
      </c>
      <c r="J341" s="97">
        <v>0</v>
      </c>
      <c r="K341" s="98">
        <v>0</v>
      </c>
      <c r="L341" s="99">
        <v>0</v>
      </c>
      <c r="M341" s="98">
        <v>0</v>
      </c>
      <c r="N341" s="99">
        <v>0</v>
      </c>
      <c r="O341" s="98">
        <v>0</v>
      </c>
      <c r="P341" s="99">
        <v>0</v>
      </c>
      <c r="Q341" s="98">
        <v>0</v>
      </c>
      <c r="R341" s="96" t="s">
        <v>625</v>
      </c>
      <c r="S341" s="96">
        <v>7414000005</v>
      </c>
      <c r="X341"/>
      <c r="AA341" s="131" t="s">
        <v>471</v>
      </c>
      <c r="AB341" s="130">
        <v>0</v>
      </c>
      <c r="AC341" s="130">
        <v>0</v>
      </c>
    </row>
    <row r="342" spans="1:29" x14ac:dyDescent="0.25">
      <c r="A342" t="str">
        <f t="shared" si="6"/>
        <v xml:space="preserve">1021427GOBFED 200611       </v>
      </c>
      <c r="B342" s="96">
        <v>1021427</v>
      </c>
      <c r="C342" s="96" t="s">
        <v>669</v>
      </c>
      <c r="D342" s="96" t="s">
        <v>447</v>
      </c>
      <c r="E342" s="96" t="s">
        <v>623</v>
      </c>
      <c r="F342" s="96" t="s">
        <v>624</v>
      </c>
      <c r="G342" s="99">
        <v>0</v>
      </c>
      <c r="H342" s="97">
        <v>0</v>
      </c>
      <c r="I342" s="98">
        <v>0</v>
      </c>
      <c r="J342" s="97">
        <v>0</v>
      </c>
      <c r="K342" s="98">
        <v>0</v>
      </c>
      <c r="L342" s="99">
        <v>0</v>
      </c>
      <c r="M342" s="98">
        <v>0</v>
      </c>
      <c r="N342" s="99">
        <v>0</v>
      </c>
      <c r="O342" s="98">
        <v>0</v>
      </c>
      <c r="P342" s="99">
        <v>0</v>
      </c>
      <c r="Q342" s="98">
        <v>0</v>
      </c>
      <c r="R342" s="96" t="s">
        <v>625</v>
      </c>
      <c r="S342" s="96">
        <v>7414000005</v>
      </c>
      <c r="X342"/>
      <c r="AA342" s="131" t="s">
        <v>499</v>
      </c>
      <c r="AB342" s="130">
        <v>67443139.651649997</v>
      </c>
      <c r="AC342" s="130">
        <v>67443139.651649997</v>
      </c>
    </row>
    <row r="343" spans="1:29" x14ac:dyDescent="0.25">
      <c r="A343" t="str">
        <f t="shared" si="6"/>
        <v xml:space="preserve">1021427GOBFED 210610       </v>
      </c>
      <c r="B343" s="96">
        <v>1021427</v>
      </c>
      <c r="C343" s="96" t="s">
        <v>669</v>
      </c>
      <c r="D343" s="96" t="s">
        <v>426</v>
      </c>
      <c r="E343" s="96" t="s">
        <v>623</v>
      </c>
      <c r="F343" s="96" t="s">
        <v>624</v>
      </c>
      <c r="G343" s="99">
        <v>0</v>
      </c>
      <c r="H343" s="97">
        <v>0</v>
      </c>
      <c r="I343" s="98">
        <v>0</v>
      </c>
      <c r="J343" s="97">
        <v>0</v>
      </c>
      <c r="K343" s="98">
        <v>0</v>
      </c>
      <c r="L343" s="99">
        <v>0</v>
      </c>
      <c r="M343" s="98">
        <v>0</v>
      </c>
      <c r="N343" s="99">
        <v>0</v>
      </c>
      <c r="O343" s="98">
        <v>0</v>
      </c>
      <c r="P343" s="99">
        <v>0</v>
      </c>
      <c r="Q343" s="98">
        <v>0</v>
      </c>
      <c r="R343" s="96" t="s">
        <v>625</v>
      </c>
      <c r="S343" s="96">
        <v>7414000005</v>
      </c>
      <c r="X343"/>
      <c r="AA343" s="131" t="s">
        <v>543</v>
      </c>
      <c r="AB343" s="130">
        <v>13829486.470107</v>
      </c>
      <c r="AC343" s="130">
        <v>13829486.470107</v>
      </c>
    </row>
    <row r="344" spans="1:29" x14ac:dyDescent="0.25">
      <c r="A344" t="str">
        <f t="shared" si="6"/>
        <v xml:space="preserve">1021427GOBFED 220609       </v>
      </c>
      <c r="B344" s="96">
        <v>1021427</v>
      </c>
      <c r="C344" s="96" t="s">
        <v>669</v>
      </c>
      <c r="D344" s="96" t="s">
        <v>376</v>
      </c>
      <c r="E344" s="96" t="s">
        <v>623</v>
      </c>
      <c r="F344" s="96" t="s">
        <v>624</v>
      </c>
      <c r="G344" s="99">
        <v>0</v>
      </c>
      <c r="H344" s="97">
        <v>0</v>
      </c>
      <c r="I344" s="98">
        <v>0</v>
      </c>
      <c r="J344" s="97">
        <v>0</v>
      </c>
      <c r="K344" s="98">
        <v>0</v>
      </c>
      <c r="L344" s="99">
        <v>0</v>
      </c>
      <c r="M344" s="98">
        <v>0</v>
      </c>
      <c r="N344" s="99">
        <v>0</v>
      </c>
      <c r="O344" s="98">
        <v>0</v>
      </c>
      <c r="P344" s="99">
        <v>0</v>
      </c>
      <c r="Q344" s="98">
        <v>0</v>
      </c>
      <c r="R344" s="96" t="s">
        <v>625</v>
      </c>
      <c r="S344" s="96">
        <v>7414000005</v>
      </c>
      <c r="AA344" s="131" t="s">
        <v>552</v>
      </c>
      <c r="AB344" s="130">
        <v>3179015.3863599999</v>
      </c>
      <c r="AC344" s="130">
        <v>3179015.3863599999</v>
      </c>
    </row>
    <row r="345" spans="1:29" x14ac:dyDescent="0.25">
      <c r="A345" t="str">
        <f t="shared" si="6"/>
        <v xml:space="preserve">1021427GOBFED 231207       </v>
      </c>
      <c r="B345" s="96">
        <v>1021427</v>
      </c>
      <c r="C345" s="96" t="s">
        <v>669</v>
      </c>
      <c r="D345" s="96" t="s">
        <v>432</v>
      </c>
      <c r="E345" s="96" t="s">
        <v>623</v>
      </c>
      <c r="F345" s="96" t="s">
        <v>624</v>
      </c>
      <c r="G345" s="99">
        <v>0</v>
      </c>
      <c r="H345" s="97">
        <v>0</v>
      </c>
      <c r="I345" s="98">
        <v>0</v>
      </c>
      <c r="J345" s="97">
        <v>0</v>
      </c>
      <c r="K345" s="98">
        <v>0</v>
      </c>
      <c r="L345" s="99">
        <v>0</v>
      </c>
      <c r="M345" s="98">
        <v>0</v>
      </c>
      <c r="N345" s="99">
        <v>0</v>
      </c>
      <c r="O345" s="98">
        <v>0</v>
      </c>
      <c r="P345" s="99">
        <v>0</v>
      </c>
      <c r="Q345" s="98">
        <v>0</v>
      </c>
      <c r="R345" s="96" t="s">
        <v>625</v>
      </c>
      <c r="S345" s="96">
        <v>7414000005</v>
      </c>
      <c r="AA345" s="131" t="s">
        <v>554</v>
      </c>
      <c r="AB345" s="130">
        <v>22369071.497409999</v>
      </c>
      <c r="AC345" s="130">
        <v>22369071.497409999</v>
      </c>
    </row>
    <row r="346" spans="1:29" x14ac:dyDescent="0.25">
      <c r="A346" t="str">
        <f t="shared" si="6"/>
        <v xml:space="preserve">1021427GOBFED 241205       </v>
      </c>
      <c r="B346" s="96">
        <v>1021427</v>
      </c>
      <c r="C346" s="96" t="s">
        <v>669</v>
      </c>
      <c r="D346" s="96" t="s">
        <v>448</v>
      </c>
      <c r="E346" s="96" t="s">
        <v>623</v>
      </c>
      <c r="F346" s="96" t="s">
        <v>624</v>
      </c>
      <c r="G346" s="99">
        <v>0</v>
      </c>
      <c r="H346" s="97">
        <v>0</v>
      </c>
      <c r="I346" s="98">
        <v>0</v>
      </c>
      <c r="J346" s="97">
        <v>0</v>
      </c>
      <c r="K346" s="98">
        <v>0</v>
      </c>
      <c r="L346" s="99">
        <v>0</v>
      </c>
      <c r="M346" s="98">
        <v>0</v>
      </c>
      <c r="N346" s="99">
        <v>0</v>
      </c>
      <c r="O346" s="98">
        <v>0</v>
      </c>
      <c r="P346" s="99">
        <v>0</v>
      </c>
      <c r="Q346" s="98">
        <v>0</v>
      </c>
      <c r="R346" s="96" t="s">
        <v>625</v>
      </c>
      <c r="S346" s="96">
        <v>7414000005</v>
      </c>
      <c r="AA346" s="131" t="s">
        <v>613</v>
      </c>
      <c r="AB346" s="130">
        <v>27560276.195505001</v>
      </c>
      <c r="AC346" s="130">
        <v>27560276.195505001</v>
      </c>
    </row>
    <row r="347" spans="1:29" x14ac:dyDescent="0.25">
      <c r="A347" t="str">
        <f t="shared" si="6"/>
        <v xml:space="preserve">1021427SANMEX B            </v>
      </c>
      <c r="B347" s="96">
        <v>1021427</v>
      </c>
      <c r="C347" s="96" t="s">
        <v>669</v>
      </c>
      <c r="D347" s="96" t="s">
        <v>449</v>
      </c>
      <c r="E347" s="96" t="s">
        <v>623</v>
      </c>
      <c r="F347" s="96" t="s">
        <v>624</v>
      </c>
      <c r="G347" s="99">
        <v>0</v>
      </c>
      <c r="H347" s="97">
        <v>0</v>
      </c>
      <c r="I347" s="98">
        <v>0</v>
      </c>
      <c r="J347" s="97">
        <v>0</v>
      </c>
      <c r="K347" s="98">
        <v>0</v>
      </c>
      <c r="L347" s="99">
        <v>0</v>
      </c>
      <c r="M347" s="98">
        <v>0</v>
      </c>
      <c r="N347" s="99">
        <v>0</v>
      </c>
      <c r="O347" s="98">
        <v>0</v>
      </c>
      <c r="P347" s="99">
        <v>0</v>
      </c>
      <c r="Q347" s="98">
        <v>0</v>
      </c>
      <c r="R347" s="96" t="s">
        <v>625</v>
      </c>
      <c r="S347" s="96">
        <v>7414000005</v>
      </c>
      <c r="AA347" s="129">
        <v>147310</v>
      </c>
      <c r="AB347" s="130">
        <v>150734629.05491</v>
      </c>
      <c r="AC347" s="130">
        <v>150734629.05491</v>
      </c>
    </row>
    <row r="348" spans="1:29" x14ac:dyDescent="0.25">
      <c r="A348" t="str">
        <f t="shared" si="6"/>
        <v xml:space="preserve">1021427UDIBONO 160616      </v>
      </c>
      <c r="B348" s="96">
        <v>1021427</v>
      </c>
      <c r="C348" s="96" t="s">
        <v>669</v>
      </c>
      <c r="D348" s="96" t="s">
        <v>450</v>
      </c>
      <c r="E348" s="96" t="s">
        <v>623</v>
      </c>
      <c r="F348" s="96" t="s">
        <v>624</v>
      </c>
      <c r="G348" s="99">
        <v>0</v>
      </c>
      <c r="H348" s="97">
        <v>0</v>
      </c>
      <c r="I348" s="98">
        <v>0</v>
      </c>
      <c r="J348" s="97">
        <v>0</v>
      </c>
      <c r="K348" s="98">
        <v>0</v>
      </c>
      <c r="L348" s="99">
        <v>0</v>
      </c>
      <c r="M348" s="98">
        <v>0</v>
      </c>
      <c r="N348" s="99">
        <v>0</v>
      </c>
      <c r="O348" s="98">
        <v>0</v>
      </c>
      <c r="P348" s="99">
        <v>0</v>
      </c>
      <c r="Q348" s="98">
        <v>0</v>
      </c>
      <c r="R348" s="96" t="s">
        <v>625</v>
      </c>
      <c r="S348" s="96">
        <v>7414000005</v>
      </c>
      <c r="AA348" s="131" t="s">
        <v>366</v>
      </c>
      <c r="AB348" s="130">
        <v>1625075.07</v>
      </c>
      <c r="AC348" s="130">
        <v>1625075.07</v>
      </c>
    </row>
    <row r="349" spans="1:29" x14ac:dyDescent="0.25">
      <c r="A349" t="str">
        <f t="shared" si="6"/>
        <v xml:space="preserve">1021427UDIBONO 171214      </v>
      </c>
      <c r="B349" s="96">
        <v>1021427</v>
      </c>
      <c r="C349" s="96" t="s">
        <v>669</v>
      </c>
      <c r="D349" s="96" t="s">
        <v>451</v>
      </c>
      <c r="E349" s="96" t="s">
        <v>623</v>
      </c>
      <c r="F349" s="96" t="s">
        <v>624</v>
      </c>
      <c r="G349" s="99">
        <v>0</v>
      </c>
      <c r="H349" s="97">
        <v>0</v>
      </c>
      <c r="I349" s="98">
        <v>0</v>
      </c>
      <c r="J349" s="97">
        <v>0</v>
      </c>
      <c r="K349" s="98">
        <v>0</v>
      </c>
      <c r="L349" s="99">
        <v>0</v>
      </c>
      <c r="M349" s="98">
        <v>0</v>
      </c>
      <c r="N349" s="99">
        <v>0</v>
      </c>
      <c r="O349" s="98">
        <v>0</v>
      </c>
      <c r="P349" s="99">
        <v>0</v>
      </c>
      <c r="Q349" s="98">
        <v>0</v>
      </c>
      <c r="R349" s="96" t="s">
        <v>625</v>
      </c>
      <c r="S349" s="96">
        <v>7414000005</v>
      </c>
      <c r="AA349" s="131" t="s">
        <v>376</v>
      </c>
      <c r="AB349" s="130">
        <v>4249777.86436</v>
      </c>
      <c r="AC349" s="130">
        <v>4249777.86436</v>
      </c>
    </row>
    <row r="350" spans="1:29" x14ac:dyDescent="0.25">
      <c r="A350" t="str">
        <f t="shared" si="6"/>
        <v xml:space="preserve">1021427UDIBONO 190613      </v>
      </c>
      <c r="B350" s="96">
        <v>1021427</v>
      </c>
      <c r="C350" s="96" t="s">
        <v>669</v>
      </c>
      <c r="D350" s="96" t="s">
        <v>452</v>
      </c>
      <c r="E350" s="96" t="s">
        <v>623</v>
      </c>
      <c r="F350" s="96" t="s">
        <v>624</v>
      </c>
      <c r="G350" s="99">
        <v>0</v>
      </c>
      <c r="H350" s="97">
        <v>0</v>
      </c>
      <c r="I350" s="98">
        <v>0</v>
      </c>
      <c r="J350" s="97">
        <v>0</v>
      </c>
      <c r="K350" s="98">
        <v>0</v>
      </c>
      <c r="L350" s="99">
        <v>0</v>
      </c>
      <c r="M350" s="98">
        <v>0</v>
      </c>
      <c r="N350" s="99">
        <v>0</v>
      </c>
      <c r="O350" s="98">
        <v>0</v>
      </c>
      <c r="P350" s="99">
        <v>0</v>
      </c>
      <c r="Q350" s="98">
        <v>0</v>
      </c>
      <c r="R350" s="96" t="s">
        <v>625</v>
      </c>
      <c r="S350" s="96">
        <v>7414000005</v>
      </c>
      <c r="AA350" s="131" t="s">
        <v>378</v>
      </c>
      <c r="AB350" s="130">
        <v>17600010.779647999</v>
      </c>
      <c r="AC350" s="130">
        <v>17600010.779647999</v>
      </c>
    </row>
    <row r="351" spans="1:29" x14ac:dyDescent="0.25">
      <c r="A351" t="str">
        <f t="shared" si="6"/>
        <v xml:space="preserve">1021427UDIBONO 201210      </v>
      </c>
      <c r="B351" s="96">
        <v>1021427</v>
      </c>
      <c r="C351" s="96" t="s">
        <v>669</v>
      </c>
      <c r="D351" s="96" t="s">
        <v>391</v>
      </c>
      <c r="E351" s="96" t="s">
        <v>623</v>
      </c>
      <c r="F351" s="96" t="s">
        <v>624</v>
      </c>
      <c r="G351" s="99">
        <v>0</v>
      </c>
      <c r="H351" s="97">
        <v>0</v>
      </c>
      <c r="I351" s="98">
        <v>0</v>
      </c>
      <c r="J351" s="97">
        <v>0</v>
      </c>
      <c r="K351" s="98">
        <v>0</v>
      </c>
      <c r="L351" s="99">
        <v>0</v>
      </c>
      <c r="M351" s="98">
        <v>0</v>
      </c>
      <c r="N351" s="99">
        <v>0</v>
      </c>
      <c r="O351" s="98">
        <v>0</v>
      </c>
      <c r="P351" s="99">
        <v>0</v>
      </c>
      <c r="Q351" s="98">
        <v>0</v>
      </c>
      <c r="R351" s="96" t="s">
        <v>625</v>
      </c>
      <c r="S351" s="96">
        <v>7414000005</v>
      </c>
      <c r="AA351" s="131" t="s">
        <v>380</v>
      </c>
      <c r="AB351" s="130">
        <v>10416663.25296</v>
      </c>
      <c r="AC351" s="130">
        <v>10416663.25296</v>
      </c>
    </row>
    <row r="352" spans="1:29" x14ac:dyDescent="0.25">
      <c r="A352" t="str">
        <f t="shared" si="6"/>
        <v xml:space="preserve">1021427UDIBONO 220609      </v>
      </c>
      <c r="B352" s="96">
        <v>1021427</v>
      </c>
      <c r="C352" s="96" t="s">
        <v>669</v>
      </c>
      <c r="D352" s="96" t="s">
        <v>396</v>
      </c>
      <c r="E352" s="96" t="s">
        <v>623</v>
      </c>
      <c r="F352" s="96" t="s">
        <v>624</v>
      </c>
      <c r="G352" s="99">
        <v>0</v>
      </c>
      <c r="H352" s="97">
        <v>0</v>
      </c>
      <c r="I352" s="98">
        <v>0</v>
      </c>
      <c r="J352" s="97">
        <v>0</v>
      </c>
      <c r="K352" s="98">
        <v>0</v>
      </c>
      <c r="L352" s="99">
        <v>0</v>
      </c>
      <c r="M352" s="98">
        <v>0</v>
      </c>
      <c r="N352" s="99">
        <v>0</v>
      </c>
      <c r="O352" s="98">
        <v>0</v>
      </c>
      <c r="P352" s="99">
        <v>0</v>
      </c>
      <c r="Q352" s="98">
        <v>0</v>
      </c>
      <c r="R352" s="96" t="s">
        <v>625</v>
      </c>
      <c r="S352" s="96">
        <v>7414000005</v>
      </c>
      <c r="AA352" s="131" t="s">
        <v>382</v>
      </c>
      <c r="AB352" s="130">
        <v>0</v>
      </c>
      <c r="AC352" s="130">
        <v>0</v>
      </c>
    </row>
    <row r="353" spans="1:29" x14ac:dyDescent="0.25">
      <c r="A353" t="str">
        <f t="shared" si="6"/>
        <v xml:space="preserve">1021427UDIBONO 251204      </v>
      </c>
      <c r="B353" s="96">
        <v>1024556</v>
      </c>
      <c r="C353" s="96" t="s">
        <v>670</v>
      </c>
      <c r="D353" s="96" t="s">
        <v>502</v>
      </c>
      <c r="E353" s="96" t="s">
        <v>623</v>
      </c>
      <c r="F353" s="96" t="s">
        <v>624</v>
      </c>
      <c r="G353" s="99">
        <v>156</v>
      </c>
      <c r="H353" s="97">
        <v>9469.6491050000004</v>
      </c>
      <c r="I353" s="98">
        <v>1477265.2603800001</v>
      </c>
      <c r="J353" s="97">
        <v>9977.4</v>
      </c>
      <c r="K353" s="98">
        <v>-79209.139620000002</v>
      </c>
      <c r="L353" s="99">
        <v>0</v>
      </c>
      <c r="M353" s="98">
        <v>0</v>
      </c>
      <c r="N353" s="99">
        <v>0</v>
      </c>
      <c r="O353" s="98">
        <v>0</v>
      </c>
      <c r="P353" s="99">
        <v>156</v>
      </c>
      <c r="Q353" s="98">
        <v>1477265.2603800001</v>
      </c>
      <c r="R353" s="96" t="s">
        <v>625</v>
      </c>
      <c r="S353" s="96">
        <v>7414000005</v>
      </c>
      <c r="AA353" s="131" t="s">
        <v>391</v>
      </c>
      <c r="AB353" s="130">
        <v>3102.7671479999999</v>
      </c>
      <c r="AC353" s="130">
        <v>3102.7671479999999</v>
      </c>
    </row>
    <row r="354" spans="1:29" x14ac:dyDescent="0.25">
      <c r="A354" t="str">
        <f t="shared" si="6"/>
        <v xml:space="preserve">1021427UDIBONO 401115      </v>
      </c>
      <c r="B354" s="96">
        <v>1024556</v>
      </c>
      <c r="C354" s="96" t="s">
        <v>670</v>
      </c>
      <c r="D354" s="96" t="s">
        <v>433</v>
      </c>
      <c r="E354" s="96" t="s">
        <v>623</v>
      </c>
      <c r="F354" s="96" t="s">
        <v>624</v>
      </c>
      <c r="G354" s="99">
        <v>200000</v>
      </c>
      <c r="H354" s="97">
        <v>100.000056</v>
      </c>
      <c r="I354" s="98">
        <v>20000011.199999999</v>
      </c>
      <c r="J354" s="97">
        <v>100</v>
      </c>
      <c r="K354" s="98">
        <v>11.2</v>
      </c>
      <c r="L354" s="99">
        <v>0</v>
      </c>
      <c r="M354" s="98">
        <v>0</v>
      </c>
      <c r="N354" s="99">
        <v>0</v>
      </c>
      <c r="O354" s="98">
        <v>0</v>
      </c>
      <c r="P354" s="99">
        <v>200000</v>
      </c>
      <c r="Q354" s="98">
        <v>20000011.199999999</v>
      </c>
      <c r="R354" s="96" t="s">
        <v>625</v>
      </c>
      <c r="S354" s="96">
        <v>7414000005</v>
      </c>
      <c r="AA354" s="131" t="s">
        <v>472</v>
      </c>
      <c r="AB354" s="130">
        <v>23286463.199999999</v>
      </c>
      <c r="AC354" s="130">
        <v>23286463.199999999</v>
      </c>
    </row>
    <row r="355" spans="1:29" x14ac:dyDescent="0.25">
      <c r="A355" t="str">
        <f t="shared" si="6"/>
        <v xml:space="preserve">1024556AMX 0131X           </v>
      </c>
      <c r="B355" s="96">
        <v>1024556</v>
      </c>
      <c r="C355" s="96" t="s">
        <v>670</v>
      </c>
      <c r="D355" s="96" t="s">
        <v>552</v>
      </c>
      <c r="E355" s="96" t="s">
        <v>623</v>
      </c>
      <c r="F355" s="96" t="s">
        <v>624</v>
      </c>
      <c r="G355" s="99">
        <v>118580</v>
      </c>
      <c r="H355" s="97">
        <v>100.000484</v>
      </c>
      <c r="I355" s="98">
        <v>11858057.392720001</v>
      </c>
      <c r="J355" s="97">
        <v>100</v>
      </c>
      <c r="K355" s="98">
        <v>57.392719999999997</v>
      </c>
      <c r="L355" s="99">
        <v>0</v>
      </c>
      <c r="M355" s="98">
        <v>0</v>
      </c>
      <c r="N355" s="99">
        <v>0</v>
      </c>
      <c r="O355" s="98">
        <v>0</v>
      </c>
      <c r="P355" s="99">
        <v>118580</v>
      </c>
      <c r="Q355" s="98">
        <v>11858057.392720001</v>
      </c>
      <c r="R355" s="96" t="s">
        <v>625</v>
      </c>
      <c r="S355" s="96">
        <v>7414000005</v>
      </c>
      <c r="AA355" s="131" t="s">
        <v>375</v>
      </c>
      <c r="AB355" s="130">
        <v>2462038.7130129999</v>
      </c>
      <c r="AC355" s="130">
        <v>2462038.7130129999</v>
      </c>
    </row>
    <row r="356" spans="1:29" x14ac:dyDescent="0.25">
      <c r="A356" t="str">
        <f t="shared" si="6"/>
        <v xml:space="preserve">1024556BBVAMX 22X          </v>
      </c>
      <c r="B356" s="96">
        <v>1024556</v>
      </c>
      <c r="C356" s="96" t="s">
        <v>670</v>
      </c>
      <c r="D356" s="96" t="s">
        <v>453</v>
      </c>
      <c r="E356" s="96" t="s">
        <v>623</v>
      </c>
      <c r="F356" s="96" t="s">
        <v>624</v>
      </c>
      <c r="G356" s="99">
        <v>71101</v>
      </c>
      <c r="H356" s="97">
        <v>99.764358000000001</v>
      </c>
      <c r="I356" s="98">
        <v>7093345.6181579996</v>
      </c>
      <c r="J356" s="97">
        <v>99.612017969999997</v>
      </c>
      <c r="K356" s="98">
        <v>10831.528473030001</v>
      </c>
      <c r="L356" s="99">
        <v>0</v>
      </c>
      <c r="M356" s="98">
        <v>0</v>
      </c>
      <c r="N356" s="99">
        <v>0</v>
      </c>
      <c r="O356" s="98">
        <v>0</v>
      </c>
      <c r="P356" s="99">
        <v>71101</v>
      </c>
      <c r="Q356" s="98">
        <v>7093345.6181579996</v>
      </c>
      <c r="R356" s="96" t="s">
        <v>625</v>
      </c>
      <c r="S356" s="96">
        <v>7414000005</v>
      </c>
      <c r="AA356" s="131" t="s">
        <v>429</v>
      </c>
      <c r="AB356" s="130">
        <v>939895.12806000002</v>
      </c>
      <c r="AC356" s="130">
        <v>939895.12806000002</v>
      </c>
    </row>
    <row r="357" spans="1:29" x14ac:dyDescent="0.25">
      <c r="A357" t="str">
        <f t="shared" si="6"/>
        <v xml:space="preserve">1024556BLADEX 24           </v>
      </c>
      <c r="B357" s="96">
        <v>1024556</v>
      </c>
      <c r="C357" s="96" t="s">
        <v>670</v>
      </c>
      <c r="D357" s="96" t="s">
        <v>434</v>
      </c>
      <c r="E357" s="96" t="s">
        <v>623</v>
      </c>
      <c r="F357" s="96" t="s">
        <v>624</v>
      </c>
      <c r="G357" s="99">
        <v>174270</v>
      </c>
      <c r="H357" s="97">
        <v>99.629997000000003</v>
      </c>
      <c r="I357" s="98">
        <v>17362519.577190001</v>
      </c>
      <c r="J357" s="97">
        <v>99.126983839999994</v>
      </c>
      <c r="K357" s="98">
        <v>87660.103393199999</v>
      </c>
      <c r="L357" s="99">
        <v>0</v>
      </c>
      <c r="M357" s="98">
        <v>0</v>
      </c>
      <c r="N357" s="99">
        <v>0</v>
      </c>
      <c r="O357" s="98">
        <v>0</v>
      </c>
      <c r="P357" s="99">
        <v>174270</v>
      </c>
      <c r="Q357" s="98">
        <v>17362519.577190001</v>
      </c>
      <c r="R357" s="96" t="s">
        <v>625</v>
      </c>
      <c r="S357" s="96">
        <v>7414000005</v>
      </c>
      <c r="AA357" s="131" t="s">
        <v>437</v>
      </c>
      <c r="AB357" s="130">
        <v>2291878.7011500001</v>
      </c>
      <c r="AC357" s="130">
        <v>2291878.7011500001</v>
      </c>
    </row>
    <row r="358" spans="1:29" x14ac:dyDescent="0.25">
      <c r="A358" t="str">
        <f t="shared" si="6"/>
        <v xml:space="preserve">1024556BONDESD 251211      </v>
      </c>
      <c r="B358" s="96">
        <v>1024556</v>
      </c>
      <c r="C358" s="96" t="s">
        <v>670</v>
      </c>
      <c r="D358" s="96" t="s">
        <v>435</v>
      </c>
      <c r="E358" s="96" t="s">
        <v>623</v>
      </c>
      <c r="F358" s="96" t="s">
        <v>624</v>
      </c>
      <c r="G358" s="99">
        <v>25593</v>
      </c>
      <c r="H358" s="97">
        <v>91.971306999999996</v>
      </c>
      <c r="I358" s="98">
        <v>2353821.6600509998</v>
      </c>
      <c r="J358" s="97">
        <v>100</v>
      </c>
      <c r="K358" s="98">
        <v>-205478.33994899999</v>
      </c>
      <c r="L358" s="99">
        <v>0</v>
      </c>
      <c r="M358" s="98">
        <v>0</v>
      </c>
      <c r="N358" s="99">
        <v>0</v>
      </c>
      <c r="O358" s="98">
        <v>0</v>
      </c>
      <c r="P358" s="99">
        <v>25593</v>
      </c>
      <c r="Q358" s="98">
        <v>2353821.6600509998</v>
      </c>
      <c r="R358" s="96" t="s">
        <v>625</v>
      </c>
      <c r="S358" s="96">
        <v>7414000005</v>
      </c>
      <c r="AA358" s="131" t="s">
        <v>379</v>
      </c>
      <c r="AB358" s="130">
        <v>12440887.430103</v>
      </c>
      <c r="AC358" s="130">
        <v>12440887.430103</v>
      </c>
    </row>
    <row r="359" spans="1:29" x14ac:dyDescent="0.25">
      <c r="A359" t="str">
        <f t="shared" si="6"/>
        <v xml:space="preserve">1024556BPA182 270121       </v>
      </c>
      <c r="B359" s="96">
        <v>1024556</v>
      </c>
      <c r="C359" s="96" t="s">
        <v>670</v>
      </c>
      <c r="D359" s="96" t="s">
        <v>422</v>
      </c>
      <c r="E359" s="96" t="s">
        <v>623</v>
      </c>
      <c r="F359" s="96" t="s">
        <v>624</v>
      </c>
      <c r="G359" s="99">
        <v>59819</v>
      </c>
      <c r="H359" s="97">
        <v>97.654420999999999</v>
      </c>
      <c r="I359" s="98">
        <v>5841589.8097989997</v>
      </c>
      <c r="J359" s="97">
        <v>98.949900466490575</v>
      </c>
      <c r="K359" s="98">
        <v>-77494.286206000004</v>
      </c>
      <c r="L359" s="99">
        <v>0</v>
      </c>
      <c r="M359" s="98">
        <v>0</v>
      </c>
      <c r="N359" s="99">
        <v>0</v>
      </c>
      <c r="O359" s="98">
        <v>0</v>
      </c>
      <c r="P359" s="99">
        <v>59819</v>
      </c>
      <c r="Q359" s="98">
        <v>5841589.8097989997</v>
      </c>
      <c r="R359" s="96" t="s">
        <v>625</v>
      </c>
      <c r="S359" s="96">
        <v>7414000005</v>
      </c>
      <c r="AA359" s="131" t="s">
        <v>377</v>
      </c>
      <c r="AB359" s="130">
        <v>10663679.918307001</v>
      </c>
      <c r="AC359" s="130">
        <v>10663679.918307001</v>
      </c>
    </row>
    <row r="360" spans="1:29" x14ac:dyDescent="0.25">
      <c r="A360" t="str">
        <f t="shared" si="6"/>
        <v xml:space="preserve">1024556CETELEM 21-4        </v>
      </c>
      <c r="B360" s="96">
        <v>1024556</v>
      </c>
      <c r="C360" s="96" t="s">
        <v>670</v>
      </c>
      <c r="D360" s="96" t="s">
        <v>423</v>
      </c>
      <c r="E360" s="96" t="s">
        <v>623</v>
      </c>
      <c r="F360" s="96" t="s">
        <v>624</v>
      </c>
      <c r="G360" s="99">
        <v>67470</v>
      </c>
      <c r="H360" s="97">
        <v>98.859247999999994</v>
      </c>
      <c r="I360" s="98">
        <v>6670033.4625599999</v>
      </c>
      <c r="J360" s="97">
        <v>100</v>
      </c>
      <c r="K360" s="98">
        <v>-76966.53744</v>
      </c>
      <c r="L360" s="99">
        <v>0</v>
      </c>
      <c r="M360" s="98">
        <v>0</v>
      </c>
      <c r="N360" s="99">
        <v>0</v>
      </c>
      <c r="O360" s="98">
        <v>0</v>
      </c>
      <c r="P360" s="99">
        <v>67470</v>
      </c>
      <c r="Q360" s="98">
        <v>6670033.4625599999</v>
      </c>
      <c r="R360" s="96" t="s">
        <v>625</v>
      </c>
      <c r="S360" s="96">
        <v>7414000005</v>
      </c>
      <c r="AA360" s="131" t="s">
        <v>392</v>
      </c>
      <c r="AB360" s="130">
        <v>2241.535296</v>
      </c>
      <c r="AC360" s="130">
        <v>2241.535296</v>
      </c>
    </row>
    <row r="361" spans="1:29" x14ac:dyDescent="0.25">
      <c r="A361" t="str">
        <f t="shared" si="6"/>
        <v xml:space="preserve">1024556CETELEM 22          </v>
      </c>
      <c r="B361" s="96">
        <v>1024556</v>
      </c>
      <c r="C361" s="96" t="s">
        <v>670</v>
      </c>
      <c r="D361" s="96" t="s">
        <v>612</v>
      </c>
      <c r="E361" s="96" t="s">
        <v>623</v>
      </c>
      <c r="F361" s="96" t="s">
        <v>624</v>
      </c>
      <c r="G361" s="99">
        <v>2500000</v>
      </c>
      <c r="H361" s="97">
        <v>9.8627230000000008</v>
      </c>
      <c r="I361" s="98">
        <v>24656807.5</v>
      </c>
      <c r="J361" s="97">
        <v>9.7229553800000001</v>
      </c>
      <c r="K361" s="98">
        <v>349419.05</v>
      </c>
      <c r="L361" s="99">
        <v>0</v>
      </c>
      <c r="M361" s="98">
        <v>0</v>
      </c>
      <c r="N361" s="99">
        <v>0</v>
      </c>
      <c r="O361" s="98">
        <v>0</v>
      </c>
      <c r="P361" s="99">
        <v>2500000</v>
      </c>
      <c r="Q361" s="98">
        <v>24656807.5</v>
      </c>
      <c r="R361" s="96" t="s">
        <v>625</v>
      </c>
      <c r="S361" s="96">
        <v>7414000005</v>
      </c>
      <c r="AA361" s="131" t="s">
        <v>471</v>
      </c>
      <c r="AB361" s="130">
        <v>0</v>
      </c>
      <c r="AC361" s="130">
        <v>0</v>
      </c>
    </row>
    <row r="362" spans="1:29" x14ac:dyDescent="0.25">
      <c r="A362" t="str">
        <f t="shared" si="6"/>
        <v xml:space="preserve">1024556CETELEM 22-4        </v>
      </c>
      <c r="B362" s="96">
        <v>1024556</v>
      </c>
      <c r="C362" s="96" t="s">
        <v>670</v>
      </c>
      <c r="D362" s="96" t="s">
        <v>409</v>
      </c>
      <c r="E362" s="96" t="s">
        <v>623</v>
      </c>
      <c r="F362" s="96" t="s">
        <v>624</v>
      </c>
      <c r="G362" s="99">
        <v>2975681</v>
      </c>
      <c r="H362" s="97">
        <v>9.3381629999999998</v>
      </c>
      <c r="I362" s="98">
        <v>27787394.214003</v>
      </c>
      <c r="J362" s="97">
        <v>8.3307969100000001</v>
      </c>
      <c r="K362" s="98">
        <v>2997600.1340572899</v>
      </c>
      <c r="L362" s="99">
        <v>0</v>
      </c>
      <c r="M362" s="98">
        <v>0</v>
      </c>
      <c r="N362" s="99">
        <v>0</v>
      </c>
      <c r="O362" s="98">
        <v>0</v>
      </c>
      <c r="P362" s="99">
        <v>2975681</v>
      </c>
      <c r="Q362" s="98">
        <v>27787394.214003</v>
      </c>
      <c r="R362" s="96" t="s">
        <v>625</v>
      </c>
      <c r="S362" s="96">
        <v>7414000005</v>
      </c>
      <c r="AA362" s="131" t="s">
        <v>499</v>
      </c>
      <c r="AB362" s="130">
        <v>34909063.60165</v>
      </c>
      <c r="AC362" s="130">
        <v>34909063.60165</v>
      </c>
    </row>
    <row r="363" spans="1:29" x14ac:dyDescent="0.25">
      <c r="A363" t="str">
        <f t="shared" si="6"/>
        <v xml:space="preserve">1024556CETES 240530        </v>
      </c>
      <c r="B363" s="96">
        <v>1024556</v>
      </c>
      <c r="C363" s="96" t="s">
        <v>670</v>
      </c>
      <c r="D363" s="96" t="s">
        <v>364</v>
      </c>
      <c r="E363" s="96" t="s">
        <v>623</v>
      </c>
      <c r="F363" s="96" t="s">
        <v>624</v>
      </c>
      <c r="G363" s="99">
        <v>6929010</v>
      </c>
      <c r="H363" s="97">
        <v>9.190137</v>
      </c>
      <c r="I363" s="98">
        <v>63678551.174369998</v>
      </c>
      <c r="J363" s="97">
        <v>8.199106487495861</v>
      </c>
      <c r="K363" s="98">
        <v>6866860.3314463003</v>
      </c>
      <c r="L363" s="99">
        <v>0</v>
      </c>
      <c r="M363" s="98">
        <v>0</v>
      </c>
      <c r="N363" s="99">
        <v>0</v>
      </c>
      <c r="O363" s="98">
        <v>0</v>
      </c>
      <c r="P363" s="99">
        <v>6929010</v>
      </c>
      <c r="Q363" s="98">
        <v>63678551.174369998</v>
      </c>
      <c r="R363" s="96" t="s">
        <v>625</v>
      </c>
      <c r="S363" s="96">
        <v>7414000005</v>
      </c>
      <c r="AA363" s="131" t="s">
        <v>543</v>
      </c>
      <c r="AB363" s="130">
        <v>3992952.286785</v>
      </c>
      <c r="AC363" s="130">
        <v>3992952.286785</v>
      </c>
    </row>
    <row r="364" spans="1:29" x14ac:dyDescent="0.25">
      <c r="A364" t="str">
        <f t="shared" si="6"/>
        <v xml:space="preserve">1024556CETES 241128        </v>
      </c>
      <c r="B364" s="96">
        <v>1024556</v>
      </c>
      <c r="C364" s="96" t="s">
        <v>670</v>
      </c>
      <c r="D364" s="96" t="s">
        <v>615</v>
      </c>
      <c r="E364" s="96" t="s">
        <v>623</v>
      </c>
      <c r="F364" s="96" t="s">
        <v>624</v>
      </c>
      <c r="G364" s="99">
        <v>3440000</v>
      </c>
      <c r="H364" s="97">
        <v>9.0839700000000008</v>
      </c>
      <c r="I364" s="98">
        <v>31248856.800000001</v>
      </c>
      <c r="J364" s="97">
        <v>8.9878796600000008</v>
      </c>
      <c r="K364" s="98">
        <v>330550.7696</v>
      </c>
      <c r="L364" s="99">
        <v>0</v>
      </c>
      <c r="M364" s="98">
        <v>0</v>
      </c>
      <c r="N364" s="99">
        <v>0</v>
      </c>
      <c r="O364" s="98">
        <v>0</v>
      </c>
      <c r="P364" s="99">
        <v>3440000</v>
      </c>
      <c r="Q364" s="98">
        <v>31248856.800000001</v>
      </c>
      <c r="R364" s="96" t="s">
        <v>625</v>
      </c>
      <c r="S364" s="96">
        <v>7414000005</v>
      </c>
      <c r="AA364" s="131" t="s">
        <v>552</v>
      </c>
      <c r="AB364" s="130">
        <v>1523007.3713199999</v>
      </c>
      <c r="AC364" s="130">
        <v>1523007.3713199999</v>
      </c>
    </row>
    <row r="365" spans="1:29" x14ac:dyDescent="0.25">
      <c r="A365" t="str">
        <f t="shared" si="6"/>
        <v xml:space="preserve">1024556CETES 250123        </v>
      </c>
      <c r="B365" s="96">
        <v>1024556</v>
      </c>
      <c r="C365" s="96" t="s">
        <v>670</v>
      </c>
      <c r="D365" s="96" t="s">
        <v>649</v>
      </c>
      <c r="E365" s="96" t="s">
        <v>623</v>
      </c>
      <c r="F365" s="96" t="s">
        <v>624</v>
      </c>
      <c r="G365" s="99">
        <v>1842650</v>
      </c>
      <c r="H365" s="97">
        <v>9.0112480000000001</v>
      </c>
      <c r="I365" s="98">
        <v>16604576.1272</v>
      </c>
      <c r="J365" s="97">
        <v>8.9969798000000001</v>
      </c>
      <c r="K365" s="98">
        <v>26291.298729999999</v>
      </c>
      <c r="L365" s="99">
        <v>0</v>
      </c>
      <c r="M365" s="98">
        <v>0</v>
      </c>
      <c r="N365" s="99">
        <v>0</v>
      </c>
      <c r="O365" s="98">
        <v>0</v>
      </c>
      <c r="P365" s="99">
        <v>1842650</v>
      </c>
      <c r="Q365" s="98">
        <v>16604576.1272</v>
      </c>
      <c r="R365" s="96" t="s">
        <v>625</v>
      </c>
      <c r="S365" s="96">
        <v>7414000005</v>
      </c>
      <c r="AA365" s="131" t="s">
        <v>554</v>
      </c>
      <c r="AB365" s="130">
        <v>10887626.389529999</v>
      </c>
      <c r="AC365" s="130">
        <v>10887626.389529999</v>
      </c>
    </row>
    <row r="366" spans="1:29" x14ac:dyDescent="0.25">
      <c r="A366" t="str">
        <f t="shared" si="6"/>
        <v xml:space="preserve">1024556CETES 250306        </v>
      </c>
      <c r="B366" s="96">
        <v>1024556</v>
      </c>
      <c r="C366" s="96" t="s">
        <v>670</v>
      </c>
      <c r="D366" s="96" t="s">
        <v>543</v>
      </c>
      <c r="E366" s="96" t="s">
        <v>623</v>
      </c>
      <c r="F366" s="96" t="s">
        <v>624</v>
      </c>
      <c r="G366" s="99">
        <v>10000000</v>
      </c>
      <c r="H366" s="97">
        <v>8.5044190000000004</v>
      </c>
      <c r="I366" s="98">
        <v>85044190</v>
      </c>
      <c r="J366" s="97">
        <v>8.2167949300000007</v>
      </c>
      <c r="K366" s="98">
        <v>2876240.7</v>
      </c>
      <c r="L366" s="99">
        <v>0</v>
      </c>
      <c r="M366" s="98">
        <v>0</v>
      </c>
      <c r="N366" s="99">
        <v>0</v>
      </c>
      <c r="O366" s="98">
        <v>0</v>
      </c>
      <c r="P366" s="99">
        <v>10000000</v>
      </c>
      <c r="Q366" s="98">
        <v>85044190</v>
      </c>
      <c r="R366" s="96" t="s">
        <v>625</v>
      </c>
      <c r="S366" s="96">
        <v>7414000005</v>
      </c>
      <c r="AA366" s="131" t="s">
        <v>613</v>
      </c>
      <c r="AB366" s="130">
        <v>13440265.04558</v>
      </c>
      <c r="AC366" s="130">
        <v>13440265.04558</v>
      </c>
    </row>
    <row r="367" spans="1:29" x14ac:dyDescent="0.25">
      <c r="A367" t="str">
        <f t="shared" si="6"/>
        <v xml:space="preserve">1024556CETES 250403        </v>
      </c>
      <c r="B367" s="96">
        <v>1024556</v>
      </c>
      <c r="C367" s="96" t="s">
        <v>670</v>
      </c>
      <c r="D367" s="96" t="s">
        <v>554</v>
      </c>
      <c r="E367" s="96" t="s">
        <v>623</v>
      </c>
      <c r="F367" s="96" t="s">
        <v>624</v>
      </c>
      <c r="G367" s="99">
        <v>3836130</v>
      </c>
      <c r="H367" s="97">
        <v>8.3813510000000004</v>
      </c>
      <c r="I367" s="98">
        <v>32151952.011629999</v>
      </c>
      <c r="J367" s="97">
        <v>8.2778259505331935</v>
      </c>
      <c r="K367" s="98">
        <v>397135.54801109998</v>
      </c>
      <c r="L367" s="99">
        <v>0</v>
      </c>
      <c r="M367" s="98">
        <v>0</v>
      </c>
      <c r="N367" s="99">
        <v>0</v>
      </c>
      <c r="O367" s="98">
        <v>0</v>
      </c>
      <c r="P367" s="99">
        <v>3836130</v>
      </c>
      <c r="Q367" s="98">
        <v>32151952.011629999</v>
      </c>
      <c r="R367" s="96" t="s">
        <v>625</v>
      </c>
      <c r="S367" s="96">
        <v>7414000005</v>
      </c>
      <c r="AA367" s="129">
        <v>147311</v>
      </c>
      <c r="AB367" s="130">
        <v>214272265.07934496</v>
      </c>
      <c r="AC367" s="130">
        <v>214272265.07934496</v>
      </c>
    </row>
    <row r="368" spans="1:29" x14ac:dyDescent="0.25">
      <c r="A368" t="str">
        <f t="shared" si="6"/>
        <v xml:space="preserve">1024556CETES 251030        </v>
      </c>
      <c r="B368" s="96">
        <v>1024556</v>
      </c>
      <c r="C368" s="96" t="s">
        <v>670</v>
      </c>
      <c r="D368" s="96" t="s">
        <v>613</v>
      </c>
      <c r="E368" s="96" t="s">
        <v>623</v>
      </c>
      <c r="F368" s="96" t="s">
        <v>624</v>
      </c>
      <c r="G368" s="99">
        <v>4472190</v>
      </c>
      <c r="H368" s="97">
        <v>8.2580650000000002</v>
      </c>
      <c r="I368" s="98">
        <v>36931635.712350003</v>
      </c>
      <c r="J368" s="97">
        <v>8.2431905926248437</v>
      </c>
      <c r="K368" s="98">
        <v>66521.175919100002</v>
      </c>
      <c r="L368" s="99">
        <v>0</v>
      </c>
      <c r="M368" s="98">
        <v>0</v>
      </c>
      <c r="N368" s="99">
        <v>0</v>
      </c>
      <c r="O368" s="98">
        <v>0</v>
      </c>
      <c r="P368" s="99">
        <v>4472190</v>
      </c>
      <c r="Q368" s="98">
        <v>36931635.712350003</v>
      </c>
      <c r="R368" s="96" t="s">
        <v>625</v>
      </c>
      <c r="S368" s="96">
        <v>7414000005</v>
      </c>
      <c r="AA368" s="131" t="s">
        <v>366</v>
      </c>
      <c r="AB368" s="130">
        <v>61019763.859999999</v>
      </c>
      <c r="AC368" s="130">
        <v>61019763.859999999</v>
      </c>
    </row>
    <row r="369" spans="1:29" x14ac:dyDescent="0.25">
      <c r="A369" t="str">
        <f t="shared" si="6"/>
        <v xml:space="preserve">1024556CETES 251224        </v>
      </c>
      <c r="B369" s="96">
        <v>1024556</v>
      </c>
      <c r="C369" s="96" t="s">
        <v>670</v>
      </c>
      <c r="D369" s="96" t="s">
        <v>424</v>
      </c>
      <c r="E369" s="96" t="s">
        <v>623</v>
      </c>
      <c r="F369" s="96" t="s">
        <v>624</v>
      </c>
      <c r="G369" s="99">
        <v>315960</v>
      </c>
      <c r="H369" s="97">
        <v>93.248425999999995</v>
      </c>
      <c r="I369" s="98">
        <v>29462772.678959999</v>
      </c>
      <c r="J369" s="97">
        <v>97.17965882</v>
      </c>
      <c r="K369" s="98">
        <v>-1242112.3218072001</v>
      </c>
      <c r="L369" s="99">
        <v>0</v>
      </c>
      <c r="M369" s="98">
        <v>0</v>
      </c>
      <c r="N369" s="99">
        <v>0</v>
      </c>
      <c r="O369" s="98">
        <v>0</v>
      </c>
      <c r="P369" s="99">
        <v>315960</v>
      </c>
      <c r="Q369" s="98">
        <v>29462772.678959999</v>
      </c>
      <c r="R369" s="96" t="s">
        <v>625</v>
      </c>
      <c r="S369" s="96">
        <v>7414000005</v>
      </c>
      <c r="AA369" s="131" t="s">
        <v>378</v>
      </c>
      <c r="AB369" s="130">
        <v>1003952.820783</v>
      </c>
      <c r="AC369" s="130">
        <v>1003952.820783</v>
      </c>
    </row>
    <row r="370" spans="1:29" x14ac:dyDescent="0.25">
      <c r="A370" t="str">
        <f t="shared" si="6"/>
        <v xml:space="preserve">1024556CETES 260219        </v>
      </c>
      <c r="B370" s="96">
        <v>1024556</v>
      </c>
      <c r="C370" s="96" t="s">
        <v>670</v>
      </c>
      <c r="D370" s="96" t="s">
        <v>454</v>
      </c>
      <c r="E370" s="96" t="s">
        <v>623</v>
      </c>
      <c r="F370" s="96" t="s">
        <v>624</v>
      </c>
      <c r="G370" s="99">
        <v>7195</v>
      </c>
      <c r="H370" s="97">
        <v>744.63981999999999</v>
      </c>
      <c r="I370" s="98">
        <v>5357683.5049000001</v>
      </c>
      <c r="J370" s="97">
        <v>681.10709999999995</v>
      </c>
      <c r="K370" s="98">
        <v>457117.9204</v>
      </c>
      <c r="L370" s="99">
        <v>0</v>
      </c>
      <c r="M370" s="98">
        <v>0</v>
      </c>
      <c r="N370" s="99">
        <v>0</v>
      </c>
      <c r="O370" s="98">
        <v>0</v>
      </c>
      <c r="P370" s="99">
        <v>7195</v>
      </c>
      <c r="Q370" s="98">
        <v>5357683.5049000001</v>
      </c>
      <c r="R370" s="96" t="s">
        <v>625</v>
      </c>
      <c r="S370" s="96">
        <v>7414000005</v>
      </c>
      <c r="AA370" s="131" t="s">
        <v>380</v>
      </c>
      <c r="AB370" s="130">
        <v>8200077.9361920003</v>
      </c>
      <c r="AC370" s="130">
        <v>8200077.9361920003</v>
      </c>
    </row>
    <row r="371" spans="1:29" x14ac:dyDescent="0.25">
      <c r="A371" t="str">
        <f t="shared" si="6"/>
        <v xml:space="preserve">1024556CFE 14-2            </v>
      </c>
      <c r="B371" s="96">
        <v>1024556</v>
      </c>
      <c r="C371" s="96" t="s">
        <v>670</v>
      </c>
      <c r="D371" s="96" t="s">
        <v>455</v>
      </c>
      <c r="E371" s="96" t="s">
        <v>623</v>
      </c>
      <c r="F371" s="96" t="s">
        <v>624</v>
      </c>
      <c r="G371" s="99">
        <v>170000</v>
      </c>
      <c r="H371" s="97">
        <v>72.270214999999993</v>
      </c>
      <c r="I371" s="98">
        <v>12285936.550000001</v>
      </c>
      <c r="J371" s="97">
        <v>108.07997091</v>
      </c>
      <c r="K371" s="98">
        <v>-6087658.5047000004</v>
      </c>
      <c r="L371" s="99">
        <v>0</v>
      </c>
      <c r="M371" s="98">
        <v>0</v>
      </c>
      <c r="N371" s="99">
        <v>0</v>
      </c>
      <c r="O371" s="98">
        <v>0</v>
      </c>
      <c r="P371" s="99">
        <v>170000</v>
      </c>
      <c r="Q371" s="98">
        <v>12285936.550000001</v>
      </c>
      <c r="R371" s="96" t="s">
        <v>625</v>
      </c>
      <c r="S371" s="96">
        <v>7414000005</v>
      </c>
      <c r="AA371" s="131" t="s">
        <v>382</v>
      </c>
      <c r="AB371" s="130">
        <v>17821290.017960001</v>
      </c>
      <c r="AC371" s="130">
        <v>17821290.017960001</v>
      </c>
    </row>
    <row r="372" spans="1:29" x14ac:dyDescent="0.25">
      <c r="A372" t="str">
        <f t="shared" si="6"/>
        <v xml:space="preserve">1024556CFE 21U             </v>
      </c>
      <c r="B372" s="96">
        <v>1024556</v>
      </c>
      <c r="C372" s="96" t="s">
        <v>670</v>
      </c>
      <c r="D372" s="96" t="s">
        <v>508</v>
      </c>
      <c r="E372" s="96" t="s">
        <v>623</v>
      </c>
      <c r="F372" s="96" t="s">
        <v>624</v>
      </c>
      <c r="G372" s="99">
        <v>339985</v>
      </c>
      <c r="H372" s="97">
        <v>99.999157999999994</v>
      </c>
      <c r="I372" s="98">
        <v>33998213.73263</v>
      </c>
      <c r="J372" s="97">
        <v>99.999891800520615</v>
      </c>
      <c r="K372" s="98">
        <v>-249.48116999999999</v>
      </c>
      <c r="L372" s="99">
        <v>0</v>
      </c>
      <c r="M372" s="98">
        <v>0</v>
      </c>
      <c r="N372" s="99">
        <v>0</v>
      </c>
      <c r="O372" s="98">
        <v>0</v>
      </c>
      <c r="P372" s="99">
        <v>339985</v>
      </c>
      <c r="Q372" s="98">
        <v>33998213.73263</v>
      </c>
      <c r="R372" s="96" t="s">
        <v>625</v>
      </c>
      <c r="S372" s="96">
        <v>7414000005</v>
      </c>
      <c r="AA372" s="131" t="s">
        <v>427</v>
      </c>
      <c r="AB372" s="130">
        <v>4772157.1779060001</v>
      </c>
      <c r="AC372" s="130">
        <v>4772157.1779060001</v>
      </c>
    </row>
    <row r="373" spans="1:29" x14ac:dyDescent="0.25">
      <c r="A373" t="str">
        <f t="shared" si="6"/>
        <v xml:space="preserve">1024556CHIACB 07           </v>
      </c>
      <c r="B373" s="96">
        <v>1024556</v>
      </c>
      <c r="C373" s="96" t="s">
        <v>670</v>
      </c>
      <c r="D373" s="96" t="s">
        <v>366</v>
      </c>
      <c r="E373" s="96" t="s">
        <v>623</v>
      </c>
      <c r="F373" s="96" t="s">
        <v>624</v>
      </c>
      <c r="G373" s="99">
        <v>0</v>
      </c>
      <c r="H373" s="97">
        <v>0</v>
      </c>
      <c r="I373" s="98">
        <v>75048349.030000001</v>
      </c>
      <c r="J373" s="97">
        <v>0</v>
      </c>
      <c r="K373" s="98">
        <v>0</v>
      </c>
      <c r="L373" s="99">
        <v>0</v>
      </c>
      <c r="M373" s="98">
        <v>0</v>
      </c>
      <c r="N373" s="99">
        <v>0</v>
      </c>
      <c r="O373" s="98">
        <v>0</v>
      </c>
      <c r="P373" s="99">
        <v>0</v>
      </c>
      <c r="Q373" s="98">
        <v>75048349.030000001</v>
      </c>
      <c r="R373" s="96" t="s">
        <v>625</v>
      </c>
      <c r="S373" s="96">
        <v>7414000005</v>
      </c>
      <c r="AA373" s="131" t="s">
        <v>391</v>
      </c>
      <c r="AB373" s="130">
        <v>256753.981497</v>
      </c>
      <c r="AC373" s="130">
        <v>256753.981497</v>
      </c>
    </row>
    <row r="374" spans="1:29" x14ac:dyDescent="0.25">
      <c r="A374" t="str">
        <f t="shared" si="6"/>
        <v xml:space="preserve">1024556EDUCA 23L           </v>
      </c>
      <c r="B374" s="96">
        <v>1024556</v>
      </c>
      <c r="C374" s="96" t="s">
        <v>670</v>
      </c>
      <c r="D374" s="96" t="s">
        <v>436</v>
      </c>
      <c r="E374" s="96" t="s">
        <v>623</v>
      </c>
      <c r="F374" s="96" t="s">
        <v>624</v>
      </c>
      <c r="G374" s="99">
        <v>122020</v>
      </c>
      <c r="H374" s="97">
        <v>99.963265000000007</v>
      </c>
      <c r="I374" s="98">
        <v>12197517.5953</v>
      </c>
      <c r="J374" s="97">
        <v>100</v>
      </c>
      <c r="K374" s="98">
        <v>-4482.4047</v>
      </c>
      <c r="L374" s="99">
        <v>0</v>
      </c>
      <c r="M374" s="98">
        <v>0</v>
      </c>
      <c r="N374" s="99">
        <v>0</v>
      </c>
      <c r="O374" s="98">
        <v>0</v>
      </c>
      <c r="P374" s="99">
        <v>122020</v>
      </c>
      <c r="Q374" s="98">
        <v>12197517.5953</v>
      </c>
      <c r="R374" s="96" t="s">
        <v>625</v>
      </c>
      <c r="S374" s="96">
        <v>7414000005</v>
      </c>
      <c r="AA374" s="131" t="s">
        <v>381</v>
      </c>
      <c r="AB374" s="130">
        <v>14353854.7541</v>
      </c>
      <c r="AC374" s="130">
        <v>14353854.7541</v>
      </c>
    </row>
    <row r="375" spans="1:29" x14ac:dyDescent="0.25">
      <c r="A375" t="str">
        <f t="shared" si="6"/>
        <v>1024556EFECTIVO</v>
      </c>
      <c r="B375" s="96">
        <v>1024556</v>
      </c>
      <c r="C375" s="96" t="s">
        <v>670</v>
      </c>
      <c r="D375" s="96" t="s">
        <v>456</v>
      </c>
      <c r="E375" s="96" t="s">
        <v>623</v>
      </c>
      <c r="F375" s="96" t="s">
        <v>624</v>
      </c>
      <c r="G375" s="99">
        <v>24263</v>
      </c>
      <c r="H375" s="97">
        <v>307.22749900000002</v>
      </c>
      <c r="I375" s="98">
        <v>7454260.8082370004</v>
      </c>
      <c r="J375" s="97">
        <v>577.02305865000005</v>
      </c>
      <c r="K375" s="98">
        <v>-6546049.6637879498</v>
      </c>
      <c r="L375" s="99">
        <v>0</v>
      </c>
      <c r="M375" s="98">
        <v>0</v>
      </c>
      <c r="N375" s="99">
        <v>0</v>
      </c>
      <c r="O375" s="98">
        <v>0</v>
      </c>
      <c r="P375" s="99">
        <v>24263</v>
      </c>
      <c r="Q375" s="98">
        <v>7454260.8082370004</v>
      </c>
      <c r="R375" s="96" t="s">
        <v>625</v>
      </c>
      <c r="S375" s="96">
        <v>7414000005</v>
      </c>
      <c r="AA375" s="131" t="s">
        <v>459</v>
      </c>
      <c r="AB375" s="130">
        <v>62354313.600000001</v>
      </c>
      <c r="AC375" s="130">
        <v>62354313.600000001</v>
      </c>
    </row>
    <row r="376" spans="1:29" x14ac:dyDescent="0.25">
      <c r="A376" t="str">
        <f t="shared" si="6"/>
        <v xml:space="preserve">1024556FNCOT 22S           </v>
      </c>
      <c r="B376" s="96">
        <v>1024556</v>
      </c>
      <c r="C376" s="96" t="s">
        <v>670</v>
      </c>
      <c r="D376" s="96" t="s">
        <v>425</v>
      </c>
      <c r="E376" s="96" t="s">
        <v>623</v>
      </c>
      <c r="F376" s="96" t="s">
        <v>624</v>
      </c>
      <c r="G376" s="99">
        <v>2320</v>
      </c>
      <c r="H376" s="97">
        <v>100.020889</v>
      </c>
      <c r="I376" s="98">
        <v>232048.46247999999</v>
      </c>
      <c r="J376" s="97">
        <v>100</v>
      </c>
      <c r="K376" s="98">
        <v>48.462479999999999</v>
      </c>
      <c r="L376" s="99">
        <v>0</v>
      </c>
      <c r="M376" s="98">
        <v>0</v>
      </c>
      <c r="N376" s="99">
        <v>0</v>
      </c>
      <c r="O376" s="98">
        <v>0</v>
      </c>
      <c r="P376" s="99">
        <v>2320</v>
      </c>
      <c r="Q376" s="98">
        <v>232048.46247999999</v>
      </c>
      <c r="R376" s="96" t="s">
        <v>625</v>
      </c>
      <c r="S376" s="96">
        <v>7414000005</v>
      </c>
      <c r="AA376" s="131" t="s">
        <v>393</v>
      </c>
      <c r="AB376" s="130">
        <v>3829.6194150000001</v>
      </c>
      <c r="AC376" s="130">
        <v>3829.6194150000001</v>
      </c>
    </row>
    <row r="377" spans="1:29" x14ac:dyDescent="0.25">
      <c r="A377" t="str">
        <f t="shared" si="6"/>
        <v xml:space="preserve">1024556FOVISCB 17U         </v>
      </c>
      <c r="B377" s="96">
        <v>1024556</v>
      </c>
      <c r="C377" s="96" t="s">
        <v>670</v>
      </c>
      <c r="D377" s="96" t="s">
        <v>375</v>
      </c>
      <c r="E377" s="96" t="s">
        <v>623</v>
      </c>
      <c r="F377" s="96" t="s">
        <v>624</v>
      </c>
      <c r="G377" s="99">
        <v>53861</v>
      </c>
      <c r="H377" s="97">
        <v>98.730349000000004</v>
      </c>
      <c r="I377" s="98">
        <v>5317715.3274889998</v>
      </c>
      <c r="J377" s="97">
        <v>111.89286593999999</v>
      </c>
      <c r="K377" s="98">
        <v>-708946.32490533998</v>
      </c>
      <c r="L377" s="99">
        <v>0</v>
      </c>
      <c r="M377" s="98">
        <v>0</v>
      </c>
      <c r="N377" s="99">
        <v>0</v>
      </c>
      <c r="O377" s="98">
        <v>0</v>
      </c>
      <c r="P377" s="99">
        <v>53861</v>
      </c>
      <c r="Q377" s="98">
        <v>5317715.3274889998</v>
      </c>
      <c r="R377" s="96" t="s">
        <v>625</v>
      </c>
      <c r="S377" s="96">
        <v>7414000005</v>
      </c>
      <c r="AA377" s="131" t="s">
        <v>429</v>
      </c>
      <c r="AB377" s="130">
        <v>1097687.7408</v>
      </c>
      <c r="AC377" s="130">
        <v>1097687.7408</v>
      </c>
    </row>
    <row r="378" spans="1:29" x14ac:dyDescent="0.25">
      <c r="A378" t="str">
        <f t="shared" si="6"/>
        <v xml:space="preserve">1024556GAP 22L             </v>
      </c>
      <c r="B378" s="96">
        <v>1024556</v>
      </c>
      <c r="C378" s="96" t="s">
        <v>670</v>
      </c>
      <c r="D378" s="96" t="s">
        <v>376</v>
      </c>
      <c r="E378" s="96" t="s">
        <v>623</v>
      </c>
      <c r="F378" s="96" t="s">
        <v>624</v>
      </c>
      <c r="G378" s="99">
        <v>40037</v>
      </c>
      <c r="H378" s="97">
        <v>99.247497999999993</v>
      </c>
      <c r="I378" s="98">
        <v>3973572.077426</v>
      </c>
      <c r="J378" s="97">
        <v>101.04285588</v>
      </c>
      <c r="K378" s="98">
        <v>-71880.74344156</v>
      </c>
      <c r="L378" s="99">
        <v>0</v>
      </c>
      <c r="M378" s="98">
        <v>0</v>
      </c>
      <c r="N378" s="99">
        <v>0</v>
      </c>
      <c r="O378" s="98">
        <v>0</v>
      </c>
      <c r="P378" s="99">
        <v>40037</v>
      </c>
      <c r="Q378" s="98">
        <v>3973572.077426</v>
      </c>
      <c r="R378" s="96" t="s">
        <v>625</v>
      </c>
      <c r="S378" s="96">
        <v>7414000005</v>
      </c>
      <c r="AA378" s="131" t="s">
        <v>394</v>
      </c>
      <c r="AB378" s="130">
        <v>1212253.80966</v>
      </c>
      <c r="AC378" s="130">
        <v>1212253.80966</v>
      </c>
    </row>
    <row r="379" spans="1:29" x14ac:dyDescent="0.25">
      <c r="A379" t="str">
        <f t="shared" si="6"/>
        <v xml:space="preserve">1024556GOBFED 240905       </v>
      </c>
      <c r="B379" s="96">
        <v>1024556</v>
      </c>
      <c r="C379" s="96" t="s">
        <v>670</v>
      </c>
      <c r="D379" s="96" t="s">
        <v>377</v>
      </c>
      <c r="E379" s="96" t="s">
        <v>623</v>
      </c>
      <c r="F379" s="96" t="s">
        <v>624</v>
      </c>
      <c r="G379" s="99">
        <v>89801</v>
      </c>
      <c r="H379" s="97">
        <v>94.973146999999997</v>
      </c>
      <c r="I379" s="98">
        <v>8528683.5737469997</v>
      </c>
      <c r="J379" s="97">
        <v>90.447894919999996</v>
      </c>
      <c r="K379" s="98">
        <v>406372.16203607997</v>
      </c>
      <c r="L379" s="99">
        <v>0</v>
      </c>
      <c r="M379" s="98">
        <v>0</v>
      </c>
      <c r="N379" s="99">
        <v>0</v>
      </c>
      <c r="O379" s="98">
        <v>0</v>
      </c>
      <c r="P379" s="99">
        <v>89801</v>
      </c>
      <c r="Q379" s="98">
        <v>8528683.5737469997</v>
      </c>
      <c r="R379" s="96" t="s">
        <v>625</v>
      </c>
      <c r="S379" s="96">
        <v>7414000005</v>
      </c>
      <c r="AA379" s="131" t="s">
        <v>437</v>
      </c>
      <c r="AB379" s="130">
        <v>571212.86945</v>
      </c>
      <c r="AC379" s="130">
        <v>571212.86945</v>
      </c>
    </row>
    <row r="380" spans="1:29" x14ac:dyDescent="0.25">
      <c r="A380" t="str">
        <f t="shared" si="6"/>
        <v xml:space="preserve">1024556GOBFED 241205       </v>
      </c>
      <c r="B380" s="96">
        <v>1024556</v>
      </c>
      <c r="C380" s="96" t="s">
        <v>670</v>
      </c>
      <c r="D380" s="96" t="s">
        <v>378</v>
      </c>
      <c r="E380" s="96" t="s">
        <v>623</v>
      </c>
      <c r="F380" s="96" t="s">
        <v>624</v>
      </c>
      <c r="G380" s="99">
        <v>148267</v>
      </c>
      <c r="H380" s="97">
        <v>91.911821000000003</v>
      </c>
      <c r="I380" s="98">
        <v>13627489.964206999</v>
      </c>
      <c r="J380" s="97">
        <v>90.233927210000004</v>
      </c>
      <c r="K380" s="98">
        <v>248776.27856193</v>
      </c>
      <c r="L380" s="99">
        <v>0</v>
      </c>
      <c r="M380" s="98">
        <v>0</v>
      </c>
      <c r="N380" s="99">
        <v>0</v>
      </c>
      <c r="O380" s="98">
        <v>0</v>
      </c>
      <c r="P380" s="99">
        <v>148267</v>
      </c>
      <c r="Q380" s="98">
        <v>13627489.964206999</v>
      </c>
      <c r="R380" s="96" t="s">
        <v>625</v>
      </c>
      <c r="S380" s="96">
        <v>7414000005</v>
      </c>
      <c r="AA380" s="131" t="s">
        <v>424</v>
      </c>
      <c r="AB380" s="130">
        <v>574410.30416000006</v>
      </c>
      <c r="AC380" s="130">
        <v>574410.30416000006</v>
      </c>
    </row>
    <row r="381" spans="1:29" x14ac:dyDescent="0.25">
      <c r="A381" t="str">
        <f t="shared" si="6"/>
        <v xml:space="preserve">1024556GOBFED 250306       </v>
      </c>
      <c r="B381" s="96">
        <v>1024556</v>
      </c>
      <c r="C381" s="96" t="s">
        <v>670</v>
      </c>
      <c r="D381" s="96" t="s">
        <v>499</v>
      </c>
      <c r="E381" s="96" t="s">
        <v>623</v>
      </c>
      <c r="F381" s="96" t="s">
        <v>624</v>
      </c>
      <c r="G381" s="99">
        <v>436390</v>
      </c>
      <c r="H381" s="97">
        <v>92.954503000000003</v>
      </c>
      <c r="I381" s="98">
        <v>40564415.564170003</v>
      </c>
      <c r="J381" s="97">
        <v>93.254954157532708</v>
      </c>
      <c r="K381" s="98">
        <v>-131113.88063570001</v>
      </c>
      <c r="L381" s="99">
        <v>0</v>
      </c>
      <c r="M381" s="98">
        <v>0</v>
      </c>
      <c r="N381" s="99">
        <v>0</v>
      </c>
      <c r="O381" s="98">
        <v>0</v>
      </c>
      <c r="P381" s="99">
        <v>436390</v>
      </c>
      <c r="Q381" s="98">
        <v>40564415.564170003</v>
      </c>
      <c r="R381" s="96" t="s">
        <v>625</v>
      </c>
      <c r="S381" s="96">
        <v>7414000005</v>
      </c>
      <c r="AA381" s="131" t="s">
        <v>379</v>
      </c>
      <c r="AB381" s="130">
        <v>4566356.768286</v>
      </c>
      <c r="AC381" s="130">
        <v>4566356.768286</v>
      </c>
    </row>
    <row r="382" spans="1:29" x14ac:dyDescent="0.25">
      <c r="A382" t="str">
        <f t="shared" si="6"/>
        <v xml:space="preserve">1024556GOBFED 260305       </v>
      </c>
      <c r="B382" s="96">
        <v>1024556</v>
      </c>
      <c r="C382" s="96" t="s">
        <v>670</v>
      </c>
      <c r="D382" s="96" t="s">
        <v>379</v>
      </c>
      <c r="E382" s="96" t="s">
        <v>623</v>
      </c>
      <c r="F382" s="96" t="s">
        <v>624</v>
      </c>
      <c r="G382" s="99">
        <v>235182</v>
      </c>
      <c r="H382" s="97">
        <v>88.698122999999995</v>
      </c>
      <c r="I382" s="98">
        <v>20860201.963385999</v>
      </c>
      <c r="J382" s="97">
        <v>85.523933509142793</v>
      </c>
      <c r="K382" s="98">
        <v>746512.23283878004</v>
      </c>
      <c r="L382" s="99">
        <v>0</v>
      </c>
      <c r="M382" s="98">
        <v>0</v>
      </c>
      <c r="N382" s="99">
        <v>0</v>
      </c>
      <c r="O382" s="98">
        <v>0</v>
      </c>
      <c r="P382" s="99">
        <v>235182</v>
      </c>
      <c r="Q382" s="98">
        <v>20860201.963385999</v>
      </c>
      <c r="R382" s="96" t="s">
        <v>625</v>
      </c>
      <c r="S382" s="96">
        <v>7414000005</v>
      </c>
      <c r="AA382" s="131" t="s">
        <v>383</v>
      </c>
      <c r="AB382" s="130">
        <v>12497462.997336</v>
      </c>
      <c r="AC382" s="130">
        <v>12497462.997336</v>
      </c>
    </row>
    <row r="383" spans="1:29" x14ac:dyDescent="0.25">
      <c r="A383" t="str">
        <f t="shared" si="6"/>
        <v xml:space="preserve">1024556GOBFED 260903       </v>
      </c>
      <c r="B383" s="96">
        <v>1024556</v>
      </c>
      <c r="C383" s="96" t="s">
        <v>670</v>
      </c>
      <c r="D383" s="96" t="s">
        <v>380</v>
      </c>
      <c r="E383" s="96" t="s">
        <v>623</v>
      </c>
      <c r="F383" s="96" t="s">
        <v>624</v>
      </c>
      <c r="G383" s="99">
        <v>183660</v>
      </c>
      <c r="H383" s="97">
        <v>93.314192000000006</v>
      </c>
      <c r="I383" s="98">
        <v>17138084.502719998</v>
      </c>
      <c r="J383" s="97">
        <v>94.568815266643256</v>
      </c>
      <c r="K383" s="98">
        <v>-230424.10915169999</v>
      </c>
      <c r="L383" s="99">
        <v>0</v>
      </c>
      <c r="M383" s="98">
        <v>0</v>
      </c>
      <c r="N383" s="99">
        <v>0</v>
      </c>
      <c r="O383" s="98">
        <v>0</v>
      </c>
      <c r="P383" s="99">
        <v>183660</v>
      </c>
      <c r="Q383" s="98">
        <v>17138084.502719998</v>
      </c>
      <c r="R383" s="96" t="s">
        <v>625</v>
      </c>
      <c r="S383" s="96">
        <v>7414000005</v>
      </c>
      <c r="AA383" s="131" t="s">
        <v>507</v>
      </c>
      <c r="AB383" s="130">
        <v>3401829.0644800002</v>
      </c>
      <c r="AC383" s="130">
        <v>3401829.0644800002</v>
      </c>
    </row>
    <row r="384" spans="1:29" x14ac:dyDescent="0.25">
      <c r="A384" t="str">
        <f t="shared" si="6"/>
        <v xml:space="preserve">1024556GOBFED 270304       </v>
      </c>
      <c r="B384" s="96">
        <v>1024556</v>
      </c>
      <c r="C384" s="96" t="s">
        <v>670</v>
      </c>
      <c r="D384" s="96" t="s">
        <v>507</v>
      </c>
      <c r="E384" s="96" t="s">
        <v>623</v>
      </c>
      <c r="F384" s="96" t="s">
        <v>624</v>
      </c>
      <c r="G384" s="99">
        <v>166000</v>
      </c>
      <c r="H384" s="97">
        <v>94.864168000000006</v>
      </c>
      <c r="I384" s="98">
        <v>15747451.888</v>
      </c>
      <c r="J384" s="97">
        <v>96.596719710000002</v>
      </c>
      <c r="K384" s="98">
        <v>-287603.58386000001</v>
      </c>
      <c r="L384" s="99">
        <v>0</v>
      </c>
      <c r="M384" s="98">
        <v>0</v>
      </c>
      <c r="N384" s="99">
        <v>0</v>
      </c>
      <c r="O384" s="98">
        <v>0</v>
      </c>
      <c r="P384" s="99">
        <v>166000</v>
      </c>
      <c r="Q384" s="98">
        <v>15747451.888</v>
      </c>
      <c r="R384" s="96" t="s">
        <v>625</v>
      </c>
      <c r="S384" s="96">
        <v>7414000005</v>
      </c>
      <c r="AA384" s="131" t="s">
        <v>552</v>
      </c>
      <c r="AB384" s="130">
        <v>2123010.27532</v>
      </c>
      <c r="AC384" s="130">
        <v>2123010.27532</v>
      </c>
    </row>
    <row r="385" spans="1:29" x14ac:dyDescent="0.25">
      <c r="A385" t="str">
        <f t="shared" si="6"/>
        <v xml:space="preserve">1024556GOBFED 270603       </v>
      </c>
      <c r="B385" s="96">
        <v>1024556</v>
      </c>
      <c r="C385" s="96" t="s">
        <v>670</v>
      </c>
      <c r="D385" s="96" t="s">
        <v>381</v>
      </c>
      <c r="E385" s="96" t="s">
        <v>623</v>
      </c>
      <c r="F385" s="96" t="s">
        <v>624</v>
      </c>
      <c r="G385" s="99">
        <v>701874</v>
      </c>
      <c r="H385" s="97">
        <v>94.870157000000006</v>
      </c>
      <c r="I385" s="98">
        <v>66586896.574217997</v>
      </c>
      <c r="J385" s="97">
        <v>97.304096292830337</v>
      </c>
      <c r="K385" s="98">
        <v>-1708318.707216</v>
      </c>
      <c r="L385" s="99">
        <v>0</v>
      </c>
      <c r="M385" s="98">
        <v>0</v>
      </c>
      <c r="N385" s="99">
        <v>0</v>
      </c>
      <c r="O385" s="98">
        <v>0</v>
      </c>
      <c r="P385" s="99">
        <v>701874</v>
      </c>
      <c r="Q385" s="98">
        <v>66586896.574217997</v>
      </c>
      <c r="R385" s="96" t="s">
        <v>625</v>
      </c>
      <c r="S385" s="96">
        <v>7414000005</v>
      </c>
      <c r="AA385" s="131" t="s">
        <v>554</v>
      </c>
      <c r="AB385" s="130">
        <v>1173389.1399999999</v>
      </c>
      <c r="AC385" s="130">
        <v>1173389.1399999999</v>
      </c>
    </row>
    <row r="386" spans="1:29" x14ac:dyDescent="0.25">
      <c r="A386" t="str">
        <f t="shared" si="6"/>
        <v xml:space="preserve">1024556GOBFED 290301       </v>
      </c>
      <c r="B386" s="96">
        <v>1024556</v>
      </c>
      <c r="C386" s="96" t="s">
        <v>670</v>
      </c>
      <c r="D386" s="96" t="s">
        <v>382</v>
      </c>
      <c r="E386" s="96" t="s">
        <v>623</v>
      </c>
      <c r="F386" s="96" t="s">
        <v>624</v>
      </c>
      <c r="G386" s="99">
        <v>653249</v>
      </c>
      <c r="H386" s="97">
        <v>89.489464999999996</v>
      </c>
      <c r="I386" s="98">
        <v>58458903.521784998</v>
      </c>
      <c r="J386" s="97">
        <v>90.174177705816263</v>
      </c>
      <c r="K386" s="98">
        <v>-447287.89036177</v>
      </c>
      <c r="L386" s="99">
        <v>0</v>
      </c>
      <c r="M386" s="98">
        <v>0</v>
      </c>
      <c r="N386" s="99">
        <v>0</v>
      </c>
      <c r="O386" s="98">
        <v>0</v>
      </c>
      <c r="P386" s="99">
        <v>653249</v>
      </c>
      <c r="Q386" s="98">
        <v>58458903.521784998</v>
      </c>
      <c r="R386" s="96" t="s">
        <v>625</v>
      </c>
      <c r="S386" s="96">
        <v>7414000005</v>
      </c>
      <c r="AA386" s="131" t="s">
        <v>556</v>
      </c>
      <c r="AB386" s="130">
        <v>15560890.5</v>
      </c>
      <c r="AC386" s="130">
        <v>15560890.5</v>
      </c>
    </row>
    <row r="387" spans="1:29" x14ac:dyDescent="0.25">
      <c r="A387" t="str">
        <f t="shared" si="6"/>
        <v xml:space="preserve">1024556GOBFED 290531       </v>
      </c>
      <c r="B387" s="96">
        <v>1024556</v>
      </c>
      <c r="C387" s="96" t="s">
        <v>670</v>
      </c>
      <c r="D387" s="96" t="s">
        <v>383</v>
      </c>
      <c r="E387" s="96" t="s">
        <v>623</v>
      </c>
      <c r="F387" s="96" t="s">
        <v>624</v>
      </c>
      <c r="G387" s="99">
        <v>584310</v>
      </c>
      <c r="H387" s="97">
        <v>86.197128000000006</v>
      </c>
      <c r="I387" s="98">
        <v>50365843.861680001</v>
      </c>
      <c r="J387" s="97">
        <v>90.605575695102942</v>
      </c>
      <c r="K387" s="98">
        <v>-2575900.0727256001</v>
      </c>
      <c r="L387" s="99">
        <v>0</v>
      </c>
      <c r="M387" s="98">
        <v>0</v>
      </c>
      <c r="N387" s="99">
        <v>0</v>
      </c>
      <c r="O387" s="98">
        <v>0</v>
      </c>
      <c r="P387" s="99">
        <v>584310</v>
      </c>
      <c r="Q387" s="98">
        <v>50365843.861680001</v>
      </c>
      <c r="R387" s="96" t="s">
        <v>625</v>
      </c>
      <c r="S387" s="96">
        <v>7414000005</v>
      </c>
      <c r="AA387" s="131" t="s">
        <v>613</v>
      </c>
      <c r="AB387" s="130">
        <v>1707767.8419999999</v>
      </c>
      <c r="AC387" s="130">
        <v>1707767.8419999999</v>
      </c>
    </row>
    <row r="388" spans="1:29" x14ac:dyDescent="0.25">
      <c r="A388" t="str">
        <f t="shared" si="6"/>
        <v xml:space="preserve">1024556GOBFED 310529       </v>
      </c>
      <c r="B388" s="96">
        <v>1024556</v>
      </c>
      <c r="C388" s="96" t="s">
        <v>670</v>
      </c>
      <c r="D388" s="96" t="s">
        <v>457</v>
      </c>
      <c r="E388" s="96" t="s">
        <v>623</v>
      </c>
      <c r="F388" s="96" t="s">
        <v>624</v>
      </c>
      <c r="G388" s="99">
        <v>240000</v>
      </c>
      <c r="H388" s="97">
        <v>100.210615</v>
      </c>
      <c r="I388" s="98">
        <v>24050547.600000001</v>
      </c>
      <c r="J388" s="97">
        <v>100</v>
      </c>
      <c r="K388" s="98">
        <v>50547.6</v>
      </c>
      <c r="L388" s="99">
        <v>0</v>
      </c>
      <c r="M388" s="98">
        <v>0</v>
      </c>
      <c r="N388" s="99">
        <v>0</v>
      </c>
      <c r="O388" s="98">
        <v>0</v>
      </c>
      <c r="P388" s="99">
        <v>240000</v>
      </c>
      <c r="Q388" s="98">
        <v>24050547.600000001</v>
      </c>
      <c r="R388" s="96" t="s">
        <v>625</v>
      </c>
      <c r="S388" s="96">
        <v>7414000005</v>
      </c>
      <c r="AA388" s="129">
        <v>147312</v>
      </c>
      <c r="AB388" s="130">
        <v>36745765.443085015</v>
      </c>
      <c r="AC388" s="130">
        <v>36745765.443085015</v>
      </c>
    </row>
    <row r="389" spans="1:29" x14ac:dyDescent="0.25">
      <c r="A389" t="str">
        <f t="shared" si="6"/>
        <v xml:space="preserve">1024556GOBFED 330526       </v>
      </c>
      <c r="B389" s="96">
        <v>1024556</v>
      </c>
      <c r="C389" s="96" t="s">
        <v>670</v>
      </c>
      <c r="D389" s="96" t="s">
        <v>628</v>
      </c>
      <c r="E389" s="96" t="s">
        <v>623</v>
      </c>
      <c r="F389" s="96" t="s">
        <v>624</v>
      </c>
      <c r="G389" s="99">
        <v>120000</v>
      </c>
      <c r="H389" s="97">
        <v>99.999184999999997</v>
      </c>
      <c r="I389" s="98">
        <v>11999902.199999999</v>
      </c>
      <c r="J389" s="97">
        <v>100</v>
      </c>
      <c r="K389" s="98">
        <v>-97.8</v>
      </c>
      <c r="L389" s="99">
        <v>0</v>
      </c>
      <c r="M389" s="98">
        <v>0</v>
      </c>
      <c r="N389" s="99">
        <v>0</v>
      </c>
      <c r="O389" s="98">
        <v>0</v>
      </c>
      <c r="P389" s="99">
        <v>120000</v>
      </c>
      <c r="Q389" s="98">
        <v>11999902.199999999</v>
      </c>
      <c r="R389" s="96" t="s">
        <v>625</v>
      </c>
      <c r="S389" s="96">
        <v>7414000005</v>
      </c>
      <c r="AA389" s="131" t="s">
        <v>366</v>
      </c>
      <c r="AB389" s="130">
        <v>9580196.5500000007</v>
      </c>
      <c r="AC389" s="130">
        <v>9580196.5500000007</v>
      </c>
    </row>
    <row r="390" spans="1:29" x14ac:dyDescent="0.25">
      <c r="A390" t="str">
        <f t="shared" si="6"/>
        <v xml:space="preserve">1024556LALA 19-2           </v>
      </c>
      <c r="B390" s="96">
        <v>1024556</v>
      </c>
      <c r="C390" s="96" t="s">
        <v>670</v>
      </c>
      <c r="D390" s="96" t="s">
        <v>389</v>
      </c>
      <c r="E390" s="96" t="s">
        <v>623</v>
      </c>
      <c r="F390" s="96" t="s">
        <v>624</v>
      </c>
      <c r="G390" s="99">
        <v>2058365</v>
      </c>
      <c r="H390" s="97">
        <v>3.3967719999999999</v>
      </c>
      <c r="I390" s="98">
        <v>6991796.5977800004</v>
      </c>
      <c r="J390" s="97">
        <v>3.3875257012240296</v>
      </c>
      <c r="K390" s="98">
        <v>19032.25778</v>
      </c>
      <c r="L390" s="99">
        <v>0</v>
      </c>
      <c r="M390" s="98">
        <v>0</v>
      </c>
      <c r="N390" s="99">
        <v>0</v>
      </c>
      <c r="O390" s="98">
        <v>0</v>
      </c>
      <c r="P390" s="99">
        <v>2058365</v>
      </c>
      <c r="Q390" s="98">
        <v>6991796.5977800004</v>
      </c>
      <c r="R390" s="96" t="s">
        <v>625</v>
      </c>
      <c r="S390" s="96">
        <v>7414000005</v>
      </c>
      <c r="AA390" s="131" t="s">
        <v>378</v>
      </c>
      <c r="AB390" s="130">
        <v>198529.53336</v>
      </c>
      <c r="AC390" s="130">
        <v>198529.53336</v>
      </c>
    </row>
    <row r="391" spans="1:29" x14ac:dyDescent="0.25">
      <c r="A391" t="str">
        <f t="shared" ref="A391:A454" si="7">B389&amp;D389</f>
        <v xml:space="preserve">1024556MEGA 24X            </v>
      </c>
      <c r="B391" s="96">
        <v>1024556</v>
      </c>
      <c r="C391" s="96" t="s">
        <v>670</v>
      </c>
      <c r="D391" s="96" t="s">
        <v>458</v>
      </c>
      <c r="E391" s="96" t="s">
        <v>623</v>
      </c>
      <c r="F391" s="96" t="s">
        <v>624</v>
      </c>
      <c r="G391" s="99">
        <v>36518</v>
      </c>
      <c r="H391" s="97">
        <v>267.07593400000002</v>
      </c>
      <c r="I391" s="98">
        <v>9753078.9578120001</v>
      </c>
      <c r="J391" s="97">
        <v>552.04336675000002</v>
      </c>
      <c r="K391" s="98">
        <v>-10406440.7091645</v>
      </c>
      <c r="L391" s="99">
        <v>0</v>
      </c>
      <c r="M391" s="98">
        <v>0</v>
      </c>
      <c r="N391" s="99">
        <v>0</v>
      </c>
      <c r="O391" s="98">
        <v>0</v>
      </c>
      <c r="P391" s="99">
        <v>36518</v>
      </c>
      <c r="Q391" s="98">
        <v>9753078.9578120001</v>
      </c>
      <c r="R391" s="96" t="s">
        <v>625</v>
      </c>
      <c r="S391" s="96">
        <v>7414000005</v>
      </c>
      <c r="AA391" s="131" t="s">
        <v>380</v>
      </c>
      <c r="AB391" s="130">
        <v>1881680.6816799999</v>
      </c>
      <c r="AC391" s="130">
        <v>1881680.6816799999</v>
      </c>
    </row>
    <row r="392" spans="1:29" x14ac:dyDescent="0.25">
      <c r="A392" t="str">
        <f t="shared" si="7"/>
        <v xml:space="preserve">1024556STERGOB ED          </v>
      </c>
      <c r="B392" s="96">
        <v>1024556</v>
      </c>
      <c r="C392" s="96" t="s">
        <v>670</v>
      </c>
      <c r="D392" s="96" t="s">
        <v>391</v>
      </c>
      <c r="E392" s="96" t="s">
        <v>623</v>
      </c>
      <c r="F392" s="96" t="s">
        <v>624</v>
      </c>
      <c r="G392" s="99">
        <v>84090</v>
      </c>
      <c r="H392" s="97">
        <v>775.69178699999998</v>
      </c>
      <c r="I392" s="98">
        <v>65227922.368830003</v>
      </c>
      <c r="J392" s="97">
        <v>766.69784126000002</v>
      </c>
      <c r="K392" s="98">
        <v>756300.89727660001</v>
      </c>
      <c r="L392" s="99">
        <v>0</v>
      </c>
      <c r="M392" s="98">
        <v>0</v>
      </c>
      <c r="N392" s="99">
        <v>0</v>
      </c>
      <c r="O392" s="98">
        <v>0</v>
      </c>
      <c r="P392" s="99">
        <v>84090</v>
      </c>
      <c r="Q392" s="98">
        <v>65227922.368830003</v>
      </c>
      <c r="R392" s="96" t="s">
        <v>625</v>
      </c>
      <c r="S392" s="96">
        <v>7414000005</v>
      </c>
      <c r="AA392" s="131" t="s">
        <v>382</v>
      </c>
      <c r="AB392" s="130">
        <v>3293838.7382550002</v>
      </c>
      <c r="AC392" s="130">
        <v>3293838.7382550002</v>
      </c>
    </row>
    <row r="393" spans="1:29" x14ac:dyDescent="0.25">
      <c r="A393" t="str">
        <f t="shared" si="7"/>
        <v xml:space="preserve">1024556TFOVICB 16U         </v>
      </c>
      <c r="B393" s="96">
        <v>1024556</v>
      </c>
      <c r="C393" s="96" t="s">
        <v>670</v>
      </c>
      <c r="D393" s="96" t="s">
        <v>392</v>
      </c>
      <c r="E393" s="96" t="s">
        <v>623</v>
      </c>
      <c r="F393" s="96" t="s">
        <v>624</v>
      </c>
      <c r="G393" s="99">
        <v>160215</v>
      </c>
      <c r="H393" s="97">
        <v>747.17843200000004</v>
      </c>
      <c r="I393" s="98">
        <v>119709192.48288</v>
      </c>
      <c r="J393" s="97">
        <v>728.00954708517929</v>
      </c>
      <c r="K393" s="98">
        <v>3071142.8966279998</v>
      </c>
      <c r="L393" s="99">
        <v>0</v>
      </c>
      <c r="M393" s="98">
        <v>0</v>
      </c>
      <c r="N393" s="99">
        <v>0</v>
      </c>
      <c r="O393" s="98">
        <v>0</v>
      </c>
      <c r="P393" s="99">
        <v>160215</v>
      </c>
      <c r="Q393" s="98">
        <v>119709192.48288</v>
      </c>
      <c r="R393" s="96" t="s">
        <v>625</v>
      </c>
      <c r="S393" s="96">
        <v>7414000005</v>
      </c>
      <c r="AA393" s="131" t="s">
        <v>427</v>
      </c>
      <c r="AB393" s="130">
        <v>666851.65804799995</v>
      </c>
      <c r="AC393" s="130">
        <v>666851.65804799995</v>
      </c>
    </row>
    <row r="394" spans="1:29" x14ac:dyDescent="0.25">
      <c r="A394" t="str">
        <f t="shared" si="7"/>
        <v xml:space="preserve">1024556UDIBONO 251204      </v>
      </c>
      <c r="B394" s="96">
        <v>1024556</v>
      </c>
      <c r="C394" s="96" t="s">
        <v>670</v>
      </c>
      <c r="D394" s="96" t="s">
        <v>393</v>
      </c>
      <c r="E394" s="96" t="s">
        <v>623</v>
      </c>
      <c r="F394" s="96" t="s">
        <v>624</v>
      </c>
      <c r="G394" s="99">
        <v>63926</v>
      </c>
      <c r="H394" s="97">
        <v>765.92388300000005</v>
      </c>
      <c r="I394" s="98">
        <v>48962450.144657999</v>
      </c>
      <c r="J394" s="97">
        <v>760.42390526120016</v>
      </c>
      <c r="K394" s="98">
        <v>351591.57693052001</v>
      </c>
      <c r="L394" s="99">
        <v>0</v>
      </c>
      <c r="M394" s="98">
        <v>0</v>
      </c>
      <c r="N394" s="99">
        <v>0</v>
      </c>
      <c r="O394" s="98">
        <v>0</v>
      </c>
      <c r="P394" s="99">
        <v>63926</v>
      </c>
      <c r="Q394" s="98">
        <v>48962450.144657999</v>
      </c>
      <c r="R394" s="96" t="s">
        <v>625</v>
      </c>
      <c r="S394" s="96">
        <v>7414000005</v>
      </c>
      <c r="AA394" s="131" t="s">
        <v>391</v>
      </c>
      <c r="AB394" s="130">
        <v>20167.986462000001</v>
      </c>
      <c r="AC394" s="130">
        <v>20167.986462000001</v>
      </c>
    </row>
    <row r="395" spans="1:29" x14ac:dyDescent="0.25">
      <c r="A395" t="str">
        <f t="shared" si="7"/>
        <v xml:space="preserve">1024556UDIBONO 261203      </v>
      </c>
      <c r="B395" s="96">
        <v>1024556</v>
      </c>
      <c r="C395" s="96" t="s">
        <v>670</v>
      </c>
      <c r="D395" s="96" t="s">
        <v>394</v>
      </c>
      <c r="E395" s="96" t="s">
        <v>623</v>
      </c>
      <c r="F395" s="96" t="s">
        <v>624</v>
      </c>
      <c r="G395" s="99">
        <v>58619</v>
      </c>
      <c r="H395" s="97">
        <v>684.88915799999995</v>
      </c>
      <c r="I395" s="98">
        <v>40147517.552801996</v>
      </c>
      <c r="J395" s="97">
        <v>681.11163602531769</v>
      </c>
      <c r="K395" s="98">
        <v>221434.56063389999</v>
      </c>
      <c r="L395" s="99">
        <v>0</v>
      </c>
      <c r="M395" s="98">
        <v>0</v>
      </c>
      <c r="N395" s="99">
        <v>0</v>
      </c>
      <c r="O395" s="98">
        <v>0</v>
      </c>
      <c r="P395" s="99">
        <v>58619</v>
      </c>
      <c r="Q395" s="98">
        <v>40147517.552801996</v>
      </c>
      <c r="R395" s="96" t="s">
        <v>625</v>
      </c>
      <c r="S395" s="96">
        <v>7414000005</v>
      </c>
      <c r="AA395" s="131" t="s">
        <v>381</v>
      </c>
      <c r="AB395" s="130">
        <v>2541950.9866579999</v>
      </c>
      <c r="AC395" s="130">
        <v>2541950.9866579999</v>
      </c>
    </row>
    <row r="396" spans="1:29" x14ac:dyDescent="0.25">
      <c r="A396" t="str">
        <f t="shared" si="7"/>
        <v xml:space="preserve">1024556UDIBONO 281130      </v>
      </c>
      <c r="B396" s="96">
        <v>1024556</v>
      </c>
      <c r="C396" s="96" t="s">
        <v>670</v>
      </c>
      <c r="D396" s="96" t="s">
        <v>438</v>
      </c>
      <c r="E396" s="96" t="s">
        <v>623</v>
      </c>
      <c r="F396" s="96" t="s">
        <v>624</v>
      </c>
      <c r="G396" s="99">
        <v>75940</v>
      </c>
      <c r="H396" s="97">
        <v>100.04252700000001</v>
      </c>
      <c r="I396" s="98">
        <v>7597229.5003800001</v>
      </c>
      <c r="J396" s="97">
        <v>100</v>
      </c>
      <c r="K396" s="98">
        <v>3229.50038</v>
      </c>
      <c r="L396" s="99">
        <v>0</v>
      </c>
      <c r="M396" s="98">
        <v>0</v>
      </c>
      <c r="N396" s="99">
        <v>0</v>
      </c>
      <c r="O396" s="98">
        <v>0</v>
      </c>
      <c r="P396" s="99">
        <v>75940</v>
      </c>
      <c r="Q396" s="98">
        <v>7597229.5003800001</v>
      </c>
      <c r="R396" s="96" t="s">
        <v>625</v>
      </c>
      <c r="S396" s="96">
        <v>7414000005</v>
      </c>
      <c r="AA396" s="131" t="s">
        <v>459</v>
      </c>
      <c r="AB396" s="130">
        <v>10682761.08</v>
      </c>
      <c r="AC396" s="130">
        <v>10682761.08</v>
      </c>
    </row>
    <row r="397" spans="1:29" x14ac:dyDescent="0.25">
      <c r="A397" t="str">
        <f t="shared" si="7"/>
        <v xml:space="preserve">1024556UDIBONO 311127      </v>
      </c>
      <c r="B397" s="96">
        <v>1024836</v>
      </c>
      <c r="C397" s="96" t="s">
        <v>671</v>
      </c>
      <c r="D397" s="96" t="s">
        <v>366</v>
      </c>
      <c r="E397" s="96" t="s">
        <v>623</v>
      </c>
      <c r="F397" s="96" t="s">
        <v>624</v>
      </c>
      <c r="G397" s="99">
        <v>0</v>
      </c>
      <c r="H397" s="97">
        <v>0</v>
      </c>
      <c r="I397" s="98">
        <v>4492036.28</v>
      </c>
      <c r="J397" s="97">
        <v>0</v>
      </c>
      <c r="K397" s="98">
        <v>0</v>
      </c>
      <c r="L397" s="99">
        <v>0</v>
      </c>
      <c r="M397" s="98">
        <v>0</v>
      </c>
      <c r="N397" s="99">
        <v>0</v>
      </c>
      <c r="O397" s="98">
        <v>0</v>
      </c>
      <c r="P397" s="99">
        <v>0</v>
      </c>
      <c r="Q397" s="98">
        <v>4492036.28</v>
      </c>
      <c r="R397" s="96" t="s">
        <v>625</v>
      </c>
      <c r="S397" s="96">
        <v>7414000005</v>
      </c>
      <c r="AA397" s="131" t="s">
        <v>393</v>
      </c>
      <c r="AB397" s="130">
        <v>6893.3149469999998</v>
      </c>
      <c r="AC397" s="130">
        <v>6893.3149469999998</v>
      </c>
    </row>
    <row r="398" spans="1:29" x14ac:dyDescent="0.25">
      <c r="A398" t="str">
        <f t="shared" si="7"/>
        <v xml:space="preserve">1024556VWLEASE 22-2        </v>
      </c>
      <c r="B398" s="96">
        <v>1028703</v>
      </c>
      <c r="C398" s="96" t="s">
        <v>672</v>
      </c>
      <c r="D398" s="96" t="s">
        <v>378</v>
      </c>
      <c r="E398" s="96" t="s">
        <v>623</v>
      </c>
      <c r="F398" s="96" t="s">
        <v>624</v>
      </c>
      <c r="G398" s="99">
        <v>0</v>
      </c>
      <c r="H398" s="97">
        <v>0</v>
      </c>
      <c r="I398" s="98">
        <v>0</v>
      </c>
      <c r="J398" s="97">
        <v>0</v>
      </c>
      <c r="K398" s="98">
        <v>0</v>
      </c>
      <c r="L398" s="99">
        <v>0</v>
      </c>
      <c r="M398" s="98">
        <v>0</v>
      </c>
      <c r="N398" s="99">
        <v>0</v>
      </c>
      <c r="O398" s="98">
        <v>0</v>
      </c>
      <c r="P398" s="99">
        <v>0</v>
      </c>
      <c r="Q398" s="98">
        <v>0</v>
      </c>
      <c r="R398" s="96" t="s">
        <v>625</v>
      </c>
      <c r="S398" s="96">
        <v>7414000005</v>
      </c>
      <c r="AA398" s="131" t="s">
        <v>429</v>
      </c>
      <c r="AB398" s="130">
        <v>217577.39147999999</v>
      </c>
      <c r="AC398" s="130">
        <v>217577.39147999999</v>
      </c>
    </row>
    <row r="399" spans="1:29" x14ac:dyDescent="0.25">
      <c r="A399" t="str">
        <f t="shared" si="7"/>
        <v>1024836EFECTIVO</v>
      </c>
      <c r="B399" s="96">
        <v>1028703</v>
      </c>
      <c r="C399" s="96" t="s">
        <v>672</v>
      </c>
      <c r="D399" s="96" t="s">
        <v>379</v>
      </c>
      <c r="E399" s="96" t="s">
        <v>623</v>
      </c>
      <c r="F399" s="96" t="s">
        <v>624</v>
      </c>
      <c r="G399" s="99">
        <v>0</v>
      </c>
      <c r="H399" s="97">
        <v>88.698122999999995</v>
      </c>
      <c r="I399" s="98">
        <v>0</v>
      </c>
      <c r="J399" s="97">
        <v>0</v>
      </c>
      <c r="K399" s="98">
        <v>24807.903617</v>
      </c>
      <c r="L399" s="99">
        <v>0</v>
      </c>
      <c r="M399" s="98">
        <v>0</v>
      </c>
      <c r="N399" s="99">
        <v>0</v>
      </c>
      <c r="O399" s="98">
        <v>0</v>
      </c>
      <c r="P399" s="99">
        <v>0</v>
      </c>
      <c r="Q399" s="98">
        <v>0</v>
      </c>
      <c r="R399" s="96" t="s">
        <v>625</v>
      </c>
      <c r="S399" s="96">
        <v>7414000005</v>
      </c>
      <c r="AA399" s="131" t="s">
        <v>394</v>
      </c>
      <c r="AB399" s="130">
        <v>219164.53056000001</v>
      </c>
      <c r="AC399" s="130">
        <v>219164.53056000001</v>
      </c>
    </row>
    <row r="400" spans="1:29" x14ac:dyDescent="0.25">
      <c r="A400" t="str">
        <f t="shared" si="7"/>
        <v xml:space="preserve">1028703GOBFED 260305       </v>
      </c>
      <c r="B400" s="96">
        <v>1028703</v>
      </c>
      <c r="C400" s="96" t="s">
        <v>672</v>
      </c>
      <c r="D400" s="96" t="s">
        <v>391</v>
      </c>
      <c r="E400" s="96" t="s">
        <v>623</v>
      </c>
      <c r="F400" s="96" t="s">
        <v>624</v>
      </c>
      <c r="G400" s="99">
        <v>0</v>
      </c>
      <c r="H400" s="97">
        <v>0</v>
      </c>
      <c r="I400" s="98">
        <v>0</v>
      </c>
      <c r="J400" s="97">
        <v>0</v>
      </c>
      <c r="K400" s="98">
        <v>0</v>
      </c>
      <c r="L400" s="99">
        <v>0</v>
      </c>
      <c r="M400" s="98">
        <v>0</v>
      </c>
      <c r="N400" s="99">
        <v>0</v>
      </c>
      <c r="O400" s="98">
        <v>0</v>
      </c>
      <c r="P400" s="99">
        <v>0</v>
      </c>
      <c r="Q400" s="98">
        <v>0</v>
      </c>
      <c r="R400" s="96" t="s">
        <v>625</v>
      </c>
      <c r="S400" s="96">
        <v>7414000005</v>
      </c>
      <c r="AA400" s="131" t="s">
        <v>437</v>
      </c>
      <c r="AB400" s="130">
        <v>86334.458299999998</v>
      </c>
      <c r="AC400" s="130">
        <v>86334.458299999998</v>
      </c>
    </row>
    <row r="401" spans="1:29" x14ac:dyDescent="0.25">
      <c r="A401" t="str">
        <f t="shared" si="7"/>
        <v xml:space="preserve">1028703GOBFED 270304       </v>
      </c>
      <c r="B401" s="96">
        <v>1028703</v>
      </c>
      <c r="C401" s="96" t="s">
        <v>672</v>
      </c>
      <c r="D401" s="96" t="s">
        <v>393</v>
      </c>
      <c r="E401" s="96" t="s">
        <v>623</v>
      </c>
      <c r="F401" s="96" t="s">
        <v>624</v>
      </c>
      <c r="G401" s="99">
        <v>0</v>
      </c>
      <c r="H401" s="97">
        <v>0</v>
      </c>
      <c r="I401" s="98">
        <v>0</v>
      </c>
      <c r="J401" s="97">
        <v>0</v>
      </c>
      <c r="K401" s="98">
        <v>0</v>
      </c>
      <c r="L401" s="99">
        <v>0</v>
      </c>
      <c r="M401" s="98">
        <v>0</v>
      </c>
      <c r="N401" s="99">
        <v>0</v>
      </c>
      <c r="O401" s="98">
        <v>0</v>
      </c>
      <c r="P401" s="99">
        <v>0</v>
      </c>
      <c r="Q401" s="98">
        <v>0</v>
      </c>
      <c r="R401" s="96" t="s">
        <v>625</v>
      </c>
      <c r="S401" s="96">
        <v>7414000005</v>
      </c>
      <c r="AA401" s="131" t="s">
        <v>424</v>
      </c>
      <c r="AB401" s="130">
        <v>87653.520439999993</v>
      </c>
      <c r="AC401" s="130">
        <v>87653.520439999993</v>
      </c>
    </row>
    <row r="402" spans="1:29" x14ac:dyDescent="0.25">
      <c r="A402" t="str">
        <f t="shared" si="7"/>
        <v xml:space="preserve">1028703UDIBONO 251204      </v>
      </c>
      <c r="B402" s="96">
        <v>1031340</v>
      </c>
      <c r="C402" s="96" t="s">
        <v>673</v>
      </c>
      <c r="D402" s="96" t="s">
        <v>412</v>
      </c>
      <c r="E402" s="96" t="s">
        <v>623</v>
      </c>
      <c r="F402" s="96" t="s">
        <v>624</v>
      </c>
      <c r="G402" s="99">
        <v>10262296</v>
      </c>
      <c r="H402" s="97">
        <v>3.137273</v>
      </c>
      <c r="I402" s="98">
        <v>32195624.158808</v>
      </c>
      <c r="J402" s="97">
        <v>3.0983933078913335</v>
      </c>
      <c r="K402" s="98">
        <v>398994.90880799998</v>
      </c>
      <c r="L402" s="99">
        <v>0</v>
      </c>
      <c r="M402" s="98">
        <v>0</v>
      </c>
      <c r="N402" s="99">
        <v>0</v>
      </c>
      <c r="O402" s="98">
        <v>0</v>
      </c>
      <c r="P402" s="99">
        <v>10262296</v>
      </c>
      <c r="Q402" s="98">
        <v>32195624.158808</v>
      </c>
      <c r="R402" s="96" t="s">
        <v>625</v>
      </c>
      <c r="S402" s="96">
        <v>7414000005</v>
      </c>
      <c r="AA402" s="131" t="s">
        <v>379</v>
      </c>
      <c r="AB402" s="130">
        <v>696191.56742700003</v>
      </c>
      <c r="AC402" s="130">
        <v>696191.56742700003</v>
      </c>
    </row>
    <row r="403" spans="1:29" x14ac:dyDescent="0.25">
      <c r="A403" t="str">
        <f t="shared" si="7"/>
        <v xml:space="preserve">1028703UDIBONO 281130      </v>
      </c>
      <c r="B403" s="96">
        <v>1031341</v>
      </c>
      <c r="C403" s="96" t="s">
        <v>674</v>
      </c>
      <c r="D403" s="96" t="s">
        <v>431</v>
      </c>
      <c r="E403" s="96" t="s">
        <v>623</v>
      </c>
      <c r="F403" s="96" t="s">
        <v>624</v>
      </c>
      <c r="G403" s="99">
        <v>7751406</v>
      </c>
      <c r="H403" s="97">
        <v>3.4005040000000002</v>
      </c>
      <c r="I403" s="98">
        <v>26358687.108624</v>
      </c>
      <c r="J403" s="97">
        <v>3.3514449159288007</v>
      </c>
      <c r="K403" s="98">
        <v>380276.878624</v>
      </c>
      <c r="L403" s="99">
        <v>0</v>
      </c>
      <c r="M403" s="98">
        <v>0</v>
      </c>
      <c r="N403" s="99">
        <v>0</v>
      </c>
      <c r="O403" s="98">
        <v>0</v>
      </c>
      <c r="P403" s="99">
        <v>7751406</v>
      </c>
      <c r="Q403" s="98">
        <v>26358687.108624</v>
      </c>
      <c r="R403" s="96" t="s">
        <v>625</v>
      </c>
      <c r="S403" s="96">
        <v>7414000005</v>
      </c>
      <c r="AA403" s="131" t="s">
        <v>383</v>
      </c>
      <c r="AB403" s="130">
        <v>2379126.9299280001</v>
      </c>
      <c r="AC403" s="130">
        <v>2379126.9299280001</v>
      </c>
    </row>
    <row r="404" spans="1:29" x14ac:dyDescent="0.25">
      <c r="A404" t="str">
        <f t="shared" si="7"/>
        <v xml:space="preserve">1031340STERGOB B0          </v>
      </c>
      <c r="B404" s="96">
        <v>1031627</v>
      </c>
      <c r="C404" s="96" t="s">
        <v>675</v>
      </c>
      <c r="D404" s="96" t="s">
        <v>389</v>
      </c>
      <c r="E404" s="96" t="s">
        <v>623</v>
      </c>
      <c r="F404" s="96" t="s">
        <v>624</v>
      </c>
      <c r="G404" s="99">
        <v>11517763</v>
      </c>
      <c r="H404" s="97">
        <v>3.3967719999999999</v>
      </c>
      <c r="I404" s="98">
        <v>39123214.861036003</v>
      </c>
      <c r="J404" s="97">
        <v>2.6670145930247044</v>
      </c>
      <c r="K404" s="98">
        <v>8405172.8610360008</v>
      </c>
      <c r="L404" s="99">
        <v>0</v>
      </c>
      <c r="M404" s="98">
        <v>0</v>
      </c>
      <c r="N404" s="99">
        <v>0</v>
      </c>
      <c r="O404" s="98">
        <v>0</v>
      </c>
      <c r="P404" s="99">
        <v>11517763</v>
      </c>
      <c r="Q404" s="98">
        <v>39123214.861036003</v>
      </c>
      <c r="R404" s="96" t="s">
        <v>625</v>
      </c>
      <c r="S404" s="96">
        <v>7414000005</v>
      </c>
      <c r="AA404" s="131" t="s">
        <v>507</v>
      </c>
      <c r="AB404" s="130">
        <v>530290.69912</v>
      </c>
      <c r="AC404" s="130">
        <v>530290.69912</v>
      </c>
    </row>
    <row r="405" spans="1:29" x14ac:dyDescent="0.25">
      <c r="A405" t="str">
        <f t="shared" si="7"/>
        <v xml:space="preserve">1031341STERGOB B1          </v>
      </c>
      <c r="B405" s="96">
        <v>1031629</v>
      </c>
      <c r="C405" s="96" t="s">
        <v>676</v>
      </c>
      <c r="D405" s="96" t="s">
        <v>389</v>
      </c>
      <c r="E405" s="96" t="s">
        <v>623</v>
      </c>
      <c r="F405" s="96" t="s">
        <v>624</v>
      </c>
      <c r="G405" s="99">
        <v>8864858</v>
      </c>
      <c r="H405" s="97">
        <v>3.3967719999999999</v>
      </c>
      <c r="I405" s="98">
        <v>30111901.438375998</v>
      </c>
      <c r="J405" s="97">
        <v>2.6494372972471751</v>
      </c>
      <c r="K405" s="98">
        <v>6625016.0183760002</v>
      </c>
      <c r="L405" s="99">
        <v>0</v>
      </c>
      <c r="M405" s="98">
        <v>0</v>
      </c>
      <c r="N405" s="99">
        <v>0</v>
      </c>
      <c r="O405" s="98">
        <v>0</v>
      </c>
      <c r="P405" s="99">
        <v>8864858</v>
      </c>
      <c r="Q405" s="98">
        <v>30111901.438375998</v>
      </c>
      <c r="R405" s="96" t="s">
        <v>625</v>
      </c>
      <c r="S405" s="96">
        <v>7414000005</v>
      </c>
      <c r="AA405" s="131" t="s">
        <v>552</v>
      </c>
      <c r="AB405" s="130">
        <v>388001.87792</v>
      </c>
      <c r="AC405" s="130">
        <v>388001.87792</v>
      </c>
    </row>
    <row r="406" spans="1:29" x14ac:dyDescent="0.25">
      <c r="A406" t="str">
        <f t="shared" si="7"/>
        <v xml:space="preserve">1031627STERGOB ED          </v>
      </c>
      <c r="B406" s="96">
        <v>1032436</v>
      </c>
      <c r="C406" s="96" t="s">
        <v>677</v>
      </c>
      <c r="D406" s="96" t="s">
        <v>431</v>
      </c>
      <c r="E406" s="96" t="s">
        <v>623</v>
      </c>
      <c r="F406" s="96" t="s">
        <v>624</v>
      </c>
      <c r="G406" s="99">
        <v>1317319</v>
      </c>
      <c r="H406" s="97">
        <v>3.4005040000000002</v>
      </c>
      <c r="I406" s="98">
        <v>4479548.5287760003</v>
      </c>
      <c r="J406" s="97">
        <v>3.3565880018431375</v>
      </c>
      <c r="K406" s="98">
        <v>57851.378775999998</v>
      </c>
      <c r="L406" s="99">
        <v>0</v>
      </c>
      <c r="M406" s="98">
        <v>0</v>
      </c>
      <c r="N406" s="99">
        <v>0</v>
      </c>
      <c r="O406" s="98">
        <v>0</v>
      </c>
      <c r="P406" s="99">
        <v>1317319</v>
      </c>
      <c r="Q406" s="98">
        <v>4479548.5287760003</v>
      </c>
      <c r="R406" s="96" t="s">
        <v>625</v>
      </c>
      <c r="S406" s="96">
        <v>7414000005</v>
      </c>
      <c r="AA406" s="131" t="s">
        <v>554</v>
      </c>
      <c r="AB406" s="130">
        <v>209533.77499999999</v>
      </c>
      <c r="AC406" s="130">
        <v>209533.77499999999</v>
      </c>
    </row>
    <row r="407" spans="1:29" x14ac:dyDescent="0.25">
      <c r="A407" t="str">
        <f t="shared" si="7"/>
        <v xml:space="preserve">1031629STERGOB ED          </v>
      </c>
      <c r="B407" s="96">
        <v>1032437</v>
      </c>
      <c r="C407" s="96" t="s">
        <v>677</v>
      </c>
      <c r="D407" s="96" t="s">
        <v>431</v>
      </c>
      <c r="E407" s="96" t="s">
        <v>623</v>
      </c>
      <c r="F407" s="96" t="s">
        <v>624</v>
      </c>
      <c r="G407" s="99">
        <v>1154409</v>
      </c>
      <c r="H407" s="97">
        <v>3.4005040000000002</v>
      </c>
      <c r="I407" s="98">
        <v>3925572.4221359999</v>
      </c>
      <c r="J407" s="97">
        <v>3.3594489647949728</v>
      </c>
      <c r="K407" s="98">
        <v>47394.302135999998</v>
      </c>
      <c r="L407" s="99">
        <v>0</v>
      </c>
      <c r="M407" s="98">
        <v>0</v>
      </c>
      <c r="N407" s="99">
        <v>0</v>
      </c>
      <c r="O407" s="98">
        <v>0</v>
      </c>
      <c r="P407" s="99">
        <v>1154409</v>
      </c>
      <c r="Q407" s="98">
        <v>3925572.4221359999</v>
      </c>
      <c r="R407" s="96" t="s">
        <v>625</v>
      </c>
      <c r="S407" s="96">
        <v>7414000005</v>
      </c>
      <c r="AA407" s="131" t="s">
        <v>556</v>
      </c>
      <c r="AB407" s="130">
        <v>2746039.5</v>
      </c>
      <c r="AC407" s="130">
        <v>2746039.5</v>
      </c>
    </row>
    <row r="408" spans="1:29" x14ac:dyDescent="0.25">
      <c r="A408" t="str">
        <f t="shared" si="7"/>
        <v xml:space="preserve">1032436STERGOB B1          </v>
      </c>
      <c r="B408" s="96">
        <v>1032438</v>
      </c>
      <c r="C408" s="96" t="s">
        <v>678</v>
      </c>
      <c r="D408" s="96" t="s">
        <v>431</v>
      </c>
      <c r="E408" s="96" t="s">
        <v>623</v>
      </c>
      <c r="F408" s="96" t="s">
        <v>624</v>
      </c>
      <c r="G408" s="99">
        <v>4543958</v>
      </c>
      <c r="H408" s="97">
        <v>3.4005040000000002</v>
      </c>
      <c r="I408" s="98">
        <v>15451747.354831999</v>
      </c>
      <c r="J408" s="97">
        <v>3.3481034617837575</v>
      </c>
      <c r="K408" s="98">
        <v>238105.844832</v>
      </c>
      <c r="L408" s="99">
        <v>0</v>
      </c>
      <c r="M408" s="98">
        <v>0</v>
      </c>
      <c r="N408" s="99">
        <v>0</v>
      </c>
      <c r="O408" s="98">
        <v>0</v>
      </c>
      <c r="P408" s="99">
        <v>4543958</v>
      </c>
      <c r="Q408" s="98">
        <v>15451747.354831999</v>
      </c>
      <c r="R408" s="96" t="s">
        <v>625</v>
      </c>
      <c r="S408" s="96">
        <v>7414000005</v>
      </c>
      <c r="AA408" s="131" t="s">
        <v>613</v>
      </c>
      <c r="AB408" s="130">
        <v>312980.66350000002</v>
      </c>
      <c r="AC408" s="130">
        <v>312980.66350000002</v>
      </c>
    </row>
    <row r="409" spans="1:29" x14ac:dyDescent="0.25">
      <c r="A409" t="str">
        <f t="shared" si="7"/>
        <v xml:space="preserve">1032437STERGOB B1          </v>
      </c>
      <c r="B409" s="96">
        <v>1032439</v>
      </c>
      <c r="C409" s="96" t="s">
        <v>678</v>
      </c>
      <c r="D409" s="96" t="s">
        <v>431</v>
      </c>
      <c r="E409" s="96" t="s">
        <v>623</v>
      </c>
      <c r="F409" s="96" t="s">
        <v>624</v>
      </c>
      <c r="G409" s="99">
        <v>12948845</v>
      </c>
      <c r="H409" s="97">
        <v>3.4005040000000002</v>
      </c>
      <c r="I409" s="98">
        <v>44032599.217880003</v>
      </c>
      <c r="J409" s="97">
        <v>3.3493369285059789</v>
      </c>
      <c r="K409" s="98">
        <v>662554.47788000002</v>
      </c>
      <c r="L409" s="99">
        <v>0</v>
      </c>
      <c r="M409" s="98">
        <v>0</v>
      </c>
      <c r="N409" s="99">
        <v>0</v>
      </c>
      <c r="O409" s="98">
        <v>0</v>
      </c>
      <c r="P409" s="99">
        <v>12948845</v>
      </c>
      <c r="Q409" s="98">
        <v>44032599.217880003</v>
      </c>
      <c r="R409" s="96" t="s">
        <v>625</v>
      </c>
      <c r="S409" s="96">
        <v>7414000005</v>
      </c>
      <c r="AA409" s="129">
        <v>147313</v>
      </c>
      <c r="AB409" s="130">
        <v>27558259.843444996</v>
      </c>
      <c r="AC409" s="130">
        <v>27558259.843444996</v>
      </c>
    </row>
    <row r="410" spans="1:29" x14ac:dyDescent="0.25">
      <c r="A410" t="str">
        <f t="shared" si="7"/>
        <v xml:space="preserve">1032438STERGOB B1          </v>
      </c>
      <c r="B410" s="96">
        <v>1032440</v>
      </c>
      <c r="C410" s="96" t="s">
        <v>679</v>
      </c>
      <c r="D410" s="96" t="s">
        <v>431</v>
      </c>
      <c r="E410" s="96" t="s">
        <v>623</v>
      </c>
      <c r="F410" s="96" t="s">
        <v>624</v>
      </c>
      <c r="G410" s="99">
        <v>241684</v>
      </c>
      <c r="H410" s="97">
        <v>3.4005040000000002</v>
      </c>
      <c r="I410" s="98">
        <v>821847.40873599995</v>
      </c>
      <c r="J410" s="97">
        <v>3.3571302610019695</v>
      </c>
      <c r="K410" s="98">
        <v>10482.738735999999</v>
      </c>
      <c r="L410" s="99">
        <v>0</v>
      </c>
      <c r="M410" s="98">
        <v>0</v>
      </c>
      <c r="N410" s="99">
        <v>0</v>
      </c>
      <c r="O410" s="98">
        <v>0</v>
      </c>
      <c r="P410" s="99">
        <v>241684</v>
      </c>
      <c r="Q410" s="98">
        <v>821847.40873599995</v>
      </c>
      <c r="R410" s="96" t="s">
        <v>625</v>
      </c>
      <c r="S410" s="96">
        <v>7414000005</v>
      </c>
      <c r="AA410" s="131" t="s">
        <v>366</v>
      </c>
      <c r="AB410" s="130">
        <v>488325.78</v>
      </c>
      <c r="AC410" s="130">
        <v>488325.78</v>
      </c>
    </row>
    <row r="411" spans="1:29" x14ac:dyDescent="0.25">
      <c r="A411" t="str">
        <f t="shared" si="7"/>
        <v xml:space="preserve">1032439STERGOB B1          </v>
      </c>
      <c r="B411" s="96">
        <v>1032441</v>
      </c>
      <c r="C411" s="96" t="s">
        <v>680</v>
      </c>
      <c r="D411" s="96" t="s">
        <v>431</v>
      </c>
      <c r="E411" s="96" t="s">
        <v>623</v>
      </c>
      <c r="F411" s="96" t="s">
        <v>624</v>
      </c>
      <c r="G411" s="99">
        <v>868633</v>
      </c>
      <c r="H411" s="97">
        <v>3.4005040000000002</v>
      </c>
      <c r="I411" s="98">
        <v>2953789.9910320002</v>
      </c>
      <c r="J411" s="97">
        <v>3.3584008436244077</v>
      </c>
      <c r="K411" s="98">
        <v>36572.191032000002</v>
      </c>
      <c r="L411" s="99">
        <v>0</v>
      </c>
      <c r="M411" s="98">
        <v>0</v>
      </c>
      <c r="N411" s="99">
        <v>0</v>
      </c>
      <c r="O411" s="98">
        <v>0</v>
      </c>
      <c r="P411" s="99">
        <v>868633</v>
      </c>
      <c r="Q411" s="98">
        <v>2953789.9910320002</v>
      </c>
      <c r="R411" s="96" t="s">
        <v>625</v>
      </c>
      <c r="S411" s="96">
        <v>7414000005</v>
      </c>
      <c r="AA411" s="131" t="s">
        <v>376</v>
      </c>
      <c r="AB411" s="130">
        <v>1769582.88934</v>
      </c>
      <c r="AC411" s="130">
        <v>1769582.88934</v>
      </c>
    </row>
    <row r="412" spans="1:29" x14ac:dyDescent="0.25">
      <c r="A412" t="str">
        <f t="shared" si="7"/>
        <v xml:space="preserve">1032440STERGOB B1          </v>
      </c>
      <c r="B412" s="96">
        <v>1032442</v>
      </c>
      <c r="C412" s="96" t="s">
        <v>681</v>
      </c>
      <c r="D412" s="96" t="s">
        <v>431</v>
      </c>
      <c r="E412" s="96" t="s">
        <v>623</v>
      </c>
      <c r="F412" s="96" t="s">
        <v>624</v>
      </c>
      <c r="G412" s="99">
        <v>1019962</v>
      </c>
      <c r="H412" s="97">
        <v>3.4005040000000002</v>
      </c>
      <c r="I412" s="98">
        <v>3468384.8608479998</v>
      </c>
      <c r="J412" s="97">
        <v>3.3567408687774645</v>
      </c>
      <c r="K412" s="98">
        <v>44636.730847999999</v>
      </c>
      <c r="L412" s="99">
        <v>0</v>
      </c>
      <c r="M412" s="98">
        <v>0</v>
      </c>
      <c r="N412" s="99">
        <v>0</v>
      </c>
      <c r="O412" s="98">
        <v>0</v>
      </c>
      <c r="P412" s="99">
        <v>1019962</v>
      </c>
      <c r="Q412" s="98">
        <v>3468384.8608479998</v>
      </c>
      <c r="R412" s="96" t="s">
        <v>625</v>
      </c>
      <c r="S412" s="96">
        <v>7414000005</v>
      </c>
      <c r="AA412" s="131" t="s">
        <v>378</v>
      </c>
      <c r="AB412" s="130">
        <v>3405149.1444080002</v>
      </c>
      <c r="AC412" s="130">
        <v>3405149.1444080002</v>
      </c>
    </row>
    <row r="413" spans="1:29" x14ac:dyDescent="0.25">
      <c r="A413" t="str">
        <f t="shared" si="7"/>
        <v xml:space="preserve">1032441STERGOB B1          </v>
      </c>
      <c r="B413" s="96">
        <v>1032443</v>
      </c>
      <c r="C413" s="96" t="s">
        <v>682</v>
      </c>
      <c r="D413" s="96" t="s">
        <v>431</v>
      </c>
      <c r="E413" s="96" t="s">
        <v>623</v>
      </c>
      <c r="F413" s="96" t="s">
        <v>624</v>
      </c>
      <c r="G413" s="99">
        <v>1029558</v>
      </c>
      <c r="H413" s="97">
        <v>3.4005040000000002</v>
      </c>
      <c r="I413" s="98">
        <v>3501016.097232</v>
      </c>
      <c r="J413" s="97">
        <v>3.3556851386711579</v>
      </c>
      <c r="K413" s="98">
        <v>46143.617231999997</v>
      </c>
      <c r="L413" s="99">
        <v>0</v>
      </c>
      <c r="M413" s="98">
        <v>0</v>
      </c>
      <c r="N413" s="99">
        <v>0</v>
      </c>
      <c r="O413" s="98">
        <v>0</v>
      </c>
      <c r="P413" s="99">
        <v>1029558</v>
      </c>
      <c r="Q413" s="98">
        <v>3501016.097232</v>
      </c>
      <c r="R413" s="96" t="s">
        <v>625</v>
      </c>
      <c r="S413" s="96">
        <v>7414000005</v>
      </c>
      <c r="AA413" s="131" t="s">
        <v>380</v>
      </c>
      <c r="AB413" s="130">
        <v>2235808.0403200001</v>
      </c>
      <c r="AC413" s="130">
        <v>2235808.0403200001</v>
      </c>
    </row>
    <row r="414" spans="1:29" x14ac:dyDescent="0.25">
      <c r="A414" t="str">
        <f t="shared" si="7"/>
        <v xml:space="preserve">1032442STERGOB B1          </v>
      </c>
      <c r="B414" s="96">
        <v>1032445</v>
      </c>
      <c r="C414" s="96" t="s">
        <v>683</v>
      </c>
      <c r="D414" s="96" t="s">
        <v>431</v>
      </c>
      <c r="E414" s="96" t="s">
        <v>623</v>
      </c>
      <c r="F414" s="96" t="s">
        <v>624</v>
      </c>
      <c r="G414" s="99">
        <v>390490</v>
      </c>
      <c r="H414" s="97">
        <v>3.4005040000000002</v>
      </c>
      <c r="I414" s="98">
        <v>1327862.80696</v>
      </c>
      <c r="J414" s="97">
        <v>3.3555681835642397</v>
      </c>
      <c r="K414" s="98">
        <v>17546.986959999998</v>
      </c>
      <c r="L414" s="99">
        <v>0</v>
      </c>
      <c r="M414" s="98">
        <v>0</v>
      </c>
      <c r="N414" s="99">
        <v>0</v>
      </c>
      <c r="O414" s="98">
        <v>0</v>
      </c>
      <c r="P414" s="99">
        <v>390490</v>
      </c>
      <c r="Q414" s="98">
        <v>1327862.80696</v>
      </c>
      <c r="R414" s="96" t="s">
        <v>625</v>
      </c>
      <c r="S414" s="96">
        <v>7414000005</v>
      </c>
      <c r="AA414" s="131" t="s">
        <v>382</v>
      </c>
      <c r="AB414" s="130">
        <v>0</v>
      </c>
      <c r="AC414" s="130">
        <v>0</v>
      </c>
    </row>
    <row r="415" spans="1:29" x14ac:dyDescent="0.25">
      <c r="A415" t="str">
        <f t="shared" si="7"/>
        <v xml:space="preserve">1032443STERGOB B1          </v>
      </c>
      <c r="B415" s="96">
        <v>1032446</v>
      </c>
      <c r="C415" s="96" t="s">
        <v>683</v>
      </c>
      <c r="D415" s="96" t="s">
        <v>431</v>
      </c>
      <c r="E415" s="96" t="s">
        <v>623</v>
      </c>
      <c r="F415" s="96" t="s">
        <v>624</v>
      </c>
      <c r="G415" s="99">
        <v>675518</v>
      </c>
      <c r="H415" s="97">
        <v>3.4005040000000002</v>
      </c>
      <c r="I415" s="98">
        <v>2297101.6610719999</v>
      </c>
      <c r="J415" s="97">
        <v>3.3490924594163296</v>
      </c>
      <c r="K415" s="98">
        <v>34729.421071999997</v>
      </c>
      <c r="L415" s="99">
        <v>0</v>
      </c>
      <c r="M415" s="98">
        <v>0</v>
      </c>
      <c r="N415" s="99">
        <v>0</v>
      </c>
      <c r="O415" s="98">
        <v>0</v>
      </c>
      <c r="P415" s="99">
        <v>675518</v>
      </c>
      <c r="Q415" s="98">
        <v>2297101.6610719999</v>
      </c>
      <c r="R415" s="96" t="s">
        <v>625</v>
      </c>
      <c r="S415" s="96">
        <v>7414000005</v>
      </c>
      <c r="AA415" s="131" t="s">
        <v>472</v>
      </c>
      <c r="AB415" s="130">
        <v>4312308</v>
      </c>
      <c r="AC415" s="130">
        <v>4312308</v>
      </c>
    </row>
    <row r="416" spans="1:29" x14ac:dyDescent="0.25">
      <c r="A416" t="str">
        <f t="shared" si="7"/>
        <v xml:space="preserve">1032445STERGOB B1          </v>
      </c>
      <c r="B416" s="96">
        <v>1032746</v>
      </c>
      <c r="C416" s="96" t="s">
        <v>684</v>
      </c>
      <c r="D416" s="96" t="s">
        <v>389</v>
      </c>
      <c r="E416" s="96" t="s">
        <v>623</v>
      </c>
      <c r="F416" s="96" t="s">
        <v>624</v>
      </c>
      <c r="G416" s="99">
        <v>35609687</v>
      </c>
      <c r="H416" s="97">
        <v>3.3967719999999999</v>
      </c>
      <c r="I416" s="98">
        <v>120957987.73036399</v>
      </c>
      <c r="J416" s="97">
        <v>2.6806274657791853</v>
      </c>
      <c r="K416" s="98">
        <v>25501682.710363999</v>
      </c>
      <c r="L416" s="99">
        <v>0</v>
      </c>
      <c r="M416" s="98">
        <v>0</v>
      </c>
      <c r="N416" s="99">
        <v>0</v>
      </c>
      <c r="O416" s="98">
        <v>0</v>
      </c>
      <c r="P416" s="99">
        <v>35609687</v>
      </c>
      <c r="Q416" s="98">
        <v>120957987.73036399</v>
      </c>
      <c r="R416" s="96" t="s">
        <v>625</v>
      </c>
      <c r="S416" s="96">
        <v>7414000005</v>
      </c>
      <c r="AA416" s="131" t="s">
        <v>375</v>
      </c>
      <c r="AB416" s="130">
        <v>270126.234864</v>
      </c>
      <c r="AC416" s="130">
        <v>270126.234864</v>
      </c>
    </row>
    <row r="417" spans="1:29" x14ac:dyDescent="0.25">
      <c r="A417" t="str">
        <f t="shared" si="7"/>
        <v xml:space="preserve">1032446STERGOB B1          </v>
      </c>
      <c r="B417" s="96">
        <v>1032746</v>
      </c>
      <c r="C417" s="96" t="s">
        <v>684</v>
      </c>
      <c r="D417" s="96" t="s">
        <v>407</v>
      </c>
      <c r="E417" s="96" t="s">
        <v>623</v>
      </c>
      <c r="F417" s="96" t="s">
        <v>624</v>
      </c>
      <c r="G417" s="99">
        <v>31675440</v>
      </c>
      <c r="H417" s="97">
        <v>2.7668819999999998</v>
      </c>
      <c r="I417" s="98">
        <v>87642204.778080001</v>
      </c>
      <c r="J417" s="97">
        <v>2.2099139999318083</v>
      </c>
      <c r="K417" s="98">
        <v>17642206.468079999</v>
      </c>
      <c r="L417" s="99">
        <v>0</v>
      </c>
      <c r="M417" s="98">
        <v>0</v>
      </c>
      <c r="N417" s="99">
        <v>0</v>
      </c>
      <c r="O417" s="98">
        <v>0</v>
      </c>
      <c r="P417" s="99">
        <v>31675440</v>
      </c>
      <c r="Q417" s="98">
        <v>87642204.778080001</v>
      </c>
      <c r="R417" s="96" t="s">
        <v>625</v>
      </c>
      <c r="S417" s="96">
        <v>7414000005</v>
      </c>
      <c r="AA417" s="131" t="s">
        <v>429</v>
      </c>
      <c r="AB417" s="130">
        <v>149951.98602000001</v>
      </c>
      <c r="AC417" s="130">
        <v>149951.98602000001</v>
      </c>
    </row>
    <row r="418" spans="1:29" x14ac:dyDescent="0.25">
      <c r="A418" t="str">
        <f t="shared" si="7"/>
        <v xml:space="preserve">1032746STERGOB ED          </v>
      </c>
      <c r="B418" s="96">
        <v>1032747</v>
      </c>
      <c r="C418" s="96" t="s">
        <v>685</v>
      </c>
      <c r="D418" s="96" t="s">
        <v>501</v>
      </c>
      <c r="E418" s="96" t="s">
        <v>623</v>
      </c>
      <c r="F418" s="96" t="s">
        <v>624</v>
      </c>
      <c r="G418" s="99">
        <v>0</v>
      </c>
      <c r="H418" s="97">
        <v>0</v>
      </c>
      <c r="I418" s="98">
        <v>0</v>
      </c>
      <c r="J418" s="97">
        <v>0</v>
      </c>
      <c r="K418" s="98">
        <v>0</v>
      </c>
      <c r="L418" s="99">
        <v>0</v>
      </c>
      <c r="M418" s="98">
        <v>0</v>
      </c>
      <c r="N418" s="99">
        <v>0</v>
      </c>
      <c r="O418" s="98">
        <v>0</v>
      </c>
      <c r="P418" s="99">
        <v>0</v>
      </c>
      <c r="Q418" s="98">
        <v>0</v>
      </c>
      <c r="R418" s="96" t="s">
        <v>625</v>
      </c>
      <c r="S418" s="96">
        <v>7414000005</v>
      </c>
      <c r="AA418" s="131" t="s">
        <v>437</v>
      </c>
      <c r="AB418" s="130">
        <v>622411.21100000001</v>
      </c>
      <c r="AC418" s="130">
        <v>622411.21100000001</v>
      </c>
    </row>
    <row r="419" spans="1:29" x14ac:dyDescent="0.25">
      <c r="A419" t="str">
        <f t="shared" si="7"/>
        <v xml:space="preserve">1032746SVIVE60 ED          </v>
      </c>
      <c r="B419" s="96">
        <v>1032747</v>
      </c>
      <c r="C419" s="96" t="s">
        <v>685</v>
      </c>
      <c r="D419" s="96" t="s">
        <v>459</v>
      </c>
      <c r="E419" s="96" t="s">
        <v>623</v>
      </c>
      <c r="F419" s="96" t="s">
        <v>624</v>
      </c>
      <c r="G419" s="99">
        <v>4360000</v>
      </c>
      <c r="H419" s="97">
        <v>4.5848760000000004</v>
      </c>
      <c r="I419" s="98">
        <v>19990059.359999999</v>
      </c>
      <c r="J419" s="97">
        <v>3.3497185756880734</v>
      </c>
      <c r="K419" s="98">
        <v>5385286.3700000001</v>
      </c>
      <c r="L419" s="99">
        <v>0</v>
      </c>
      <c r="M419" s="98">
        <v>0</v>
      </c>
      <c r="N419" s="99">
        <v>0</v>
      </c>
      <c r="O419" s="98">
        <v>0</v>
      </c>
      <c r="P419" s="99">
        <v>4360000</v>
      </c>
      <c r="Q419" s="98">
        <v>19990059.359999999</v>
      </c>
      <c r="R419" s="96" t="s">
        <v>625</v>
      </c>
      <c r="S419" s="96">
        <v>7414000005</v>
      </c>
      <c r="AA419" s="131" t="s">
        <v>379</v>
      </c>
      <c r="AB419" s="130">
        <v>2330543.1818249999</v>
      </c>
      <c r="AC419" s="130">
        <v>2330543.1818249999</v>
      </c>
    </row>
    <row r="420" spans="1:29" x14ac:dyDescent="0.25">
      <c r="A420" t="str">
        <f t="shared" si="7"/>
        <v xml:space="preserve">1032747SPSM *              </v>
      </c>
      <c r="B420" s="96">
        <v>1032747</v>
      </c>
      <c r="C420" s="96" t="s">
        <v>685</v>
      </c>
      <c r="D420" s="96" t="s">
        <v>389</v>
      </c>
      <c r="E420" s="96" t="s">
        <v>623</v>
      </c>
      <c r="F420" s="96" t="s">
        <v>624</v>
      </c>
      <c r="G420" s="99">
        <v>236719</v>
      </c>
      <c r="H420" s="97">
        <v>3.3967719999999999</v>
      </c>
      <c r="I420" s="98">
        <v>804080.47106799996</v>
      </c>
      <c r="J420" s="97">
        <v>3.1173174100938241</v>
      </c>
      <c r="K420" s="98">
        <v>66152.211068000004</v>
      </c>
      <c r="L420" s="99">
        <v>0</v>
      </c>
      <c r="M420" s="98">
        <v>0</v>
      </c>
      <c r="N420" s="99">
        <v>0</v>
      </c>
      <c r="O420" s="98">
        <v>0</v>
      </c>
      <c r="P420" s="99">
        <v>236719</v>
      </c>
      <c r="Q420" s="98">
        <v>804080.47106799996</v>
      </c>
      <c r="R420" s="96" t="s">
        <v>625</v>
      </c>
      <c r="S420" s="96">
        <v>7414000005</v>
      </c>
      <c r="AA420" s="131" t="s">
        <v>377</v>
      </c>
      <c r="AB420" s="130">
        <v>671555.12243700004</v>
      </c>
      <c r="AC420" s="130">
        <v>671555.12243700004</v>
      </c>
    </row>
    <row r="421" spans="1:29" x14ac:dyDescent="0.25">
      <c r="A421" t="str">
        <f t="shared" si="7"/>
        <v xml:space="preserve">1032747STER-OP ED          </v>
      </c>
      <c r="B421" s="96">
        <v>1032747</v>
      </c>
      <c r="C421" s="96" t="s">
        <v>685</v>
      </c>
      <c r="D421" s="96" t="s">
        <v>402</v>
      </c>
      <c r="E421" s="96" t="s">
        <v>623</v>
      </c>
      <c r="F421" s="96" t="s">
        <v>624</v>
      </c>
      <c r="G421" s="99">
        <v>0</v>
      </c>
      <c r="H421" s="97">
        <v>0</v>
      </c>
      <c r="I421" s="98">
        <v>0</v>
      </c>
      <c r="J421" s="97">
        <v>0</v>
      </c>
      <c r="K421" s="98">
        <v>0</v>
      </c>
      <c r="L421" s="99">
        <v>0</v>
      </c>
      <c r="M421" s="98">
        <v>0</v>
      </c>
      <c r="N421" s="99">
        <v>0</v>
      </c>
      <c r="O421" s="98">
        <v>0</v>
      </c>
      <c r="P421" s="99">
        <v>0</v>
      </c>
      <c r="Q421" s="98">
        <v>0</v>
      </c>
      <c r="R421" s="96" t="s">
        <v>625</v>
      </c>
      <c r="S421" s="96">
        <v>7414000005</v>
      </c>
      <c r="AA421" s="131" t="s">
        <v>392</v>
      </c>
      <c r="AB421" s="130">
        <v>2241.535296</v>
      </c>
      <c r="AC421" s="130">
        <v>2241.535296</v>
      </c>
    </row>
    <row r="422" spans="1:29" x14ac:dyDescent="0.25">
      <c r="A422" t="str">
        <f t="shared" si="7"/>
        <v xml:space="preserve">1032747STERGOB ED          </v>
      </c>
      <c r="B422" s="96">
        <v>1032902</v>
      </c>
      <c r="C422" s="96" t="s">
        <v>686</v>
      </c>
      <c r="D422" s="96" t="s">
        <v>389</v>
      </c>
      <c r="E422" s="96" t="s">
        <v>623</v>
      </c>
      <c r="F422" s="96" t="s">
        <v>624</v>
      </c>
      <c r="G422" s="99">
        <v>4677092</v>
      </c>
      <c r="H422" s="97">
        <v>3.3967719999999999</v>
      </c>
      <c r="I422" s="98">
        <v>15887015.147024</v>
      </c>
      <c r="J422" s="97">
        <v>2.5202768814468479</v>
      </c>
      <c r="K422" s="98">
        <v>4099448.3070240002</v>
      </c>
      <c r="L422" s="99">
        <v>0</v>
      </c>
      <c r="M422" s="98">
        <v>0</v>
      </c>
      <c r="N422" s="99">
        <v>0</v>
      </c>
      <c r="O422" s="98">
        <v>0</v>
      </c>
      <c r="P422" s="99">
        <v>4677092</v>
      </c>
      <c r="Q422" s="98">
        <v>15887015.147024</v>
      </c>
      <c r="R422" s="96" t="s">
        <v>625</v>
      </c>
      <c r="S422" s="96">
        <v>7414000005</v>
      </c>
      <c r="AA422" s="131" t="s">
        <v>471</v>
      </c>
      <c r="AB422" s="130">
        <v>0</v>
      </c>
      <c r="AC422" s="130">
        <v>0</v>
      </c>
    </row>
    <row r="423" spans="1:29" x14ac:dyDescent="0.25">
      <c r="A423" t="str">
        <f t="shared" si="7"/>
        <v xml:space="preserve">1032747VOO *               </v>
      </c>
      <c r="B423" s="96">
        <v>1033543</v>
      </c>
      <c r="C423" s="96" t="s">
        <v>687</v>
      </c>
      <c r="D423" s="96" t="s">
        <v>480</v>
      </c>
      <c r="E423" s="96" t="s">
        <v>623</v>
      </c>
      <c r="F423" s="96" t="s">
        <v>624</v>
      </c>
      <c r="G423" s="99">
        <v>979</v>
      </c>
      <c r="H423" s="97">
        <v>3.612981</v>
      </c>
      <c r="I423" s="98">
        <v>3537.1083990000002</v>
      </c>
      <c r="J423" s="97">
        <v>3.5593973442288047</v>
      </c>
      <c r="K423" s="98">
        <v>52.458399</v>
      </c>
      <c r="L423" s="99">
        <v>0</v>
      </c>
      <c r="M423" s="98">
        <v>0</v>
      </c>
      <c r="N423" s="99">
        <v>0</v>
      </c>
      <c r="O423" s="98">
        <v>0</v>
      </c>
      <c r="P423" s="99">
        <v>979</v>
      </c>
      <c r="Q423" s="98">
        <v>3537.1083990000002</v>
      </c>
      <c r="R423" s="96" t="s">
        <v>625</v>
      </c>
      <c r="S423" s="96">
        <v>7414000005</v>
      </c>
      <c r="AA423" s="131" t="s">
        <v>499</v>
      </c>
      <c r="AB423" s="130">
        <v>6463126.5935899997</v>
      </c>
      <c r="AC423" s="130">
        <v>6463126.5935899997</v>
      </c>
    </row>
    <row r="424" spans="1:29" x14ac:dyDescent="0.25">
      <c r="A424" t="str">
        <f t="shared" si="7"/>
        <v xml:space="preserve">1032902STERGOB ED          </v>
      </c>
      <c r="B424" s="96">
        <v>1033543</v>
      </c>
      <c r="C424" s="96" t="s">
        <v>687</v>
      </c>
      <c r="D424" s="96" t="s">
        <v>413</v>
      </c>
      <c r="E424" s="96" t="s">
        <v>623</v>
      </c>
      <c r="F424" s="96" t="s">
        <v>624</v>
      </c>
      <c r="G424" s="99">
        <v>1075</v>
      </c>
      <c r="H424" s="97">
        <v>137.04691399999999</v>
      </c>
      <c r="I424" s="98">
        <v>147325.43255</v>
      </c>
      <c r="J424" s="97">
        <v>107.35305116279069</v>
      </c>
      <c r="K424" s="98">
        <v>31920.902549999999</v>
      </c>
      <c r="L424" s="99">
        <v>0</v>
      </c>
      <c r="M424" s="98">
        <v>0</v>
      </c>
      <c r="N424" s="99">
        <v>0</v>
      </c>
      <c r="O424" s="98">
        <v>0</v>
      </c>
      <c r="P424" s="99">
        <v>1075</v>
      </c>
      <c r="Q424" s="98">
        <v>147325.43255</v>
      </c>
      <c r="R424" s="96" t="s">
        <v>625</v>
      </c>
      <c r="S424" s="96">
        <v>7414000005</v>
      </c>
      <c r="AA424" s="131" t="s">
        <v>543</v>
      </c>
      <c r="AB424" s="130">
        <v>1462547.457525</v>
      </c>
      <c r="AC424" s="130">
        <v>1462547.457525</v>
      </c>
    </row>
    <row r="425" spans="1:29" x14ac:dyDescent="0.25">
      <c r="A425" t="str">
        <f t="shared" si="7"/>
        <v xml:space="preserve">1033543STERGOB B4          </v>
      </c>
      <c r="B425" s="96">
        <v>1033543</v>
      </c>
      <c r="C425" s="96" t="s">
        <v>687</v>
      </c>
      <c r="D425" s="96" t="s">
        <v>414</v>
      </c>
      <c r="E425" s="96" t="s">
        <v>623</v>
      </c>
      <c r="F425" s="96" t="s">
        <v>624</v>
      </c>
      <c r="G425" s="99">
        <v>274107</v>
      </c>
      <c r="H425" s="97">
        <v>3.6364960000000002</v>
      </c>
      <c r="I425" s="98">
        <v>996789.00907200004</v>
      </c>
      <c r="J425" s="97">
        <v>2.856887383394076</v>
      </c>
      <c r="K425" s="98">
        <v>213696.179072</v>
      </c>
      <c r="L425" s="99">
        <v>0</v>
      </c>
      <c r="M425" s="98">
        <v>0</v>
      </c>
      <c r="N425" s="99">
        <v>0</v>
      </c>
      <c r="O425" s="98">
        <v>0</v>
      </c>
      <c r="P425" s="99">
        <v>274107</v>
      </c>
      <c r="Q425" s="98">
        <v>996789.00907200004</v>
      </c>
      <c r="R425" s="96" t="s">
        <v>625</v>
      </c>
      <c r="S425" s="96">
        <v>7414000005</v>
      </c>
      <c r="AA425" s="131" t="s">
        <v>552</v>
      </c>
      <c r="AB425" s="130">
        <v>282001.36488000001</v>
      </c>
      <c r="AC425" s="130">
        <v>282001.36488000001</v>
      </c>
    </row>
    <row r="426" spans="1:29" x14ac:dyDescent="0.25">
      <c r="A426" t="str">
        <f t="shared" si="7"/>
        <v xml:space="preserve">1033543SVIVE20 S           </v>
      </c>
      <c r="B426" s="96">
        <v>1033543</v>
      </c>
      <c r="C426" s="96" t="s">
        <v>687</v>
      </c>
      <c r="D426" s="96" t="s">
        <v>415</v>
      </c>
      <c r="E426" s="96" t="s">
        <v>623</v>
      </c>
      <c r="F426" s="96" t="s">
        <v>624</v>
      </c>
      <c r="G426" s="99">
        <v>5899</v>
      </c>
      <c r="H426" s="97">
        <v>2.1315040000000001</v>
      </c>
      <c r="I426" s="98">
        <v>12573.742096</v>
      </c>
      <c r="J426" s="97">
        <v>1.8567265638243771</v>
      </c>
      <c r="K426" s="98">
        <v>1620.912096</v>
      </c>
      <c r="L426" s="99">
        <v>0</v>
      </c>
      <c r="M426" s="98">
        <v>0</v>
      </c>
      <c r="N426" s="99">
        <v>0</v>
      </c>
      <c r="O426" s="98">
        <v>0</v>
      </c>
      <c r="P426" s="99">
        <v>5899</v>
      </c>
      <c r="Q426" s="98">
        <v>12573.742096</v>
      </c>
      <c r="R426" s="96" t="s">
        <v>625</v>
      </c>
      <c r="S426" s="96">
        <v>7414000005</v>
      </c>
      <c r="AA426" s="131" t="s">
        <v>554</v>
      </c>
      <c r="AB426" s="130">
        <v>1994258.6569399999</v>
      </c>
      <c r="AC426" s="130">
        <v>1994258.6569399999</v>
      </c>
    </row>
    <row r="427" spans="1:29" x14ac:dyDescent="0.25">
      <c r="A427" t="str">
        <f t="shared" si="7"/>
        <v xml:space="preserve">1033543SVIVE35 S           </v>
      </c>
      <c r="B427" s="96">
        <v>1033543</v>
      </c>
      <c r="C427" s="96" t="s">
        <v>687</v>
      </c>
      <c r="D427" s="96" t="s">
        <v>416</v>
      </c>
      <c r="E427" s="96" t="s">
        <v>623</v>
      </c>
      <c r="F427" s="96" t="s">
        <v>624</v>
      </c>
      <c r="G427" s="99">
        <v>61</v>
      </c>
      <c r="H427" s="97">
        <v>2.8149250000000001</v>
      </c>
      <c r="I427" s="98">
        <v>171.71042499999999</v>
      </c>
      <c r="J427" s="97">
        <v>2.4988524590163936</v>
      </c>
      <c r="K427" s="98">
        <v>19.280425000000001</v>
      </c>
      <c r="L427" s="99">
        <v>0</v>
      </c>
      <c r="M427" s="98">
        <v>0</v>
      </c>
      <c r="N427" s="99">
        <v>0</v>
      </c>
      <c r="O427" s="98">
        <v>0</v>
      </c>
      <c r="P427" s="99">
        <v>61</v>
      </c>
      <c r="Q427" s="98">
        <v>171.71042499999999</v>
      </c>
      <c r="R427" s="96" t="s">
        <v>625</v>
      </c>
      <c r="S427" s="96">
        <v>7414000005</v>
      </c>
      <c r="AA427" s="131" t="s">
        <v>613</v>
      </c>
      <c r="AB427" s="130">
        <v>1098322.645</v>
      </c>
      <c r="AC427" s="130">
        <v>1098322.645</v>
      </c>
    </row>
    <row r="428" spans="1:29" x14ac:dyDescent="0.25">
      <c r="A428" t="str">
        <f t="shared" si="7"/>
        <v xml:space="preserve">1033543SVIVE50 S           </v>
      </c>
      <c r="B428" s="96">
        <v>1033544</v>
      </c>
      <c r="C428" s="96" t="s">
        <v>688</v>
      </c>
      <c r="D428" s="96" t="s">
        <v>480</v>
      </c>
      <c r="E428" s="96" t="s">
        <v>623</v>
      </c>
      <c r="F428" s="96" t="s">
        <v>624</v>
      </c>
      <c r="G428" s="99">
        <v>1190</v>
      </c>
      <c r="H428" s="97">
        <v>3.612981</v>
      </c>
      <c r="I428" s="98">
        <v>4299.4473900000003</v>
      </c>
      <c r="J428" s="97">
        <v>3.5593949579831934</v>
      </c>
      <c r="K428" s="98">
        <v>63.767389999999999</v>
      </c>
      <c r="L428" s="99">
        <v>0</v>
      </c>
      <c r="M428" s="98">
        <v>0</v>
      </c>
      <c r="N428" s="99">
        <v>0</v>
      </c>
      <c r="O428" s="98">
        <v>0</v>
      </c>
      <c r="P428" s="99">
        <v>1190</v>
      </c>
      <c r="Q428" s="98">
        <v>4299.4473900000003</v>
      </c>
      <c r="R428" s="96" t="s">
        <v>625</v>
      </c>
      <c r="S428" s="96">
        <v>7414000005</v>
      </c>
      <c r="AA428" s="129">
        <v>147314</v>
      </c>
      <c r="AB428" s="130">
        <v>1497059163.4891171</v>
      </c>
      <c r="AC428" s="130">
        <v>1497059163.4891171</v>
      </c>
    </row>
    <row r="429" spans="1:29" x14ac:dyDescent="0.25">
      <c r="A429" t="str">
        <f t="shared" si="7"/>
        <v xml:space="preserve">1033543SVIVE60 S           </v>
      </c>
      <c r="B429" s="96">
        <v>1033544</v>
      </c>
      <c r="C429" s="96" t="s">
        <v>688</v>
      </c>
      <c r="D429" s="96" t="s">
        <v>413</v>
      </c>
      <c r="E429" s="96" t="s">
        <v>623</v>
      </c>
      <c r="F429" s="96" t="s">
        <v>624</v>
      </c>
      <c r="G429" s="99">
        <v>177</v>
      </c>
      <c r="H429" s="97">
        <v>137.04691399999999</v>
      </c>
      <c r="I429" s="98">
        <v>24257.303778000001</v>
      </c>
      <c r="J429" s="97">
        <v>110.09305084745763</v>
      </c>
      <c r="K429" s="98">
        <v>4770.8337780000002</v>
      </c>
      <c r="L429" s="99">
        <v>0</v>
      </c>
      <c r="M429" s="98">
        <v>0</v>
      </c>
      <c r="N429" s="99">
        <v>0</v>
      </c>
      <c r="O429" s="98">
        <v>0</v>
      </c>
      <c r="P429" s="99">
        <v>177</v>
      </c>
      <c r="Q429" s="98">
        <v>24257.303778000001</v>
      </c>
      <c r="R429" s="96" t="s">
        <v>625</v>
      </c>
      <c r="S429" s="96">
        <v>7414000005</v>
      </c>
      <c r="AA429" s="131" t="s">
        <v>366</v>
      </c>
      <c r="AB429" s="130">
        <v>6899159.6799999997</v>
      </c>
      <c r="AC429" s="130">
        <v>6899159.6799999997</v>
      </c>
    </row>
    <row r="430" spans="1:29" x14ac:dyDescent="0.25">
      <c r="A430" t="str">
        <f t="shared" si="7"/>
        <v xml:space="preserve">1033544STERGOB B4          </v>
      </c>
      <c r="B430" s="96">
        <v>1033544</v>
      </c>
      <c r="C430" s="96" t="s">
        <v>688</v>
      </c>
      <c r="D430" s="96" t="s">
        <v>414</v>
      </c>
      <c r="E430" s="96" t="s">
        <v>623</v>
      </c>
      <c r="F430" s="96" t="s">
        <v>624</v>
      </c>
      <c r="G430" s="99">
        <v>5490</v>
      </c>
      <c r="H430" s="97">
        <v>3.6364960000000002</v>
      </c>
      <c r="I430" s="98">
        <v>19964.36304</v>
      </c>
      <c r="J430" s="97">
        <v>2.9915264116575591</v>
      </c>
      <c r="K430" s="98">
        <v>3540.8830400000002</v>
      </c>
      <c r="L430" s="99">
        <v>0</v>
      </c>
      <c r="M430" s="98">
        <v>0</v>
      </c>
      <c r="N430" s="99">
        <v>0</v>
      </c>
      <c r="O430" s="98">
        <v>0</v>
      </c>
      <c r="P430" s="99">
        <v>5490</v>
      </c>
      <c r="Q430" s="98">
        <v>19964.36304</v>
      </c>
      <c r="R430" s="96" t="s">
        <v>625</v>
      </c>
      <c r="S430" s="96">
        <v>7414000005</v>
      </c>
      <c r="AA430" s="131" t="s">
        <v>376</v>
      </c>
      <c r="AB430" s="130">
        <v>102896828.50146</v>
      </c>
      <c r="AC430" s="130">
        <v>102896828.50146</v>
      </c>
    </row>
    <row r="431" spans="1:29" x14ac:dyDescent="0.25">
      <c r="A431" t="str">
        <f t="shared" si="7"/>
        <v xml:space="preserve">1033544SVIVE20 S           </v>
      </c>
      <c r="B431" s="96">
        <v>1033544</v>
      </c>
      <c r="C431" s="96" t="s">
        <v>688</v>
      </c>
      <c r="D431" s="96" t="s">
        <v>415</v>
      </c>
      <c r="E431" s="96" t="s">
        <v>623</v>
      </c>
      <c r="F431" s="96" t="s">
        <v>624</v>
      </c>
      <c r="G431" s="99">
        <v>170</v>
      </c>
      <c r="H431" s="97">
        <v>2.1315040000000001</v>
      </c>
      <c r="I431" s="98">
        <v>362.35568000000001</v>
      </c>
      <c r="J431" s="97">
        <v>1.9186470588235294</v>
      </c>
      <c r="K431" s="98">
        <v>36.185679999999998</v>
      </c>
      <c r="L431" s="99">
        <v>0</v>
      </c>
      <c r="M431" s="98">
        <v>0</v>
      </c>
      <c r="N431" s="99">
        <v>0</v>
      </c>
      <c r="O431" s="98">
        <v>0</v>
      </c>
      <c r="P431" s="99">
        <v>170</v>
      </c>
      <c r="Q431" s="98">
        <v>362.35568000000001</v>
      </c>
      <c r="R431" s="96" t="s">
        <v>625</v>
      </c>
      <c r="S431" s="96">
        <v>7414000005</v>
      </c>
      <c r="AA431" s="131" t="s">
        <v>378</v>
      </c>
      <c r="AB431" s="130">
        <v>170580619.183036</v>
      </c>
      <c r="AC431" s="130">
        <v>170580619.183036</v>
      </c>
    </row>
    <row r="432" spans="1:29" x14ac:dyDescent="0.25">
      <c r="A432" t="str">
        <f t="shared" si="7"/>
        <v xml:space="preserve">1033544SVIVE35 S           </v>
      </c>
      <c r="B432" s="96">
        <v>1033544</v>
      </c>
      <c r="C432" s="96" t="s">
        <v>688</v>
      </c>
      <c r="D432" s="96" t="s">
        <v>416</v>
      </c>
      <c r="E432" s="96" t="s">
        <v>623</v>
      </c>
      <c r="F432" s="96" t="s">
        <v>624</v>
      </c>
      <c r="G432" s="99">
        <v>30</v>
      </c>
      <c r="H432" s="97">
        <v>2.8149250000000001</v>
      </c>
      <c r="I432" s="98">
        <v>84.447749999999999</v>
      </c>
      <c r="J432" s="97">
        <v>2.4986666666666668</v>
      </c>
      <c r="K432" s="98">
        <v>9.4877500000000001</v>
      </c>
      <c r="L432" s="99">
        <v>0</v>
      </c>
      <c r="M432" s="98">
        <v>0</v>
      </c>
      <c r="N432" s="99">
        <v>0</v>
      </c>
      <c r="O432" s="98">
        <v>0</v>
      </c>
      <c r="P432" s="99">
        <v>30</v>
      </c>
      <c r="Q432" s="98">
        <v>84.447749999999999</v>
      </c>
      <c r="R432" s="96" t="s">
        <v>625</v>
      </c>
      <c r="S432" s="96">
        <v>7414000005</v>
      </c>
      <c r="AA432" s="131" t="s">
        <v>380</v>
      </c>
      <c r="AB432" s="130">
        <v>116914284.29872</v>
      </c>
      <c r="AC432" s="130">
        <v>116914284.29872</v>
      </c>
    </row>
    <row r="433" spans="1:29" x14ac:dyDescent="0.25">
      <c r="A433" t="str">
        <f t="shared" si="7"/>
        <v xml:space="preserve">1033544SVIVE50 S           </v>
      </c>
      <c r="B433" s="96">
        <v>1033545</v>
      </c>
      <c r="C433" s="96" t="s">
        <v>689</v>
      </c>
      <c r="D433" s="96" t="s">
        <v>480</v>
      </c>
      <c r="E433" s="96" t="s">
        <v>623</v>
      </c>
      <c r="F433" s="96" t="s">
        <v>624</v>
      </c>
      <c r="G433" s="99">
        <v>2928</v>
      </c>
      <c r="H433" s="97">
        <v>3.612981</v>
      </c>
      <c r="I433" s="98">
        <v>10578.808368</v>
      </c>
      <c r="J433" s="97">
        <v>3.6023736338797816</v>
      </c>
      <c r="K433" s="98">
        <v>31.058368000000002</v>
      </c>
      <c r="L433" s="99">
        <v>0</v>
      </c>
      <c r="M433" s="98">
        <v>0</v>
      </c>
      <c r="N433" s="99">
        <v>0</v>
      </c>
      <c r="O433" s="98">
        <v>0</v>
      </c>
      <c r="P433" s="99">
        <v>2928</v>
      </c>
      <c r="Q433" s="98">
        <v>10578.808368</v>
      </c>
      <c r="R433" s="96" t="s">
        <v>625</v>
      </c>
      <c r="S433" s="96">
        <v>7414000005</v>
      </c>
      <c r="AA433" s="131" t="s">
        <v>382</v>
      </c>
      <c r="AB433" s="130">
        <v>0</v>
      </c>
      <c r="AC433" s="130">
        <v>0</v>
      </c>
    </row>
    <row r="434" spans="1:29" x14ac:dyDescent="0.25">
      <c r="A434" t="str">
        <f t="shared" si="7"/>
        <v xml:space="preserve">1033544SVIVE60 S           </v>
      </c>
      <c r="B434" s="96">
        <v>1033545</v>
      </c>
      <c r="C434" s="96" t="s">
        <v>689</v>
      </c>
      <c r="D434" s="96" t="s">
        <v>413</v>
      </c>
      <c r="E434" s="96" t="s">
        <v>623</v>
      </c>
      <c r="F434" s="96" t="s">
        <v>624</v>
      </c>
      <c r="G434" s="99">
        <v>10753</v>
      </c>
      <c r="H434" s="97">
        <v>137.04691399999999</v>
      </c>
      <c r="I434" s="98">
        <v>1473665.466242</v>
      </c>
      <c r="J434" s="97">
        <v>116.48645122291454</v>
      </c>
      <c r="K434" s="98">
        <v>221086.656242</v>
      </c>
      <c r="L434" s="99">
        <v>0</v>
      </c>
      <c r="M434" s="98">
        <v>0</v>
      </c>
      <c r="N434" s="99">
        <v>0</v>
      </c>
      <c r="O434" s="98">
        <v>0</v>
      </c>
      <c r="P434" s="99">
        <v>10753</v>
      </c>
      <c r="Q434" s="98">
        <v>1473665.466242</v>
      </c>
      <c r="R434" s="96" t="s">
        <v>625</v>
      </c>
      <c r="S434" s="96">
        <v>7414000005</v>
      </c>
      <c r="AA434" s="131" t="s">
        <v>391</v>
      </c>
      <c r="AB434" s="130">
        <v>69812.260829999999</v>
      </c>
      <c r="AC434" s="130">
        <v>69812.260829999999</v>
      </c>
    </row>
    <row r="435" spans="1:29" x14ac:dyDescent="0.25">
      <c r="A435" t="str">
        <f t="shared" si="7"/>
        <v xml:space="preserve">1033545STERGOB B4          </v>
      </c>
      <c r="B435" s="96">
        <v>1033545</v>
      </c>
      <c r="C435" s="96" t="s">
        <v>689</v>
      </c>
      <c r="D435" s="96" t="s">
        <v>414</v>
      </c>
      <c r="E435" s="96" t="s">
        <v>623</v>
      </c>
      <c r="F435" s="96" t="s">
        <v>624</v>
      </c>
      <c r="G435" s="99">
        <v>897677</v>
      </c>
      <c r="H435" s="97">
        <v>3.6364960000000002</v>
      </c>
      <c r="I435" s="98">
        <v>3264398.8197920001</v>
      </c>
      <c r="J435" s="97">
        <v>3.1673742894159034</v>
      </c>
      <c r="K435" s="98">
        <v>421119.76979200001</v>
      </c>
      <c r="L435" s="99">
        <v>0</v>
      </c>
      <c r="M435" s="98">
        <v>0</v>
      </c>
      <c r="N435" s="99">
        <v>0</v>
      </c>
      <c r="O435" s="98">
        <v>0</v>
      </c>
      <c r="P435" s="99">
        <v>897677</v>
      </c>
      <c r="Q435" s="98">
        <v>3264398.8197920001</v>
      </c>
      <c r="R435" s="96" t="s">
        <v>625</v>
      </c>
      <c r="S435" s="96">
        <v>7414000005</v>
      </c>
      <c r="AA435" s="131" t="s">
        <v>472</v>
      </c>
      <c r="AB435" s="130">
        <v>224650712</v>
      </c>
      <c r="AC435" s="130">
        <v>224650712</v>
      </c>
    </row>
    <row r="436" spans="1:29" x14ac:dyDescent="0.25">
      <c r="A436" t="str">
        <f t="shared" si="7"/>
        <v xml:space="preserve">1033545SVIVE20 S           </v>
      </c>
      <c r="B436" s="96">
        <v>1033545</v>
      </c>
      <c r="C436" s="96" t="s">
        <v>689</v>
      </c>
      <c r="D436" s="96" t="s">
        <v>415</v>
      </c>
      <c r="E436" s="96" t="s">
        <v>623</v>
      </c>
      <c r="F436" s="96" t="s">
        <v>624</v>
      </c>
      <c r="G436" s="99">
        <v>725104</v>
      </c>
      <c r="H436" s="97">
        <v>2.1315040000000001</v>
      </c>
      <c r="I436" s="98">
        <v>1545562.076416</v>
      </c>
      <c r="J436" s="97">
        <v>1.8692148850371808</v>
      </c>
      <c r="K436" s="98">
        <v>190186.88641599999</v>
      </c>
      <c r="L436" s="99">
        <v>0</v>
      </c>
      <c r="M436" s="98">
        <v>0</v>
      </c>
      <c r="N436" s="99">
        <v>0</v>
      </c>
      <c r="O436" s="98">
        <v>0</v>
      </c>
      <c r="P436" s="99">
        <v>725104</v>
      </c>
      <c r="Q436" s="98">
        <v>1545562.076416</v>
      </c>
      <c r="R436" s="96" t="s">
        <v>625</v>
      </c>
      <c r="S436" s="96">
        <v>7414000005</v>
      </c>
      <c r="AA436" s="132" t="s">
        <v>375</v>
      </c>
      <c r="AB436" s="133">
        <v>18443619.035992</v>
      </c>
      <c r="AC436" s="133">
        <v>18443619.035992</v>
      </c>
    </row>
    <row r="437" spans="1:29" x14ac:dyDescent="0.25">
      <c r="A437" t="str">
        <f t="shared" si="7"/>
        <v xml:space="preserve">1033545SVIVE35 S           </v>
      </c>
      <c r="B437" s="96">
        <v>1033545</v>
      </c>
      <c r="C437" s="96" t="s">
        <v>689</v>
      </c>
      <c r="D437" s="96" t="s">
        <v>416</v>
      </c>
      <c r="E437" s="96" t="s">
        <v>623</v>
      </c>
      <c r="F437" s="96" t="s">
        <v>624</v>
      </c>
      <c r="G437" s="99">
        <v>127793</v>
      </c>
      <c r="H437" s="97">
        <v>2.8149250000000001</v>
      </c>
      <c r="I437" s="98">
        <v>359727.710525</v>
      </c>
      <c r="J437" s="97">
        <v>2.4047260022066936</v>
      </c>
      <c r="K437" s="98">
        <v>52420.560525000001</v>
      </c>
      <c r="L437" s="99">
        <v>0</v>
      </c>
      <c r="M437" s="98">
        <v>0</v>
      </c>
      <c r="N437" s="99">
        <v>0</v>
      </c>
      <c r="O437" s="98">
        <v>0</v>
      </c>
      <c r="P437" s="99">
        <v>127793</v>
      </c>
      <c r="Q437" s="98">
        <v>359727.710525</v>
      </c>
      <c r="R437" s="96" t="s">
        <v>625</v>
      </c>
      <c r="S437" s="96">
        <v>7414000005</v>
      </c>
      <c r="AA437" s="131" t="s">
        <v>429</v>
      </c>
      <c r="AB437" s="130">
        <v>6870643.1869019996</v>
      </c>
      <c r="AC437" s="130">
        <v>6870643.1869019996</v>
      </c>
    </row>
    <row r="438" spans="1:29" x14ac:dyDescent="0.25">
      <c r="A438" t="str">
        <f t="shared" si="7"/>
        <v xml:space="preserve">1033545SVIVE50 S           </v>
      </c>
      <c r="B438" s="96">
        <v>1033546</v>
      </c>
      <c r="C438" s="96" t="s">
        <v>690</v>
      </c>
      <c r="D438" s="96" t="s">
        <v>480</v>
      </c>
      <c r="E438" s="96" t="s">
        <v>623</v>
      </c>
      <c r="F438" s="96" t="s">
        <v>624</v>
      </c>
      <c r="G438" s="99">
        <v>2640</v>
      </c>
      <c r="H438" s="97">
        <v>3.612981</v>
      </c>
      <c r="I438" s="98">
        <v>9538.2698400000008</v>
      </c>
      <c r="J438" s="97">
        <v>3.6023749999999999</v>
      </c>
      <c r="K438" s="98">
        <v>27.999839999999999</v>
      </c>
      <c r="L438" s="99">
        <v>0</v>
      </c>
      <c r="M438" s="98">
        <v>0</v>
      </c>
      <c r="N438" s="99">
        <v>0</v>
      </c>
      <c r="O438" s="98">
        <v>0</v>
      </c>
      <c r="P438" s="99">
        <v>2640</v>
      </c>
      <c r="Q438" s="98">
        <v>9538.2698400000008</v>
      </c>
      <c r="R438" s="96" t="s">
        <v>625</v>
      </c>
      <c r="S438" s="96">
        <v>7414000005</v>
      </c>
      <c r="AA438" s="131" t="s">
        <v>437</v>
      </c>
      <c r="AB438" s="130">
        <v>29297498.0352</v>
      </c>
      <c r="AC438" s="130">
        <v>29297498.0352</v>
      </c>
    </row>
    <row r="439" spans="1:29" x14ac:dyDescent="0.25">
      <c r="A439" t="str">
        <f t="shared" si="7"/>
        <v xml:space="preserve">1033545SVIVE60 S           </v>
      </c>
      <c r="B439" s="96">
        <v>1033546</v>
      </c>
      <c r="C439" s="96" t="s">
        <v>690</v>
      </c>
      <c r="D439" s="96" t="s">
        <v>413</v>
      </c>
      <c r="E439" s="96" t="s">
        <v>623</v>
      </c>
      <c r="F439" s="96" t="s">
        <v>624</v>
      </c>
      <c r="G439" s="99">
        <v>4715</v>
      </c>
      <c r="H439" s="97">
        <v>137.04691399999999</v>
      </c>
      <c r="I439" s="98">
        <v>646176.19950999995</v>
      </c>
      <c r="J439" s="97">
        <v>116.81279957582184</v>
      </c>
      <c r="K439" s="98">
        <v>95403.84951</v>
      </c>
      <c r="L439" s="99">
        <v>0</v>
      </c>
      <c r="M439" s="98">
        <v>0</v>
      </c>
      <c r="N439" s="99">
        <v>0</v>
      </c>
      <c r="O439" s="98">
        <v>0</v>
      </c>
      <c r="P439" s="99">
        <v>4715</v>
      </c>
      <c r="Q439" s="98">
        <v>646176.19950999995</v>
      </c>
      <c r="R439" s="96" t="s">
        <v>625</v>
      </c>
      <c r="S439" s="96">
        <v>7414000005</v>
      </c>
      <c r="AA439" s="131" t="s">
        <v>379</v>
      </c>
      <c r="AB439" s="130">
        <v>110519103.03172199</v>
      </c>
      <c r="AC439" s="130">
        <v>110519103.03172199</v>
      </c>
    </row>
    <row r="440" spans="1:29" x14ac:dyDescent="0.25">
      <c r="A440" t="str">
        <f t="shared" si="7"/>
        <v xml:space="preserve">1033546STERGOB B4          </v>
      </c>
      <c r="B440" s="96">
        <v>1033546</v>
      </c>
      <c r="C440" s="96" t="s">
        <v>690</v>
      </c>
      <c r="D440" s="96" t="s">
        <v>414</v>
      </c>
      <c r="E440" s="96" t="s">
        <v>623</v>
      </c>
      <c r="F440" s="96" t="s">
        <v>624</v>
      </c>
      <c r="G440" s="99">
        <v>411734</v>
      </c>
      <c r="H440" s="97">
        <v>3.6364960000000002</v>
      </c>
      <c r="I440" s="98">
        <v>1497269.044064</v>
      </c>
      <c r="J440" s="97">
        <v>3.1586666877158556</v>
      </c>
      <c r="K440" s="98">
        <v>196738.57406399999</v>
      </c>
      <c r="L440" s="99">
        <v>0</v>
      </c>
      <c r="M440" s="98">
        <v>0</v>
      </c>
      <c r="N440" s="99">
        <v>0</v>
      </c>
      <c r="O440" s="98">
        <v>0</v>
      </c>
      <c r="P440" s="99">
        <v>411734</v>
      </c>
      <c r="Q440" s="98">
        <v>1497269.044064</v>
      </c>
      <c r="R440" s="96" t="s">
        <v>625</v>
      </c>
      <c r="S440" s="96">
        <v>7414000005</v>
      </c>
      <c r="AA440" s="131" t="s">
        <v>377</v>
      </c>
      <c r="AB440" s="130">
        <v>95366525.774874002</v>
      </c>
      <c r="AC440" s="130">
        <v>95366525.774874002</v>
      </c>
    </row>
    <row r="441" spans="1:29" x14ac:dyDescent="0.25">
      <c r="A441" t="str">
        <f t="shared" si="7"/>
        <v xml:space="preserve">1033546SVIVE20 S           </v>
      </c>
      <c r="B441" s="96">
        <v>1033546</v>
      </c>
      <c r="C441" s="96" t="s">
        <v>690</v>
      </c>
      <c r="D441" s="96" t="s">
        <v>415</v>
      </c>
      <c r="E441" s="96" t="s">
        <v>623</v>
      </c>
      <c r="F441" s="96" t="s">
        <v>624</v>
      </c>
      <c r="G441" s="99">
        <v>346839</v>
      </c>
      <c r="H441" s="97">
        <v>2.1315040000000001</v>
      </c>
      <c r="I441" s="98">
        <v>739288.71585599997</v>
      </c>
      <c r="J441" s="97">
        <v>1.8637506739438183</v>
      </c>
      <c r="K441" s="98">
        <v>92867.295855999997</v>
      </c>
      <c r="L441" s="99">
        <v>0</v>
      </c>
      <c r="M441" s="98">
        <v>0</v>
      </c>
      <c r="N441" s="99">
        <v>0</v>
      </c>
      <c r="O441" s="98">
        <v>0</v>
      </c>
      <c r="P441" s="99">
        <v>346839</v>
      </c>
      <c r="Q441" s="98">
        <v>739288.71585599997</v>
      </c>
      <c r="R441" s="96" t="s">
        <v>625</v>
      </c>
      <c r="S441" s="96">
        <v>7414000005</v>
      </c>
      <c r="AA441" s="131" t="s">
        <v>392</v>
      </c>
      <c r="AB441" s="130">
        <v>421408.635648</v>
      </c>
      <c r="AC441" s="130">
        <v>421408.635648</v>
      </c>
    </row>
    <row r="442" spans="1:29" x14ac:dyDescent="0.25">
      <c r="A442" t="str">
        <f t="shared" si="7"/>
        <v xml:space="preserve">1033546SVIVE35 S           </v>
      </c>
      <c r="B442" s="96">
        <v>1033546</v>
      </c>
      <c r="C442" s="96" t="s">
        <v>690</v>
      </c>
      <c r="D442" s="96" t="s">
        <v>416</v>
      </c>
      <c r="E442" s="96" t="s">
        <v>623</v>
      </c>
      <c r="F442" s="96" t="s">
        <v>624</v>
      </c>
      <c r="G442" s="99">
        <v>58183</v>
      </c>
      <c r="H442" s="97">
        <v>2.8149250000000001</v>
      </c>
      <c r="I442" s="98">
        <v>163780.78127499999</v>
      </c>
      <c r="J442" s="97">
        <v>2.375041335097881</v>
      </c>
      <c r="K442" s="98">
        <v>25593.751274999999</v>
      </c>
      <c r="L442" s="99">
        <v>0</v>
      </c>
      <c r="M442" s="98">
        <v>0</v>
      </c>
      <c r="N442" s="99">
        <v>0</v>
      </c>
      <c r="O442" s="98">
        <v>0</v>
      </c>
      <c r="P442" s="99">
        <v>58183</v>
      </c>
      <c r="Q442" s="98">
        <v>163780.78127499999</v>
      </c>
      <c r="R442" s="96" t="s">
        <v>625</v>
      </c>
      <c r="S442" s="96">
        <v>7414000005</v>
      </c>
      <c r="AA442" s="131" t="s">
        <v>471</v>
      </c>
      <c r="AB442" s="130">
        <v>0</v>
      </c>
      <c r="AC442" s="130">
        <v>0</v>
      </c>
    </row>
    <row r="443" spans="1:29" x14ac:dyDescent="0.25">
      <c r="A443" t="str">
        <f t="shared" si="7"/>
        <v xml:space="preserve">1033546SVIVE50 S           </v>
      </c>
      <c r="B443" s="96">
        <v>1033795</v>
      </c>
      <c r="C443" s="96" t="s">
        <v>691</v>
      </c>
      <c r="D443" s="96" t="s">
        <v>389</v>
      </c>
      <c r="E443" s="96" t="s">
        <v>623</v>
      </c>
      <c r="F443" s="96" t="s">
        <v>624</v>
      </c>
      <c r="G443" s="99">
        <v>2826981</v>
      </c>
      <c r="H443" s="97">
        <v>3.3967719999999999</v>
      </c>
      <c r="I443" s="98">
        <v>9602609.9053320009</v>
      </c>
      <c r="J443" s="97">
        <v>2.9255299593453228</v>
      </c>
      <c r="K443" s="98">
        <v>1332192.2953319999</v>
      </c>
      <c r="L443" s="99">
        <v>0</v>
      </c>
      <c r="M443" s="98">
        <v>0</v>
      </c>
      <c r="N443" s="99">
        <v>0</v>
      </c>
      <c r="O443" s="98">
        <v>0</v>
      </c>
      <c r="P443" s="99">
        <v>2826981</v>
      </c>
      <c r="Q443" s="98">
        <v>9602609.9053320009</v>
      </c>
      <c r="R443" s="96" t="s">
        <v>625</v>
      </c>
      <c r="S443" s="96">
        <v>7414000005</v>
      </c>
      <c r="AA443" s="131" t="s">
        <v>499</v>
      </c>
      <c r="AB443" s="130">
        <v>315018162.94185001</v>
      </c>
      <c r="AC443" s="130">
        <v>315018162.94185001</v>
      </c>
    </row>
    <row r="444" spans="1:29" x14ac:dyDescent="0.25">
      <c r="A444" t="str">
        <f t="shared" si="7"/>
        <v xml:space="preserve">1033546SVIVE60 S           </v>
      </c>
      <c r="B444" s="96">
        <v>1033795</v>
      </c>
      <c r="C444" s="96" t="s">
        <v>691</v>
      </c>
      <c r="D444" s="96" t="s">
        <v>417</v>
      </c>
      <c r="E444" s="96" t="s">
        <v>623</v>
      </c>
      <c r="F444" s="96" t="s">
        <v>624</v>
      </c>
      <c r="G444" s="99">
        <v>165432</v>
      </c>
      <c r="H444" s="97">
        <v>3.8832339999999999</v>
      </c>
      <c r="I444" s="98">
        <v>642411.16708799999</v>
      </c>
      <c r="J444" s="97">
        <v>2.7905551525702403</v>
      </c>
      <c r="K444" s="98">
        <v>180764.04708799999</v>
      </c>
      <c r="L444" s="99">
        <v>0</v>
      </c>
      <c r="M444" s="98">
        <v>0</v>
      </c>
      <c r="N444" s="99">
        <v>0</v>
      </c>
      <c r="O444" s="98">
        <v>0</v>
      </c>
      <c r="P444" s="99">
        <v>165432</v>
      </c>
      <c r="Q444" s="98">
        <v>642411.16708799999</v>
      </c>
      <c r="R444" s="96" t="s">
        <v>625</v>
      </c>
      <c r="S444" s="96">
        <v>7414000005</v>
      </c>
      <c r="AA444" s="131" t="s">
        <v>543</v>
      </c>
      <c r="AB444" s="130">
        <v>45487687.958328001</v>
      </c>
      <c r="AC444" s="130">
        <v>45487687.958328001</v>
      </c>
    </row>
    <row r="445" spans="1:29" x14ac:dyDescent="0.25">
      <c r="A445" t="str">
        <f t="shared" si="7"/>
        <v xml:space="preserve">1033795STERGOB ED          </v>
      </c>
      <c r="B445" s="96">
        <v>1033795</v>
      </c>
      <c r="C445" s="96" t="s">
        <v>691</v>
      </c>
      <c r="D445" s="96" t="s">
        <v>407</v>
      </c>
      <c r="E445" s="96" t="s">
        <v>623</v>
      </c>
      <c r="F445" s="96" t="s">
        <v>624</v>
      </c>
      <c r="G445" s="99">
        <v>502227</v>
      </c>
      <c r="H445" s="97">
        <v>2.7668819999999998</v>
      </c>
      <c r="I445" s="98">
        <v>1389602.8462139999</v>
      </c>
      <c r="J445" s="97">
        <v>2.3501810137646921</v>
      </c>
      <c r="K445" s="98">
        <v>209278.486214</v>
      </c>
      <c r="L445" s="99">
        <v>0</v>
      </c>
      <c r="M445" s="98">
        <v>0</v>
      </c>
      <c r="N445" s="99">
        <v>0</v>
      </c>
      <c r="O445" s="98">
        <v>0</v>
      </c>
      <c r="P445" s="99">
        <v>502227</v>
      </c>
      <c r="Q445" s="98">
        <v>1389602.8462139999</v>
      </c>
      <c r="R445" s="96" t="s">
        <v>625</v>
      </c>
      <c r="S445" s="96">
        <v>7414000005</v>
      </c>
      <c r="AA445" s="131" t="s">
        <v>552</v>
      </c>
      <c r="AB445" s="130">
        <v>14711071.201239999</v>
      </c>
      <c r="AC445" s="130">
        <v>14711071.201239999</v>
      </c>
    </row>
    <row r="446" spans="1:29" x14ac:dyDescent="0.25">
      <c r="A446" t="str">
        <f t="shared" si="7"/>
        <v xml:space="preserve">1033795STRGOB2 ED          </v>
      </c>
      <c r="B446" s="96">
        <v>1033796</v>
      </c>
      <c r="C446" s="96" t="s">
        <v>692</v>
      </c>
      <c r="D446" s="96" t="s">
        <v>389</v>
      </c>
      <c r="E446" s="96" t="s">
        <v>623</v>
      </c>
      <c r="F446" s="96" t="s">
        <v>624</v>
      </c>
      <c r="G446" s="99">
        <v>217</v>
      </c>
      <c r="H446" s="97">
        <v>3.3967719999999999</v>
      </c>
      <c r="I446" s="98">
        <v>737.09952399999997</v>
      </c>
      <c r="J446" s="97">
        <v>2.9725806451612904</v>
      </c>
      <c r="K446" s="98">
        <v>92.049524000000005</v>
      </c>
      <c r="L446" s="99">
        <v>0</v>
      </c>
      <c r="M446" s="98">
        <v>0</v>
      </c>
      <c r="N446" s="99">
        <v>0</v>
      </c>
      <c r="O446" s="98">
        <v>0</v>
      </c>
      <c r="P446" s="99">
        <v>217</v>
      </c>
      <c r="Q446" s="98">
        <v>737.09952399999997</v>
      </c>
      <c r="R446" s="96" t="s">
        <v>625</v>
      </c>
      <c r="S446" s="96">
        <v>7414000005</v>
      </c>
      <c r="AA446" s="131" t="s">
        <v>554</v>
      </c>
      <c r="AB446" s="130">
        <v>81283263.946610004</v>
      </c>
      <c r="AC446" s="130">
        <v>81283263.946610004</v>
      </c>
    </row>
    <row r="447" spans="1:29" x14ac:dyDescent="0.25">
      <c r="A447" t="str">
        <f t="shared" si="7"/>
        <v xml:space="preserve">1033795SVIVE60 ED          </v>
      </c>
      <c r="B447" s="96">
        <v>1033811</v>
      </c>
      <c r="C447" s="96" t="s">
        <v>693</v>
      </c>
      <c r="D447" s="96" t="s">
        <v>431</v>
      </c>
      <c r="E447" s="96" t="s">
        <v>623</v>
      </c>
      <c r="F447" s="96" t="s">
        <v>624</v>
      </c>
      <c r="G447" s="99">
        <v>955400</v>
      </c>
      <c r="H447" s="97">
        <v>3.4005040000000002</v>
      </c>
      <c r="I447" s="98">
        <v>3248841.5216000001</v>
      </c>
      <c r="J447" s="97">
        <v>3.3469836612936992</v>
      </c>
      <c r="K447" s="98">
        <v>51133.331599999998</v>
      </c>
      <c r="L447" s="99">
        <v>0</v>
      </c>
      <c r="M447" s="98">
        <v>0</v>
      </c>
      <c r="N447" s="99">
        <v>0</v>
      </c>
      <c r="O447" s="98">
        <v>0</v>
      </c>
      <c r="P447" s="99">
        <v>955400</v>
      </c>
      <c r="Q447" s="98">
        <v>3248841.5216000001</v>
      </c>
      <c r="R447" s="96" t="s">
        <v>625</v>
      </c>
      <c r="S447" s="96">
        <v>7414000005</v>
      </c>
      <c r="AA447" s="131" t="s">
        <v>613</v>
      </c>
      <c r="AB447" s="130">
        <v>157628763.81670499</v>
      </c>
      <c r="AC447" s="130">
        <v>157628763.81670499</v>
      </c>
    </row>
    <row r="448" spans="1:29" x14ac:dyDescent="0.25">
      <c r="A448" t="str">
        <f t="shared" si="7"/>
        <v xml:space="preserve">1033796STERGOB ED          </v>
      </c>
      <c r="B448" s="96">
        <v>1034042</v>
      </c>
      <c r="C448" s="96" t="s">
        <v>694</v>
      </c>
      <c r="D448" s="96" t="s">
        <v>627</v>
      </c>
      <c r="E448" s="96" t="s">
        <v>623</v>
      </c>
      <c r="F448" s="96" t="s">
        <v>624</v>
      </c>
      <c r="G448" s="99">
        <v>2050</v>
      </c>
      <c r="H448" s="97">
        <v>9802.1143969999994</v>
      </c>
      <c r="I448" s="98">
        <v>20094334.51385</v>
      </c>
      <c r="J448" s="97">
        <v>9982.2999999999993</v>
      </c>
      <c r="K448" s="98">
        <v>-369380.48615000001</v>
      </c>
      <c r="L448" s="99">
        <v>0</v>
      </c>
      <c r="M448" s="98">
        <v>0</v>
      </c>
      <c r="N448" s="99">
        <v>0</v>
      </c>
      <c r="O448" s="98">
        <v>0</v>
      </c>
      <c r="P448" s="99">
        <v>2050</v>
      </c>
      <c r="Q448" s="98">
        <v>20094334.51385</v>
      </c>
      <c r="R448" s="96" t="s">
        <v>625</v>
      </c>
      <c r="S448" s="96">
        <v>7414000005</v>
      </c>
      <c r="AA448" s="129">
        <v>147491</v>
      </c>
      <c r="AB448" s="130">
        <v>1600297.8591159999</v>
      </c>
      <c r="AC448" s="130">
        <v>1600297.8591159999</v>
      </c>
    </row>
    <row r="449" spans="1:29" x14ac:dyDescent="0.25">
      <c r="A449" t="str">
        <f t="shared" si="7"/>
        <v xml:space="preserve">1033811STERGOB B1          </v>
      </c>
      <c r="B449" s="96">
        <v>1034042</v>
      </c>
      <c r="C449" s="96" t="s">
        <v>694</v>
      </c>
      <c r="D449" s="96" t="s">
        <v>502</v>
      </c>
      <c r="E449" s="96" t="s">
        <v>623</v>
      </c>
      <c r="F449" s="96" t="s">
        <v>624</v>
      </c>
      <c r="G449" s="99">
        <v>782</v>
      </c>
      <c r="H449" s="97">
        <v>9469.6491050000004</v>
      </c>
      <c r="I449" s="98">
        <v>7405265.60011</v>
      </c>
      <c r="J449" s="97">
        <v>9977.4</v>
      </c>
      <c r="K449" s="98">
        <v>-397061.19988999999</v>
      </c>
      <c r="L449" s="99">
        <v>0</v>
      </c>
      <c r="M449" s="98">
        <v>0</v>
      </c>
      <c r="N449" s="99">
        <v>0</v>
      </c>
      <c r="O449" s="98">
        <v>0</v>
      </c>
      <c r="P449" s="99">
        <v>782</v>
      </c>
      <c r="Q449" s="98">
        <v>7405265.60011</v>
      </c>
      <c r="R449" s="96" t="s">
        <v>625</v>
      </c>
      <c r="S449" s="96">
        <v>7414000005</v>
      </c>
      <c r="AA449" s="131" t="s">
        <v>412</v>
      </c>
      <c r="AB449" s="130">
        <v>1600297.8591159999</v>
      </c>
      <c r="AC449" s="130">
        <v>1600297.8591159999</v>
      </c>
    </row>
    <row r="450" spans="1:29" x14ac:dyDescent="0.25">
      <c r="A450" t="str">
        <f t="shared" si="7"/>
        <v xml:space="preserve">1034042AMX 0129            </v>
      </c>
      <c r="B450" s="96">
        <v>1034042</v>
      </c>
      <c r="C450" s="96" t="s">
        <v>694</v>
      </c>
      <c r="D450" s="96" t="s">
        <v>552</v>
      </c>
      <c r="E450" s="96" t="s">
        <v>623</v>
      </c>
      <c r="F450" s="96" t="s">
        <v>624</v>
      </c>
      <c r="G450" s="99">
        <v>266570</v>
      </c>
      <c r="H450" s="97">
        <v>100.000484</v>
      </c>
      <c r="I450" s="98">
        <v>26657129.019880001</v>
      </c>
      <c r="J450" s="97">
        <v>100</v>
      </c>
      <c r="K450" s="98">
        <v>129.01988</v>
      </c>
      <c r="L450" s="99">
        <v>0</v>
      </c>
      <c r="M450" s="98">
        <v>0</v>
      </c>
      <c r="N450" s="99">
        <v>0</v>
      </c>
      <c r="O450" s="98">
        <v>0</v>
      </c>
      <c r="P450" s="99">
        <v>266570</v>
      </c>
      <c r="Q450" s="98">
        <v>26657129.019880001</v>
      </c>
      <c r="R450" s="96" t="s">
        <v>625</v>
      </c>
      <c r="S450" s="96">
        <v>7414000005</v>
      </c>
      <c r="AA450" s="129">
        <v>147492</v>
      </c>
      <c r="AB450" s="130">
        <v>42426821.603606999</v>
      </c>
      <c r="AC450" s="130">
        <v>42426821.603606999</v>
      </c>
    </row>
    <row r="451" spans="1:29" x14ac:dyDescent="0.25">
      <c r="A451" t="str">
        <f t="shared" si="7"/>
        <v xml:space="preserve">1034042AMX 0131X           </v>
      </c>
      <c r="B451" s="96">
        <v>1034042</v>
      </c>
      <c r="C451" s="96" t="s">
        <v>694</v>
      </c>
      <c r="D451" s="96" t="s">
        <v>422</v>
      </c>
      <c r="E451" s="96" t="s">
        <v>623</v>
      </c>
      <c r="F451" s="96" t="s">
        <v>624</v>
      </c>
      <c r="G451" s="99">
        <v>101676</v>
      </c>
      <c r="H451" s="97">
        <v>97.654420999999999</v>
      </c>
      <c r="I451" s="98">
        <v>9929110.9095959999</v>
      </c>
      <c r="J451" s="97">
        <v>99.068463857350807</v>
      </c>
      <c r="K451" s="98">
        <v>-143774.22156400001</v>
      </c>
      <c r="L451" s="99">
        <v>0</v>
      </c>
      <c r="M451" s="98">
        <v>0</v>
      </c>
      <c r="N451" s="99">
        <v>0</v>
      </c>
      <c r="O451" s="98">
        <v>0</v>
      </c>
      <c r="P451" s="99">
        <v>101676</v>
      </c>
      <c r="Q451" s="98">
        <v>9929110.9095959999</v>
      </c>
      <c r="R451" s="96" t="s">
        <v>625</v>
      </c>
      <c r="S451" s="96">
        <v>7414000005</v>
      </c>
      <c r="AA451" s="131" t="s">
        <v>412</v>
      </c>
      <c r="AB451" s="130">
        <v>616069.43628300005</v>
      </c>
      <c r="AC451" s="130">
        <v>616069.43628300005</v>
      </c>
    </row>
    <row r="452" spans="1:29" x14ac:dyDescent="0.25">
      <c r="A452" t="str">
        <f t="shared" si="7"/>
        <v xml:space="preserve">1034042BLADEX 24           </v>
      </c>
      <c r="B452" s="96">
        <v>1034042</v>
      </c>
      <c r="C452" s="96" t="s">
        <v>694</v>
      </c>
      <c r="D452" s="96" t="s">
        <v>423</v>
      </c>
      <c r="E452" s="96" t="s">
        <v>623</v>
      </c>
      <c r="F452" s="96" t="s">
        <v>624</v>
      </c>
      <c r="G452" s="99">
        <v>54530</v>
      </c>
      <c r="H452" s="97">
        <v>98.859247999999994</v>
      </c>
      <c r="I452" s="98">
        <v>5390794.7934400002</v>
      </c>
      <c r="J452" s="97">
        <v>100</v>
      </c>
      <c r="K452" s="98">
        <v>-62205.206559999999</v>
      </c>
      <c r="L452" s="99">
        <v>0</v>
      </c>
      <c r="M452" s="98">
        <v>0</v>
      </c>
      <c r="N452" s="99">
        <v>0</v>
      </c>
      <c r="O452" s="98">
        <v>0</v>
      </c>
      <c r="P452" s="99">
        <v>54530</v>
      </c>
      <c r="Q452" s="98">
        <v>5390794.7934400002</v>
      </c>
      <c r="R452" s="96" t="s">
        <v>625</v>
      </c>
      <c r="S452" s="96">
        <v>7414000005</v>
      </c>
      <c r="AA452" s="131" t="s">
        <v>474</v>
      </c>
      <c r="AB452" s="130">
        <v>0</v>
      </c>
      <c r="AC452" s="130">
        <v>0</v>
      </c>
    </row>
    <row r="453" spans="1:29" x14ac:dyDescent="0.25">
      <c r="A453" t="str">
        <f t="shared" si="7"/>
        <v xml:space="preserve">1034042CETELEM 22          </v>
      </c>
      <c r="B453" s="96">
        <v>1034042</v>
      </c>
      <c r="C453" s="96" t="s">
        <v>694</v>
      </c>
      <c r="D453" s="96" t="s">
        <v>363</v>
      </c>
      <c r="E453" s="96" t="s">
        <v>623</v>
      </c>
      <c r="F453" s="96" t="s">
        <v>624</v>
      </c>
      <c r="G453" s="99">
        <v>15108920</v>
      </c>
      <c r="H453" s="97">
        <v>9.4935880000000008</v>
      </c>
      <c r="I453" s="98">
        <v>143437861.60495999</v>
      </c>
      <c r="J453" s="97">
        <v>8.3369798263743569</v>
      </c>
      <c r="K453" s="98">
        <v>17475100.366655961</v>
      </c>
      <c r="L453" s="99">
        <v>0</v>
      </c>
      <c r="M453" s="98">
        <v>0</v>
      </c>
      <c r="N453" s="99">
        <v>0</v>
      </c>
      <c r="O453" s="98">
        <v>0</v>
      </c>
      <c r="P453" s="99">
        <v>15108920</v>
      </c>
      <c r="Q453" s="98">
        <v>143437861.60495999</v>
      </c>
      <c r="R453" s="96" t="s">
        <v>625</v>
      </c>
      <c r="S453" s="96">
        <v>7414000005</v>
      </c>
      <c r="AA453" s="131" t="s">
        <v>475</v>
      </c>
      <c r="AB453" s="130">
        <v>41810752.167323999</v>
      </c>
      <c r="AC453" s="130">
        <v>41810752.167323999</v>
      </c>
    </row>
    <row r="454" spans="1:29" x14ac:dyDescent="0.25">
      <c r="A454" t="str">
        <f t="shared" si="7"/>
        <v xml:space="preserve">1034042CETELEM 22-4        </v>
      </c>
      <c r="B454" s="96">
        <v>1034042</v>
      </c>
      <c r="C454" s="96" t="s">
        <v>694</v>
      </c>
      <c r="D454" s="96" t="s">
        <v>409</v>
      </c>
      <c r="E454" s="96" t="s">
        <v>623</v>
      </c>
      <c r="F454" s="96" t="s">
        <v>624</v>
      </c>
      <c r="G454" s="99">
        <v>11054599</v>
      </c>
      <c r="H454" s="97">
        <v>9.3381629999999998</v>
      </c>
      <c r="I454" s="98">
        <v>103229647.361637</v>
      </c>
      <c r="J454" s="97">
        <v>8.3202806739907924</v>
      </c>
      <c r="K454" s="98">
        <v>11252280.94321906</v>
      </c>
      <c r="L454" s="99">
        <v>0</v>
      </c>
      <c r="M454" s="98">
        <v>0</v>
      </c>
      <c r="N454" s="99">
        <v>0</v>
      </c>
      <c r="O454" s="98">
        <v>0</v>
      </c>
      <c r="P454" s="99">
        <v>11054599</v>
      </c>
      <c r="Q454" s="98">
        <v>103229647.361637</v>
      </c>
      <c r="R454" s="96" t="s">
        <v>625</v>
      </c>
      <c r="S454" s="96">
        <v>7414000005</v>
      </c>
      <c r="AA454" s="129">
        <v>152971</v>
      </c>
      <c r="AB454" s="130">
        <v>48516978.176933996</v>
      </c>
      <c r="AC454" s="130">
        <v>48516978.176933996</v>
      </c>
    </row>
    <row r="455" spans="1:29" x14ac:dyDescent="0.25">
      <c r="A455" t="str">
        <f t="shared" ref="A455:A518" si="8">B453&amp;D453</f>
        <v xml:space="preserve">1034042CETES 241003        </v>
      </c>
      <c r="B455" s="96">
        <v>1034042</v>
      </c>
      <c r="C455" s="96" t="s">
        <v>694</v>
      </c>
      <c r="D455" s="96" t="s">
        <v>364</v>
      </c>
      <c r="E455" s="96" t="s">
        <v>623</v>
      </c>
      <c r="F455" s="96" t="s">
        <v>624</v>
      </c>
      <c r="G455" s="99">
        <v>12942630</v>
      </c>
      <c r="H455" s="97">
        <v>9.190137</v>
      </c>
      <c r="I455" s="98">
        <v>118944542.84031001</v>
      </c>
      <c r="J455" s="97">
        <v>8.2030282957605998</v>
      </c>
      <c r="K455" s="98">
        <v>12775782.72875</v>
      </c>
      <c r="L455" s="99">
        <v>0</v>
      </c>
      <c r="M455" s="98">
        <v>0</v>
      </c>
      <c r="N455" s="99">
        <v>0</v>
      </c>
      <c r="O455" s="98">
        <v>0</v>
      </c>
      <c r="P455" s="99">
        <v>12942630</v>
      </c>
      <c r="Q455" s="98">
        <v>118944542.84031001</v>
      </c>
      <c r="R455" s="96" t="s">
        <v>625</v>
      </c>
      <c r="S455" s="96">
        <v>7414000005</v>
      </c>
      <c r="AA455" s="131" t="s">
        <v>376</v>
      </c>
      <c r="AB455" s="130">
        <v>898785.34188800002</v>
      </c>
      <c r="AC455" s="130">
        <v>898785.34188800002</v>
      </c>
    </row>
    <row r="456" spans="1:29" x14ac:dyDescent="0.25">
      <c r="A456" t="str">
        <f t="shared" si="8"/>
        <v xml:space="preserve">1034042CETES 241128        </v>
      </c>
      <c r="B456" s="96">
        <v>1034042</v>
      </c>
      <c r="C456" s="96" t="s">
        <v>694</v>
      </c>
      <c r="D456" s="96" t="s">
        <v>556</v>
      </c>
      <c r="E456" s="96" t="s">
        <v>623</v>
      </c>
      <c r="F456" s="96" t="s">
        <v>624</v>
      </c>
      <c r="G456" s="99">
        <v>8000000</v>
      </c>
      <c r="H456" s="97">
        <v>9.1534650000000006</v>
      </c>
      <c r="I456" s="98">
        <v>73227720</v>
      </c>
      <c r="J456" s="97">
        <v>8.9797925000000003</v>
      </c>
      <c r="K456" s="98">
        <v>1389380</v>
      </c>
      <c r="L456" s="99">
        <v>0</v>
      </c>
      <c r="M456" s="98">
        <v>0</v>
      </c>
      <c r="N456" s="99">
        <v>0</v>
      </c>
      <c r="O456" s="98">
        <v>0</v>
      </c>
      <c r="P456" s="99">
        <v>8000000</v>
      </c>
      <c r="Q456" s="98">
        <v>73227720</v>
      </c>
      <c r="R456" s="96" t="s">
        <v>625</v>
      </c>
      <c r="S456" s="96">
        <v>7414000005</v>
      </c>
      <c r="AA456" s="131" t="s">
        <v>378</v>
      </c>
      <c r="AB456" s="130">
        <v>604595.95853800001</v>
      </c>
      <c r="AC456" s="130">
        <v>604595.95853800001</v>
      </c>
    </row>
    <row r="457" spans="1:29" x14ac:dyDescent="0.25">
      <c r="A457" t="str">
        <f t="shared" si="8"/>
        <v xml:space="preserve">1034042CETES 250123        </v>
      </c>
      <c r="B457" s="96">
        <v>1034042</v>
      </c>
      <c r="C457" s="96" t="s">
        <v>694</v>
      </c>
      <c r="D457" s="96" t="s">
        <v>615</v>
      </c>
      <c r="E457" s="96" t="s">
        <v>623</v>
      </c>
      <c r="F457" s="96" t="s">
        <v>624</v>
      </c>
      <c r="G457" s="99">
        <v>2500000</v>
      </c>
      <c r="H457" s="97">
        <v>9.0839700000000008</v>
      </c>
      <c r="I457" s="98">
        <v>22709925</v>
      </c>
      <c r="J457" s="97">
        <v>8.9878796600000008</v>
      </c>
      <c r="K457" s="98">
        <v>240225.85</v>
      </c>
      <c r="L457" s="99">
        <v>0</v>
      </c>
      <c r="M457" s="98">
        <v>0</v>
      </c>
      <c r="N457" s="99">
        <v>0</v>
      </c>
      <c r="O457" s="98">
        <v>0</v>
      </c>
      <c r="P457" s="99">
        <v>2500000</v>
      </c>
      <c r="Q457" s="98">
        <v>22709925</v>
      </c>
      <c r="R457" s="96" t="s">
        <v>625</v>
      </c>
      <c r="S457" s="96">
        <v>7414000005</v>
      </c>
      <c r="AA457" s="131" t="s">
        <v>380</v>
      </c>
      <c r="AB457" s="130">
        <v>774134.53683200001</v>
      </c>
      <c r="AC457" s="130">
        <v>774134.53683200001</v>
      </c>
    </row>
    <row r="458" spans="1:29" x14ac:dyDescent="0.25">
      <c r="A458" t="str">
        <f t="shared" si="8"/>
        <v xml:space="preserve">1034042CETES 250206        </v>
      </c>
      <c r="B458" s="96">
        <v>1034042</v>
      </c>
      <c r="C458" s="96" t="s">
        <v>694</v>
      </c>
      <c r="D458" s="96" t="s">
        <v>649</v>
      </c>
      <c r="E458" s="96" t="s">
        <v>623</v>
      </c>
      <c r="F458" s="96" t="s">
        <v>624</v>
      </c>
      <c r="G458" s="99">
        <v>3268870</v>
      </c>
      <c r="H458" s="97">
        <v>9.0112480000000001</v>
      </c>
      <c r="I458" s="98">
        <v>29456598.249759998</v>
      </c>
      <c r="J458" s="97">
        <v>8.9969798000000001</v>
      </c>
      <c r="K458" s="98">
        <v>46640.890934000003</v>
      </c>
      <c r="L458" s="99">
        <v>0</v>
      </c>
      <c r="M458" s="98">
        <v>0</v>
      </c>
      <c r="N458" s="99">
        <v>0</v>
      </c>
      <c r="O458" s="98">
        <v>0</v>
      </c>
      <c r="P458" s="99">
        <v>3268870</v>
      </c>
      <c r="Q458" s="98">
        <v>29456598.249759998</v>
      </c>
      <c r="R458" s="96" t="s">
        <v>625</v>
      </c>
      <c r="S458" s="96">
        <v>7414000005</v>
      </c>
      <c r="AA458" s="131" t="s">
        <v>382</v>
      </c>
      <c r="AB458" s="130">
        <v>1014273.5963100001</v>
      </c>
      <c r="AC458" s="130">
        <v>1014273.5963100001</v>
      </c>
    </row>
    <row r="459" spans="1:29" x14ac:dyDescent="0.25">
      <c r="A459" t="str">
        <f t="shared" si="8"/>
        <v xml:space="preserve">1034042CETES 250306        </v>
      </c>
      <c r="B459" s="96">
        <v>1034042</v>
      </c>
      <c r="C459" s="96" t="s">
        <v>694</v>
      </c>
      <c r="D459" s="96" t="s">
        <v>543</v>
      </c>
      <c r="E459" s="96" t="s">
        <v>623</v>
      </c>
      <c r="F459" s="96" t="s">
        <v>624</v>
      </c>
      <c r="G459" s="99">
        <v>10000000</v>
      </c>
      <c r="H459" s="97">
        <v>8.5044190000000004</v>
      </c>
      <c r="I459" s="98">
        <v>85044190</v>
      </c>
      <c r="J459" s="97">
        <v>8.2167949300000007</v>
      </c>
      <c r="K459" s="98">
        <v>2876240.7</v>
      </c>
      <c r="L459" s="99">
        <v>0</v>
      </c>
      <c r="M459" s="98">
        <v>0</v>
      </c>
      <c r="N459" s="99">
        <v>0</v>
      </c>
      <c r="O459" s="98">
        <v>0</v>
      </c>
      <c r="P459" s="99">
        <v>10000000</v>
      </c>
      <c r="Q459" s="98">
        <v>85044190</v>
      </c>
      <c r="R459" s="96" t="s">
        <v>625</v>
      </c>
      <c r="S459" s="96">
        <v>7414000005</v>
      </c>
      <c r="AA459" s="131" t="s">
        <v>427</v>
      </c>
      <c r="AB459" s="130">
        <v>3426694.029666</v>
      </c>
      <c r="AC459" s="130">
        <v>3426694.029666</v>
      </c>
    </row>
    <row r="460" spans="1:29" x14ac:dyDescent="0.25">
      <c r="A460" t="str">
        <f t="shared" si="8"/>
        <v xml:space="preserve">1034042CETES 250403        </v>
      </c>
      <c r="B460" s="96">
        <v>1034042</v>
      </c>
      <c r="C460" s="96" t="s">
        <v>694</v>
      </c>
      <c r="D460" s="96" t="s">
        <v>554</v>
      </c>
      <c r="E460" s="96" t="s">
        <v>623</v>
      </c>
      <c r="F460" s="96" t="s">
        <v>624</v>
      </c>
      <c r="G460" s="99">
        <v>4856630</v>
      </c>
      <c r="H460" s="97">
        <v>8.3813510000000004</v>
      </c>
      <c r="I460" s="98">
        <v>40705120.70713</v>
      </c>
      <c r="J460" s="97">
        <v>8.275682943638099</v>
      </c>
      <c r="K460" s="98">
        <v>513190.65256890003</v>
      </c>
      <c r="L460" s="99">
        <v>0</v>
      </c>
      <c r="M460" s="98">
        <v>0</v>
      </c>
      <c r="N460" s="99">
        <v>0</v>
      </c>
      <c r="O460" s="98">
        <v>0</v>
      </c>
      <c r="P460" s="99">
        <v>4856630</v>
      </c>
      <c r="Q460" s="98">
        <v>40705120.70713</v>
      </c>
      <c r="R460" s="96" t="s">
        <v>625</v>
      </c>
      <c r="S460" s="96">
        <v>7414000005</v>
      </c>
      <c r="AA460" s="131" t="s">
        <v>418</v>
      </c>
      <c r="AB460" s="130">
        <v>51435.639761999999</v>
      </c>
      <c r="AC460" s="130">
        <v>51435.639761999999</v>
      </c>
    </row>
    <row r="461" spans="1:29" x14ac:dyDescent="0.25">
      <c r="A461" t="str">
        <f t="shared" si="8"/>
        <v xml:space="preserve">1034042CETES 251030        </v>
      </c>
      <c r="B461" s="96">
        <v>1034042</v>
      </c>
      <c r="C461" s="96" t="s">
        <v>694</v>
      </c>
      <c r="D461" s="96" t="s">
        <v>613</v>
      </c>
      <c r="E461" s="96" t="s">
        <v>623</v>
      </c>
      <c r="F461" s="96" t="s">
        <v>624</v>
      </c>
      <c r="G461" s="99">
        <v>7591980</v>
      </c>
      <c r="H461" s="97">
        <v>8.2580650000000002</v>
      </c>
      <c r="I461" s="98">
        <v>62695064.318700001</v>
      </c>
      <c r="J461" s="97">
        <v>8.2469711528037486</v>
      </c>
      <c r="K461" s="98">
        <v>84224.266036999994</v>
      </c>
      <c r="L461" s="99">
        <v>0</v>
      </c>
      <c r="M461" s="98">
        <v>0</v>
      </c>
      <c r="N461" s="99">
        <v>0</v>
      </c>
      <c r="O461" s="98">
        <v>0</v>
      </c>
      <c r="P461" s="99">
        <v>7591980</v>
      </c>
      <c r="Q461" s="98">
        <v>62695064.318700001</v>
      </c>
      <c r="R461" s="96" t="s">
        <v>625</v>
      </c>
      <c r="S461" s="96">
        <v>7414000005</v>
      </c>
      <c r="AA461" s="131" t="s">
        <v>408</v>
      </c>
      <c r="AB461" s="130">
        <v>58895.564004</v>
      </c>
      <c r="AC461" s="130">
        <v>58895.564004</v>
      </c>
    </row>
    <row r="462" spans="1:29" x14ac:dyDescent="0.25">
      <c r="A462" t="str">
        <f t="shared" si="8"/>
        <v xml:space="preserve">1034042CETES 251224        </v>
      </c>
      <c r="B462" s="96">
        <v>1034042</v>
      </c>
      <c r="C462" s="96" t="s">
        <v>694</v>
      </c>
      <c r="D462" s="96" t="s">
        <v>366</v>
      </c>
      <c r="E462" s="96" t="s">
        <v>623</v>
      </c>
      <c r="F462" s="96" t="s">
        <v>624</v>
      </c>
      <c r="G462" s="99">
        <v>0</v>
      </c>
      <c r="H462" s="97">
        <v>0</v>
      </c>
      <c r="I462" s="98">
        <v>54991315.159999996</v>
      </c>
      <c r="J462" s="97">
        <v>0</v>
      </c>
      <c r="K462" s="98">
        <v>0</v>
      </c>
      <c r="L462" s="99">
        <v>0</v>
      </c>
      <c r="M462" s="98">
        <v>0</v>
      </c>
      <c r="N462" s="99">
        <v>0</v>
      </c>
      <c r="O462" s="98">
        <v>0</v>
      </c>
      <c r="P462" s="99">
        <v>0</v>
      </c>
      <c r="Q462" s="98">
        <v>54991315.159999996</v>
      </c>
      <c r="R462" s="96" t="s">
        <v>625</v>
      </c>
      <c r="S462" s="96">
        <v>7414000005</v>
      </c>
      <c r="AA462" s="131" t="s">
        <v>384</v>
      </c>
      <c r="AB462" s="130">
        <v>1144916.21202</v>
      </c>
      <c r="AC462" s="130">
        <v>1144916.21202</v>
      </c>
    </row>
    <row r="463" spans="1:29" x14ac:dyDescent="0.25">
      <c r="A463" t="str">
        <f t="shared" si="8"/>
        <v xml:space="preserve">1034042CETES 260219        </v>
      </c>
      <c r="B463" s="96">
        <v>1034042</v>
      </c>
      <c r="C463" s="96" t="s">
        <v>694</v>
      </c>
      <c r="D463" s="96" t="s">
        <v>460</v>
      </c>
      <c r="E463" s="96" t="s">
        <v>623</v>
      </c>
      <c r="F463" s="96" t="s">
        <v>624</v>
      </c>
      <c r="G463" s="99">
        <v>135255</v>
      </c>
      <c r="H463" s="97">
        <v>97.648104000000004</v>
      </c>
      <c r="I463" s="98">
        <v>13207394.30652</v>
      </c>
      <c r="J463" s="97">
        <v>100</v>
      </c>
      <c r="K463" s="98">
        <v>-318105.69348000002</v>
      </c>
      <c r="L463" s="99">
        <v>0</v>
      </c>
      <c r="M463" s="98">
        <v>0</v>
      </c>
      <c r="N463" s="99">
        <v>0</v>
      </c>
      <c r="O463" s="98">
        <v>0</v>
      </c>
      <c r="P463" s="99">
        <v>135255</v>
      </c>
      <c r="Q463" s="98">
        <v>13207394.30652</v>
      </c>
      <c r="R463" s="96" t="s">
        <v>625</v>
      </c>
      <c r="S463" s="96">
        <v>7414000005</v>
      </c>
      <c r="AA463" s="131" t="s">
        <v>389</v>
      </c>
      <c r="AB463" s="130">
        <v>7082779.1358000003</v>
      </c>
      <c r="AC463" s="130">
        <v>7082779.1358000003</v>
      </c>
    </row>
    <row r="464" spans="1:29" x14ac:dyDescent="0.25">
      <c r="A464" t="str">
        <f t="shared" si="8"/>
        <v>1034042EFECTIVO</v>
      </c>
      <c r="B464" s="96">
        <v>1034042</v>
      </c>
      <c r="C464" s="96" t="s">
        <v>694</v>
      </c>
      <c r="D464" s="96" t="s">
        <v>425</v>
      </c>
      <c r="E464" s="96" t="s">
        <v>623</v>
      </c>
      <c r="F464" s="96" t="s">
        <v>624</v>
      </c>
      <c r="G464" s="99">
        <v>99180</v>
      </c>
      <c r="H464" s="97">
        <v>100.020889</v>
      </c>
      <c r="I464" s="98">
        <v>9920071.7710200008</v>
      </c>
      <c r="J464" s="97">
        <v>100</v>
      </c>
      <c r="K464" s="98">
        <v>2071.7710200000001</v>
      </c>
      <c r="L464" s="99">
        <v>0</v>
      </c>
      <c r="M464" s="98">
        <v>0</v>
      </c>
      <c r="N464" s="99">
        <v>0</v>
      </c>
      <c r="O464" s="98">
        <v>0</v>
      </c>
      <c r="P464" s="99">
        <v>99180</v>
      </c>
      <c r="Q464" s="98">
        <v>9920071.7710200008</v>
      </c>
      <c r="R464" s="96" t="s">
        <v>625</v>
      </c>
      <c r="S464" s="96">
        <v>7414000005</v>
      </c>
      <c r="AA464" s="131" t="s">
        <v>391</v>
      </c>
      <c r="AB464" s="130">
        <v>681057.38898599998</v>
      </c>
      <c r="AC464" s="130">
        <v>681057.38898599998</v>
      </c>
    </row>
    <row r="465" spans="1:29" x14ac:dyDescent="0.25">
      <c r="A465" t="str">
        <f t="shared" si="8"/>
        <v xml:space="preserve">1034042FERROMX 14          </v>
      </c>
      <c r="B465" s="96">
        <v>1034042</v>
      </c>
      <c r="C465" s="96" t="s">
        <v>694</v>
      </c>
      <c r="D465" s="96" t="s">
        <v>461</v>
      </c>
      <c r="E465" s="96" t="s">
        <v>623</v>
      </c>
      <c r="F465" s="96" t="s">
        <v>624</v>
      </c>
      <c r="G465" s="99">
        <v>800000</v>
      </c>
      <c r="H465" s="97">
        <v>48.637891000000003</v>
      </c>
      <c r="I465" s="98">
        <v>38910312.799999997</v>
      </c>
      <c r="J465" s="97">
        <v>99.999944299999996</v>
      </c>
      <c r="K465" s="98">
        <v>-41089642.640000001</v>
      </c>
      <c r="L465" s="99">
        <v>0</v>
      </c>
      <c r="M465" s="98">
        <v>0</v>
      </c>
      <c r="N465" s="99">
        <v>0</v>
      </c>
      <c r="O465" s="98">
        <v>0</v>
      </c>
      <c r="P465" s="99">
        <v>800000</v>
      </c>
      <c r="Q465" s="98">
        <v>38910312.799999997</v>
      </c>
      <c r="R465" s="96" t="s">
        <v>625</v>
      </c>
      <c r="S465" s="96">
        <v>7414000005</v>
      </c>
      <c r="AA465" s="131" t="s">
        <v>395</v>
      </c>
      <c r="AB465" s="130">
        <v>476123.01043999998</v>
      </c>
      <c r="AC465" s="130">
        <v>476123.01043999998</v>
      </c>
    </row>
    <row r="466" spans="1:29" x14ac:dyDescent="0.25">
      <c r="A466" t="str">
        <f t="shared" si="8"/>
        <v xml:space="preserve">1034042GAP 22L             </v>
      </c>
      <c r="B466" s="96">
        <v>1034042</v>
      </c>
      <c r="C466" s="96" t="s">
        <v>694</v>
      </c>
      <c r="D466" s="96" t="s">
        <v>381</v>
      </c>
      <c r="E466" s="96" t="s">
        <v>623</v>
      </c>
      <c r="F466" s="96" t="s">
        <v>624</v>
      </c>
      <c r="G466" s="99">
        <v>1301150</v>
      </c>
      <c r="H466" s="97">
        <v>94.870157000000006</v>
      </c>
      <c r="I466" s="98">
        <v>123440304.78055</v>
      </c>
      <c r="J466" s="97">
        <v>97.132057922654113</v>
      </c>
      <c r="K466" s="98">
        <v>-2943072.3855114002</v>
      </c>
      <c r="L466" s="99">
        <v>0</v>
      </c>
      <c r="M466" s="98">
        <v>0</v>
      </c>
      <c r="N466" s="99">
        <v>0</v>
      </c>
      <c r="O466" s="98">
        <v>0</v>
      </c>
      <c r="P466" s="99">
        <v>1301150</v>
      </c>
      <c r="Q466" s="98">
        <v>123440304.78055</v>
      </c>
      <c r="R466" s="96" t="s">
        <v>625</v>
      </c>
      <c r="S466" s="96">
        <v>7414000005</v>
      </c>
      <c r="AA466" s="131" t="s">
        <v>396</v>
      </c>
      <c r="AB466" s="130">
        <v>489962.76056000002</v>
      </c>
      <c r="AC466" s="130">
        <v>489962.76056000002</v>
      </c>
    </row>
    <row r="467" spans="1:29" x14ac:dyDescent="0.25">
      <c r="A467" t="str">
        <f t="shared" si="8"/>
        <v xml:space="preserve">1034042GICSA 17            </v>
      </c>
      <c r="B467" s="96">
        <v>1034042</v>
      </c>
      <c r="C467" s="96" t="s">
        <v>694</v>
      </c>
      <c r="D467" s="96" t="s">
        <v>382</v>
      </c>
      <c r="E467" s="96" t="s">
        <v>623</v>
      </c>
      <c r="F467" s="96" t="s">
        <v>624</v>
      </c>
      <c r="G467" s="99">
        <v>774901</v>
      </c>
      <c r="H467" s="97">
        <v>89.489464999999996</v>
      </c>
      <c r="I467" s="98">
        <v>69345475.917964995</v>
      </c>
      <c r="J467" s="97">
        <v>89.484256780673675</v>
      </c>
      <c r="K467" s="98">
        <v>4035.8543641900001</v>
      </c>
      <c r="L467" s="99">
        <v>0</v>
      </c>
      <c r="M467" s="98">
        <v>0</v>
      </c>
      <c r="N467" s="99">
        <v>0</v>
      </c>
      <c r="O467" s="98">
        <v>0</v>
      </c>
      <c r="P467" s="99">
        <v>774901</v>
      </c>
      <c r="Q467" s="98">
        <v>69345475.917964995</v>
      </c>
      <c r="R467" s="96" t="s">
        <v>625</v>
      </c>
      <c r="S467" s="96">
        <v>7414000005</v>
      </c>
      <c r="AA467" s="131" t="s">
        <v>398</v>
      </c>
      <c r="AB467" s="130">
        <v>742000.74908600003</v>
      </c>
      <c r="AC467" s="130">
        <v>742000.74908600003</v>
      </c>
    </row>
    <row r="468" spans="1:29" x14ac:dyDescent="0.25">
      <c r="A468" t="str">
        <f t="shared" si="8"/>
        <v xml:space="preserve">1034042GOBFED 290531       </v>
      </c>
      <c r="B468" s="96">
        <v>1034042</v>
      </c>
      <c r="C468" s="96" t="s">
        <v>694</v>
      </c>
      <c r="D468" s="96" t="s">
        <v>383</v>
      </c>
      <c r="E468" s="96" t="s">
        <v>623</v>
      </c>
      <c r="F468" s="96" t="s">
        <v>624</v>
      </c>
      <c r="G468" s="99">
        <v>1355978</v>
      </c>
      <c r="H468" s="97">
        <v>86.197128000000006</v>
      </c>
      <c r="I468" s="98">
        <v>116881409.23118401</v>
      </c>
      <c r="J468" s="97">
        <v>89.176239565476081</v>
      </c>
      <c r="K468" s="98">
        <v>-4039609.7423311202</v>
      </c>
      <c r="L468" s="99">
        <v>0</v>
      </c>
      <c r="M468" s="98">
        <v>0</v>
      </c>
      <c r="N468" s="99">
        <v>0</v>
      </c>
      <c r="O468" s="98">
        <v>0</v>
      </c>
      <c r="P468" s="99">
        <v>1355978</v>
      </c>
      <c r="Q468" s="98">
        <v>116881409.23118401</v>
      </c>
      <c r="R468" s="96" t="s">
        <v>625</v>
      </c>
      <c r="S468" s="96">
        <v>7414000005</v>
      </c>
      <c r="AA468" s="131" t="s">
        <v>381</v>
      </c>
      <c r="AB468" s="130">
        <v>280151.57362099999</v>
      </c>
      <c r="AC468" s="130">
        <v>280151.57362099999</v>
      </c>
    </row>
    <row r="469" spans="1:29" x14ac:dyDescent="0.25">
      <c r="A469" t="str">
        <f t="shared" si="8"/>
        <v xml:space="preserve">1034042GOBFED 310529       </v>
      </c>
      <c r="B469" s="96">
        <v>1034042</v>
      </c>
      <c r="C469" s="96" t="s">
        <v>694</v>
      </c>
      <c r="D469" s="96" t="s">
        <v>427</v>
      </c>
      <c r="E469" s="96" t="s">
        <v>623</v>
      </c>
      <c r="F469" s="96" t="s">
        <v>624</v>
      </c>
      <c r="G469" s="99">
        <v>250000</v>
      </c>
      <c r="H469" s="97">
        <v>86.469353999999996</v>
      </c>
      <c r="I469" s="98">
        <v>21617338.5</v>
      </c>
      <c r="J469" s="97">
        <v>88.450310569999999</v>
      </c>
      <c r="K469" s="98">
        <v>-495239.14250000002</v>
      </c>
      <c r="L469" s="99">
        <v>0</v>
      </c>
      <c r="M469" s="98">
        <v>0</v>
      </c>
      <c r="N469" s="99">
        <v>0</v>
      </c>
      <c r="O469" s="98">
        <v>0</v>
      </c>
      <c r="P469" s="99">
        <v>250000</v>
      </c>
      <c r="Q469" s="98">
        <v>21617338.5</v>
      </c>
      <c r="R469" s="96" t="s">
        <v>625</v>
      </c>
      <c r="S469" s="96">
        <v>7414000005</v>
      </c>
      <c r="AA469" s="131" t="s">
        <v>449</v>
      </c>
      <c r="AB469" s="130">
        <v>0</v>
      </c>
      <c r="AC469" s="130">
        <v>0</v>
      </c>
    </row>
    <row r="470" spans="1:29" x14ac:dyDescent="0.25">
      <c r="A470" t="str">
        <f t="shared" si="8"/>
        <v xml:space="preserve">1034042GOBFED 330526       </v>
      </c>
      <c r="B470" s="96">
        <v>1034042</v>
      </c>
      <c r="C470" s="96" t="s">
        <v>694</v>
      </c>
      <c r="D470" s="96" t="s">
        <v>408</v>
      </c>
      <c r="E470" s="96" t="s">
        <v>623</v>
      </c>
      <c r="F470" s="96" t="s">
        <v>624</v>
      </c>
      <c r="G470" s="99">
        <v>308280</v>
      </c>
      <c r="H470" s="97">
        <v>89.643172000000007</v>
      </c>
      <c r="I470" s="98">
        <v>27635197.064160001</v>
      </c>
      <c r="J470" s="97">
        <v>93.147818569999998</v>
      </c>
      <c r="K470" s="98">
        <v>-1080412.4445996</v>
      </c>
      <c r="L470" s="99">
        <v>0</v>
      </c>
      <c r="M470" s="98">
        <v>0</v>
      </c>
      <c r="N470" s="99">
        <v>0</v>
      </c>
      <c r="O470" s="98">
        <v>0</v>
      </c>
      <c r="P470" s="99">
        <v>308280</v>
      </c>
      <c r="Q470" s="98">
        <v>27635197.064160001</v>
      </c>
      <c r="R470" s="96" t="s">
        <v>625</v>
      </c>
      <c r="S470" s="96">
        <v>7414000005</v>
      </c>
      <c r="AA470" s="131" t="s">
        <v>466</v>
      </c>
      <c r="AB470" s="130">
        <v>38919.617480000001</v>
      </c>
      <c r="AC470" s="130">
        <v>38919.617480000001</v>
      </c>
    </row>
    <row r="471" spans="1:29" x14ac:dyDescent="0.25">
      <c r="A471" t="str">
        <f t="shared" si="8"/>
        <v xml:space="preserve">1034042GOBFED 341123       </v>
      </c>
      <c r="B471" s="96">
        <v>1034042</v>
      </c>
      <c r="C471" s="96" t="s">
        <v>694</v>
      </c>
      <c r="D471" s="96" t="s">
        <v>384</v>
      </c>
      <c r="E471" s="96" t="s">
        <v>623</v>
      </c>
      <c r="F471" s="96" t="s">
        <v>624</v>
      </c>
      <c r="G471" s="99">
        <v>970607</v>
      </c>
      <c r="H471" s="97">
        <v>81.738860000000003</v>
      </c>
      <c r="I471" s="98">
        <v>79336309.688020006</v>
      </c>
      <c r="J471" s="97">
        <v>84.025447613889696</v>
      </c>
      <c r="K471" s="98">
        <v>-2219377.9441546299</v>
      </c>
      <c r="L471" s="99">
        <v>0</v>
      </c>
      <c r="M471" s="98">
        <v>0</v>
      </c>
      <c r="N471" s="99">
        <v>0</v>
      </c>
      <c r="O471" s="98">
        <v>0</v>
      </c>
      <c r="P471" s="99">
        <v>970607</v>
      </c>
      <c r="Q471" s="98">
        <v>79336309.688020006</v>
      </c>
      <c r="R471" s="96" t="s">
        <v>625</v>
      </c>
      <c r="S471" s="96">
        <v>7414000005</v>
      </c>
      <c r="AA471" s="131" t="s">
        <v>470</v>
      </c>
      <c r="AB471" s="130">
        <v>0</v>
      </c>
      <c r="AC471" s="130">
        <v>0</v>
      </c>
    </row>
    <row r="472" spans="1:29" x14ac:dyDescent="0.25">
      <c r="A472" t="str">
        <f t="shared" si="8"/>
        <v xml:space="preserve">1034042GOBFED 381118       </v>
      </c>
      <c r="B472" s="96">
        <v>1034042</v>
      </c>
      <c r="C472" s="96" t="s">
        <v>694</v>
      </c>
      <c r="D472" s="96" t="s">
        <v>385</v>
      </c>
      <c r="E472" s="96" t="s">
        <v>623</v>
      </c>
      <c r="F472" s="96" t="s">
        <v>624</v>
      </c>
      <c r="G472" s="99">
        <v>371804</v>
      </c>
      <c r="H472" s="97">
        <v>83.200761</v>
      </c>
      <c r="I472" s="98">
        <v>30934375.742844</v>
      </c>
      <c r="J472" s="97">
        <v>86.577126219999997</v>
      </c>
      <c r="K472" s="98">
        <v>-1255346.09425688</v>
      </c>
      <c r="L472" s="99">
        <v>0</v>
      </c>
      <c r="M472" s="98">
        <v>0</v>
      </c>
      <c r="N472" s="99">
        <v>0</v>
      </c>
      <c r="O472" s="98">
        <v>0</v>
      </c>
      <c r="P472" s="99">
        <v>371804</v>
      </c>
      <c r="Q472" s="98">
        <v>30934375.742844</v>
      </c>
      <c r="R472" s="96" t="s">
        <v>625</v>
      </c>
      <c r="S472" s="96">
        <v>7414000005</v>
      </c>
      <c r="AA472" s="131" t="s">
        <v>393</v>
      </c>
      <c r="AB472" s="130">
        <v>1017146.9166239999</v>
      </c>
      <c r="AC472" s="130">
        <v>1017146.9166239999</v>
      </c>
    </row>
    <row r="473" spans="1:29" x14ac:dyDescent="0.25">
      <c r="A473" t="str">
        <f t="shared" si="8"/>
        <v xml:space="preserve">1034042GOBFED 421113       </v>
      </c>
      <c r="B473" s="96">
        <v>1034042</v>
      </c>
      <c r="C473" s="96" t="s">
        <v>694</v>
      </c>
      <c r="D473" s="96" t="s">
        <v>386</v>
      </c>
      <c r="E473" s="96" t="s">
        <v>623</v>
      </c>
      <c r="F473" s="96" t="s">
        <v>624</v>
      </c>
      <c r="G473" s="99">
        <v>328983</v>
      </c>
      <c r="H473" s="97">
        <v>82.159907000000004</v>
      </c>
      <c r="I473" s="98">
        <v>27029212.684581</v>
      </c>
      <c r="J473" s="97">
        <v>85.729509070000006</v>
      </c>
      <c r="K473" s="98">
        <v>-1174338.3977948099</v>
      </c>
      <c r="L473" s="99">
        <v>0</v>
      </c>
      <c r="M473" s="98">
        <v>0</v>
      </c>
      <c r="N473" s="99">
        <v>0</v>
      </c>
      <c r="O473" s="98">
        <v>0</v>
      </c>
      <c r="P473" s="99">
        <v>328983</v>
      </c>
      <c r="Q473" s="98">
        <v>27029212.684581</v>
      </c>
      <c r="R473" s="96" t="s">
        <v>625</v>
      </c>
      <c r="S473" s="96">
        <v>7414000005</v>
      </c>
      <c r="AA473" s="131" t="s">
        <v>385</v>
      </c>
      <c r="AB473" s="130">
        <v>173057.58288</v>
      </c>
      <c r="AC473" s="130">
        <v>173057.58288</v>
      </c>
    </row>
    <row r="474" spans="1:29" x14ac:dyDescent="0.25">
      <c r="A474" t="str">
        <f t="shared" si="8"/>
        <v xml:space="preserve">1034042GOBFED 471107       </v>
      </c>
      <c r="B474" s="96">
        <v>1034042</v>
      </c>
      <c r="C474" s="96" t="s">
        <v>694</v>
      </c>
      <c r="D474" s="96" t="s">
        <v>628</v>
      </c>
      <c r="E474" s="96" t="s">
        <v>623</v>
      </c>
      <c r="F474" s="96" t="s">
        <v>624</v>
      </c>
      <c r="G474" s="99">
        <v>270000</v>
      </c>
      <c r="H474" s="97">
        <v>99.999184999999997</v>
      </c>
      <c r="I474" s="98">
        <v>26999779.949999999</v>
      </c>
      <c r="J474" s="97">
        <v>100</v>
      </c>
      <c r="K474" s="98">
        <v>-220.05</v>
      </c>
      <c r="L474" s="99">
        <v>0</v>
      </c>
      <c r="M474" s="98">
        <v>0</v>
      </c>
      <c r="N474" s="99">
        <v>0</v>
      </c>
      <c r="O474" s="98">
        <v>0</v>
      </c>
      <c r="P474" s="99">
        <v>270000</v>
      </c>
      <c r="Q474" s="98">
        <v>26999779.949999999</v>
      </c>
      <c r="R474" s="96" t="s">
        <v>625</v>
      </c>
      <c r="S474" s="96">
        <v>7414000005</v>
      </c>
      <c r="AA474" s="131" t="s">
        <v>417</v>
      </c>
      <c r="AB474" s="130">
        <v>7217040.8710420001</v>
      </c>
      <c r="AC474" s="130">
        <v>7217040.8710420001</v>
      </c>
    </row>
    <row r="475" spans="1:29" x14ac:dyDescent="0.25">
      <c r="A475" t="str">
        <f t="shared" si="8"/>
        <v xml:space="preserve">1034042GOBFED 530731       </v>
      </c>
      <c r="B475" s="96">
        <v>1034042</v>
      </c>
      <c r="C475" s="96" t="s">
        <v>694</v>
      </c>
      <c r="D475" s="96" t="s">
        <v>462</v>
      </c>
      <c r="E475" s="96" t="s">
        <v>623</v>
      </c>
      <c r="F475" s="96" t="s">
        <v>624</v>
      </c>
      <c r="G475" s="99">
        <v>141115</v>
      </c>
      <c r="H475" s="97">
        <v>93.257986000000002</v>
      </c>
      <c r="I475" s="98">
        <v>13160100.694390001</v>
      </c>
      <c r="J475" s="97">
        <v>93.540998000000002</v>
      </c>
      <c r="K475" s="98">
        <v>-39937.238380000003</v>
      </c>
      <c r="L475" s="99">
        <v>0</v>
      </c>
      <c r="M475" s="98">
        <v>0</v>
      </c>
      <c r="N475" s="99">
        <v>0</v>
      </c>
      <c r="O475" s="98">
        <v>0</v>
      </c>
      <c r="P475" s="99">
        <v>141115</v>
      </c>
      <c r="Q475" s="98">
        <v>13160100.694390001</v>
      </c>
      <c r="R475" s="96" t="s">
        <v>625</v>
      </c>
      <c r="S475" s="96">
        <v>7414000005</v>
      </c>
      <c r="AA475" s="131" t="s">
        <v>375</v>
      </c>
      <c r="AB475" s="130">
        <v>542029.61601</v>
      </c>
      <c r="AC475" s="130">
        <v>542029.61601</v>
      </c>
    </row>
    <row r="476" spans="1:29" x14ac:dyDescent="0.25">
      <c r="A476" t="str">
        <f t="shared" si="8"/>
        <v xml:space="preserve">1034042MEGA 24X            </v>
      </c>
      <c r="B476" s="96">
        <v>1034042</v>
      </c>
      <c r="C476" s="96" t="s">
        <v>694</v>
      </c>
      <c r="D476" s="96" t="s">
        <v>463</v>
      </c>
      <c r="E476" s="96" t="s">
        <v>623</v>
      </c>
      <c r="F476" s="96" t="s">
        <v>624</v>
      </c>
      <c r="G476" s="99">
        <v>329867</v>
      </c>
      <c r="H476" s="97">
        <v>96.981635999999995</v>
      </c>
      <c r="I476" s="98">
        <v>31991041.322411999</v>
      </c>
      <c r="J476" s="97">
        <v>100</v>
      </c>
      <c r="K476" s="98">
        <v>-995658.67758799996</v>
      </c>
      <c r="L476" s="99">
        <v>0</v>
      </c>
      <c r="M476" s="98">
        <v>0</v>
      </c>
      <c r="N476" s="99">
        <v>0</v>
      </c>
      <c r="O476" s="98">
        <v>0</v>
      </c>
      <c r="P476" s="99">
        <v>329867</v>
      </c>
      <c r="Q476" s="98">
        <v>31991041.322411999</v>
      </c>
      <c r="R476" s="96" t="s">
        <v>625</v>
      </c>
      <c r="S476" s="96">
        <v>7414000005</v>
      </c>
      <c r="AA476" s="131" t="s">
        <v>399</v>
      </c>
      <c r="AB476" s="130">
        <v>2651261.9119660002</v>
      </c>
      <c r="AC476" s="130">
        <v>2651261.9119660002</v>
      </c>
    </row>
    <row r="477" spans="1:29" x14ac:dyDescent="0.25">
      <c r="A477" t="str">
        <f t="shared" si="8"/>
        <v xml:space="preserve">1034042MOLYMET 21-2        </v>
      </c>
      <c r="B477" s="96">
        <v>1034042</v>
      </c>
      <c r="C477" s="96" t="s">
        <v>694</v>
      </c>
      <c r="D477" s="96" t="s">
        <v>429</v>
      </c>
      <c r="E477" s="96" t="s">
        <v>623</v>
      </c>
      <c r="F477" s="96" t="s">
        <v>624</v>
      </c>
      <c r="G477" s="99">
        <v>500000</v>
      </c>
      <c r="H477" s="97">
        <v>98.007834000000003</v>
      </c>
      <c r="I477" s="98">
        <v>49003917</v>
      </c>
      <c r="J477" s="97">
        <v>99.216959520000003</v>
      </c>
      <c r="K477" s="98">
        <v>-604562.76</v>
      </c>
      <c r="L477" s="99">
        <v>0</v>
      </c>
      <c r="M477" s="98">
        <v>0</v>
      </c>
      <c r="N477" s="99">
        <v>0</v>
      </c>
      <c r="O477" s="98">
        <v>0</v>
      </c>
      <c r="P477" s="99">
        <v>500000</v>
      </c>
      <c r="Q477" s="98">
        <v>49003917</v>
      </c>
      <c r="R477" s="96" t="s">
        <v>625</v>
      </c>
      <c r="S477" s="96">
        <v>7414000005</v>
      </c>
      <c r="AA477" s="131" t="s">
        <v>429</v>
      </c>
      <c r="AB477" s="130">
        <v>1008500.6118599999</v>
      </c>
      <c r="AC477" s="130">
        <v>1008500.6118599999</v>
      </c>
    </row>
    <row r="478" spans="1:29" x14ac:dyDescent="0.25">
      <c r="A478" t="str">
        <f t="shared" si="8"/>
        <v xml:space="preserve">1034042NM 15               </v>
      </c>
      <c r="B478" s="96">
        <v>1034042</v>
      </c>
      <c r="C478" s="96" t="s">
        <v>694</v>
      </c>
      <c r="D478" s="96" t="s">
        <v>464</v>
      </c>
      <c r="E478" s="96" t="s">
        <v>623</v>
      </c>
      <c r="F478" s="96" t="s">
        <v>624</v>
      </c>
      <c r="G478" s="99">
        <v>111691</v>
      </c>
      <c r="H478" s="97">
        <v>754.31346599999995</v>
      </c>
      <c r="I478" s="98">
        <v>84250025.331006005</v>
      </c>
      <c r="J478" s="97">
        <v>556.69089936</v>
      </c>
      <c r="K478" s="98">
        <v>22072662.090588242</v>
      </c>
      <c r="L478" s="99">
        <v>0</v>
      </c>
      <c r="M478" s="98">
        <v>0</v>
      </c>
      <c r="N478" s="99">
        <v>0</v>
      </c>
      <c r="O478" s="98">
        <v>0</v>
      </c>
      <c r="P478" s="99">
        <v>111691</v>
      </c>
      <c r="Q478" s="98">
        <v>84250025.331006005</v>
      </c>
      <c r="R478" s="96" t="s">
        <v>625</v>
      </c>
      <c r="S478" s="96">
        <v>7414000005</v>
      </c>
      <c r="AA478" s="131" t="s">
        <v>394</v>
      </c>
      <c r="AB478" s="130">
        <v>4366168.3822499998</v>
      </c>
      <c r="AC478" s="130">
        <v>4366168.3822499998</v>
      </c>
    </row>
    <row r="479" spans="1:29" x14ac:dyDescent="0.25">
      <c r="A479" t="str">
        <f t="shared" si="8"/>
        <v xml:space="preserve">1034042PEMEX 13-2          </v>
      </c>
      <c r="B479" s="96">
        <v>1034042</v>
      </c>
      <c r="C479" s="96" t="s">
        <v>694</v>
      </c>
      <c r="D479" s="96" t="s">
        <v>545</v>
      </c>
      <c r="E479" s="96" t="s">
        <v>623</v>
      </c>
      <c r="F479" s="96" t="s">
        <v>624</v>
      </c>
      <c r="G479" s="99">
        <v>0</v>
      </c>
      <c r="H479" s="97">
        <v>0</v>
      </c>
      <c r="I479" s="98">
        <v>0</v>
      </c>
      <c r="J479" s="97">
        <v>0</v>
      </c>
      <c r="K479" s="98">
        <v>0</v>
      </c>
      <c r="L479" s="99">
        <v>0</v>
      </c>
      <c r="M479" s="98">
        <v>0</v>
      </c>
      <c r="N479" s="99">
        <v>0</v>
      </c>
      <c r="O479" s="98">
        <v>0</v>
      </c>
      <c r="P479" s="99">
        <v>0</v>
      </c>
      <c r="Q479" s="98">
        <v>0</v>
      </c>
      <c r="R479" s="96" t="s">
        <v>625</v>
      </c>
      <c r="S479" s="96">
        <v>7414000005</v>
      </c>
      <c r="AA479" s="131" t="s">
        <v>379</v>
      </c>
      <c r="AB479" s="130">
        <v>848486.244618</v>
      </c>
      <c r="AC479" s="130">
        <v>848486.244618</v>
      </c>
    </row>
    <row r="480" spans="1:29" x14ac:dyDescent="0.25">
      <c r="A480" t="str">
        <f t="shared" si="8"/>
        <v xml:space="preserve">1034042PEMEX 14U           </v>
      </c>
      <c r="B480" s="96">
        <v>1034042</v>
      </c>
      <c r="C480" s="96" t="s">
        <v>694</v>
      </c>
      <c r="D480" s="96" t="s">
        <v>504</v>
      </c>
      <c r="E480" s="96" t="s">
        <v>623</v>
      </c>
      <c r="F480" s="96" t="s">
        <v>624</v>
      </c>
      <c r="G480" s="99">
        <v>67963873</v>
      </c>
      <c r="H480" s="97">
        <v>0.985877</v>
      </c>
      <c r="I480" s="98">
        <v>67004019.221620999</v>
      </c>
      <c r="J480" s="97">
        <v>0.86428399997157312</v>
      </c>
      <c r="K480" s="98">
        <v>8263931.2116210004</v>
      </c>
      <c r="L480" s="99">
        <v>0</v>
      </c>
      <c r="M480" s="98">
        <v>0</v>
      </c>
      <c r="N480" s="99">
        <v>0</v>
      </c>
      <c r="O480" s="98">
        <v>0</v>
      </c>
      <c r="P480" s="99">
        <v>67963873</v>
      </c>
      <c r="Q480" s="98">
        <v>67004019.221620999</v>
      </c>
      <c r="R480" s="96" t="s">
        <v>625</v>
      </c>
      <c r="S480" s="96">
        <v>7414000005</v>
      </c>
      <c r="AA480" s="131" t="s">
        <v>377</v>
      </c>
      <c r="AB480" s="130">
        <v>1122202.7049519999</v>
      </c>
      <c r="AC480" s="130">
        <v>1122202.7049519999</v>
      </c>
    </row>
    <row r="481" spans="1:29" x14ac:dyDescent="0.25">
      <c r="A481" t="str">
        <f t="shared" si="8"/>
        <v xml:space="preserve">1034042RSP *               </v>
      </c>
      <c r="B481" s="96">
        <v>1034042</v>
      </c>
      <c r="C481" s="96" t="s">
        <v>694</v>
      </c>
      <c r="D481" s="96" t="s">
        <v>501</v>
      </c>
      <c r="E481" s="96" t="s">
        <v>623</v>
      </c>
      <c r="F481" s="96" t="s">
        <v>624</v>
      </c>
      <c r="G481" s="99">
        <v>0</v>
      </c>
      <c r="H481" s="97">
        <v>0</v>
      </c>
      <c r="I481" s="98">
        <v>0</v>
      </c>
      <c r="J481" s="97">
        <v>0</v>
      </c>
      <c r="K481" s="98">
        <v>0</v>
      </c>
      <c r="L481" s="99">
        <v>0</v>
      </c>
      <c r="M481" s="98">
        <v>0</v>
      </c>
      <c r="N481" s="99">
        <v>0</v>
      </c>
      <c r="O481" s="98">
        <v>0</v>
      </c>
      <c r="P481" s="99">
        <v>0</v>
      </c>
      <c r="Q481" s="98">
        <v>0</v>
      </c>
      <c r="R481" s="96" t="s">
        <v>625</v>
      </c>
      <c r="S481" s="96">
        <v>7414000005</v>
      </c>
      <c r="AA481" s="131" t="s">
        <v>392</v>
      </c>
      <c r="AB481" s="130">
        <v>1016162.66752</v>
      </c>
      <c r="AC481" s="130">
        <v>1016162.66752</v>
      </c>
    </row>
    <row r="482" spans="1:29" x14ac:dyDescent="0.25">
      <c r="A482" t="str">
        <f t="shared" si="8"/>
        <v xml:space="preserve">1034042SAM-RVG E           </v>
      </c>
      <c r="B482" s="96">
        <v>1034042</v>
      </c>
      <c r="C482" s="96" t="s">
        <v>694</v>
      </c>
      <c r="D482" s="96" t="s">
        <v>505</v>
      </c>
      <c r="E482" s="96" t="s">
        <v>623</v>
      </c>
      <c r="F482" s="96" t="s">
        <v>624</v>
      </c>
      <c r="G482" s="99">
        <v>77169979</v>
      </c>
      <c r="H482" s="97">
        <v>3.6931539999999998</v>
      </c>
      <c r="I482" s="98">
        <v>285000616.62376601</v>
      </c>
      <c r="J482" s="97">
        <v>3.3742835966043221</v>
      </c>
      <c r="K482" s="98">
        <v>24607222.333765998</v>
      </c>
      <c r="L482" s="99">
        <v>0</v>
      </c>
      <c r="M482" s="98">
        <v>0</v>
      </c>
      <c r="N482" s="99">
        <v>0</v>
      </c>
      <c r="O482" s="98">
        <v>0</v>
      </c>
      <c r="P482" s="99">
        <v>77169979</v>
      </c>
      <c r="Q482" s="98">
        <v>285000616.62376601</v>
      </c>
      <c r="R482" s="96" t="s">
        <v>625</v>
      </c>
      <c r="S482" s="96">
        <v>7414000005</v>
      </c>
      <c r="AA482" s="131" t="s">
        <v>386</v>
      </c>
      <c r="AB482" s="130">
        <v>1741872.1883070001</v>
      </c>
      <c r="AC482" s="130">
        <v>1741872.1883070001</v>
      </c>
    </row>
    <row r="483" spans="1:29" x14ac:dyDescent="0.25">
      <c r="A483" t="str">
        <f t="shared" si="8"/>
        <v xml:space="preserve">1034042SPSM *              </v>
      </c>
      <c r="B483" s="96">
        <v>1034042</v>
      </c>
      <c r="C483" s="96" t="s">
        <v>694</v>
      </c>
      <c r="D483" s="96" t="s">
        <v>393</v>
      </c>
      <c r="E483" s="96" t="s">
        <v>623</v>
      </c>
      <c r="F483" s="96" t="s">
        <v>624</v>
      </c>
      <c r="G483" s="99">
        <v>107401</v>
      </c>
      <c r="H483" s="97">
        <v>765.92388300000005</v>
      </c>
      <c r="I483" s="98">
        <v>82260990.958083004</v>
      </c>
      <c r="J483" s="97">
        <v>774.55908295999996</v>
      </c>
      <c r="K483" s="98">
        <v>-927429.11090395995</v>
      </c>
      <c r="L483" s="99">
        <v>0</v>
      </c>
      <c r="M483" s="98">
        <v>0</v>
      </c>
      <c r="N483" s="99">
        <v>0</v>
      </c>
      <c r="O483" s="98">
        <v>0</v>
      </c>
      <c r="P483" s="99">
        <v>107401</v>
      </c>
      <c r="Q483" s="98">
        <v>82260990.958083004</v>
      </c>
      <c r="R483" s="96" t="s">
        <v>625</v>
      </c>
      <c r="S483" s="96">
        <v>7414000005</v>
      </c>
      <c r="AA483" s="131" t="s">
        <v>363</v>
      </c>
      <c r="AB483" s="130">
        <v>1387535.35414</v>
      </c>
      <c r="AC483" s="130">
        <v>1387535.35414</v>
      </c>
    </row>
    <row r="484" spans="1:29" x14ac:dyDescent="0.25">
      <c r="A484" t="str">
        <f t="shared" si="8"/>
        <v xml:space="preserve">1034042STER-OP E3          </v>
      </c>
      <c r="B484" s="96">
        <v>1034042</v>
      </c>
      <c r="C484" s="96" t="s">
        <v>694</v>
      </c>
      <c r="D484" s="96" t="s">
        <v>394</v>
      </c>
      <c r="E484" s="96" t="s">
        <v>623</v>
      </c>
      <c r="F484" s="96" t="s">
        <v>624</v>
      </c>
      <c r="G484" s="99">
        <v>155820</v>
      </c>
      <c r="H484" s="97">
        <v>684.88915799999995</v>
      </c>
      <c r="I484" s="98">
        <v>106719428.59955999</v>
      </c>
      <c r="J484" s="97">
        <v>678.82988460126592</v>
      </c>
      <c r="K484" s="98">
        <v>944155.98099075002</v>
      </c>
      <c r="L484" s="99">
        <v>0</v>
      </c>
      <c r="M484" s="98">
        <v>0</v>
      </c>
      <c r="N484" s="99">
        <v>0</v>
      </c>
      <c r="O484" s="98">
        <v>0</v>
      </c>
      <c r="P484" s="99">
        <v>155820</v>
      </c>
      <c r="Q484" s="98">
        <v>106719428.59955999</v>
      </c>
      <c r="R484" s="96" t="s">
        <v>625</v>
      </c>
      <c r="S484" s="96">
        <v>7414000005</v>
      </c>
      <c r="AA484" s="131" t="s">
        <v>409</v>
      </c>
      <c r="AB484" s="130">
        <v>1858854.7267799999</v>
      </c>
      <c r="AC484" s="130">
        <v>1858854.7267799999</v>
      </c>
    </row>
    <row r="485" spans="1:29" x14ac:dyDescent="0.25">
      <c r="A485" t="str">
        <f t="shared" si="8"/>
        <v xml:space="preserve">1034042UDIBONO 281130      </v>
      </c>
      <c r="B485" s="96">
        <v>1034042</v>
      </c>
      <c r="C485" s="96" t="s">
        <v>694</v>
      </c>
      <c r="D485" s="96" t="s">
        <v>395</v>
      </c>
      <c r="E485" s="96" t="s">
        <v>623</v>
      </c>
      <c r="F485" s="96" t="s">
        <v>624</v>
      </c>
      <c r="G485" s="99">
        <v>113092</v>
      </c>
      <c r="H485" s="97">
        <v>772.926965</v>
      </c>
      <c r="I485" s="98">
        <v>87411856.325780004</v>
      </c>
      <c r="J485" s="97">
        <v>784.86759003999998</v>
      </c>
      <c r="K485" s="98">
        <v>-1350389.1670236799</v>
      </c>
      <c r="L485" s="99">
        <v>0</v>
      </c>
      <c r="M485" s="98">
        <v>0</v>
      </c>
      <c r="N485" s="99">
        <v>0</v>
      </c>
      <c r="O485" s="98">
        <v>0</v>
      </c>
      <c r="P485" s="99">
        <v>113092</v>
      </c>
      <c r="Q485" s="98">
        <v>87411856.325780004</v>
      </c>
      <c r="R485" s="96" t="s">
        <v>625</v>
      </c>
      <c r="S485" s="96">
        <v>7414000005</v>
      </c>
      <c r="AA485" s="131" t="s">
        <v>383</v>
      </c>
      <c r="AB485" s="130">
        <v>668889.71328000003</v>
      </c>
      <c r="AC485" s="130">
        <v>668889.71328000003</v>
      </c>
    </row>
    <row r="486" spans="1:29" x14ac:dyDescent="0.25">
      <c r="A486" t="str">
        <f t="shared" si="8"/>
        <v xml:space="preserve">1034042UDIBONO 311127      </v>
      </c>
      <c r="B486" s="96">
        <v>1034042</v>
      </c>
      <c r="C486" s="96" t="s">
        <v>694</v>
      </c>
      <c r="D486" s="96" t="s">
        <v>396</v>
      </c>
      <c r="E486" s="96" t="s">
        <v>623</v>
      </c>
      <c r="F486" s="96" t="s">
        <v>624</v>
      </c>
      <c r="G486" s="99">
        <v>107848</v>
      </c>
      <c r="H486" s="97">
        <v>721.59464000000003</v>
      </c>
      <c r="I486" s="98">
        <v>77822538.734720007</v>
      </c>
      <c r="J486" s="97">
        <v>731.96325825999998</v>
      </c>
      <c r="K486" s="98">
        <v>-1118234.74210448</v>
      </c>
      <c r="L486" s="99">
        <v>0</v>
      </c>
      <c r="M486" s="98">
        <v>0</v>
      </c>
      <c r="N486" s="99">
        <v>0</v>
      </c>
      <c r="O486" s="98">
        <v>0</v>
      </c>
      <c r="P486" s="99">
        <v>107848</v>
      </c>
      <c r="Q486" s="98">
        <v>77822538.734720007</v>
      </c>
      <c r="R486" s="96" t="s">
        <v>625</v>
      </c>
      <c r="S486" s="96">
        <v>7414000005</v>
      </c>
      <c r="AA486" s="131" t="s">
        <v>364</v>
      </c>
      <c r="AB486" s="130">
        <v>2297166.6445200001</v>
      </c>
      <c r="AC486" s="130">
        <v>2297166.6445200001</v>
      </c>
    </row>
    <row r="487" spans="1:29" x14ac:dyDescent="0.25">
      <c r="A487" t="str">
        <f t="shared" si="8"/>
        <v xml:space="preserve">1034042UDIBONO 351122      </v>
      </c>
      <c r="B487" s="96">
        <v>1034042</v>
      </c>
      <c r="C487" s="96" t="s">
        <v>694</v>
      </c>
      <c r="D487" s="96" t="s">
        <v>397</v>
      </c>
      <c r="E487" s="96" t="s">
        <v>623</v>
      </c>
      <c r="F487" s="96" t="s">
        <v>624</v>
      </c>
      <c r="G487" s="99">
        <v>52000</v>
      </c>
      <c r="H487" s="97">
        <v>635.96311900000001</v>
      </c>
      <c r="I487" s="98">
        <v>33070082.188000001</v>
      </c>
      <c r="J487" s="97">
        <v>647.65876318000005</v>
      </c>
      <c r="K487" s="98">
        <v>-608173.49736000004</v>
      </c>
      <c r="L487" s="99">
        <v>0</v>
      </c>
      <c r="M487" s="98">
        <v>0</v>
      </c>
      <c r="N487" s="99">
        <v>0</v>
      </c>
      <c r="O487" s="98">
        <v>0</v>
      </c>
      <c r="P487" s="99">
        <v>52000</v>
      </c>
      <c r="Q487" s="98">
        <v>33070082.188000001</v>
      </c>
      <c r="R487" s="96" t="s">
        <v>625</v>
      </c>
      <c r="S487" s="96">
        <v>7414000005</v>
      </c>
      <c r="AA487" s="131" t="s">
        <v>397</v>
      </c>
      <c r="AB487" s="130">
        <v>405744.46992200002</v>
      </c>
      <c r="AC487" s="130">
        <v>405744.46992200002</v>
      </c>
    </row>
    <row r="488" spans="1:29" x14ac:dyDescent="0.25">
      <c r="A488" t="str">
        <f t="shared" si="8"/>
        <v xml:space="preserve">1034042UDIBONO 401115      </v>
      </c>
      <c r="B488" s="96">
        <v>1034042</v>
      </c>
      <c r="C488" s="96" t="s">
        <v>694</v>
      </c>
      <c r="D488" s="96" t="s">
        <v>398</v>
      </c>
      <c r="E488" s="96" t="s">
        <v>623</v>
      </c>
      <c r="F488" s="96" t="s">
        <v>624</v>
      </c>
      <c r="G488" s="99">
        <v>82137</v>
      </c>
      <c r="H488" s="97">
        <v>709.36974099999998</v>
      </c>
      <c r="I488" s="98">
        <v>58265502.416516997</v>
      </c>
      <c r="J488" s="97">
        <v>721.00412080537751</v>
      </c>
      <c r="K488" s="98">
        <v>-955613.05407428998</v>
      </c>
      <c r="L488" s="99">
        <v>0</v>
      </c>
      <c r="M488" s="98">
        <v>0</v>
      </c>
      <c r="N488" s="99">
        <v>0</v>
      </c>
      <c r="O488" s="98">
        <v>0</v>
      </c>
      <c r="P488" s="99">
        <v>82137</v>
      </c>
      <c r="Q488" s="98">
        <v>58265502.416516997</v>
      </c>
      <c r="R488" s="96" t="s">
        <v>625</v>
      </c>
      <c r="S488" s="96">
        <v>7414000005</v>
      </c>
      <c r="AA488" s="131" t="s">
        <v>507</v>
      </c>
      <c r="AB488" s="130">
        <v>683022.00959999999</v>
      </c>
      <c r="AC488" s="130">
        <v>683022.00959999999</v>
      </c>
    </row>
    <row r="489" spans="1:29" x14ac:dyDescent="0.25">
      <c r="A489" t="str">
        <f t="shared" si="8"/>
        <v xml:space="preserve">1034042UDIBONO 431112      </v>
      </c>
      <c r="B489" s="96">
        <v>1034042</v>
      </c>
      <c r="C489" s="96" t="s">
        <v>694</v>
      </c>
      <c r="D489" s="96" t="s">
        <v>399</v>
      </c>
      <c r="E489" s="96" t="s">
        <v>623</v>
      </c>
      <c r="F489" s="96" t="s">
        <v>624</v>
      </c>
      <c r="G489" s="99">
        <v>138946</v>
      </c>
      <c r="H489" s="97">
        <v>694.41118700000004</v>
      </c>
      <c r="I489" s="98">
        <v>96485656.788902</v>
      </c>
      <c r="J489" s="97">
        <v>710.43343324</v>
      </c>
      <c r="K489" s="98">
        <v>-2226227.0260630399</v>
      </c>
      <c r="L489" s="99">
        <v>0</v>
      </c>
      <c r="M489" s="98">
        <v>0</v>
      </c>
      <c r="N489" s="99">
        <v>0</v>
      </c>
      <c r="O489" s="98">
        <v>0</v>
      </c>
      <c r="P489" s="99">
        <v>138946</v>
      </c>
      <c r="Q489" s="98">
        <v>96485656.788902</v>
      </c>
      <c r="R489" s="96" t="s">
        <v>625</v>
      </c>
      <c r="S489" s="96">
        <v>7414000005</v>
      </c>
      <c r="AA489" s="131" t="s">
        <v>554</v>
      </c>
      <c r="AB489" s="130">
        <v>580576.18377</v>
      </c>
      <c r="AC489" s="130">
        <v>580576.18377</v>
      </c>
    </row>
    <row r="490" spans="1:29" x14ac:dyDescent="0.25">
      <c r="A490" t="str">
        <f t="shared" si="8"/>
        <v xml:space="preserve">1034042UDIBONO 461108      </v>
      </c>
      <c r="B490" s="96">
        <v>1034042</v>
      </c>
      <c r="C490" s="96" t="s">
        <v>694</v>
      </c>
      <c r="D490" s="96" t="s">
        <v>465</v>
      </c>
      <c r="E490" s="96" t="s">
        <v>623</v>
      </c>
      <c r="F490" s="96" t="s">
        <v>624</v>
      </c>
      <c r="G490" s="99">
        <v>73776247</v>
      </c>
      <c r="H490" s="97">
        <v>2.424715</v>
      </c>
      <c r="I490" s="98">
        <v>178886372.744605</v>
      </c>
      <c r="J490" s="97">
        <v>1.7600941960357512</v>
      </c>
      <c r="K490" s="98">
        <v>49033228.594604999</v>
      </c>
      <c r="L490" s="99">
        <v>0</v>
      </c>
      <c r="M490" s="98">
        <v>0</v>
      </c>
      <c r="N490" s="99">
        <v>0</v>
      </c>
      <c r="O490" s="98">
        <v>0</v>
      </c>
      <c r="P490" s="99">
        <v>73776247</v>
      </c>
      <c r="Q490" s="98">
        <v>178886372.744605</v>
      </c>
      <c r="R490" s="96" t="s">
        <v>625</v>
      </c>
      <c r="S490" s="96">
        <v>7414000005</v>
      </c>
      <c r="AA490" s="131" t="s">
        <v>613</v>
      </c>
      <c r="AB490" s="130">
        <v>1166534.2619</v>
      </c>
      <c r="AC490" s="130">
        <v>1166534.2619</v>
      </c>
    </row>
    <row r="491" spans="1:29" x14ac:dyDescent="0.25">
      <c r="A491" t="str">
        <f t="shared" si="8"/>
        <v xml:space="preserve">1034042UDIBONO 501103      </v>
      </c>
      <c r="B491" s="96">
        <v>1034042</v>
      </c>
      <c r="C491" s="96" t="s">
        <v>694</v>
      </c>
      <c r="D491" s="96" t="s">
        <v>438</v>
      </c>
      <c r="E491" s="96" t="s">
        <v>623</v>
      </c>
      <c r="F491" s="96" t="s">
        <v>624</v>
      </c>
      <c r="G491" s="99">
        <v>113110</v>
      </c>
      <c r="H491" s="97">
        <v>100.04252700000001</v>
      </c>
      <c r="I491" s="98">
        <v>11315810.228970001</v>
      </c>
      <c r="J491" s="97">
        <v>100</v>
      </c>
      <c r="K491" s="98">
        <v>4810.2289700000001</v>
      </c>
      <c r="L491" s="99">
        <v>0</v>
      </c>
      <c r="M491" s="98">
        <v>0</v>
      </c>
      <c r="N491" s="99">
        <v>0</v>
      </c>
      <c r="O491" s="98">
        <v>0</v>
      </c>
      <c r="P491" s="99">
        <v>113110</v>
      </c>
      <c r="Q491" s="98">
        <v>11315810.228970001</v>
      </c>
      <c r="R491" s="96" t="s">
        <v>625</v>
      </c>
      <c r="S491" s="96">
        <v>7414000005</v>
      </c>
      <c r="AA491" s="129">
        <v>152974</v>
      </c>
      <c r="AB491" s="130">
        <v>45561979.920111999</v>
      </c>
      <c r="AC491" s="130">
        <v>45561979.920111999</v>
      </c>
    </row>
    <row r="492" spans="1:29" x14ac:dyDescent="0.25">
      <c r="A492" t="str">
        <f t="shared" si="8"/>
        <v xml:space="preserve">1034042USA-EQ ED           </v>
      </c>
      <c r="B492" s="96">
        <v>1034700</v>
      </c>
      <c r="C492" s="96" t="s">
        <v>695</v>
      </c>
      <c r="D492" s="96" t="s">
        <v>419</v>
      </c>
      <c r="E492" s="96" t="s">
        <v>623</v>
      </c>
      <c r="F492" s="96" t="s">
        <v>624</v>
      </c>
      <c r="G492" s="99">
        <v>0</v>
      </c>
      <c r="H492" s="97">
        <v>0</v>
      </c>
      <c r="I492" s="98">
        <v>0</v>
      </c>
      <c r="J492" s="97">
        <v>0</v>
      </c>
      <c r="K492" s="98">
        <v>0</v>
      </c>
      <c r="L492" s="99">
        <v>0</v>
      </c>
      <c r="M492" s="98">
        <v>0</v>
      </c>
      <c r="N492" s="99">
        <v>0</v>
      </c>
      <c r="O492" s="98">
        <v>0</v>
      </c>
      <c r="P492" s="99">
        <v>0</v>
      </c>
      <c r="Q492" s="98">
        <v>0</v>
      </c>
      <c r="R492" s="96" t="s">
        <v>625</v>
      </c>
      <c r="S492" s="96">
        <v>7414000005</v>
      </c>
      <c r="AA492" s="131" t="s">
        <v>376</v>
      </c>
      <c r="AB492" s="130">
        <v>791796.53904399998</v>
      </c>
      <c r="AC492" s="130">
        <v>791796.53904399998</v>
      </c>
    </row>
    <row r="493" spans="1:29" x14ac:dyDescent="0.25">
      <c r="A493" t="str">
        <f t="shared" si="8"/>
        <v xml:space="preserve">1034042VWLEASE 22-2        </v>
      </c>
      <c r="B493" s="96">
        <v>1034700</v>
      </c>
      <c r="C493" s="96" t="s">
        <v>695</v>
      </c>
      <c r="D493" s="96" t="s">
        <v>389</v>
      </c>
      <c r="E493" s="96" t="s">
        <v>623</v>
      </c>
      <c r="F493" s="96" t="s">
        <v>624</v>
      </c>
      <c r="G493" s="99">
        <v>1795043</v>
      </c>
      <c r="H493" s="97">
        <v>3.3967719999999999</v>
      </c>
      <c r="I493" s="98">
        <v>6097351.8011959996</v>
      </c>
      <c r="J493" s="97">
        <v>3.3902456319987877</v>
      </c>
      <c r="K493" s="98">
        <v>11715.111196</v>
      </c>
      <c r="L493" s="99">
        <v>0</v>
      </c>
      <c r="M493" s="98">
        <v>0</v>
      </c>
      <c r="N493" s="99">
        <v>0</v>
      </c>
      <c r="O493" s="98">
        <v>0</v>
      </c>
      <c r="P493" s="99">
        <v>1795043</v>
      </c>
      <c r="Q493" s="98">
        <v>6097351.8011959996</v>
      </c>
      <c r="R493" s="96" t="s">
        <v>625</v>
      </c>
      <c r="S493" s="96">
        <v>7414000005</v>
      </c>
      <c r="AA493" s="131" t="s">
        <v>378</v>
      </c>
      <c r="AB493" s="130">
        <v>553492.98606200004</v>
      </c>
      <c r="AC493" s="130">
        <v>553492.98606200004</v>
      </c>
    </row>
    <row r="494" spans="1:29" x14ac:dyDescent="0.25">
      <c r="A494" t="str">
        <f t="shared" si="8"/>
        <v xml:space="preserve">1034700IENOVA *            </v>
      </c>
      <c r="B494" s="96">
        <v>1036525</v>
      </c>
      <c r="C494" s="96" t="s">
        <v>696</v>
      </c>
      <c r="D494" s="96" t="s">
        <v>363</v>
      </c>
      <c r="E494" s="96" t="s">
        <v>623</v>
      </c>
      <c r="F494" s="96" t="s">
        <v>624</v>
      </c>
      <c r="G494" s="99">
        <v>6987</v>
      </c>
      <c r="H494" s="97">
        <v>9.4935880000000008</v>
      </c>
      <c r="I494" s="98">
        <v>66331.699355999997</v>
      </c>
      <c r="J494" s="97">
        <v>8.4405498100000003</v>
      </c>
      <c r="K494" s="98">
        <v>7357.5778335300001</v>
      </c>
      <c r="L494" s="99">
        <v>0</v>
      </c>
      <c r="M494" s="98">
        <v>0</v>
      </c>
      <c r="N494" s="99">
        <v>0</v>
      </c>
      <c r="O494" s="98">
        <v>0</v>
      </c>
      <c r="P494" s="99">
        <v>6987</v>
      </c>
      <c r="Q494" s="98">
        <v>66331.699355999997</v>
      </c>
      <c r="R494" s="96" t="s">
        <v>625</v>
      </c>
      <c r="S494" s="96">
        <v>7414000005</v>
      </c>
      <c r="AA494" s="131" t="s">
        <v>380</v>
      </c>
      <c r="AB494" s="130">
        <v>673541.83785600006</v>
      </c>
      <c r="AC494" s="130">
        <v>673541.83785600006</v>
      </c>
    </row>
    <row r="495" spans="1:29" x14ac:dyDescent="0.25">
      <c r="A495" t="str">
        <f t="shared" si="8"/>
        <v xml:space="preserve">1034700STERGOB ED          </v>
      </c>
      <c r="B495" s="96">
        <v>1036525</v>
      </c>
      <c r="C495" s="96" t="s">
        <v>696</v>
      </c>
      <c r="D495" s="96" t="s">
        <v>409</v>
      </c>
      <c r="E495" s="96" t="s">
        <v>623</v>
      </c>
      <c r="F495" s="96" t="s">
        <v>624</v>
      </c>
      <c r="G495" s="99">
        <v>9530</v>
      </c>
      <c r="H495" s="97">
        <v>9.3381629999999998</v>
      </c>
      <c r="I495" s="98">
        <v>88992.69339</v>
      </c>
      <c r="J495" s="97">
        <v>8.3307969100000001</v>
      </c>
      <c r="K495" s="98">
        <v>9600.1988376999998</v>
      </c>
      <c r="L495" s="99">
        <v>0</v>
      </c>
      <c r="M495" s="98">
        <v>0</v>
      </c>
      <c r="N495" s="99">
        <v>0</v>
      </c>
      <c r="O495" s="98">
        <v>0</v>
      </c>
      <c r="P495" s="99">
        <v>9530</v>
      </c>
      <c r="Q495" s="98">
        <v>88992.69339</v>
      </c>
      <c r="R495" s="96" t="s">
        <v>625</v>
      </c>
      <c r="S495" s="96">
        <v>7414000005</v>
      </c>
      <c r="AA495" s="131" t="s">
        <v>382</v>
      </c>
      <c r="AB495" s="130">
        <v>943218.96109999996</v>
      </c>
      <c r="AC495" s="130">
        <v>943218.96109999996</v>
      </c>
    </row>
    <row r="496" spans="1:29" x14ac:dyDescent="0.25">
      <c r="A496" t="str">
        <f t="shared" si="8"/>
        <v xml:space="preserve">1036525CETES 241003        </v>
      </c>
      <c r="B496" s="96">
        <v>1036525</v>
      </c>
      <c r="C496" s="96" t="s">
        <v>696</v>
      </c>
      <c r="D496" s="96" t="s">
        <v>364</v>
      </c>
      <c r="E496" s="96" t="s">
        <v>623</v>
      </c>
      <c r="F496" s="96" t="s">
        <v>624</v>
      </c>
      <c r="G496" s="99">
        <v>11810</v>
      </c>
      <c r="H496" s="97">
        <v>9.190137</v>
      </c>
      <c r="I496" s="98">
        <v>108535.51797</v>
      </c>
      <c r="J496" s="97">
        <v>8.2167848896359015</v>
      </c>
      <c r="K496" s="98">
        <v>11495.288423399999</v>
      </c>
      <c r="L496" s="99">
        <v>0</v>
      </c>
      <c r="M496" s="98">
        <v>0</v>
      </c>
      <c r="N496" s="99">
        <v>0</v>
      </c>
      <c r="O496" s="98">
        <v>0</v>
      </c>
      <c r="P496" s="99">
        <v>11810</v>
      </c>
      <c r="Q496" s="98">
        <v>108535.51797</v>
      </c>
      <c r="R496" s="96" t="s">
        <v>625</v>
      </c>
      <c r="S496" s="96">
        <v>7414000005</v>
      </c>
      <c r="AA496" s="131" t="s">
        <v>427</v>
      </c>
      <c r="AB496" s="130">
        <v>3575248.3798380001</v>
      </c>
      <c r="AC496" s="130">
        <v>3575248.3798380001</v>
      </c>
    </row>
    <row r="497" spans="1:29" x14ac:dyDescent="0.25">
      <c r="A497" t="str">
        <f t="shared" si="8"/>
        <v xml:space="preserve">1036525CETES 241128        </v>
      </c>
      <c r="B497" s="96">
        <v>1036525</v>
      </c>
      <c r="C497" s="96" t="s">
        <v>696</v>
      </c>
      <c r="D497" s="96" t="s">
        <v>554</v>
      </c>
      <c r="E497" s="96" t="s">
        <v>623</v>
      </c>
      <c r="F497" s="96" t="s">
        <v>624</v>
      </c>
      <c r="G497" s="99">
        <v>3060</v>
      </c>
      <c r="H497" s="97">
        <v>8.3813510000000004</v>
      </c>
      <c r="I497" s="98">
        <v>25646.93406</v>
      </c>
      <c r="J497" s="97">
        <v>8.2700011300000007</v>
      </c>
      <c r="K497" s="98">
        <v>340.73060220000002</v>
      </c>
      <c r="L497" s="99">
        <v>0</v>
      </c>
      <c r="M497" s="98">
        <v>0</v>
      </c>
      <c r="N497" s="99">
        <v>0</v>
      </c>
      <c r="O497" s="98">
        <v>0</v>
      </c>
      <c r="P497" s="99">
        <v>3060</v>
      </c>
      <c r="Q497" s="98">
        <v>25646.93406</v>
      </c>
      <c r="R497" s="96" t="s">
        <v>625</v>
      </c>
      <c r="S497" s="96">
        <v>7414000005</v>
      </c>
      <c r="AA497" s="131" t="s">
        <v>418</v>
      </c>
      <c r="AB497" s="130">
        <v>47479.052087999997</v>
      </c>
      <c r="AC497" s="130">
        <v>47479.052087999997</v>
      </c>
    </row>
    <row r="498" spans="1:29" x14ac:dyDescent="0.25">
      <c r="A498" t="str">
        <f t="shared" si="8"/>
        <v xml:space="preserve">1036525CETES 250123        </v>
      </c>
      <c r="B498" s="96">
        <v>1036525</v>
      </c>
      <c r="C498" s="96" t="s">
        <v>696</v>
      </c>
      <c r="D498" s="96" t="s">
        <v>613</v>
      </c>
      <c r="E498" s="96" t="s">
        <v>623</v>
      </c>
      <c r="F498" s="96" t="s">
        <v>624</v>
      </c>
      <c r="G498" s="99">
        <v>6190</v>
      </c>
      <c r="H498" s="97">
        <v>8.2580650000000002</v>
      </c>
      <c r="I498" s="98">
        <v>51117.422350000001</v>
      </c>
      <c r="J498" s="97">
        <v>8.2501711100000001</v>
      </c>
      <c r="K498" s="98">
        <v>48.863179100000004</v>
      </c>
      <c r="L498" s="99">
        <v>0</v>
      </c>
      <c r="M498" s="98">
        <v>0</v>
      </c>
      <c r="N498" s="99">
        <v>0</v>
      </c>
      <c r="O498" s="98">
        <v>0</v>
      </c>
      <c r="P498" s="99">
        <v>6190</v>
      </c>
      <c r="Q498" s="98">
        <v>51117.422350000001</v>
      </c>
      <c r="R498" s="96" t="s">
        <v>625</v>
      </c>
      <c r="S498" s="96">
        <v>7414000005</v>
      </c>
      <c r="AA498" s="131" t="s">
        <v>408</v>
      </c>
      <c r="AB498" s="130">
        <v>50917.321695999999</v>
      </c>
      <c r="AC498" s="130">
        <v>50917.321695999999</v>
      </c>
    </row>
    <row r="499" spans="1:29" x14ac:dyDescent="0.25">
      <c r="A499" t="str">
        <f t="shared" si="8"/>
        <v xml:space="preserve">1036525CETES 251224        </v>
      </c>
      <c r="B499" s="96">
        <v>1036525</v>
      </c>
      <c r="C499" s="96" t="s">
        <v>696</v>
      </c>
      <c r="D499" s="96" t="s">
        <v>375</v>
      </c>
      <c r="E499" s="96" t="s">
        <v>623</v>
      </c>
      <c r="F499" s="96" t="s">
        <v>624</v>
      </c>
      <c r="G499" s="99">
        <v>220</v>
      </c>
      <c r="H499" s="97">
        <v>98.730349000000004</v>
      </c>
      <c r="I499" s="98">
        <v>21720.676780000002</v>
      </c>
      <c r="J499" s="97">
        <v>104.68824137999999</v>
      </c>
      <c r="K499" s="98">
        <v>-1310.7363236000001</v>
      </c>
      <c r="L499" s="99">
        <v>0</v>
      </c>
      <c r="M499" s="98">
        <v>0</v>
      </c>
      <c r="N499" s="99">
        <v>0</v>
      </c>
      <c r="O499" s="98">
        <v>0</v>
      </c>
      <c r="P499" s="99">
        <v>220</v>
      </c>
      <c r="Q499" s="98">
        <v>21720.676780000002</v>
      </c>
      <c r="R499" s="96" t="s">
        <v>625</v>
      </c>
      <c r="S499" s="96">
        <v>7414000005</v>
      </c>
      <c r="AA499" s="131" t="s">
        <v>384</v>
      </c>
      <c r="AB499" s="130">
        <v>1068408.63906</v>
      </c>
      <c r="AC499" s="130">
        <v>1068408.63906</v>
      </c>
    </row>
    <row r="500" spans="1:29" x14ac:dyDescent="0.25">
      <c r="A500" t="str">
        <f t="shared" si="8"/>
        <v xml:space="preserve">1036525CETES 260219        </v>
      </c>
      <c r="B500" s="96">
        <v>1036525</v>
      </c>
      <c r="C500" s="96" t="s">
        <v>696</v>
      </c>
      <c r="D500" s="96" t="s">
        <v>376</v>
      </c>
      <c r="E500" s="96" t="s">
        <v>623</v>
      </c>
      <c r="F500" s="96" t="s">
        <v>624</v>
      </c>
      <c r="G500" s="99">
        <v>368</v>
      </c>
      <c r="H500" s="97">
        <v>99.247497999999993</v>
      </c>
      <c r="I500" s="98">
        <v>36523.079264</v>
      </c>
      <c r="J500" s="97">
        <v>116.19270716163044</v>
      </c>
      <c r="K500" s="98">
        <v>-6235.8369714800001</v>
      </c>
      <c r="L500" s="99">
        <v>0</v>
      </c>
      <c r="M500" s="98">
        <v>0</v>
      </c>
      <c r="N500" s="99">
        <v>0</v>
      </c>
      <c r="O500" s="98">
        <v>0</v>
      </c>
      <c r="P500" s="99">
        <v>368</v>
      </c>
      <c r="Q500" s="98">
        <v>36523.079264</v>
      </c>
      <c r="R500" s="96" t="s">
        <v>625</v>
      </c>
      <c r="S500" s="96">
        <v>7414000005</v>
      </c>
      <c r="AA500" s="131" t="s">
        <v>389</v>
      </c>
      <c r="AB500" s="130">
        <v>7389320.8249399997</v>
      </c>
      <c r="AC500" s="130">
        <v>7389320.8249399997</v>
      </c>
    </row>
    <row r="501" spans="1:29" x14ac:dyDescent="0.25">
      <c r="A501" t="str">
        <f t="shared" si="8"/>
        <v xml:space="preserve">1036525GOBFED 240905       </v>
      </c>
      <c r="B501" s="96">
        <v>1036525</v>
      </c>
      <c r="C501" s="96" t="s">
        <v>696</v>
      </c>
      <c r="D501" s="96" t="s">
        <v>377</v>
      </c>
      <c r="E501" s="96" t="s">
        <v>623</v>
      </c>
      <c r="F501" s="96" t="s">
        <v>624</v>
      </c>
      <c r="G501" s="99">
        <v>587</v>
      </c>
      <c r="H501" s="97">
        <v>94.973146999999997</v>
      </c>
      <c r="I501" s="98">
        <v>55749.237288999997</v>
      </c>
      <c r="J501" s="97">
        <v>90.009801730902893</v>
      </c>
      <c r="K501" s="98">
        <v>2913.4836729600001</v>
      </c>
      <c r="L501" s="99">
        <v>0</v>
      </c>
      <c r="M501" s="98">
        <v>0</v>
      </c>
      <c r="N501" s="99">
        <v>0</v>
      </c>
      <c r="O501" s="98">
        <v>0</v>
      </c>
      <c r="P501" s="99">
        <v>587</v>
      </c>
      <c r="Q501" s="98">
        <v>55749.237288999997</v>
      </c>
      <c r="R501" s="96" t="s">
        <v>625</v>
      </c>
      <c r="S501" s="96">
        <v>7414000005</v>
      </c>
      <c r="AA501" s="131" t="s">
        <v>391</v>
      </c>
      <c r="AB501" s="130">
        <v>636067.26534000004</v>
      </c>
      <c r="AC501" s="130">
        <v>636067.26534000004</v>
      </c>
    </row>
    <row r="502" spans="1:29" x14ac:dyDescent="0.25">
      <c r="A502" t="str">
        <f t="shared" si="8"/>
        <v xml:space="preserve">1036525GOBFED 241205       </v>
      </c>
      <c r="B502" s="96">
        <v>1036525</v>
      </c>
      <c r="C502" s="96" t="s">
        <v>696</v>
      </c>
      <c r="D502" s="96" t="s">
        <v>378</v>
      </c>
      <c r="E502" s="96" t="s">
        <v>623</v>
      </c>
      <c r="F502" s="96" t="s">
        <v>624</v>
      </c>
      <c r="G502" s="99">
        <v>349</v>
      </c>
      <c r="H502" s="97">
        <v>91.911821000000003</v>
      </c>
      <c r="I502" s="98">
        <v>32077.225528999999</v>
      </c>
      <c r="J502" s="97">
        <v>93.2088459</v>
      </c>
      <c r="K502" s="98">
        <v>-452.66169009999999</v>
      </c>
      <c r="L502" s="99">
        <v>0</v>
      </c>
      <c r="M502" s="98">
        <v>0</v>
      </c>
      <c r="N502" s="99">
        <v>0</v>
      </c>
      <c r="O502" s="98">
        <v>0</v>
      </c>
      <c r="P502" s="99">
        <v>349</v>
      </c>
      <c r="Q502" s="98">
        <v>32077.225528999999</v>
      </c>
      <c r="R502" s="96" t="s">
        <v>625</v>
      </c>
      <c r="S502" s="96">
        <v>7414000005</v>
      </c>
      <c r="AA502" s="131" t="s">
        <v>395</v>
      </c>
      <c r="AB502" s="130">
        <v>428201.53860999999</v>
      </c>
      <c r="AC502" s="130">
        <v>428201.53860999999</v>
      </c>
    </row>
    <row r="503" spans="1:29" x14ac:dyDescent="0.25">
      <c r="A503" t="str">
        <f t="shared" si="8"/>
        <v xml:space="preserve">1036525GOBFED 250306       </v>
      </c>
      <c r="B503" s="96">
        <v>1036525</v>
      </c>
      <c r="C503" s="96" t="s">
        <v>696</v>
      </c>
      <c r="D503" s="96" t="s">
        <v>379</v>
      </c>
      <c r="E503" s="96" t="s">
        <v>623</v>
      </c>
      <c r="F503" s="96" t="s">
        <v>624</v>
      </c>
      <c r="G503" s="99">
        <v>344</v>
      </c>
      <c r="H503" s="97">
        <v>88.698122999999995</v>
      </c>
      <c r="I503" s="98">
        <v>30512.154311999999</v>
      </c>
      <c r="J503" s="97">
        <v>85.661432169622088</v>
      </c>
      <c r="K503" s="98">
        <v>1044.6216456499999</v>
      </c>
      <c r="L503" s="99">
        <v>0</v>
      </c>
      <c r="M503" s="98">
        <v>0</v>
      </c>
      <c r="N503" s="99">
        <v>0</v>
      </c>
      <c r="O503" s="98">
        <v>0</v>
      </c>
      <c r="P503" s="99">
        <v>344</v>
      </c>
      <c r="Q503" s="98">
        <v>30512.154311999999</v>
      </c>
      <c r="R503" s="96" t="s">
        <v>625</v>
      </c>
      <c r="S503" s="96">
        <v>7414000005</v>
      </c>
      <c r="AA503" s="131" t="s">
        <v>396</v>
      </c>
      <c r="AB503" s="130">
        <v>414916.91800000001</v>
      </c>
      <c r="AC503" s="130">
        <v>414916.91800000001</v>
      </c>
    </row>
    <row r="504" spans="1:29" x14ac:dyDescent="0.25">
      <c r="A504" t="str">
        <f t="shared" si="8"/>
        <v xml:space="preserve">1036525GOBFED 260305       </v>
      </c>
      <c r="B504" s="96">
        <v>1036525</v>
      </c>
      <c r="C504" s="96" t="s">
        <v>696</v>
      </c>
      <c r="D504" s="96" t="s">
        <v>380</v>
      </c>
      <c r="E504" s="96" t="s">
        <v>623</v>
      </c>
      <c r="F504" s="96" t="s">
        <v>624</v>
      </c>
      <c r="G504" s="99">
        <v>457</v>
      </c>
      <c r="H504" s="97">
        <v>93.314192000000006</v>
      </c>
      <c r="I504" s="98">
        <v>42644.585744000004</v>
      </c>
      <c r="J504" s="97">
        <v>84.247366270021885</v>
      </c>
      <c r="K504" s="98">
        <v>4143.5393586</v>
      </c>
      <c r="L504" s="99">
        <v>0</v>
      </c>
      <c r="M504" s="98">
        <v>0</v>
      </c>
      <c r="N504" s="99">
        <v>0</v>
      </c>
      <c r="O504" s="98">
        <v>0</v>
      </c>
      <c r="P504" s="99">
        <v>457</v>
      </c>
      <c r="Q504" s="98">
        <v>42644.585744000004</v>
      </c>
      <c r="R504" s="96" t="s">
        <v>625</v>
      </c>
      <c r="S504" s="96">
        <v>7414000005</v>
      </c>
      <c r="AA504" s="131" t="s">
        <v>398</v>
      </c>
      <c r="AB504" s="130">
        <v>644817.09456899995</v>
      </c>
      <c r="AC504" s="130">
        <v>644817.09456899995</v>
      </c>
    </row>
    <row r="505" spans="1:29" x14ac:dyDescent="0.25">
      <c r="A505" t="str">
        <f t="shared" si="8"/>
        <v xml:space="preserve">1036525GOBFED 270304       </v>
      </c>
      <c r="B505" s="96">
        <v>1036525</v>
      </c>
      <c r="C505" s="96" t="s">
        <v>696</v>
      </c>
      <c r="D505" s="96" t="s">
        <v>507</v>
      </c>
      <c r="E505" s="96" t="s">
        <v>623</v>
      </c>
      <c r="F505" s="96" t="s">
        <v>624</v>
      </c>
      <c r="G505" s="99">
        <v>320</v>
      </c>
      <c r="H505" s="97">
        <v>94.864168000000006</v>
      </c>
      <c r="I505" s="98">
        <v>30356.533759999998</v>
      </c>
      <c r="J505" s="97">
        <v>96.492442988125006</v>
      </c>
      <c r="K505" s="98">
        <v>-521.04799619999994</v>
      </c>
      <c r="L505" s="99">
        <v>0</v>
      </c>
      <c r="M505" s="98">
        <v>0</v>
      </c>
      <c r="N505" s="99">
        <v>0</v>
      </c>
      <c r="O505" s="98">
        <v>0</v>
      </c>
      <c r="P505" s="99">
        <v>320</v>
      </c>
      <c r="Q505" s="98">
        <v>30356.533759999998</v>
      </c>
      <c r="R505" s="96" t="s">
        <v>625</v>
      </c>
      <c r="S505" s="96">
        <v>7414000005</v>
      </c>
      <c r="AA505" s="131" t="s">
        <v>381</v>
      </c>
      <c r="AB505" s="130">
        <v>249034.162125</v>
      </c>
      <c r="AC505" s="130">
        <v>249034.162125</v>
      </c>
    </row>
    <row r="506" spans="1:29" x14ac:dyDescent="0.25">
      <c r="A506" t="str">
        <f t="shared" si="8"/>
        <v xml:space="preserve">1036525GOBFED 270603       </v>
      </c>
      <c r="B506" s="96">
        <v>1036525</v>
      </c>
      <c r="C506" s="96" t="s">
        <v>696</v>
      </c>
      <c r="D506" s="96" t="s">
        <v>381</v>
      </c>
      <c r="E506" s="96" t="s">
        <v>623</v>
      </c>
      <c r="F506" s="96" t="s">
        <v>624</v>
      </c>
      <c r="G506" s="99">
        <v>153</v>
      </c>
      <c r="H506" s="97">
        <v>94.870157000000006</v>
      </c>
      <c r="I506" s="98">
        <v>14515.134021</v>
      </c>
      <c r="J506" s="97">
        <v>96.692672049999999</v>
      </c>
      <c r="K506" s="98">
        <v>-278.84480265000002</v>
      </c>
      <c r="L506" s="99">
        <v>0</v>
      </c>
      <c r="M506" s="98">
        <v>0</v>
      </c>
      <c r="N506" s="99">
        <v>0</v>
      </c>
      <c r="O506" s="98">
        <v>0</v>
      </c>
      <c r="P506" s="99">
        <v>153</v>
      </c>
      <c r="Q506" s="98">
        <v>14515.134021</v>
      </c>
      <c r="R506" s="96" t="s">
        <v>625</v>
      </c>
      <c r="S506" s="96">
        <v>7414000005</v>
      </c>
      <c r="AA506" s="131" t="s">
        <v>449</v>
      </c>
      <c r="AB506" s="130">
        <v>0</v>
      </c>
      <c r="AC506" s="130">
        <v>0</v>
      </c>
    </row>
    <row r="507" spans="1:29" x14ac:dyDescent="0.25">
      <c r="A507" t="str">
        <f t="shared" si="8"/>
        <v xml:space="preserve">1036525GOBFED 290301       </v>
      </c>
      <c r="B507" s="96">
        <v>1036525</v>
      </c>
      <c r="C507" s="96" t="s">
        <v>696</v>
      </c>
      <c r="D507" s="96" t="s">
        <v>382</v>
      </c>
      <c r="E507" s="96" t="s">
        <v>623</v>
      </c>
      <c r="F507" s="96" t="s">
        <v>624</v>
      </c>
      <c r="G507" s="99">
        <v>570</v>
      </c>
      <c r="H507" s="97">
        <v>89.489464999999996</v>
      </c>
      <c r="I507" s="98">
        <v>51008.995049999998</v>
      </c>
      <c r="J507" s="97">
        <v>90.540416671052625</v>
      </c>
      <c r="K507" s="98">
        <v>-599.04245249999997</v>
      </c>
      <c r="L507" s="99">
        <v>0</v>
      </c>
      <c r="M507" s="98">
        <v>0</v>
      </c>
      <c r="N507" s="99">
        <v>0</v>
      </c>
      <c r="O507" s="98">
        <v>0</v>
      </c>
      <c r="P507" s="99">
        <v>570</v>
      </c>
      <c r="Q507" s="98">
        <v>51008.995049999998</v>
      </c>
      <c r="R507" s="96" t="s">
        <v>625</v>
      </c>
      <c r="S507" s="96">
        <v>7414000005</v>
      </c>
      <c r="AA507" s="131" t="s">
        <v>466</v>
      </c>
      <c r="AB507" s="130">
        <v>30726.013800000001</v>
      </c>
      <c r="AC507" s="130">
        <v>30726.013800000001</v>
      </c>
    </row>
    <row r="508" spans="1:29" x14ac:dyDescent="0.25">
      <c r="A508" t="str">
        <f t="shared" si="8"/>
        <v xml:space="preserve">1036525GOBFED 290531       </v>
      </c>
      <c r="B508" s="96">
        <v>1036525</v>
      </c>
      <c r="C508" s="96" t="s">
        <v>696</v>
      </c>
      <c r="D508" s="96" t="s">
        <v>383</v>
      </c>
      <c r="E508" s="96" t="s">
        <v>623</v>
      </c>
      <c r="F508" s="96" t="s">
        <v>624</v>
      </c>
      <c r="G508" s="99">
        <v>360</v>
      </c>
      <c r="H508" s="97">
        <v>86.197128000000006</v>
      </c>
      <c r="I508" s="98">
        <v>31030.966079999998</v>
      </c>
      <c r="J508" s="97">
        <v>89.903420600277784</v>
      </c>
      <c r="K508" s="98">
        <v>-1334.2653361</v>
      </c>
      <c r="L508" s="99">
        <v>0</v>
      </c>
      <c r="M508" s="98">
        <v>0</v>
      </c>
      <c r="N508" s="99">
        <v>0</v>
      </c>
      <c r="O508" s="98">
        <v>0</v>
      </c>
      <c r="P508" s="99">
        <v>360</v>
      </c>
      <c r="Q508" s="98">
        <v>31030.966079999998</v>
      </c>
      <c r="R508" s="96" t="s">
        <v>625</v>
      </c>
      <c r="S508" s="96">
        <v>7414000005</v>
      </c>
      <c r="AA508" s="131" t="s">
        <v>393</v>
      </c>
      <c r="AB508" s="130">
        <v>885408.00874800002</v>
      </c>
      <c r="AC508" s="130">
        <v>885408.00874800002</v>
      </c>
    </row>
    <row r="509" spans="1:29" x14ac:dyDescent="0.25">
      <c r="A509" t="str">
        <f t="shared" si="8"/>
        <v xml:space="preserve">1036525GOBFED 310529       </v>
      </c>
      <c r="B509" s="96">
        <v>1036525</v>
      </c>
      <c r="C509" s="96" t="s">
        <v>696</v>
      </c>
      <c r="D509" s="96" t="s">
        <v>427</v>
      </c>
      <c r="E509" s="96" t="s">
        <v>623</v>
      </c>
      <c r="F509" s="96" t="s">
        <v>624</v>
      </c>
      <c r="G509" s="99">
        <v>607</v>
      </c>
      <c r="H509" s="97">
        <v>86.469353999999996</v>
      </c>
      <c r="I509" s="98">
        <v>52486.897878000003</v>
      </c>
      <c r="J509" s="97">
        <v>92.967522502026355</v>
      </c>
      <c r="K509" s="98">
        <v>-3944.3882807300001</v>
      </c>
      <c r="L509" s="99">
        <v>0</v>
      </c>
      <c r="M509" s="98">
        <v>0</v>
      </c>
      <c r="N509" s="99">
        <v>0</v>
      </c>
      <c r="O509" s="98">
        <v>0</v>
      </c>
      <c r="P509" s="99">
        <v>607</v>
      </c>
      <c r="Q509" s="98">
        <v>52486.897878000003</v>
      </c>
      <c r="R509" s="96" t="s">
        <v>625</v>
      </c>
      <c r="S509" s="96">
        <v>7414000005</v>
      </c>
      <c r="AA509" s="131" t="s">
        <v>385</v>
      </c>
      <c r="AB509" s="130">
        <v>156667.03296300001</v>
      </c>
      <c r="AC509" s="130">
        <v>156667.03296300001</v>
      </c>
    </row>
    <row r="510" spans="1:29" x14ac:dyDescent="0.25">
      <c r="A510" t="str">
        <f t="shared" si="8"/>
        <v xml:space="preserve">1036525GOBFED 330526       </v>
      </c>
      <c r="B510" s="96">
        <v>1036525</v>
      </c>
      <c r="C510" s="96" t="s">
        <v>696</v>
      </c>
      <c r="D510" s="96" t="s">
        <v>418</v>
      </c>
      <c r="E510" s="96" t="s">
        <v>623</v>
      </c>
      <c r="F510" s="96" t="s">
        <v>624</v>
      </c>
      <c r="G510" s="99">
        <v>12</v>
      </c>
      <c r="H510" s="97">
        <v>101.45096599999999</v>
      </c>
      <c r="I510" s="98">
        <v>1217.4115919999999</v>
      </c>
      <c r="J510" s="97">
        <v>126.46125000000001</v>
      </c>
      <c r="K510" s="98">
        <v>-300.12340799999998</v>
      </c>
      <c r="L510" s="99">
        <v>0</v>
      </c>
      <c r="M510" s="98">
        <v>0</v>
      </c>
      <c r="N510" s="99">
        <v>0</v>
      </c>
      <c r="O510" s="98">
        <v>0</v>
      </c>
      <c r="P510" s="99">
        <v>12</v>
      </c>
      <c r="Q510" s="98">
        <v>1217.4115919999999</v>
      </c>
      <c r="R510" s="96" t="s">
        <v>625</v>
      </c>
      <c r="S510" s="96">
        <v>7414000005</v>
      </c>
      <c r="AA510" s="131" t="s">
        <v>417</v>
      </c>
      <c r="AB510" s="130">
        <v>6285192.8577640001</v>
      </c>
      <c r="AC510" s="130">
        <v>6285192.8577640001</v>
      </c>
    </row>
    <row r="511" spans="1:29" x14ac:dyDescent="0.25">
      <c r="A511" t="str">
        <f t="shared" si="8"/>
        <v xml:space="preserve">1036525GOBFED 341123       </v>
      </c>
      <c r="B511" s="96">
        <v>1036525</v>
      </c>
      <c r="C511" s="96" t="s">
        <v>696</v>
      </c>
      <c r="D511" s="96" t="s">
        <v>408</v>
      </c>
      <c r="E511" s="96" t="s">
        <v>623</v>
      </c>
      <c r="F511" s="96" t="s">
        <v>624</v>
      </c>
      <c r="G511" s="99">
        <v>76</v>
      </c>
      <c r="H511" s="97">
        <v>89.643172000000007</v>
      </c>
      <c r="I511" s="98">
        <v>6812.8810720000001</v>
      </c>
      <c r="J511" s="97">
        <v>117.48666667000001</v>
      </c>
      <c r="K511" s="98">
        <v>-2116.1055949199999</v>
      </c>
      <c r="L511" s="99">
        <v>0</v>
      </c>
      <c r="M511" s="98">
        <v>0</v>
      </c>
      <c r="N511" s="99">
        <v>0</v>
      </c>
      <c r="O511" s="98">
        <v>0</v>
      </c>
      <c r="P511" s="99">
        <v>76</v>
      </c>
      <c r="Q511" s="98">
        <v>6812.8810720000001</v>
      </c>
      <c r="R511" s="96" t="s">
        <v>625</v>
      </c>
      <c r="S511" s="96">
        <v>7414000005</v>
      </c>
      <c r="AA511" s="131" t="s">
        <v>375</v>
      </c>
      <c r="AB511" s="130">
        <v>447248.48096999998</v>
      </c>
      <c r="AC511" s="130">
        <v>447248.48096999998</v>
      </c>
    </row>
    <row r="512" spans="1:29" x14ac:dyDescent="0.25">
      <c r="A512" t="str">
        <f t="shared" si="8"/>
        <v xml:space="preserve">1036525GOBFED 361120       </v>
      </c>
      <c r="B512" s="96">
        <v>1036525</v>
      </c>
      <c r="C512" s="96" t="s">
        <v>696</v>
      </c>
      <c r="D512" s="96" t="s">
        <v>384</v>
      </c>
      <c r="E512" s="96" t="s">
        <v>623</v>
      </c>
      <c r="F512" s="96" t="s">
        <v>624</v>
      </c>
      <c r="G512" s="99">
        <v>634</v>
      </c>
      <c r="H512" s="97">
        <v>81.738860000000003</v>
      </c>
      <c r="I512" s="98">
        <v>51822.437239999999</v>
      </c>
      <c r="J512" s="97">
        <v>86.471431911514202</v>
      </c>
      <c r="K512" s="98">
        <v>-3000.4505918999998</v>
      </c>
      <c r="L512" s="99">
        <v>0</v>
      </c>
      <c r="M512" s="98">
        <v>0</v>
      </c>
      <c r="N512" s="99">
        <v>0</v>
      </c>
      <c r="O512" s="98">
        <v>0</v>
      </c>
      <c r="P512" s="99">
        <v>634</v>
      </c>
      <c r="Q512" s="98">
        <v>51822.437239999999</v>
      </c>
      <c r="R512" s="96" t="s">
        <v>625</v>
      </c>
      <c r="S512" s="96">
        <v>7414000005</v>
      </c>
      <c r="AA512" s="131" t="s">
        <v>399</v>
      </c>
      <c r="AB512" s="130">
        <v>2483908.815899</v>
      </c>
      <c r="AC512" s="130">
        <v>2483908.815899</v>
      </c>
    </row>
    <row r="513" spans="1:29" x14ac:dyDescent="0.25">
      <c r="A513" t="str">
        <f t="shared" si="8"/>
        <v xml:space="preserve">1036525GOBFED 381118       </v>
      </c>
      <c r="B513" s="96">
        <v>1036525</v>
      </c>
      <c r="C513" s="96" t="s">
        <v>696</v>
      </c>
      <c r="D513" s="96" t="s">
        <v>385</v>
      </c>
      <c r="E513" s="96" t="s">
        <v>623</v>
      </c>
      <c r="F513" s="96" t="s">
        <v>624</v>
      </c>
      <c r="G513" s="99">
        <v>77</v>
      </c>
      <c r="H513" s="97">
        <v>83.200761</v>
      </c>
      <c r="I513" s="98">
        <v>6406.4585969999998</v>
      </c>
      <c r="J513" s="97">
        <v>91.791812140649355</v>
      </c>
      <c r="K513" s="98">
        <v>-661.51093782999999</v>
      </c>
      <c r="L513" s="99">
        <v>0</v>
      </c>
      <c r="M513" s="98">
        <v>0</v>
      </c>
      <c r="N513" s="99">
        <v>0</v>
      </c>
      <c r="O513" s="98">
        <v>0</v>
      </c>
      <c r="P513" s="99">
        <v>77</v>
      </c>
      <c r="Q513" s="98">
        <v>6406.4585969999998</v>
      </c>
      <c r="R513" s="96" t="s">
        <v>625</v>
      </c>
      <c r="S513" s="96">
        <v>7414000005</v>
      </c>
      <c r="AA513" s="131" t="s">
        <v>429</v>
      </c>
      <c r="AB513" s="130">
        <v>853648.23413999996</v>
      </c>
      <c r="AC513" s="130">
        <v>853648.23413999996</v>
      </c>
    </row>
    <row r="514" spans="1:29" x14ac:dyDescent="0.25">
      <c r="A514" t="str">
        <f t="shared" si="8"/>
        <v xml:space="preserve">1036525GOBFED 421113       </v>
      </c>
      <c r="B514" s="96">
        <v>1036525</v>
      </c>
      <c r="C514" s="96" t="s">
        <v>696</v>
      </c>
      <c r="D514" s="96" t="s">
        <v>386</v>
      </c>
      <c r="E514" s="96" t="s">
        <v>623</v>
      </c>
      <c r="F514" s="96" t="s">
        <v>624</v>
      </c>
      <c r="G514" s="99">
        <v>944</v>
      </c>
      <c r="H514" s="97">
        <v>82.159907000000004</v>
      </c>
      <c r="I514" s="98">
        <v>77558.952208000002</v>
      </c>
      <c r="J514" s="97">
        <v>84.279902834194914</v>
      </c>
      <c r="K514" s="98">
        <v>-2001.2760674799999</v>
      </c>
      <c r="L514" s="99">
        <v>0</v>
      </c>
      <c r="M514" s="98">
        <v>0</v>
      </c>
      <c r="N514" s="99">
        <v>0</v>
      </c>
      <c r="O514" s="98">
        <v>0</v>
      </c>
      <c r="P514" s="99">
        <v>944</v>
      </c>
      <c r="Q514" s="98">
        <v>77558.952208000002</v>
      </c>
      <c r="R514" s="96" t="s">
        <v>625</v>
      </c>
      <c r="S514" s="96">
        <v>7414000005</v>
      </c>
      <c r="AA514" s="131" t="s">
        <v>394</v>
      </c>
      <c r="AB514" s="130">
        <v>4079199.8250480001</v>
      </c>
      <c r="AC514" s="130">
        <v>4079199.8250480001</v>
      </c>
    </row>
    <row r="515" spans="1:29" x14ac:dyDescent="0.25">
      <c r="A515" t="str">
        <f t="shared" si="8"/>
        <v xml:space="preserve">1036525GOBFED 471107       </v>
      </c>
      <c r="B515" s="96">
        <v>1036525</v>
      </c>
      <c r="C515" s="96" t="s">
        <v>696</v>
      </c>
      <c r="D515" s="96" t="s">
        <v>429</v>
      </c>
      <c r="E515" s="96" t="s">
        <v>623</v>
      </c>
      <c r="F515" s="96" t="s">
        <v>624</v>
      </c>
      <c r="G515" s="99">
        <v>640</v>
      </c>
      <c r="H515" s="97">
        <v>98.007834000000003</v>
      </c>
      <c r="I515" s="98">
        <v>62725.013760000002</v>
      </c>
      <c r="J515" s="97">
        <v>92.065546879999999</v>
      </c>
      <c r="K515" s="98">
        <v>3803.0637568000002</v>
      </c>
      <c r="L515" s="99">
        <v>0</v>
      </c>
      <c r="M515" s="98">
        <v>0</v>
      </c>
      <c r="N515" s="99">
        <v>0</v>
      </c>
      <c r="O515" s="98">
        <v>0</v>
      </c>
      <c r="P515" s="99">
        <v>640</v>
      </c>
      <c r="Q515" s="98">
        <v>62725.013760000002</v>
      </c>
      <c r="R515" s="96" t="s">
        <v>625</v>
      </c>
      <c r="S515" s="96">
        <v>7414000005</v>
      </c>
      <c r="AA515" s="131" t="s">
        <v>379</v>
      </c>
      <c r="AB515" s="130">
        <v>788969.80408499995</v>
      </c>
      <c r="AC515" s="130">
        <v>788969.80408499995</v>
      </c>
    </row>
    <row r="516" spans="1:29" x14ac:dyDescent="0.25">
      <c r="A516" t="str">
        <f t="shared" si="8"/>
        <v xml:space="preserve">1036525GOBFED 530731       </v>
      </c>
      <c r="B516" s="96">
        <v>1036525</v>
      </c>
      <c r="C516" s="96" t="s">
        <v>696</v>
      </c>
      <c r="D516" s="96" t="s">
        <v>389</v>
      </c>
      <c r="E516" s="96" t="s">
        <v>623</v>
      </c>
      <c r="F516" s="96" t="s">
        <v>624</v>
      </c>
      <c r="G516" s="99">
        <v>78547</v>
      </c>
      <c r="H516" s="97">
        <v>3.3967719999999999</v>
      </c>
      <c r="I516" s="98">
        <v>266806.25028400001</v>
      </c>
      <c r="J516" s="97">
        <v>3.2940944911963537</v>
      </c>
      <c r="K516" s="98">
        <v>8065.010284</v>
      </c>
      <c r="L516" s="99">
        <v>0</v>
      </c>
      <c r="M516" s="98">
        <v>0</v>
      </c>
      <c r="N516" s="99">
        <v>0</v>
      </c>
      <c r="O516" s="98">
        <v>0</v>
      </c>
      <c r="P516" s="99">
        <v>78547</v>
      </c>
      <c r="Q516" s="98">
        <v>266806.25028400001</v>
      </c>
      <c r="R516" s="96" t="s">
        <v>625</v>
      </c>
      <c r="S516" s="96">
        <v>7414000005</v>
      </c>
      <c r="AA516" s="131" t="s">
        <v>377</v>
      </c>
      <c r="AB516" s="130">
        <v>1045559.375323</v>
      </c>
      <c r="AC516" s="130">
        <v>1045559.375323</v>
      </c>
    </row>
    <row r="517" spans="1:29" x14ac:dyDescent="0.25">
      <c r="A517" t="str">
        <f t="shared" si="8"/>
        <v xml:space="preserve">1036525PEMEX 13-2          </v>
      </c>
      <c r="B517" s="96">
        <v>1036525</v>
      </c>
      <c r="C517" s="96" t="s">
        <v>696</v>
      </c>
      <c r="D517" s="96" t="s">
        <v>417</v>
      </c>
      <c r="E517" s="96" t="s">
        <v>623</v>
      </c>
      <c r="F517" s="96" t="s">
        <v>624</v>
      </c>
      <c r="G517" s="99">
        <v>83091</v>
      </c>
      <c r="H517" s="97">
        <v>3.8832339999999999</v>
      </c>
      <c r="I517" s="98">
        <v>322661.796294</v>
      </c>
      <c r="J517" s="97">
        <v>2.9919192210949439</v>
      </c>
      <c r="K517" s="98">
        <v>74060.236294000002</v>
      </c>
      <c r="L517" s="99">
        <v>0</v>
      </c>
      <c r="M517" s="98">
        <v>0</v>
      </c>
      <c r="N517" s="99">
        <v>0</v>
      </c>
      <c r="O517" s="98">
        <v>0</v>
      </c>
      <c r="P517" s="99">
        <v>83091</v>
      </c>
      <c r="Q517" s="98">
        <v>322661.796294</v>
      </c>
      <c r="R517" s="96" t="s">
        <v>625</v>
      </c>
      <c r="S517" s="96">
        <v>7414000005</v>
      </c>
      <c r="AA517" s="131" t="s">
        <v>392</v>
      </c>
      <c r="AB517" s="130">
        <v>941444.82432000001</v>
      </c>
      <c r="AC517" s="130">
        <v>941444.82432000001</v>
      </c>
    </row>
    <row r="518" spans="1:29" x14ac:dyDescent="0.25">
      <c r="A518" t="str">
        <f t="shared" si="8"/>
        <v xml:space="preserve">1036525STERGOB ED          </v>
      </c>
      <c r="B518" s="96">
        <v>1036525</v>
      </c>
      <c r="C518" s="96" t="s">
        <v>696</v>
      </c>
      <c r="D518" s="96" t="s">
        <v>466</v>
      </c>
      <c r="E518" s="96" t="s">
        <v>623</v>
      </c>
      <c r="F518" s="96" t="s">
        <v>624</v>
      </c>
      <c r="G518" s="99">
        <v>30</v>
      </c>
      <c r="H518" s="97">
        <v>256.05011500000001</v>
      </c>
      <c r="I518" s="98">
        <v>7681.5034500000002</v>
      </c>
      <c r="J518" s="97">
        <v>487.31725925000001</v>
      </c>
      <c r="K518" s="98">
        <v>-6938.0143275</v>
      </c>
      <c r="L518" s="99">
        <v>0</v>
      </c>
      <c r="M518" s="98">
        <v>0</v>
      </c>
      <c r="N518" s="99">
        <v>0</v>
      </c>
      <c r="O518" s="98">
        <v>0</v>
      </c>
      <c r="P518" s="99">
        <v>30</v>
      </c>
      <c r="Q518" s="98">
        <v>7681.5034500000002</v>
      </c>
      <c r="R518" s="96" t="s">
        <v>625</v>
      </c>
      <c r="S518" s="96">
        <v>7414000005</v>
      </c>
      <c r="AA518" s="131" t="s">
        <v>386</v>
      </c>
      <c r="AB518" s="130">
        <v>1633338.9511599999</v>
      </c>
      <c r="AC518" s="130">
        <v>1633338.9511599999</v>
      </c>
    </row>
    <row r="519" spans="1:29" x14ac:dyDescent="0.25">
      <c r="A519" t="str">
        <f t="shared" ref="A519:A582" si="9">B517&amp;D517</f>
        <v xml:space="preserve">1036525STRGOB2 ED          </v>
      </c>
      <c r="B519" s="96">
        <v>1036525</v>
      </c>
      <c r="C519" s="96" t="s">
        <v>696</v>
      </c>
      <c r="D519" s="96" t="s">
        <v>391</v>
      </c>
      <c r="E519" s="96" t="s">
        <v>623</v>
      </c>
      <c r="F519" s="96" t="s">
        <v>624</v>
      </c>
      <c r="G519" s="99">
        <v>45</v>
      </c>
      <c r="H519" s="97">
        <v>775.69178699999998</v>
      </c>
      <c r="I519" s="98">
        <v>34906.130415</v>
      </c>
      <c r="J519" s="97">
        <v>691.58907003555555</v>
      </c>
      <c r="K519" s="98">
        <v>3784.6222634000001</v>
      </c>
      <c r="L519" s="99">
        <v>0</v>
      </c>
      <c r="M519" s="98">
        <v>0</v>
      </c>
      <c r="N519" s="99">
        <v>0</v>
      </c>
      <c r="O519" s="98">
        <v>0</v>
      </c>
      <c r="P519" s="99">
        <v>45</v>
      </c>
      <c r="Q519" s="98">
        <v>34906.130415</v>
      </c>
      <c r="R519" s="96" t="s">
        <v>625</v>
      </c>
      <c r="S519" s="96">
        <v>7414000005</v>
      </c>
      <c r="AA519" s="131" t="s">
        <v>363</v>
      </c>
      <c r="AB519" s="130">
        <v>1294726.037852</v>
      </c>
      <c r="AC519" s="130">
        <v>1294726.037852</v>
      </c>
    </row>
    <row r="520" spans="1:29" x14ac:dyDescent="0.25">
      <c r="A520" t="str">
        <f t="shared" si="9"/>
        <v xml:space="preserve">1036525TFOVICB 15U         </v>
      </c>
      <c r="B520" s="96">
        <v>1036525</v>
      </c>
      <c r="C520" s="96" t="s">
        <v>696</v>
      </c>
      <c r="D520" s="96" t="s">
        <v>392</v>
      </c>
      <c r="E520" s="96" t="s">
        <v>623</v>
      </c>
      <c r="F520" s="96" t="s">
        <v>624</v>
      </c>
      <c r="G520" s="99">
        <v>70</v>
      </c>
      <c r="H520" s="97">
        <v>747.17843200000004</v>
      </c>
      <c r="I520" s="98">
        <v>52302.490239999999</v>
      </c>
      <c r="J520" s="97">
        <v>709.48359479428575</v>
      </c>
      <c r="K520" s="98">
        <v>2638.6386044000001</v>
      </c>
      <c r="L520" s="99">
        <v>0</v>
      </c>
      <c r="M520" s="98">
        <v>0</v>
      </c>
      <c r="N520" s="99">
        <v>0</v>
      </c>
      <c r="O520" s="98">
        <v>0</v>
      </c>
      <c r="P520" s="99">
        <v>70</v>
      </c>
      <c r="Q520" s="98">
        <v>52302.490239999999</v>
      </c>
      <c r="R520" s="96" t="s">
        <v>625</v>
      </c>
      <c r="S520" s="96">
        <v>7414000005</v>
      </c>
      <c r="AA520" s="131" t="s">
        <v>409</v>
      </c>
      <c r="AB520" s="130">
        <v>1734470.3956200001</v>
      </c>
      <c r="AC520" s="130">
        <v>1734470.3956200001</v>
      </c>
    </row>
    <row r="521" spans="1:29" x14ac:dyDescent="0.25">
      <c r="A521" t="str">
        <f t="shared" si="9"/>
        <v xml:space="preserve">1036525UDIBONO 251204      </v>
      </c>
      <c r="B521" s="96">
        <v>1036525</v>
      </c>
      <c r="C521" s="96" t="s">
        <v>696</v>
      </c>
      <c r="D521" s="96" t="s">
        <v>393</v>
      </c>
      <c r="E521" s="96" t="s">
        <v>623</v>
      </c>
      <c r="F521" s="96" t="s">
        <v>624</v>
      </c>
      <c r="G521" s="99">
        <v>70</v>
      </c>
      <c r="H521" s="97">
        <v>765.92388300000005</v>
      </c>
      <c r="I521" s="98">
        <v>53614.67181</v>
      </c>
      <c r="J521" s="97">
        <v>753.81432208714284</v>
      </c>
      <c r="K521" s="98">
        <v>847.66926390000003</v>
      </c>
      <c r="L521" s="99">
        <v>0</v>
      </c>
      <c r="M521" s="98">
        <v>0</v>
      </c>
      <c r="N521" s="99">
        <v>0</v>
      </c>
      <c r="O521" s="98">
        <v>0</v>
      </c>
      <c r="P521" s="99">
        <v>70</v>
      </c>
      <c r="Q521" s="98">
        <v>53614.67181</v>
      </c>
      <c r="R521" s="96" t="s">
        <v>625</v>
      </c>
      <c r="S521" s="96">
        <v>7414000005</v>
      </c>
      <c r="AA521" s="131" t="s">
        <v>383</v>
      </c>
      <c r="AB521" s="130">
        <v>626653.12055999995</v>
      </c>
      <c r="AC521" s="130">
        <v>626653.12055999995</v>
      </c>
    </row>
    <row r="522" spans="1:29" x14ac:dyDescent="0.25">
      <c r="A522" t="str">
        <f t="shared" si="9"/>
        <v xml:space="preserve">1036525UDIBONO 261203      </v>
      </c>
      <c r="B522" s="96">
        <v>1036525</v>
      </c>
      <c r="C522" s="96" t="s">
        <v>696</v>
      </c>
      <c r="D522" s="96" t="s">
        <v>394</v>
      </c>
      <c r="E522" s="96" t="s">
        <v>623</v>
      </c>
      <c r="F522" s="96" t="s">
        <v>624</v>
      </c>
      <c r="G522" s="99">
        <v>288</v>
      </c>
      <c r="H522" s="97">
        <v>684.88915799999995</v>
      </c>
      <c r="I522" s="98">
        <v>197248.07750399999</v>
      </c>
      <c r="J522" s="97">
        <v>676.63728713958335</v>
      </c>
      <c r="K522" s="98">
        <v>2376.5388078000001</v>
      </c>
      <c r="L522" s="99">
        <v>0</v>
      </c>
      <c r="M522" s="98">
        <v>0</v>
      </c>
      <c r="N522" s="99">
        <v>0</v>
      </c>
      <c r="O522" s="98">
        <v>0</v>
      </c>
      <c r="P522" s="99">
        <v>288</v>
      </c>
      <c r="Q522" s="98">
        <v>197248.07750399999</v>
      </c>
      <c r="R522" s="96" t="s">
        <v>625</v>
      </c>
      <c r="S522" s="96">
        <v>7414000005</v>
      </c>
      <c r="AA522" s="131" t="s">
        <v>364</v>
      </c>
      <c r="AB522" s="130">
        <v>2151962.4799199998</v>
      </c>
      <c r="AC522" s="130">
        <v>2151962.4799199998</v>
      </c>
    </row>
    <row r="523" spans="1:29" x14ac:dyDescent="0.25">
      <c r="A523" t="str">
        <f t="shared" si="9"/>
        <v xml:space="preserve">1036525UDIBONO 281130      </v>
      </c>
      <c r="B523" s="96">
        <v>1036525</v>
      </c>
      <c r="C523" s="96" t="s">
        <v>696</v>
      </c>
      <c r="D523" s="96" t="s">
        <v>395</v>
      </c>
      <c r="E523" s="96" t="s">
        <v>623</v>
      </c>
      <c r="F523" s="96" t="s">
        <v>624</v>
      </c>
      <c r="G523" s="99">
        <v>32</v>
      </c>
      <c r="H523" s="97">
        <v>772.926965</v>
      </c>
      <c r="I523" s="98">
        <v>24733.66288</v>
      </c>
      <c r="J523" s="97">
        <v>798.93664675000002</v>
      </c>
      <c r="K523" s="98">
        <v>-832.30981599999996</v>
      </c>
      <c r="L523" s="99">
        <v>0</v>
      </c>
      <c r="M523" s="98">
        <v>0</v>
      </c>
      <c r="N523" s="99">
        <v>0</v>
      </c>
      <c r="O523" s="98">
        <v>0</v>
      </c>
      <c r="P523" s="99">
        <v>32</v>
      </c>
      <c r="Q523" s="98">
        <v>24733.66288</v>
      </c>
      <c r="R523" s="96" t="s">
        <v>625</v>
      </c>
      <c r="S523" s="96">
        <v>7414000005</v>
      </c>
      <c r="AA523" s="131" t="s">
        <v>397</v>
      </c>
      <c r="AB523" s="130">
        <v>380305.94516200002</v>
      </c>
      <c r="AC523" s="130">
        <v>380305.94516200002</v>
      </c>
    </row>
    <row r="524" spans="1:29" x14ac:dyDescent="0.25">
      <c r="A524" t="str">
        <f t="shared" si="9"/>
        <v xml:space="preserve">1036525UDIBONO 311127      </v>
      </c>
      <c r="B524" s="96">
        <v>1036525</v>
      </c>
      <c r="C524" s="96" t="s">
        <v>696</v>
      </c>
      <c r="D524" s="96" t="s">
        <v>396</v>
      </c>
      <c r="E524" s="96" t="s">
        <v>623</v>
      </c>
      <c r="F524" s="96" t="s">
        <v>624</v>
      </c>
      <c r="G524" s="99">
        <v>39</v>
      </c>
      <c r="H524" s="97">
        <v>721.59464000000003</v>
      </c>
      <c r="I524" s="98">
        <v>28142.19096</v>
      </c>
      <c r="J524" s="97">
        <v>741.29717948999996</v>
      </c>
      <c r="K524" s="98">
        <v>-768.39904010999999</v>
      </c>
      <c r="L524" s="99">
        <v>0</v>
      </c>
      <c r="M524" s="98">
        <v>0</v>
      </c>
      <c r="N524" s="99">
        <v>0</v>
      </c>
      <c r="O524" s="98">
        <v>0</v>
      </c>
      <c r="P524" s="99">
        <v>39</v>
      </c>
      <c r="Q524" s="98">
        <v>28142.19096</v>
      </c>
      <c r="R524" s="96" t="s">
        <v>625</v>
      </c>
      <c r="S524" s="96">
        <v>7414000005</v>
      </c>
      <c r="AA524" s="131" t="s">
        <v>507</v>
      </c>
      <c r="AB524" s="130">
        <v>636538.56727999996</v>
      </c>
      <c r="AC524" s="130">
        <v>636538.56727999996</v>
      </c>
    </row>
    <row r="525" spans="1:29" x14ac:dyDescent="0.25">
      <c r="A525" t="str">
        <f t="shared" si="9"/>
        <v xml:space="preserve">1036525UDIBONO 351122      </v>
      </c>
      <c r="B525" s="96">
        <v>1036525</v>
      </c>
      <c r="C525" s="96" t="s">
        <v>696</v>
      </c>
      <c r="D525" s="96" t="s">
        <v>397</v>
      </c>
      <c r="E525" s="96" t="s">
        <v>623</v>
      </c>
      <c r="F525" s="96" t="s">
        <v>624</v>
      </c>
      <c r="G525" s="99">
        <v>28</v>
      </c>
      <c r="H525" s="97">
        <v>635.96311900000001</v>
      </c>
      <c r="I525" s="98">
        <v>17806.967332</v>
      </c>
      <c r="J525" s="97">
        <v>647.93802047999998</v>
      </c>
      <c r="K525" s="98">
        <v>-335.29724143999999</v>
      </c>
      <c r="L525" s="99">
        <v>0</v>
      </c>
      <c r="M525" s="98">
        <v>0</v>
      </c>
      <c r="N525" s="99">
        <v>0</v>
      </c>
      <c r="O525" s="98">
        <v>0</v>
      </c>
      <c r="P525" s="99">
        <v>28</v>
      </c>
      <c r="Q525" s="98">
        <v>17806.967332</v>
      </c>
      <c r="R525" s="96" t="s">
        <v>625</v>
      </c>
      <c r="S525" s="96">
        <v>7414000005</v>
      </c>
      <c r="AA525" s="131" t="s">
        <v>554</v>
      </c>
      <c r="AB525" s="130">
        <v>544117.30692</v>
      </c>
      <c r="AC525" s="130">
        <v>544117.30692</v>
      </c>
    </row>
    <row r="526" spans="1:29" x14ac:dyDescent="0.25">
      <c r="A526" t="str">
        <f t="shared" si="9"/>
        <v xml:space="preserve">1036525UDIBONO 401115      </v>
      </c>
      <c r="B526" s="96">
        <v>1036525</v>
      </c>
      <c r="C526" s="96" t="s">
        <v>696</v>
      </c>
      <c r="D526" s="96" t="s">
        <v>398</v>
      </c>
      <c r="E526" s="96" t="s">
        <v>623</v>
      </c>
      <c r="F526" s="96" t="s">
        <v>624</v>
      </c>
      <c r="G526" s="99">
        <v>48</v>
      </c>
      <c r="H526" s="97">
        <v>709.36974099999998</v>
      </c>
      <c r="I526" s="98">
        <v>34049.747567999999</v>
      </c>
      <c r="J526" s="97">
        <v>724.52122232249997</v>
      </c>
      <c r="K526" s="98">
        <v>-727.27110347999997</v>
      </c>
      <c r="L526" s="99">
        <v>0</v>
      </c>
      <c r="M526" s="98">
        <v>0</v>
      </c>
      <c r="N526" s="99">
        <v>0</v>
      </c>
      <c r="O526" s="98">
        <v>0</v>
      </c>
      <c r="P526" s="99">
        <v>48</v>
      </c>
      <c r="Q526" s="98">
        <v>34049.747567999999</v>
      </c>
      <c r="R526" s="96" t="s">
        <v>625</v>
      </c>
      <c r="S526" s="96">
        <v>7414000005</v>
      </c>
      <c r="AA526" s="131" t="s">
        <v>613</v>
      </c>
      <c r="AB526" s="130">
        <v>1095432.32225</v>
      </c>
      <c r="AC526" s="130">
        <v>1095432.32225</v>
      </c>
    </row>
    <row r="527" spans="1:29" x14ac:dyDescent="0.25">
      <c r="A527" t="str">
        <f t="shared" si="9"/>
        <v xml:space="preserve">1036525UDIBONO 431112      </v>
      </c>
      <c r="B527" s="96">
        <v>1036525</v>
      </c>
      <c r="C527" s="96" t="s">
        <v>696</v>
      </c>
      <c r="D527" s="96" t="s">
        <v>399</v>
      </c>
      <c r="E527" s="96" t="s">
        <v>623</v>
      </c>
      <c r="F527" s="96" t="s">
        <v>624</v>
      </c>
      <c r="G527" s="99">
        <v>192</v>
      </c>
      <c r="H527" s="97">
        <v>694.41118700000004</v>
      </c>
      <c r="I527" s="98">
        <v>133326.947904</v>
      </c>
      <c r="J527" s="97">
        <v>724.59993144458338</v>
      </c>
      <c r="K527" s="98">
        <v>-5796.2389333600004</v>
      </c>
      <c r="L527" s="99">
        <v>0</v>
      </c>
      <c r="M527" s="98">
        <v>0</v>
      </c>
      <c r="N527" s="99">
        <v>0</v>
      </c>
      <c r="O527" s="98">
        <v>0</v>
      </c>
      <c r="P527" s="99">
        <v>192</v>
      </c>
      <c r="Q527" s="98">
        <v>133326.947904</v>
      </c>
      <c r="R527" s="96" t="s">
        <v>625</v>
      </c>
      <c r="S527" s="96">
        <v>7414000005</v>
      </c>
      <c r="AA527" s="129">
        <v>152976</v>
      </c>
      <c r="AB527" s="130">
        <v>13971531.55848</v>
      </c>
      <c r="AC527" s="130">
        <v>13971531.55848</v>
      </c>
    </row>
    <row r="528" spans="1:29" x14ac:dyDescent="0.25">
      <c r="A528" t="str">
        <f t="shared" si="9"/>
        <v xml:space="preserve">1036525UDIBONO 461108      </v>
      </c>
      <c r="B528" s="96">
        <v>1036526</v>
      </c>
      <c r="C528" s="96" t="s">
        <v>696</v>
      </c>
      <c r="D528" s="96" t="s">
        <v>459</v>
      </c>
      <c r="E528" s="96" t="s">
        <v>623</v>
      </c>
      <c r="F528" s="96" t="s">
        <v>624</v>
      </c>
      <c r="G528" s="99">
        <v>224000</v>
      </c>
      <c r="H528" s="97">
        <v>4.5848760000000004</v>
      </c>
      <c r="I528" s="98">
        <v>1027012.224</v>
      </c>
      <c r="J528" s="97">
        <v>4.1816552232142854</v>
      </c>
      <c r="K528" s="98">
        <v>90321.453999999998</v>
      </c>
      <c r="L528" s="99">
        <v>0</v>
      </c>
      <c r="M528" s="98">
        <v>0</v>
      </c>
      <c r="N528" s="99">
        <v>0</v>
      </c>
      <c r="O528" s="98">
        <v>0</v>
      </c>
      <c r="P528" s="99">
        <v>224000</v>
      </c>
      <c r="Q528" s="98">
        <v>1027012.224</v>
      </c>
      <c r="R528" s="96" t="s">
        <v>625</v>
      </c>
      <c r="S528" s="96">
        <v>7414000005</v>
      </c>
      <c r="AA528" s="131" t="s">
        <v>389</v>
      </c>
      <c r="AB528" s="130">
        <v>537844.87847999996</v>
      </c>
      <c r="AC528" s="130">
        <v>537844.87847999996</v>
      </c>
    </row>
    <row r="529" spans="1:29" x14ac:dyDescent="0.25">
      <c r="A529" t="str">
        <f t="shared" si="9"/>
        <v xml:space="preserve">1036525UDIBONO 501103      </v>
      </c>
      <c r="B529" s="96">
        <v>1036526</v>
      </c>
      <c r="C529" s="96" t="s">
        <v>696</v>
      </c>
      <c r="D529" s="96" t="s">
        <v>389</v>
      </c>
      <c r="E529" s="96" t="s">
        <v>623</v>
      </c>
      <c r="F529" s="96" t="s">
        <v>624</v>
      </c>
      <c r="G529" s="99">
        <v>11786</v>
      </c>
      <c r="H529" s="97">
        <v>3.3967719999999999</v>
      </c>
      <c r="I529" s="98">
        <v>40034.354791999998</v>
      </c>
      <c r="J529" s="97">
        <v>3.2883633124045479</v>
      </c>
      <c r="K529" s="98">
        <v>1277.704792</v>
      </c>
      <c r="L529" s="99">
        <v>0</v>
      </c>
      <c r="M529" s="98">
        <v>0</v>
      </c>
      <c r="N529" s="99">
        <v>0</v>
      </c>
      <c r="O529" s="98">
        <v>0</v>
      </c>
      <c r="P529" s="99">
        <v>11786</v>
      </c>
      <c r="Q529" s="98">
        <v>40034.354791999998</v>
      </c>
      <c r="R529" s="96" t="s">
        <v>625</v>
      </c>
      <c r="S529" s="96">
        <v>7414000005</v>
      </c>
      <c r="AA529" s="131" t="s">
        <v>419</v>
      </c>
      <c r="AB529" s="130">
        <v>0</v>
      </c>
      <c r="AC529" s="130">
        <v>0</v>
      </c>
    </row>
    <row r="530" spans="1:29" x14ac:dyDescent="0.25">
      <c r="A530" t="str">
        <f t="shared" si="9"/>
        <v xml:space="preserve">1036526STER-OP ED          </v>
      </c>
      <c r="B530" s="96">
        <v>1036527</v>
      </c>
      <c r="C530" s="96" t="s">
        <v>696</v>
      </c>
      <c r="D530" s="96" t="s">
        <v>363</v>
      </c>
      <c r="E530" s="96" t="s">
        <v>623</v>
      </c>
      <c r="F530" s="96" t="s">
        <v>624</v>
      </c>
      <c r="G530" s="99">
        <v>110719</v>
      </c>
      <c r="H530" s="97">
        <v>9.4935880000000008</v>
      </c>
      <c r="I530" s="98">
        <v>1051120.569772</v>
      </c>
      <c r="J530" s="97">
        <v>8.4405498100000003</v>
      </c>
      <c r="K530" s="98">
        <v>116591.33535861</v>
      </c>
      <c r="L530" s="99">
        <v>0</v>
      </c>
      <c r="M530" s="98">
        <v>0</v>
      </c>
      <c r="N530" s="99">
        <v>0</v>
      </c>
      <c r="O530" s="98">
        <v>0</v>
      </c>
      <c r="P530" s="99">
        <v>110719</v>
      </c>
      <c r="Q530" s="98">
        <v>1051120.569772</v>
      </c>
      <c r="R530" s="96" t="s">
        <v>625</v>
      </c>
      <c r="S530" s="96">
        <v>7414000005</v>
      </c>
      <c r="AA530" s="131" t="s">
        <v>459</v>
      </c>
      <c r="AB530" s="130">
        <v>13433686.68</v>
      </c>
      <c r="AC530" s="130">
        <v>13433686.68</v>
      </c>
    </row>
    <row r="531" spans="1:29" x14ac:dyDescent="0.25">
      <c r="A531" t="str">
        <f t="shared" si="9"/>
        <v xml:space="preserve">1036526STERGOB ED          </v>
      </c>
      <c r="B531" s="96">
        <v>1036527</v>
      </c>
      <c r="C531" s="96" t="s">
        <v>696</v>
      </c>
      <c r="D531" s="96" t="s">
        <v>409</v>
      </c>
      <c r="E531" s="96" t="s">
        <v>623</v>
      </c>
      <c r="F531" s="96" t="s">
        <v>624</v>
      </c>
      <c r="G531" s="99">
        <v>150830</v>
      </c>
      <c r="H531" s="97">
        <v>9.3381629999999998</v>
      </c>
      <c r="I531" s="98">
        <v>1408475.1252900001</v>
      </c>
      <c r="J531" s="97">
        <v>8.3307969100000001</v>
      </c>
      <c r="K531" s="98">
        <v>151941.0273547</v>
      </c>
      <c r="L531" s="99">
        <v>0</v>
      </c>
      <c r="M531" s="98">
        <v>0</v>
      </c>
      <c r="N531" s="99">
        <v>0</v>
      </c>
      <c r="O531" s="98">
        <v>0</v>
      </c>
      <c r="P531" s="99">
        <v>150830</v>
      </c>
      <c r="Q531" s="98">
        <v>1408475.1252900001</v>
      </c>
      <c r="R531" s="96" t="s">
        <v>625</v>
      </c>
      <c r="S531" s="96">
        <v>7414000005</v>
      </c>
      <c r="AA531" s="129">
        <v>152979</v>
      </c>
      <c r="AB531" s="130">
        <v>14227629.13974</v>
      </c>
      <c r="AC531" s="130">
        <v>14227629.13974</v>
      </c>
    </row>
    <row r="532" spans="1:29" x14ac:dyDescent="0.25">
      <c r="A532" t="str">
        <f t="shared" si="9"/>
        <v xml:space="preserve">1036527CETES 241003        </v>
      </c>
      <c r="B532" s="96">
        <v>1036527</v>
      </c>
      <c r="C532" s="96" t="s">
        <v>696</v>
      </c>
      <c r="D532" s="96" t="s">
        <v>364</v>
      </c>
      <c r="E532" s="96" t="s">
        <v>623</v>
      </c>
      <c r="F532" s="96" t="s">
        <v>624</v>
      </c>
      <c r="G532" s="99">
        <v>193050</v>
      </c>
      <c r="H532" s="97">
        <v>9.190137</v>
      </c>
      <c r="I532" s="98">
        <v>1774155.9478500001</v>
      </c>
      <c r="J532" s="97">
        <v>8.2168032736990408</v>
      </c>
      <c r="K532" s="98">
        <v>187902.0758624</v>
      </c>
      <c r="L532" s="99">
        <v>0</v>
      </c>
      <c r="M532" s="98">
        <v>0</v>
      </c>
      <c r="N532" s="99">
        <v>0</v>
      </c>
      <c r="O532" s="98">
        <v>0</v>
      </c>
      <c r="P532" s="99">
        <v>193050</v>
      </c>
      <c r="Q532" s="98">
        <v>1774155.9478500001</v>
      </c>
      <c r="R532" s="96" t="s">
        <v>625</v>
      </c>
      <c r="S532" s="96">
        <v>7414000005</v>
      </c>
      <c r="AA532" s="131" t="s">
        <v>389</v>
      </c>
      <c r="AB532" s="130">
        <v>578453.28774000006</v>
      </c>
      <c r="AC532" s="130">
        <v>578453.28774000006</v>
      </c>
    </row>
    <row r="533" spans="1:29" x14ac:dyDescent="0.25">
      <c r="A533" t="str">
        <f t="shared" si="9"/>
        <v xml:space="preserve">1036527CETES 241128        </v>
      </c>
      <c r="B533" s="96">
        <v>1036527</v>
      </c>
      <c r="C533" s="96" t="s">
        <v>696</v>
      </c>
      <c r="D533" s="96" t="s">
        <v>554</v>
      </c>
      <c r="E533" s="96" t="s">
        <v>623</v>
      </c>
      <c r="F533" s="96" t="s">
        <v>624</v>
      </c>
      <c r="G533" s="99">
        <v>50830</v>
      </c>
      <c r="H533" s="97">
        <v>8.3813510000000004</v>
      </c>
      <c r="I533" s="98">
        <v>426024.07133000001</v>
      </c>
      <c r="J533" s="97">
        <v>8.2700011300000007</v>
      </c>
      <c r="K533" s="98">
        <v>5659.9138921000003</v>
      </c>
      <c r="L533" s="99">
        <v>0</v>
      </c>
      <c r="M533" s="98">
        <v>0</v>
      </c>
      <c r="N533" s="99">
        <v>0</v>
      </c>
      <c r="O533" s="98">
        <v>0</v>
      </c>
      <c r="P533" s="99">
        <v>50830</v>
      </c>
      <c r="Q533" s="98">
        <v>426024.07133000001</v>
      </c>
      <c r="R533" s="96" t="s">
        <v>625</v>
      </c>
      <c r="S533" s="96">
        <v>7414000005</v>
      </c>
      <c r="AA533" s="131" t="s">
        <v>419</v>
      </c>
      <c r="AB533" s="130">
        <v>0</v>
      </c>
      <c r="AC533" s="130">
        <v>0</v>
      </c>
    </row>
    <row r="534" spans="1:29" x14ac:dyDescent="0.25">
      <c r="A534" t="str">
        <f t="shared" si="9"/>
        <v xml:space="preserve">1036527CETES 250123        </v>
      </c>
      <c r="B534" s="96">
        <v>1036527</v>
      </c>
      <c r="C534" s="96" t="s">
        <v>696</v>
      </c>
      <c r="D534" s="96" t="s">
        <v>613</v>
      </c>
      <c r="E534" s="96" t="s">
        <v>623</v>
      </c>
      <c r="F534" s="96" t="s">
        <v>624</v>
      </c>
      <c r="G534" s="99">
        <v>103700</v>
      </c>
      <c r="H534" s="97">
        <v>8.2580650000000002</v>
      </c>
      <c r="I534" s="98">
        <v>856361.34050000005</v>
      </c>
      <c r="J534" s="97">
        <v>8.2501711100000001</v>
      </c>
      <c r="K534" s="98">
        <v>818.59639300000003</v>
      </c>
      <c r="L534" s="99">
        <v>0</v>
      </c>
      <c r="M534" s="98">
        <v>0</v>
      </c>
      <c r="N534" s="99">
        <v>0</v>
      </c>
      <c r="O534" s="98">
        <v>0</v>
      </c>
      <c r="P534" s="99">
        <v>103700</v>
      </c>
      <c r="Q534" s="98">
        <v>856361.34050000005</v>
      </c>
      <c r="R534" s="96" t="s">
        <v>625</v>
      </c>
      <c r="S534" s="96">
        <v>7414000005</v>
      </c>
      <c r="AA534" s="131" t="s">
        <v>459</v>
      </c>
      <c r="AB534" s="130">
        <v>13649175.852</v>
      </c>
      <c r="AC534" s="130">
        <v>13649175.852</v>
      </c>
    </row>
    <row r="535" spans="1:29" x14ac:dyDescent="0.25">
      <c r="A535" t="str">
        <f t="shared" si="9"/>
        <v xml:space="preserve">1036527CETES 251224        </v>
      </c>
      <c r="B535" s="96">
        <v>1036527</v>
      </c>
      <c r="C535" s="96" t="s">
        <v>696</v>
      </c>
      <c r="D535" s="96" t="s">
        <v>375</v>
      </c>
      <c r="E535" s="96" t="s">
        <v>623</v>
      </c>
      <c r="F535" s="96" t="s">
        <v>624</v>
      </c>
      <c r="G535" s="99">
        <v>4310</v>
      </c>
      <c r="H535" s="97">
        <v>98.730349000000004</v>
      </c>
      <c r="I535" s="98">
        <v>425527.80419</v>
      </c>
      <c r="J535" s="97">
        <v>104.73162454</v>
      </c>
      <c r="K535" s="98">
        <v>-25865.497577400001</v>
      </c>
      <c r="L535" s="99">
        <v>0</v>
      </c>
      <c r="M535" s="98">
        <v>0</v>
      </c>
      <c r="N535" s="99">
        <v>0</v>
      </c>
      <c r="O535" s="98">
        <v>0</v>
      </c>
      <c r="P535" s="99">
        <v>4310</v>
      </c>
      <c r="Q535" s="98">
        <v>425527.80419</v>
      </c>
      <c r="R535" s="96" t="s">
        <v>625</v>
      </c>
      <c r="S535" s="96">
        <v>7414000005</v>
      </c>
      <c r="AA535" s="129">
        <v>152981</v>
      </c>
      <c r="AB535" s="130">
        <v>4310317.4885139996</v>
      </c>
      <c r="AC535" s="130">
        <v>4310317.4885139996</v>
      </c>
    </row>
    <row r="536" spans="1:29" x14ac:dyDescent="0.25">
      <c r="A536" t="str">
        <f t="shared" si="9"/>
        <v xml:space="preserve">1036527CETES 260219        </v>
      </c>
      <c r="B536" s="96">
        <v>1036527</v>
      </c>
      <c r="C536" s="96" t="s">
        <v>696</v>
      </c>
      <c r="D536" s="96" t="s">
        <v>376</v>
      </c>
      <c r="E536" s="96" t="s">
        <v>623</v>
      </c>
      <c r="F536" s="96" t="s">
        <v>624</v>
      </c>
      <c r="G536" s="99">
        <v>7887</v>
      </c>
      <c r="H536" s="97">
        <v>99.247497999999993</v>
      </c>
      <c r="I536" s="98">
        <v>782765.016726</v>
      </c>
      <c r="J536" s="97">
        <v>116.87584286583491</v>
      </c>
      <c r="K536" s="98">
        <v>-139034.75595684</v>
      </c>
      <c r="L536" s="99">
        <v>0</v>
      </c>
      <c r="M536" s="98">
        <v>0</v>
      </c>
      <c r="N536" s="99">
        <v>0</v>
      </c>
      <c r="O536" s="98">
        <v>0</v>
      </c>
      <c r="P536" s="99">
        <v>7887</v>
      </c>
      <c r="Q536" s="98">
        <v>782765.016726</v>
      </c>
      <c r="R536" s="96" t="s">
        <v>625</v>
      </c>
      <c r="S536" s="96">
        <v>7414000005</v>
      </c>
      <c r="AA536" s="131" t="s">
        <v>376</v>
      </c>
      <c r="AB536" s="130">
        <v>79397.998399999997</v>
      </c>
      <c r="AC536" s="130">
        <v>79397.998399999997</v>
      </c>
    </row>
    <row r="537" spans="1:29" x14ac:dyDescent="0.25">
      <c r="A537" t="str">
        <f t="shared" si="9"/>
        <v xml:space="preserve">1036527GOBFED 240905       </v>
      </c>
      <c r="B537" s="96">
        <v>1036527</v>
      </c>
      <c r="C537" s="96" t="s">
        <v>696</v>
      </c>
      <c r="D537" s="96" t="s">
        <v>377</v>
      </c>
      <c r="E537" s="96" t="s">
        <v>623</v>
      </c>
      <c r="F537" s="96" t="s">
        <v>624</v>
      </c>
      <c r="G537" s="99">
        <v>9342</v>
      </c>
      <c r="H537" s="97">
        <v>94.973146999999997</v>
      </c>
      <c r="I537" s="98">
        <v>887239.13927399996</v>
      </c>
      <c r="J537" s="97">
        <v>90.008268852701775</v>
      </c>
      <c r="K537" s="98">
        <v>46381.891652060003</v>
      </c>
      <c r="L537" s="99">
        <v>0</v>
      </c>
      <c r="M537" s="98">
        <v>0</v>
      </c>
      <c r="N537" s="99">
        <v>0</v>
      </c>
      <c r="O537" s="98">
        <v>0</v>
      </c>
      <c r="P537" s="99">
        <v>9342</v>
      </c>
      <c r="Q537" s="98">
        <v>887239.13927399996</v>
      </c>
      <c r="R537" s="96" t="s">
        <v>625</v>
      </c>
      <c r="S537" s="96">
        <v>7414000005</v>
      </c>
      <c r="AA537" s="131" t="s">
        <v>378</v>
      </c>
      <c r="AB537" s="130">
        <v>72150.779485000006</v>
      </c>
      <c r="AC537" s="130">
        <v>72150.779485000006</v>
      </c>
    </row>
    <row r="538" spans="1:29" x14ac:dyDescent="0.25">
      <c r="A538" t="str">
        <f t="shared" si="9"/>
        <v xml:space="preserve">1036527GOBFED 241205       </v>
      </c>
      <c r="B538" s="96">
        <v>1036527</v>
      </c>
      <c r="C538" s="96" t="s">
        <v>696</v>
      </c>
      <c r="D538" s="96" t="s">
        <v>378</v>
      </c>
      <c r="E538" s="96" t="s">
        <v>623</v>
      </c>
      <c r="F538" s="96" t="s">
        <v>624</v>
      </c>
      <c r="G538" s="99">
        <v>5288</v>
      </c>
      <c r="H538" s="97">
        <v>91.911821000000003</v>
      </c>
      <c r="I538" s="98">
        <v>486029.70944800001</v>
      </c>
      <c r="J538" s="97">
        <v>93.2088459</v>
      </c>
      <c r="K538" s="98">
        <v>-6858.6676711999999</v>
      </c>
      <c r="L538" s="99">
        <v>0</v>
      </c>
      <c r="M538" s="98">
        <v>0</v>
      </c>
      <c r="N538" s="99">
        <v>0</v>
      </c>
      <c r="O538" s="98">
        <v>0</v>
      </c>
      <c r="P538" s="99">
        <v>5288</v>
      </c>
      <c r="Q538" s="98">
        <v>486029.70944800001</v>
      </c>
      <c r="R538" s="96" t="s">
        <v>625</v>
      </c>
      <c r="S538" s="96">
        <v>7414000005</v>
      </c>
      <c r="AA538" s="131" t="s">
        <v>380</v>
      </c>
      <c r="AB538" s="130">
        <v>102552.29700799999</v>
      </c>
      <c r="AC538" s="130">
        <v>102552.29700799999</v>
      </c>
    </row>
    <row r="539" spans="1:29" x14ac:dyDescent="0.25">
      <c r="A539" t="str">
        <f t="shared" si="9"/>
        <v xml:space="preserve">1036527GOBFED 250306       </v>
      </c>
      <c r="B539" s="96">
        <v>1036527</v>
      </c>
      <c r="C539" s="96" t="s">
        <v>696</v>
      </c>
      <c r="D539" s="96" t="s">
        <v>379</v>
      </c>
      <c r="E539" s="96" t="s">
        <v>623</v>
      </c>
      <c r="F539" s="96" t="s">
        <v>624</v>
      </c>
      <c r="G539" s="99">
        <v>5670</v>
      </c>
      <c r="H539" s="97">
        <v>88.698122999999995</v>
      </c>
      <c r="I539" s="98">
        <v>502918.35741</v>
      </c>
      <c r="J539" s="97">
        <v>85.668007947634919</v>
      </c>
      <c r="K539" s="98">
        <v>17180.752346910002</v>
      </c>
      <c r="L539" s="99">
        <v>0</v>
      </c>
      <c r="M539" s="98">
        <v>0</v>
      </c>
      <c r="N539" s="99">
        <v>0</v>
      </c>
      <c r="O539" s="98">
        <v>0</v>
      </c>
      <c r="P539" s="99">
        <v>5670</v>
      </c>
      <c r="Q539" s="98">
        <v>502918.35741</v>
      </c>
      <c r="R539" s="96" t="s">
        <v>625</v>
      </c>
      <c r="S539" s="96">
        <v>7414000005</v>
      </c>
      <c r="AA539" s="131" t="s">
        <v>382</v>
      </c>
      <c r="AB539" s="130">
        <v>103002.374215</v>
      </c>
      <c r="AC539" s="130">
        <v>103002.374215</v>
      </c>
    </row>
    <row r="540" spans="1:29" x14ac:dyDescent="0.25">
      <c r="A540" t="str">
        <f t="shared" si="9"/>
        <v xml:space="preserve">1036527GOBFED 260305       </v>
      </c>
      <c r="B540" s="96">
        <v>1036527</v>
      </c>
      <c r="C540" s="96" t="s">
        <v>696</v>
      </c>
      <c r="D540" s="96" t="s">
        <v>380</v>
      </c>
      <c r="E540" s="96" t="s">
        <v>623</v>
      </c>
      <c r="F540" s="96" t="s">
        <v>624</v>
      </c>
      <c r="G540" s="99">
        <v>5049</v>
      </c>
      <c r="H540" s="97">
        <v>93.314192000000006</v>
      </c>
      <c r="I540" s="98">
        <v>471143.355408</v>
      </c>
      <c r="J540" s="97">
        <v>96.71254873585265</v>
      </c>
      <c r="K540" s="98">
        <v>-17158.303159319999</v>
      </c>
      <c r="L540" s="99">
        <v>0</v>
      </c>
      <c r="M540" s="98">
        <v>0</v>
      </c>
      <c r="N540" s="99">
        <v>0</v>
      </c>
      <c r="O540" s="98">
        <v>0</v>
      </c>
      <c r="P540" s="99">
        <v>5049</v>
      </c>
      <c r="Q540" s="98">
        <v>471143.355408</v>
      </c>
      <c r="R540" s="96" t="s">
        <v>625</v>
      </c>
      <c r="S540" s="96">
        <v>7414000005</v>
      </c>
      <c r="AA540" s="131" t="s">
        <v>427</v>
      </c>
      <c r="AB540" s="130">
        <v>74104.236378000001</v>
      </c>
      <c r="AC540" s="130">
        <v>74104.236378000001</v>
      </c>
    </row>
    <row r="541" spans="1:29" x14ac:dyDescent="0.25">
      <c r="A541" t="str">
        <f t="shared" si="9"/>
        <v xml:space="preserve">1036527GOBFED 270304       </v>
      </c>
      <c r="B541" s="96">
        <v>1036527</v>
      </c>
      <c r="C541" s="96" t="s">
        <v>696</v>
      </c>
      <c r="D541" s="96" t="s">
        <v>507</v>
      </c>
      <c r="E541" s="96" t="s">
        <v>623</v>
      </c>
      <c r="F541" s="96" t="s">
        <v>624</v>
      </c>
      <c r="G541" s="99">
        <v>5250</v>
      </c>
      <c r="H541" s="97">
        <v>94.864168000000006</v>
      </c>
      <c r="I541" s="98">
        <v>498036.88199999998</v>
      </c>
      <c r="J541" s="97">
        <v>96.491211529695235</v>
      </c>
      <c r="K541" s="98">
        <v>-8541.9785308999999</v>
      </c>
      <c r="L541" s="99">
        <v>0</v>
      </c>
      <c r="M541" s="98">
        <v>0</v>
      </c>
      <c r="N541" s="99">
        <v>0</v>
      </c>
      <c r="O541" s="98">
        <v>0</v>
      </c>
      <c r="P541" s="99">
        <v>5250</v>
      </c>
      <c r="Q541" s="98">
        <v>498036.88199999998</v>
      </c>
      <c r="R541" s="96" t="s">
        <v>625</v>
      </c>
      <c r="S541" s="96">
        <v>7414000005</v>
      </c>
      <c r="AA541" s="131" t="s">
        <v>418</v>
      </c>
      <c r="AB541" s="130">
        <v>5173.9992659999998</v>
      </c>
      <c r="AC541" s="130">
        <v>5173.9992659999998</v>
      </c>
    </row>
    <row r="542" spans="1:29" x14ac:dyDescent="0.25">
      <c r="A542" t="str">
        <f t="shared" si="9"/>
        <v xml:space="preserve">1036527GOBFED 270603       </v>
      </c>
      <c r="B542" s="96">
        <v>1036527</v>
      </c>
      <c r="C542" s="96" t="s">
        <v>696</v>
      </c>
      <c r="D542" s="96" t="s">
        <v>381</v>
      </c>
      <c r="E542" s="96" t="s">
        <v>623</v>
      </c>
      <c r="F542" s="96" t="s">
        <v>624</v>
      </c>
      <c r="G542" s="99">
        <v>2037</v>
      </c>
      <c r="H542" s="97">
        <v>94.870157000000006</v>
      </c>
      <c r="I542" s="98">
        <v>193250.50980900001</v>
      </c>
      <c r="J542" s="97">
        <v>96.692672049999999</v>
      </c>
      <c r="K542" s="98">
        <v>-3712.4631568499999</v>
      </c>
      <c r="L542" s="99">
        <v>0</v>
      </c>
      <c r="M542" s="98">
        <v>0</v>
      </c>
      <c r="N542" s="99">
        <v>0</v>
      </c>
      <c r="O542" s="98">
        <v>0</v>
      </c>
      <c r="P542" s="99">
        <v>2037</v>
      </c>
      <c r="Q542" s="98">
        <v>193250.50980900001</v>
      </c>
      <c r="R542" s="96" t="s">
        <v>625</v>
      </c>
      <c r="S542" s="96">
        <v>7414000005</v>
      </c>
      <c r="AA542" s="131" t="s">
        <v>408</v>
      </c>
      <c r="AB542" s="130">
        <v>5468.2334920000003</v>
      </c>
      <c r="AC542" s="130">
        <v>5468.2334920000003</v>
      </c>
    </row>
    <row r="543" spans="1:29" x14ac:dyDescent="0.25">
      <c r="A543" t="str">
        <f t="shared" si="9"/>
        <v xml:space="preserve">1036527GOBFED 290301       </v>
      </c>
      <c r="B543" s="96">
        <v>1036527</v>
      </c>
      <c r="C543" s="96" t="s">
        <v>696</v>
      </c>
      <c r="D543" s="96" t="s">
        <v>382</v>
      </c>
      <c r="E543" s="96" t="s">
        <v>623</v>
      </c>
      <c r="F543" s="96" t="s">
        <v>624</v>
      </c>
      <c r="G543" s="99">
        <v>8702</v>
      </c>
      <c r="H543" s="97">
        <v>89.489464999999996</v>
      </c>
      <c r="I543" s="98">
        <v>778737.32443000004</v>
      </c>
      <c r="J543" s="97">
        <v>90.50660378774765</v>
      </c>
      <c r="K543" s="98">
        <v>-8851.1417309799999</v>
      </c>
      <c r="L543" s="99">
        <v>0</v>
      </c>
      <c r="M543" s="98">
        <v>0</v>
      </c>
      <c r="N543" s="99">
        <v>0</v>
      </c>
      <c r="O543" s="98">
        <v>0</v>
      </c>
      <c r="P543" s="99">
        <v>8702</v>
      </c>
      <c r="Q543" s="98">
        <v>778737.32443000004</v>
      </c>
      <c r="R543" s="96" t="s">
        <v>625</v>
      </c>
      <c r="S543" s="96">
        <v>7414000005</v>
      </c>
      <c r="AA543" s="131" t="s">
        <v>384</v>
      </c>
      <c r="AB543" s="130">
        <v>106587.47344</v>
      </c>
      <c r="AC543" s="130">
        <v>106587.47344</v>
      </c>
    </row>
    <row r="544" spans="1:29" x14ac:dyDescent="0.25">
      <c r="A544" t="str">
        <f t="shared" si="9"/>
        <v xml:space="preserve">1036527GOBFED 290531       </v>
      </c>
      <c r="B544" s="96">
        <v>1036527</v>
      </c>
      <c r="C544" s="96" t="s">
        <v>696</v>
      </c>
      <c r="D544" s="96" t="s">
        <v>383</v>
      </c>
      <c r="E544" s="96" t="s">
        <v>623</v>
      </c>
      <c r="F544" s="96" t="s">
        <v>624</v>
      </c>
      <c r="G544" s="99">
        <v>5760</v>
      </c>
      <c r="H544" s="97">
        <v>86.197128000000006</v>
      </c>
      <c r="I544" s="98">
        <v>496495.45727999997</v>
      </c>
      <c r="J544" s="97">
        <v>89.871190485243062</v>
      </c>
      <c r="K544" s="98">
        <v>-21162.599914999999</v>
      </c>
      <c r="L544" s="99">
        <v>0</v>
      </c>
      <c r="M544" s="98">
        <v>0</v>
      </c>
      <c r="N544" s="99">
        <v>0</v>
      </c>
      <c r="O544" s="98">
        <v>0</v>
      </c>
      <c r="P544" s="99">
        <v>5760</v>
      </c>
      <c r="Q544" s="98">
        <v>496495.45727999997</v>
      </c>
      <c r="R544" s="96" t="s">
        <v>625</v>
      </c>
      <c r="S544" s="96">
        <v>7414000005</v>
      </c>
      <c r="AA544" s="131" t="s">
        <v>389</v>
      </c>
      <c r="AB544" s="130">
        <v>716851.36610800005</v>
      </c>
      <c r="AC544" s="130">
        <v>716851.36610800005</v>
      </c>
    </row>
    <row r="545" spans="1:29" x14ac:dyDescent="0.25">
      <c r="A545" t="str">
        <f t="shared" si="9"/>
        <v xml:space="preserve">1036527GOBFED 310529       </v>
      </c>
      <c r="B545" s="96">
        <v>1036527</v>
      </c>
      <c r="C545" s="96" t="s">
        <v>696</v>
      </c>
      <c r="D545" s="96" t="s">
        <v>427</v>
      </c>
      <c r="E545" s="96" t="s">
        <v>623</v>
      </c>
      <c r="F545" s="96" t="s">
        <v>624</v>
      </c>
      <c r="G545" s="99">
        <v>21055</v>
      </c>
      <c r="H545" s="97">
        <v>86.469353999999996</v>
      </c>
      <c r="I545" s="98">
        <v>1820612.24847</v>
      </c>
      <c r="J545" s="97">
        <v>90.802627438551411</v>
      </c>
      <c r="K545" s="98">
        <v>-91237.072248700002</v>
      </c>
      <c r="L545" s="99">
        <v>0</v>
      </c>
      <c r="M545" s="98">
        <v>0</v>
      </c>
      <c r="N545" s="99">
        <v>0</v>
      </c>
      <c r="O545" s="98">
        <v>0</v>
      </c>
      <c r="P545" s="99">
        <v>21055</v>
      </c>
      <c r="Q545" s="98">
        <v>1820612.24847</v>
      </c>
      <c r="R545" s="96" t="s">
        <v>625</v>
      </c>
      <c r="S545" s="96">
        <v>7414000005</v>
      </c>
      <c r="AA545" s="131" t="s">
        <v>391</v>
      </c>
      <c r="AB545" s="130">
        <v>75242.103338999994</v>
      </c>
      <c r="AC545" s="130">
        <v>75242.103338999994</v>
      </c>
    </row>
    <row r="546" spans="1:29" x14ac:dyDescent="0.25">
      <c r="A546" t="str">
        <f t="shared" si="9"/>
        <v xml:space="preserve">1036527GOBFED 330526       </v>
      </c>
      <c r="B546" s="96">
        <v>1036527</v>
      </c>
      <c r="C546" s="96" t="s">
        <v>696</v>
      </c>
      <c r="D546" s="96" t="s">
        <v>418</v>
      </c>
      <c r="E546" s="96" t="s">
        <v>623</v>
      </c>
      <c r="F546" s="96" t="s">
        <v>624</v>
      </c>
      <c r="G546" s="99">
        <v>403</v>
      </c>
      <c r="H546" s="97">
        <v>101.45096599999999</v>
      </c>
      <c r="I546" s="98">
        <v>40884.739298</v>
      </c>
      <c r="J546" s="97">
        <v>117.68302937</v>
      </c>
      <c r="K546" s="98">
        <v>-6541.5215381099997</v>
      </c>
      <c r="L546" s="99">
        <v>0</v>
      </c>
      <c r="M546" s="98">
        <v>0</v>
      </c>
      <c r="N546" s="99">
        <v>0</v>
      </c>
      <c r="O546" s="98">
        <v>0</v>
      </c>
      <c r="P546" s="99">
        <v>403</v>
      </c>
      <c r="Q546" s="98">
        <v>40884.739298</v>
      </c>
      <c r="R546" s="96" t="s">
        <v>625</v>
      </c>
      <c r="S546" s="96">
        <v>7414000005</v>
      </c>
      <c r="AA546" s="131" t="s">
        <v>395</v>
      </c>
      <c r="AB546" s="130">
        <v>51786.106655000003</v>
      </c>
      <c r="AC546" s="130">
        <v>51786.106655000003</v>
      </c>
    </row>
    <row r="547" spans="1:29" x14ac:dyDescent="0.25">
      <c r="A547" t="str">
        <f t="shared" si="9"/>
        <v xml:space="preserve">1036527GOBFED 341123       </v>
      </c>
      <c r="B547" s="96">
        <v>1036527</v>
      </c>
      <c r="C547" s="96" t="s">
        <v>696</v>
      </c>
      <c r="D547" s="96" t="s">
        <v>408</v>
      </c>
      <c r="E547" s="96" t="s">
        <v>623</v>
      </c>
      <c r="F547" s="96" t="s">
        <v>624</v>
      </c>
      <c r="G547" s="99">
        <v>517</v>
      </c>
      <c r="H547" s="97">
        <v>89.643172000000007</v>
      </c>
      <c r="I547" s="98">
        <v>46345.519924</v>
      </c>
      <c r="J547" s="97">
        <v>117.58450777</v>
      </c>
      <c r="K547" s="98">
        <v>-14445.670593090001</v>
      </c>
      <c r="L547" s="99">
        <v>0</v>
      </c>
      <c r="M547" s="98">
        <v>0</v>
      </c>
      <c r="N547" s="99">
        <v>0</v>
      </c>
      <c r="O547" s="98">
        <v>0</v>
      </c>
      <c r="P547" s="99">
        <v>517</v>
      </c>
      <c r="Q547" s="98">
        <v>46345.519924</v>
      </c>
      <c r="R547" s="96" t="s">
        <v>625</v>
      </c>
      <c r="S547" s="96">
        <v>7414000005</v>
      </c>
      <c r="AA547" s="131" t="s">
        <v>396</v>
      </c>
      <c r="AB547" s="130">
        <v>64943.517599999999</v>
      </c>
      <c r="AC547" s="130">
        <v>64943.517599999999</v>
      </c>
    </row>
    <row r="548" spans="1:29" x14ac:dyDescent="0.25">
      <c r="A548" t="str">
        <f t="shared" si="9"/>
        <v xml:space="preserve">1036527GOBFED 361120       </v>
      </c>
      <c r="B548" s="96">
        <v>1036527</v>
      </c>
      <c r="C548" s="96" t="s">
        <v>696</v>
      </c>
      <c r="D548" s="96" t="s">
        <v>384</v>
      </c>
      <c r="E548" s="96" t="s">
        <v>623</v>
      </c>
      <c r="F548" s="96" t="s">
        <v>624</v>
      </c>
      <c r="G548" s="99">
        <v>10307</v>
      </c>
      <c r="H548" s="97">
        <v>81.738860000000003</v>
      </c>
      <c r="I548" s="98">
        <v>842482.43001999997</v>
      </c>
      <c r="J548" s="97">
        <v>86.462077079004558</v>
      </c>
      <c r="K548" s="98">
        <v>-48682.1984333</v>
      </c>
      <c r="L548" s="99">
        <v>0</v>
      </c>
      <c r="M548" s="98">
        <v>0</v>
      </c>
      <c r="N548" s="99">
        <v>0</v>
      </c>
      <c r="O548" s="98">
        <v>0</v>
      </c>
      <c r="P548" s="99">
        <v>10307</v>
      </c>
      <c r="Q548" s="98">
        <v>842482.43001999997</v>
      </c>
      <c r="R548" s="96" t="s">
        <v>625</v>
      </c>
      <c r="S548" s="96">
        <v>7414000005</v>
      </c>
      <c r="AA548" s="131" t="s">
        <v>398</v>
      </c>
      <c r="AB548" s="130">
        <v>78030.67151</v>
      </c>
      <c r="AC548" s="130">
        <v>78030.67151</v>
      </c>
    </row>
    <row r="549" spans="1:29" x14ac:dyDescent="0.25">
      <c r="A549" t="str">
        <f t="shared" si="9"/>
        <v xml:space="preserve">1036527GOBFED 381118       </v>
      </c>
      <c r="B549" s="96">
        <v>1036527</v>
      </c>
      <c r="C549" s="96" t="s">
        <v>696</v>
      </c>
      <c r="D549" s="96" t="s">
        <v>385</v>
      </c>
      <c r="E549" s="96" t="s">
        <v>623</v>
      </c>
      <c r="F549" s="96" t="s">
        <v>624</v>
      </c>
      <c r="G549" s="99">
        <v>2487</v>
      </c>
      <c r="H549" s="97">
        <v>83.200761</v>
      </c>
      <c r="I549" s="98">
        <v>206920.29260700001</v>
      </c>
      <c r="J549" s="97">
        <v>94.396286534752718</v>
      </c>
      <c r="K549" s="98">
        <v>-27843.272004930001</v>
      </c>
      <c r="L549" s="99">
        <v>0</v>
      </c>
      <c r="M549" s="98">
        <v>0</v>
      </c>
      <c r="N549" s="99">
        <v>0</v>
      </c>
      <c r="O549" s="98">
        <v>0</v>
      </c>
      <c r="P549" s="99">
        <v>2487</v>
      </c>
      <c r="Q549" s="98">
        <v>206920.29260700001</v>
      </c>
      <c r="R549" s="96" t="s">
        <v>625</v>
      </c>
      <c r="S549" s="96">
        <v>7414000005</v>
      </c>
      <c r="AA549" s="131" t="s">
        <v>381</v>
      </c>
      <c r="AB549" s="130">
        <v>46581.247087000003</v>
      </c>
      <c r="AC549" s="130">
        <v>46581.247087000003</v>
      </c>
    </row>
    <row r="550" spans="1:29" x14ac:dyDescent="0.25">
      <c r="A550" t="str">
        <f t="shared" si="9"/>
        <v xml:space="preserve">1036527GOBFED 421113       </v>
      </c>
      <c r="B550" s="96">
        <v>1036527</v>
      </c>
      <c r="C550" s="96" t="s">
        <v>696</v>
      </c>
      <c r="D550" s="96" t="s">
        <v>386</v>
      </c>
      <c r="E550" s="96" t="s">
        <v>623</v>
      </c>
      <c r="F550" s="96" t="s">
        <v>624</v>
      </c>
      <c r="G550" s="99">
        <v>15918</v>
      </c>
      <c r="H550" s="97">
        <v>82.159907000000004</v>
      </c>
      <c r="I550" s="98">
        <v>1307821.3996260001</v>
      </c>
      <c r="J550" s="97">
        <v>84.278742291020222</v>
      </c>
      <c r="K550" s="98">
        <v>-33727.62016246</v>
      </c>
      <c r="L550" s="99">
        <v>0</v>
      </c>
      <c r="M550" s="98">
        <v>0</v>
      </c>
      <c r="N550" s="99">
        <v>0</v>
      </c>
      <c r="O550" s="98">
        <v>0</v>
      </c>
      <c r="P550" s="99">
        <v>15918</v>
      </c>
      <c r="Q550" s="98">
        <v>1307821.3996260001</v>
      </c>
      <c r="R550" s="96" t="s">
        <v>625</v>
      </c>
      <c r="S550" s="96">
        <v>7414000005</v>
      </c>
      <c r="AA550" s="131" t="s">
        <v>449</v>
      </c>
      <c r="AB550" s="130">
        <v>0</v>
      </c>
      <c r="AC550" s="130">
        <v>0</v>
      </c>
    </row>
    <row r="551" spans="1:29" x14ac:dyDescent="0.25">
      <c r="A551" t="str">
        <f t="shared" si="9"/>
        <v xml:space="preserve">1036527GOBFED 471107       </v>
      </c>
      <c r="B551" s="96">
        <v>1036527</v>
      </c>
      <c r="C551" s="96" t="s">
        <v>696</v>
      </c>
      <c r="D551" s="96" t="s">
        <v>429</v>
      </c>
      <c r="E551" s="96" t="s">
        <v>623</v>
      </c>
      <c r="F551" s="96" t="s">
        <v>624</v>
      </c>
      <c r="G551" s="99">
        <v>8580</v>
      </c>
      <c r="H551" s="97">
        <v>98.007834000000003</v>
      </c>
      <c r="I551" s="98">
        <v>840907.21571999998</v>
      </c>
      <c r="J551" s="97">
        <v>92.06807809</v>
      </c>
      <c r="K551" s="98">
        <v>50963.105707800001</v>
      </c>
      <c r="L551" s="99">
        <v>0</v>
      </c>
      <c r="M551" s="98">
        <v>0</v>
      </c>
      <c r="N551" s="99">
        <v>0</v>
      </c>
      <c r="O551" s="98">
        <v>0</v>
      </c>
      <c r="P551" s="99">
        <v>8580</v>
      </c>
      <c r="Q551" s="98">
        <v>840907.21571999998</v>
      </c>
      <c r="R551" s="96" t="s">
        <v>625</v>
      </c>
      <c r="S551" s="96">
        <v>7414000005</v>
      </c>
      <c r="AA551" s="131" t="s">
        <v>466</v>
      </c>
      <c r="AB551" s="130">
        <v>9729.9043700000002</v>
      </c>
      <c r="AC551" s="130">
        <v>9729.9043700000002</v>
      </c>
    </row>
    <row r="552" spans="1:29" x14ac:dyDescent="0.25">
      <c r="A552" t="str">
        <f t="shared" si="9"/>
        <v xml:space="preserve">1036527GOBFED 530731       </v>
      </c>
      <c r="B552" s="96">
        <v>1036527</v>
      </c>
      <c r="C552" s="96" t="s">
        <v>696</v>
      </c>
      <c r="D552" s="96" t="s">
        <v>389</v>
      </c>
      <c r="E552" s="96" t="s">
        <v>623</v>
      </c>
      <c r="F552" s="96" t="s">
        <v>624</v>
      </c>
      <c r="G552" s="99">
        <v>1231571</v>
      </c>
      <c r="H552" s="97">
        <v>3.3967719999999999</v>
      </c>
      <c r="I552" s="98">
        <v>4183365.8888119999</v>
      </c>
      <c r="J552" s="97">
        <v>3.3071989109844258</v>
      </c>
      <c r="K552" s="98">
        <v>110315.618812</v>
      </c>
      <c r="L552" s="99">
        <v>0</v>
      </c>
      <c r="M552" s="98">
        <v>0</v>
      </c>
      <c r="N552" s="99">
        <v>0</v>
      </c>
      <c r="O552" s="98">
        <v>0</v>
      </c>
      <c r="P552" s="99">
        <v>1231571</v>
      </c>
      <c r="Q552" s="98">
        <v>4183365.8888119999</v>
      </c>
      <c r="R552" s="96" t="s">
        <v>625</v>
      </c>
      <c r="S552" s="96">
        <v>7414000005</v>
      </c>
      <c r="AA552" s="131" t="s">
        <v>470</v>
      </c>
      <c r="AB552" s="130">
        <v>0</v>
      </c>
      <c r="AC552" s="130">
        <v>0</v>
      </c>
    </row>
    <row r="553" spans="1:29" x14ac:dyDescent="0.25">
      <c r="A553" t="str">
        <f t="shared" si="9"/>
        <v xml:space="preserve">1036527PEMEX 13-2          </v>
      </c>
      <c r="B553" s="96">
        <v>1036527</v>
      </c>
      <c r="C553" s="96" t="s">
        <v>696</v>
      </c>
      <c r="D553" s="96" t="s">
        <v>417</v>
      </c>
      <c r="E553" s="96" t="s">
        <v>623</v>
      </c>
      <c r="F553" s="96" t="s">
        <v>624</v>
      </c>
      <c r="G553" s="99">
        <v>1572064</v>
      </c>
      <c r="H553" s="97">
        <v>3.8832339999999999</v>
      </c>
      <c r="I553" s="98">
        <v>6104692.3749759998</v>
      </c>
      <c r="J553" s="97">
        <v>2.8718089467095487</v>
      </c>
      <c r="K553" s="98">
        <v>1590024.9149760001</v>
      </c>
      <c r="L553" s="99">
        <v>0</v>
      </c>
      <c r="M553" s="98">
        <v>0</v>
      </c>
      <c r="N553" s="99">
        <v>0</v>
      </c>
      <c r="O553" s="98">
        <v>0</v>
      </c>
      <c r="P553" s="99">
        <v>1572064</v>
      </c>
      <c r="Q553" s="98">
        <v>6104692.3749759998</v>
      </c>
      <c r="R553" s="96" t="s">
        <v>625</v>
      </c>
      <c r="S553" s="96">
        <v>7414000005</v>
      </c>
      <c r="AA553" s="131" t="s">
        <v>393</v>
      </c>
      <c r="AB553" s="130">
        <v>128675.212344</v>
      </c>
      <c r="AC553" s="130">
        <v>128675.212344</v>
      </c>
    </row>
    <row r="554" spans="1:29" x14ac:dyDescent="0.25">
      <c r="A554" t="str">
        <f t="shared" si="9"/>
        <v xml:space="preserve">1036527STERGOB ED          </v>
      </c>
      <c r="B554" s="96">
        <v>1036527</v>
      </c>
      <c r="C554" s="96" t="s">
        <v>696</v>
      </c>
      <c r="D554" s="96" t="s">
        <v>466</v>
      </c>
      <c r="E554" s="96" t="s">
        <v>623</v>
      </c>
      <c r="F554" s="96" t="s">
        <v>624</v>
      </c>
      <c r="G554" s="99">
        <v>122</v>
      </c>
      <c r="H554" s="97">
        <v>256.05011500000001</v>
      </c>
      <c r="I554" s="98">
        <v>31238.114030000001</v>
      </c>
      <c r="J554" s="97">
        <v>487.31725979999999</v>
      </c>
      <c r="K554" s="98">
        <v>-28214.591665600001</v>
      </c>
      <c r="L554" s="99">
        <v>0</v>
      </c>
      <c r="M554" s="98">
        <v>0</v>
      </c>
      <c r="N554" s="99">
        <v>0</v>
      </c>
      <c r="O554" s="98">
        <v>0</v>
      </c>
      <c r="P554" s="99">
        <v>122</v>
      </c>
      <c r="Q554" s="98">
        <v>31238.114030000001</v>
      </c>
      <c r="R554" s="96" t="s">
        <v>625</v>
      </c>
      <c r="S554" s="96">
        <v>7414000005</v>
      </c>
      <c r="AA554" s="131" t="s">
        <v>385</v>
      </c>
      <c r="AB554" s="130">
        <v>28621.061784000001</v>
      </c>
      <c r="AC554" s="130">
        <v>28621.061784000001</v>
      </c>
    </row>
    <row r="555" spans="1:29" x14ac:dyDescent="0.25">
      <c r="A555" t="str">
        <f t="shared" si="9"/>
        <v xml:space="preserve">1036527STRGOB2 ED          </v>
      </c>
      <c r="B555" s="96">
        <v>1036527</v>
      </c>
      <c r="C555" s="96" t="s">
        <v>696</v>
      </c>
      <c r="D555" s="96" t="s">
        <v>391</v>
      </c>
      <c r="E555" s="96" t="s">
        <v>623</v>
      </c>
      <c r="F555" s="96" t="s">
        <v>624</v>
      </c>
      <c r="G555" s="99">
        <v>704</v>
      </c>
      <c r="H555" s="97">
        <v>775.69178699999998</v>
      </c>
      <c r="I555" s="98">
        <v>546087.01804800006</v>
      </c>
      <c r="J555" s="97">
        <v>678.53024991690336</v>
      </c>
      <c r="K555" s="98">
        <v>68401.722106500005</v>
      </c>
      <c r="L555" s="99">
        <v>0</v>
      </c>
      <c r="M555" s="98">
        <v>0</v>
      </c>
      <c r="N555" s="99">
        <v>0</v>
      </c>
      <c r="O555" s="98">
        <v>0</v>
      </c>
      <c r="P555" s="99">
        <v>704</v>
      </c>
      <c r="Q555" s="98">
        <v>546087.01804800006</v>
      </c>
      <c r="R555" s="96" t="s">
        <v>625</v>
      </c>
      <c r="S555" s="96">
        <v>7414000005</v>
      </c>
      <c r="AA555" s="131" t="s">
        <v>417</v>
      </c>
      <c r="AB555" s="130">
        <v>314518.65459599998</v>
      </c>
      <c r="AC555" s="130">
        <v>314518.65459599998</v>
      </c>
    </row>
    <row r="556" spans="1:29" x14ac:dyDescent="0.25">
      <c r="A556" t="str">
        <f t="shared" si="9"/>
        <v xml:space="preserve">1036527TFOVICB 15U         </v>
      </c>
      <c r="B556" s="96">
        <v>1036527</v>
      </c>
      <c r="C556" s="96" t="s">
        <v>696</v>
      </c>
      <c r="D556" s="96" t="s">
        <v>392</v>
      </c>
      <c r="E556" s="96" t="s">
        <v>623</v>
      </c>
      <c r="F556" s="96" t="s">
        <v>624</v>
      </c>
      <c r="G556" s="99">
        <v>1080</v>
      </c>
      <c r="H556" s="97">
        <v>747.17843200000004</v>
      </c>
      <c r="I556" s="98">
        <v>806952.70655999996</v>
      </c>
      <c r="J556" s="97">
        <v>709.91263918694449</v>
      </c>
      <c r="K556" s="98">
        <v>40247.056238099998</v>
      </c>
      <c r="L556" s="99">
        <v>0</v>
      </c>
      <c r="M556" s="98">
        <v>0</v>
      </c>
      <c r="N556" s="99">
        <v>0</v>
      </c>
      <c r="O556" s="98">
        <v>0</v>
      </c>
      <c r="P556" s="99">
        <v>1080</v>
      </c>
      <c r="Q556" s="98">
        <v>806952.70655999996</v>
      </c>
      <c r="R556" s="96" t="s">
        <v>625</v>
      </c>
      <c r="S556" s="96">
        <v>7414000005</v>
      </c>
      <c r="AA556" s="131" t="s">
        <v>375</v>
      </c>
      <c r="AB556" s="130">
        <v>88857.314100000003</v>
      </c>
      <c r="AC556" s="130">
        <v>88857.314100000003</v>
      </c>
    </row>
    <row r="557" spans="1:29" x14ac:dyDescent="0.25">
      <c r="A557" t="str">
        <f t="shared" si="9"/>
        <v xml:space="preserve">1036527UDIBONO 251204      </v>
      </c>
      <c r="B557" s="96">
        <v>1036527</v>
      </c>
      <c r="C557" s="96" t="s">
        <v>696</v>
      </c>
      <c r="D557" s="96" t="s">
        <v>393</v>
      </c>
      <c r="E557" s="96" t="s">
        <v>623</v>
      </c>
      <c r="F557" s="96" t="s">
        <v>624</v>
      </c>
      <c r="G557" s="99">
        <v>1134</v>
      </c>
      <c r="H557" s="97">
        <v>765.92388300000005</v>
      </c>
      <c r="I557" s="98">
        <v>868557.68332199997</v>
      </c>
      <c r="J557" s="97">
        <v>750.48320679506173</v>
      </c>
      <c r="K557" s="98">
        <v>17509.726816400002</v>
      </c>
      <c r="L557" s="99">
        <v>0</v>
      </c>
      <c r="M557" s="98">
        <v>0</v>
      </c>
      <c r="N557" s="99">
        <v>0</v>
      </c>
      <c r="O557" s="98">
        <v>0</v>
      </c>
      <c r="P557" s="99">
        <v>1134</v>
      </c>
      <c r="Q557" s="98">
        <v>868557.68332199997</v>
      </c>
      <c r="R557" s="96" t="s">
        <v>625</v>
      </c>
      <c r="S557" s="96">
        <v>7414000005</v>
      </c>
      <c r="AA557" s="131" t="s">
        <v>399</v>
      </c>
      <c r="AB557" s="130">
        <v>254154.494442</v>
      </c>
      <c r="AC557" s="130">
        <v>254154.494442</v>
      </c>
    </row>
    <row r="558" spans="1:29" x14ac:dyDescent="0.25">
      <c r="A558" t="str">
        <f t="shared" si="9"/>
        <v xml:space="preserve">1036527UDIBONO 261203      </v>
      </c>
      <c r="B558" s="96">
        <v>1036527</v>
      </c>
      <c r="C558" s="96" t="s">
        <v>696</v>
      </c>
      <c r="D558" s="96" t="s">
        <v>394</v>
      </c>
      <c r="E558" s="96" t="s">
        <v>623</v>
      </c>
      <c r="F558" s="96" t="s">
        <v>624</v>
      </c>
      <c r="G558" s="99">
        <v>4695</v>
      </c>
      <c r="H558" s="97">
        <v>684.88915799999995</v>
      </c>
      <c r="I558" s="98">
        <v>3215554.59681</v>
      </c>
      <c r="J558" s="97">
        <v>677.10494539680508</v>
      </c>
      <c r="K558" s="98">
        <v>36546.878171999997</v>
      </c>
      <c r="L558" s="99">
        <v>0</v>
      </c>
      <c r="M558" s="98">
        <v>0</v>
      </c>
      <c r="N558" s="99">
        <v>0</v>
      </c>
      <c r="O558" s="98">
        <v>0</v>
      </c>
      <c r="P558" s="99">
        <v>4695</v>
      </c>
      <c r="Q558" s="98">
        <v>3215554.59681</v>
      </c>
      <c r="R558" s="96" t="s">
        <v>625</v>
      </c>
      <c r="S558" s="96">
        <v>7414000005</v>
      </c>
      <c r="AA558" s="131" t="s">
        <v>429</v>
      </c>
      <c r="AB558" s="130">
        <v>141131.28096</v>
      </c>
      <c r="AC558" s="130">
        <v>141131.28096</v>
      </c>
    </row>
    <row r="559" spans="1:29" x14ac:dyDescent="0.25">
      <c r="A559" t="str">
        <f t="shared" si="9"/>
        <v xml:space="preserve">1036527UDIBONO 281130      </v>
      </c>
      <c r="B559" s="96">
        <v>1036527</v>
      </c>
      <c r="C559" s="96" t="s">
        <v>696</v>
      </c>
      <c r="D559" s="96" t="s">
        <v>395</v>
      </c>
      <c r="E559" s="96" t="s">
        <v>623</v>
      </c>
      <c r="F559" s="96" t="s">
        <v>624</v>
      </c>
      <c r="G559" s="99">
        <v>473</v>
      </c>
      <c r="H559" s="97">
        <v>772.926965</v>
      </c>
      <c r="I559" s="98">
        <v>365594.45444499998</v>
      </c>
      <c r="J559" s="97">
        <v>798.93664675000002</v>
      </c>
      <c r="K559" s="98">
        <v>-12302.57946775</v>
      </c>
      <c r="L559" s="99">
        <v>0</v>
      </c>
      <c r="M559" s="98">
        <v>0</v>
      </c>
      <c r="N559" s="99">
        <v>0</v>
      </c>
      <c r="O559" s="98">
        <v>0</v>
      </c>
      <c r="P559" s="99">
        <v>473</v>
      </c>
      <c r="Q559" s="98">
        <v>365594.45444499998</v>
      </c>
      <c r="R559" s="96" t="s">
        <v>625</v>
      </c>
      <c r="S559" s="96">
        <v>7414000005</v>
      </c>
      <c r="AA559" s="131" t="s">
        <v>394</v>
      </c>
      <c r="AB559" s="130">
        <v>399975.26827200002</v>
      </c>
      <c r="AC559" s="130">
        <v>399975.26827200002</v>
      </c>
    </row>
    <row r="560" spans="1:29" x14ac:dyDescent="0.25">
      <c r="A560" t="str">
        <f t="shared" si="9"/>
        <v xml:space="preserve">1036527UDIBONO 311127      </v>
      </c>
      <c r="B560" s="96">
        <v>1036527</v>
      </c>
      <c r="C560" s="96" t="s">
        <v>696</v>
      </c>
      <c r="D560" s="96" t="s">
        <v>396</v>
      </c>
      <c r="E560" s="96" t="s">
        <v>623</v>
      </c>
      <c r="F560" s="96" t="s">
        <v>624</v>
      </c>
      <c r="G560" s="99">
        <v>571</v>
      </c>
      <c r="H560" s="97">
        <v>721.59464000000003</v>
      </c>
      <c r="I560" s="98">
        <v>412030.53944000002</v>
      </c>
      <c r="J560" s="97">
        <v>758.40882911189146</v>
      </c>
      <c r="K560" s="98">
        <v>-21020.901982889998</v>
      </c>
      <c r="L560" s="99">
        <v>0</v>
      </c>
      <c r="M560" s="98">
        <v>0</v>
      </c>
      <c r="N560" s="99">
        <v>0</v>
      </c>
      <c r="O560" s="98">
        <v>0</v>
      </c>
      <c r="P560" s="99">
        <v>571</v>
      </c>
      <c r="Q560" s="98">
        <v>412030.53944000002</v>
      </c>
      <c r="R560" s="96" t="s">
        <v>625</v>
      </c>
      <c r="S560" s="96">
        <v>7414000005</v>
      </c>
      <c r="AA560" s="131" t="s">
        <v>379</v>
      </c>
      <c r="AB560" s="130">
        <v>91092.972320999994</v>
      </c>
      <c r="AC560" s="130">
        <v>91092.972320999994</v>
      </c>
    </row>
    <row r="561" spans="1:29" x14ac:dyDescent="0.25">
      <c r="A561" t="str">
        <f t="shared" si="9"/>
        <v xml:space="preserve">1036527UDIBONO 351122      </v>
      </c>
      <c r="B561" s="96">
        <v>1036527</v>
      </c>
      <c r="C561" s="96" t="s">
        <v>696</v>
      </c>
      <c r="D561" s="96" t="s">
        <v>397</v>
      </c>
      <c r="E561" s="96" t="s">
        <v>623</v>
      </c>
      <c r="F561" s="96" t="s">
        <v>624</v>
      </c>
      <c r="G561" s="99">
        <v>469</v>
      </c>
      <c r="H561" s="97">
        <v>635.96311900000001</v>
      </c>
      <c r="I561" s="98">
        <v>298266.702811</v>
      </c>
      <c r="J561" s="97">
        <v>647.93802047999998</v>
      </c>
      <c r="K561" s="98">
        <v>-5616.2287941200002</v>
      </c>
      <c r="L561" s="99">
        <v>0</v>
      </c>
      <c r="M561" s="98">
        <v>0</v>
      </c>
      <c r="N561" s="99">
        <v>0</v>
      </c>
      <c r="O561" s="98">
        <v>0</v>
      </c>
      <c r="P561" s="99">
        <v>469</v>
      </c>
      <c r="Q561" s="98">
        <v>298266.702811</v>
      </c>
      <c r="R561" s="96" t="s">
        <v>625</v>
      </c>
      <c r="S561" s="96">
        <v>7414000005</v>
      </c>
      <c r="AA561" s="131" t="s">
        <v>377</v>
      </c>
      <c r="AB561" s="130">
        <v>118811.40689699999</v>
      </c>
      <c r="AC561" s="130">
        <v>118811.40689699999</v>
      </c>
    </row>
    <row r="562" spans="1:29" x14ac:dyDescent="0.25">
      <c r="A562" t="str">
        <f t="shared" si="9"/>
        <v xml:space="preserve">1036527UDIBONO 401115      </v>
      </c>
      <c r="B562" s="96">
        <v>1036527</v>
      </c>
      <c r="C562" s="96" t="s">
        <v>696</v>
      </c>
      <c r="D562" s="96" t="s">
        <v>398</v>
      </c>
      <c r="E562" s="96" t="s">
        <v>623</v>
      </c>
      <c r="F562" s="96" t="s">
        <v>624</v>
      </c>
      <c r="G562" s="99">
        <v>875</v>
      </c>
      <c r="H562" s="97">
        <v>709.36974099999998</v>
      </c>
      <c r="I562" s="98">
        <v>620698.52337499999</v>
      </c>
      <c r="J562" s="97">
        <v>728.51284808879996</v>
      </c>
      <c r="K562" s="98">
        <v>-16750.2187027</v>
      </c>
      <c r="L562" s="99">
        <v>0</v>
      </c>
      <c r="M562" s="98">
        <v>0</v>
      </c>
      <c r="N562" s="99">
        <v>0</v>
      </c>
      <c r="O562" s="98">
        <v>0</v>
      </c>
      <c r="P562" s="99">
        <v>875</v>
      </c>
      <c r="Q562" s="98">
        <v>620698.52337499999</v>
      </c>
      <c r="R562" s="96" t="s">
        <v>625</v>
      </c>
      <c r="S562" s="96">
        <v>7414000005</v>
      </c>
      <c r="AA562" s="131" t="s">
        <v>392</v>
      </c>
      <c r="AB562" s="130">
        <v>112076.7648</v>
      </c>
      <c r="AC562" s="130">
        <v>112076.7648</v>
      </c>
    </row>
    <row r="563" spans="1:29" x14ac:dyDescent="0.25">
      <c r="A563" t="str">
        <f t="shared" si="9"/>
        <v xml:space="preserve">1036527UDIBONO 431112      </v>
      </c>
      <c r="B563" s="96">
        <v>1036527</v>
      </c>
      <c r="C563" s="96" t="s">
        <v>696</v>
      </c>
      <c r="D563" s="96" t="s">
        <v>399</v>
      </c>
      <c r="E563" s="96" t="s">
        <v>623</v>
      </c>
      <c r="F563" s="96" t="s">
        <v>624</v>
      </c>
      <c r="G563" s="99">
        <v>2939</v>
      </c>
      <c r="H563" s="97">
        <v>694.41118700000004</v>
      </c>
      <c r="I563" s="98">
        <v>2040874.478593</v>
      </c>
      <c r="J563" s="97">
        <v>723.71357297702957</v>
      </c>
      <c r="K563" s="98">
        <v>-86119.712386490006</v>
      </c>
      <c r="L563" s="99">
        <v>0</v>
      </c>
      <c r="M563" s="98">
        <v>0</v>
      </c>
      <c r="N563" s="99">
        <v>0</v>
      </c>
      <c r="O563" s="98">
        <v>0</v>
      </c>
      <c r="P563" s="99">
        <v>2939</v>
      </c>
      <c r="Q563" s="98">
        <v>2040874.478593</v>
      </c>
      <c r="R563" s="96" t="s">
        <v>625</v>
      </c>
      <c r="S563" s="96">
        <v>7414000005</v>
      </c>
      <c r="AA563" s="131" t="s">
        <v>386</v>
      </c>
      <c r="AB563" s="130">
        <v>160376.13846399999</v>
      </c>
      <c r="AC563" s="130">
        <v>160376.13846399999</v>
      </c>
    </row>
    <row r="564" spans="1:29" x14ac:dyDescent="0.25">
      <c r="A564" t="str">
        <f t="shared" si="9"/>
        <v xml:space="preserve">1036527UDIBONO 461108      </v>
      </c>
      <c r="B564" s="96">
        <v>1036528</v>
      </c>
      <c r="C564" s="96" t="s">
        <v>696</v>
      </c>
      <c r="D564" s="96" t="s">
        <v>363</v>
      </c>
      <c r="E564" s="96" t="s">
        <v>623</v>
      </c>
      <c r="F564" s="96" t="s">
        <v>624</v>
      </c>
      <c r="G564" s="99">
        <v>117241</v>
      </c>
      <c r="H564" s="97">
        <v>9.4935880000000008</v>
      </c>
      <c r="I564" s="98">
        <v>1113037.750708</v>
      </c>
      <c r="J564" s="97">
        <v>8.4405498100000003</v>
      </c>
      <c r="K564" s="98">
        <v>123459.25043379</v>
      </c>
      <c r="L564" s="99">
        <v>0</v>
      </c>
      <c r="M564" s="98">
        <v>0</v>
      </c>
      <c r="N564" s="99">
        <v>0</v>
      </c>
      <c r="O564" s="98">
        <v>0</v>
      </c>
      <c r="P564" s="99">
        <v>117241</v>
      </c>
      <c r="Q564" s="98">
        <v>1113037.750708</v>
      </c>
      <c r="R564" s="96" t="s">
        <v>625</v>
      </c>
      <c r="S564" s="96">
        <v>7414000005</v>
      </c>
      <c r="AA564" s="131" t="s">
        <v>363</v>
      </c>
      <c r="AB564" s="130">
        <v>139375.36542799999</v>
      </c>
      <c r="AC564" s="130">
        <v>139375.36542799999</v>
      </c>
    </row>
    <row r="565" spans="1:29" x14ac:dyDescent="0.25">
      <c r="A565" t="str">
        <f t="shared" si="9"/>
        <v xml:space="preserve">1036527UDIBONO 501103      </v>
      </c>
      <c r="B565" s="96">
        <v>1036528</v>
      </c>
      <c r="C565" s="96" t="s">
        <v>696</v>
      </c>
      <c r="D565" s="96" t="s">
        <v>409</v>
      </c>
      <c r="E565" s="96" t="s">
        <v>623</v>
      </c>
      <c r="F565" s="96" t="s">
        <v>624</v>
      </c>
      <c r="G565" s="99">
        <v>159710</v>
      </c>
      <c r="H565" s="97">
        <v>9.3381629999999998</v>
      </c>
      <c r="I565" s="98">
        <v>1491398.0127300001</v>
      </c>
      <c r="J565" s="97">
        <v>8.3307969100000001</v>
      </c>
      <c r="K565" s="98">
        <v>160886.4382339</v>
      </c>
      <c r="L565" s="99">
        <v>0</v>
      </c>
      <c r="M565" s="98">
        <v>0</v>
      </c>
      <c r="N565" s="99">
        <v>0</v>
      </c>
      <c r="O565" s="98">
        <v>0</v>
      </c>
      <c r="P565" s="99">
        <v>159710</v>
      </c>
      <c r="Q565" s="98">
        <v>1491398.0127300001</v>
      </c>
      <c r="R565" s="96" t="s">
        <v>625</v>
      </c>
      <c r="S565" s="96">
        <v>7414000005</v>
      </c>
      <c r="AA565" s="131" t="s">
        <v>409</v>
      </c>
      <c r="AB565" s="130">
        <v>187043.40489000001</v>
      </c>
      <c r="AC565" s="130">
        <v>187043.40489000001</v>
      </c>
    </row>
    <row r="566" spans="1:29" x14ac:dyDescent="0.25">
      <c r="A566" t="str">
        <f t="shared" si="9"/>
        <v xml:space="preserve">1036528CETES 241003        </v>
      </c>
      <c r="B566" s="96">
        <v>1036528</v>
      </c>
      <c r="C566" s="96" t="s">
        <v>696</v>
      </c>
      <c r="D566" s="96" t="s">
        <v>364</v>
      </c>
      <c r="E566" s="96" t="s">
        <v>623</v>
      </c>
      <c r="F566" s="96" t="s">
        <v>624</v>
      </c>
      <c r="G566" s="99">
        <v>205170</v>
      </c>
      <c r="H566" s="97">
        <v>9.190137</v>
      </c>
      <c r="I566" s="98">
        <v>1885540.4082899999</v>
      </c>
      <c r="J566" s="97">
        <v>8.2168055598947216</v>
      </c>
      <c r="K566" s="98">
        <v>199698.4115664</v>
      </c>
      <c r="L566" s="99">
        <v>0</v>
      </c>
      <c r="M566" s="98">
        <v>0</v>
      </c>
      <c r="N566" s="99">
        <v>0</v>
      </c>
      <c r="O566" s="98">
        <v>0</v>
      </c>
      <c r="P566" s="99">
        <v>205170</v>
      </c>
      <c r="Q566" s="98">
        <v>1885540.4082899999</v>
      </c>
      <c r="R566" s="96" t="s">
        <v>625</v>
      </c>
      <c r="S566" s="96">
        <v>7414000005</v>
      </c>
      <c r="AA566" s="131" t="s">
        <v>383</v>
      </c>
      <c r="AB566" s="130">
        <v>63785.87472</v>
      </c>
      <c r="AC566" s="130">
        <v>63785.87472</v>
      </c>
    </row>
    <row r="567" spans="1:29" x14ac:dyDescent="0.25">
      <c r="A567" t="str">
        <f t="shared" si="9"/>
        <v xml:space="preserve">1036528CETES 241128        </v>
      </c>
      <c r="B567" s="96">
        <v>1036528</v>
      </c>
      <c r="C567" s="96" t="s">
        <v>696</v>
      </c>
      <c r="D567" s="96" t="s">
        <v>554</v>
      </c>
      <c r="E567" s="96" t="s">
        <v>623</v>
      </c>
      <c r="F567" s="96" t="s">
        <v>624</v>
      </c>
      <c r="G567" s="99">
        <v>56400</v>
      </c>
      <c r="H567" s="97">
        <v>8.3813510000000004</v>
      </c>
      <c r="I567" s="98">
        <v>472708.19640000002</v>
      </c>
      <c r="J567" s="97">
        <v>8.2700011300000007</v>
      </c>
      <c r="K567" s="98">
        <v>6280.1326680000002</v>
      </c>
      <c r="L567" s="99">
        <v>0</v>
      </c>
      <c r="M567" s="98">
        <v>0</v>
      </c>
      <c r="N567" s="99">
        <v>0</v>
      </c>
      <c r="O567" s="98">
        <v>0</v>
      </c>
      <c r="P567" s="99">
        <v>56400</v>
      </c>
      <c r="Q567" s="98">
        <v>472708.19640000002</v>
      </c>
      <c r="R567" s="96" t="s">
        <v>625</v>
      </c>
      <c r="S567" s="96">
        <v>7414000005</v>
      </c>
      <c r="AA567" s="131" t="s">
        <v>364</v>
      </c>
      <c r="AB567" s="130">
        <v>227455.89074999999</v>
      </c>
      <c r="AC567" s="130">
        <v>227455.89074999999</v>
      </c>
    </row>
    <row r="568" spans="1:29" x14ac:dyDescent="0.25">
      <c r="A568" t="str">
        <f t="shared" si="9"/>
        <v xml:space="preserve">1036528CETES 250123        </v>
      </c>
      <c r="B568" s="96">
        <v>1036528</v>
      </c>
      <c r="C568" s="96" t="s">
        <v>696</v>
      </c>
      <c r="D568" s="96" t="s">
        <v>613</v>
      </c>
      <c r="E568" s="96" t="s">
        <v>623</v>
      </c>
      <c r="F568" s="96" t="s">
        <v>624</v>
      </c>
      <c r="G568" s="99">
        <v>115050</v>
      </c>
      <c r="H568" s="97">
        <v>8.2580650000000002</v>
      </c>
      <c r="I568" s="98">
        <v>950090.37824999995</v>
      </c>
      <c r="J568" s="97">
        <v>8.2501711100000001</v>
      </c>
      <c r="K568" s="98">
        <v>908.19204449999995</v>
      </c>
      <c r="L568" s="99">
        <v>0</v>
      </c>
      <c r="M568" s="98">
        <v>0</v>
      </c>
      <c r="N568" s="99">
        <v>0</v>
      </c>
      <c r="O568" s="98">
        <v>0</v>
      </c>
      <c r="P568" s="99">
        <v>115050</v>
      </c>
      <c r="Q568" s="98">
        <v>950090.37824999995</v>
      </c>
      <c r="R568" s="96" t="s">
        <v>625</v>
      </c>
      <c r="S568" s="96">
        <v>7414000005</v>
      </c>
      <c r="AA568" s="131" t="s">
        <v>397</v>
      </c>
      <c r="AB568" s="130">
        <v>36249.897783</v>
      </c>
      <c r="AC568" s="130">
        <v>36249.897783</v>
      </c>
    </row>
    <row r="569" spans="1:29" x14ac:dyDescent="0.25">
      <c r="A569" t="str">
        <f t="shared" si="9"/>
        <v xml:space="preserve">1036528CETES 251224        </v>
      </c>
      <c r="B569" s="96">
        <v>1036528</v>
      </c>
      <c r="C569" s="96" t="s">
        <v>696</v>
      </c>
      <c r="D569" s="96" t="s">
        <v>375</v>
      </c>
      <c r="E569" s="96" t="s">
        <v>623</v>
      </c>
      <c r="F569" s="96" t="s">
        <v>624</v>
      </c>
      <c r="G569" s="99">
        <v>3960</v>
      </c>
      <c r="H569" s="97">
        <v>98.730349000000004</v>
      </c>
      <c r="I569" s="98">
        <v>390972.18203999999</v>
      </c>
      <c r="J569" s="97">
        <v>104.73566667</v>
      </c>
      <c r="K569" s="98">
        <v>-23781.057973200001</v>
      </c>
      <c r="L569" s="99">
        <v>0</v>
      </c>
      <c r="M569" s="98">
        <v>0</v>
      </c>
      <c r="N569" s="99">
        <v>0</v>
      </c>
      <c r="O569" s="98">
        <v>0</v>
      </c>
      <c r="P569" s="99">
        <v>3960</v>
      </c>
      <c r="Q569" s="98">
        <v>390972.18203999999</v>
      </c>
      <c r="R569" s="96" t="s">
        <v>625</v>
      </c>
      <c r="S569" s="96">
        <v>7414000005</v>
      </c>
      <c r="AA569" s="131" t="s">
        <v>507</v>
      </c>
      <c r="AB569" s="130">
        <v>69250.842640000003</v>
      </c>
      <c r="AC569" s="130">
        <v>69250.842640000003</v>
      </c>
    </row>
    <row r="570" spans="1:29" x14ac:dyDescent="0.25">
      <c r="A570" t="str">
        <f t="shared" si="9"/>
        <v xml:space="preserve">1036528CETES 260219        </v>
      </c>
      <c r="B570" s="96">
        <v>1036528</v>
      </c>
      <c r="C570" s="96" t="s">
        <v>696</v>
      </c>
      <c r="D570" s="96" t="s">
        <v>376</v>
      </c>
      <c r="E570" s="96" t="s">
        <v>623</v>
      </c>
      <c r="F570" s="96" t="s">
        <v>624</v>
      </c>
      <c r="G570" s="99">
        <v>7594</v>
      </c>
      <c r="H570" s="97">
        <v>99.247497999999993</v>
      </c>
      <c r="I570" s="98">
        <v>753685.49981199997</v>
      </c>
      <c r="J570" s="97">
        <v>116.6275953918778</v>
      </c>
      <c r="K570" s="98">
        <v>-131984.45959392001</v>
      </c>
      <c r="L570" s="99">
        <v>0</v>
      </c>
      <c r="M570" s="98">
        <v>0</v>
      </c>
      <c r="N570" s="99">
        <v>0</v>
      </c>
      <c r="O570" s="98">
        <v>0</v>
      </c>
      <c r="P570" s="99">
        <v>7594</v>
      </c>
      <c r="Q570" s="98">
        <v>753685.49981199997</v>
      </c>
      <c r="R570" s="96" t="s">
        <v>625</v>
      </c>
      <c r="S570" s="96">
        <v>7414000005</v>
      </c>
      <c r="AA570" s="131" t="s">
        <v>554</v>
      </c>
      <c r="AB570" s="130">
        <v>52551.070769999998</v>
      </c>
      <c r="AC570" s="130">
        <v>52551.070769999998</v>
      </c>
    </row>
    <row r="571" spans="1:29" x14ac:dyDescent="0.25">
      <c r="A571" t="str">
        <f t="shared" si="9"/>
        <v xml:space="preserve">1036528GOBFED 240905       </v>
      </c>
      <c r="B571" s="96">
        <v>1036528</v>
      </c>
      <c r="C571" s="96" t="s">
        <v>696</v>
      </c>
      <c r="D571" s="96" t="s">
        <v>377</v>
      </c>
      <c r="E571" s="96" t="s">
        <v>623</v>
      </c>
      <c r="F571" s="96" t="s">
        <v>624</v>
      </c>
      <c r="G571" s="99">
        <v>9818</v>
      </c>
      <c r="H571" s="97">
        <v>94.973146999999997</v>
      </c>
      <c r="I571" s="98">
        <v>932446.35724599997</v>
      </c>
      <c r="J571" s="97">
        <v>90.009639141338354</v>
      </c>
      <c r="K571" s="98">
        <v>48731.720156340001</v>
      </c>
      <c r="L571" s="99">
        <v>0</v>
      </c>
      <c r="M571" s="98">
        <v>0</v>
      </c>
      <c r="N571" s="99">
        <v>0</v>
      </c>
      <c r="O571" s="98">
        <v>0</v>
      </c>
      <c r="P571" s="99">
        <v>9818</v>
      </c>
      <c r="Q571" s="98">
        <v>932446.35724599997</v>
      </c>
      <c r="R571" s="96" t="s">
        <v>625</v>
      </c>
      <c r="S571" s="96">
        <v>7414000005</v>
      </c>
      <c r="AA571" s="131" t="s">
        <v>613</v>
      </c>
      <c r="AB571" s="130">
        <v>104712.26420000001</v>
      </c>
      <c r="AC571" s="130">
        <v>104712.26420000001</v>
      </c>
    </row>
    <row r="572" spans="1:29" x14ac:dyDescent="0.25">
      <c r="A572" t="str">
        <f t="shared" si="9"/>
        <v xml:space="preserve">1036528GOBFED 241205       </v>
      </c>
      <c r="B572" s="96">
        <v>1036528</v>
      </c>
      <c r="C572" s="96" t="s">
        <v>696</v>
      </c>
      <c r="D572" s="96" t="s">
        <v>378</v>
      </c>
      <c r="E572" s="96" t="s">
        <v>623</v>
      </c>
      <c r="F572" s="96" t="s">
        <v>624</v>
      </c>
      <c r="G572" s="99">
        <v>5405</v>
      </c>
      <c r="H572" s="97">
        <v>91.911821000000003</v>
      </c>
      <c r="I572" s="98">
        <v>496783.392505</v>
      </c>
      <c r="J572" s="97">
        <v>93.2088459</v>
      </c>
      <c r="K572" s="98">
        <v>-7010.4195845000004</v>
      </c>
      <c r="L572" s="99">
        <v>0</v>
      </c>
      <c r="M572" s="98">
        <v>0</v>
      </c>
      <c r="N572" s="99">
        <v>0</v>
      </c>
      <c r="O572" s="98">
        <v>0</v>
      </c>
      <c r="P572" s="99">
        <v>5405</v>
      </c>
      <c r="Q572" s="98">
        <v>496783.392505</v>
      </c>
      <c r="R572" s="96" t="s">
        <v>625</v>
      </c>
      <c r="S572" s="96">
        <v>7414000005</v>
      </c>
      <c r="AA572" s="129">
        <v>152983</v>
      </c>
      <c r="AB572" s="130">
        <v>898958.82356799999</v>
      </c>
      <c r="AC572" s="130">
        <v>898958.82356799999</v>
      </c>
    </row>
    <row r="573" spans="1:29" x14ac:dyDescent="0.25">
      <c r="A573" t="str">
        <f t="shared" si="9"/>
        <v xml:space="preserve">1036528GOBFED 250306       </v>
      </c>
      <c r="B573" s="96">
        <v>1036528</v>
      </c>
      <c r="C573" s="96" t="s">
        <v>696</v>
      </c>
      <c r="D573" s="96" t="s">
        <v>379</v>
      </c>
      <c r="E573" s="96" t="s">
        <v>623</v>
      </c>
      <c r="F573" s="96" t="s">
        <v>624</v>
      </c>
      <c r="G573" s="99">
        <v>9197</v>
      </c>
      <c r="H573" s="97">
        <v>88.698122999999995</v>
      </c>
      <c r="I573" s="98">
        <v>815756.637231</v>
      </c>
      <c r="J573" s="97">
        <v>85.778805720741545</v>
      </c>
      <c r="K573" s="98">
        <v>26848.96101734</v>
      </c>
      <c r="L573" s="99">
        <v>0</v>
      </c>
      <c r="M573" s="98">
        <v>0</v>
      </c>
      <c r="N573" s="99">
        <v>0</v>
      </c>
      <c r="O573" s="98">
        <v>0</v>
      </c>
      <c r="P573" s="99">
        <v>9197</v>
      </c>
      <c r="Q573" s="98">
        <v>815756.637231</v>
      </c>
      <c r="R573" s="96" t="s">
        <v>625</v>
      </c>
      <c r="S573" s="96">
        <v>7414000005</v>
      </c>
      <c r="AA573" s="131" t="s">
        <v>389</v>
      </c>
      <c r="AB573" s="130">
        <v>23247.507568000001</v>
      </c>
      <c r="AC573" s="130">
        <v>23247.507568000001</v>
      </c>
    </row>
    <row r="574" spans="1:29" x14ac:dyDescent="0.25">
      <c r="A574" t="str">
        <f t="shared" si="9"/>
        <v xml:space="preserve">1036528GOBFED 260305       </v>
      </c>
      <c r="B574" s="96">
        <v>1036528</v>
      </c>
      <c r="C574" s="96" t="s">
        <v>696</v>
      </c>
      <c r="D574" s="96" t="s">
        <v>380</v>
      </c>
      <c r="E574" s="96" t="s">
        <v>623</v>
      </c>
      <c r="F574" s="96" t="s">
        <v>624</v>
      </c>
      <c r="G574" s="99">
        <v>6301</v>
      </c>
      <c r="H574" s="97">
        <v>93.314192000000006</v>
      </c>
      <c r="I574" s="98">
        <v>587972.72379199998</v>
      </c>
      <c r="J574" s="97">
        <v>97.152168486657672</v>
      </c>
      <c r="K574" s="98">
        <v>-24183.089842429999</v>
      </c>
      <c r="L574" s="99">
        <v>0</v>
      </c>
      <c r="M574" s="98">
        <v>0</v>
      </c>
      <c r="N574" s="99">
        <v>0</v>
      </c>
      <c r="O574" s="98">
        <v>0</v>
      </c>
      <c r="P574" s="99">
        <v>6301</v>
      </c>
      <c r="Q574" s="98">
        <v>587972.72379199998</v>
      </c>
      <c r="R574" s="96" t="s">
        <v>625</v>
      </c>
      <c r="S574" s="96">
        <v>7414000005</v>
      </c>
      <c r="AA574" s="131" t="s">
        <v>419</v>
      </c>
      <c r="AB574" s="130">
        <v>0</v>
      </c>
      <c r="AC574" s="130">
        <v>0</v>
      </c>
    </row>
    <row r="575" spans="1:29" x14ac:dyDescent="0.25">
      <c r="A575" t="str">
        <f t="shared" si="9"/>
        <v xml:space="preserve">1036528GOBFED 270304       </v>
      </c>
      <c r="B575" s="96">
        <v>1036528</v>
      </c>
      <c r="C575" s="96" t="s">
        <v>696</v>
      </c>
      <c r="D575" s="96" t="s">
        <v>507</v>
      </c>
      <c r="E575" s="96" t="s">
        <v>623</v>
      </c>
      <c r="F575" s="96" t="s">
        <v>624</v>
      </c>
      <c r="G575" s="99">
        <v>5780</v>
      </c>
      <c r="H575" s="97">
        <v>94.864168000000006</v>
      </c>
      <c r="I575" s="98">
        <v>548314.89104000002</v>
      </c>
      <c r="J575" s="97">
        <v>96.492803807231837</v>
      </c>
      <c r="K575" s="98">
        <v>-9413.5149657999991</v>
      </c>
      <c r="L575" s="99">
        <v>0</v>
      </c>
      <c r="M575" s="98">
        <v>0</v>
      </c>
      <c r="N575" s="99">
        <v>0</v>
      </c>
      <c r="O575" s="98">
        <v>0</v>
      </c>
      <c r="P575" s="99">
        <v>5780</v>
      </c>
      <c r="Q575" s="98">
        <v>548314.89104000002</v>
      </c>
      <c r="R575" s="96" t="s">
        <v>625</v>
      </c>
      <c r="S575" s="96">
        <v>7414000005</v>
      </c>
      <c r="AA575" s="131" t="s">
        <v>459</v>
      </c>
      <c r="AB575" s="130">
        <v>875711.31599999999</v>
      </c>
      <c r="AC575" s="130">
        <v>875711.31599999999</v>
      </c>
    </row>
    <row r="576" spans="1:29" x14ac:dyDescent="0.25">
      <c r="A576" t="str">
        <f t="shared" si="9"/>
        <v xml:space="preserve">1036528GOBFED 270603       </v>
      </c>
      <c r="B576" s="96">
        <v>1036528</v>
      </c>
      <c r="C576" s="96" t="s">
        <v>696</v>
      </c>
      <c r="D576" s="96" t="s">
        <v>381</v>
      </c>
      <c r="E576" s="96" t="s">
        <v>623</v>
      </c>
      <c r="F576" s="96" t="s">
        <v>624</v>
      </c>
      <c r="G576" s="99">
        <v>2240</v>
      </c>
      <c r="H576" s="97">
        <v>94.870157000000006</v>
      </c>
      <c r="I576" s="98">
        <v>212509.15168000001</v>
      </c>
      <c r="J576" s="97">
        <v>96.692672049999999</v>
      </c>
      <c r="K576" s="98">
        <v>-4082.433712</v>
      </c>
      <c r="L576" s="99">
        <v>0</v>
      </c>
      <c r="M576" s="98">
        <v>0</v>
      </c>
      <c r="N576" s="99">
        <v>0</v>
      </c>
      <c r="O576" s="98">
        <v>0</v>
      </c>
      <c r="P576" s="99">
        <v>2240</v>
      </c>
      <c r="Q576" s="98">
        <v>212509.15168000001</v>
      </c>
      <c r="R576" s="96" t="s">
        <v>625</v>
      </c>
      <c r="S576" s="96">
        <v>7414000005</v>
      </c>
      <c r="AA576" s="129">
        <v>153030</v>
      </c>
      <c r="AB576" s="130">
        <v>0</v>
      </c>
      <c r="AC576" s="130">
        <v>0</v>
      </c>
    </row>
    <row r="577" spans="1:29" x14ac:dyDescent="0.25">
      <c r="A577" t="str">
        <f t="shared" si="9"/>
        <v xml:space="preserve">1036528GOBFED 290301       </v>
      </c>
      <c r="B577" s="96">
        <v>1036528</v>
      </c>
      <c r="C577" s="96" t="s">
        <v>696</v>
      </c>
      <c r="D577" s="96" t="s">
        <v>382</v>
      </c>
      <c r="E577" s="96" t="s">
        <v>623</v>
      </c>
      <c r="F577" s="96" t="s">
        <v>624</v>
      </c>
      <c r="G577" s="99">
        <v>9538</v>
      </c>
      <c r="H577" s="97">
        <v>89.489464999999996</v>
      </c>
      <c r="I577" s="98">
        <v>853550.51717000001</v>
      </c>
      <c r="J577" s="97">
        <v>90.474746434348916</v>
      </c>
      <c r="K577" s="98">
        <v>-9397.6143208199992</v>
      </c>
      <c r="L577" s="99">
        <v>0</v>
      </c>
      <c r="M577" s="98">
        <v>0</v>
      </c>
      <c r="N577" s="99">
        <v>0</v>
      </c>
      <c r="O577" s="98">
        <v>0</v>
      </c>
      <c r="P577" s="99">
        <v>9538</v>
      </c>
      <c r="Q577" s="98">
        <v>853550.51717000001</v>
      </c>
      <c r="R577" s="96" t="s">
        <v>625</v>
      </c>
      <c r="S577" s="96">
        <v>7414000005</v>
      </c>
      <c r="AA577" s="131" t="s">
        <v>476</v>
      </c>
      <c r="AB577" s="130">
        <v>0</v>
      </c>
      <c r="AC577" s="130">
        <v>0</v>
      </c>
    </row>
    <row r="578" spans="1:29" x14ac:dyDescent="0.25">
      <c r="A578" t="str">
        <f t="shared" si="9"/>
        <v xml:space="preserve">1036528GOBFED 290531       </v>
      </c>
      <c r="B578" s="96">
        <v>1036528</v>
      </c>
      <c r="C578" s="96" t="s">
        <v>696</v>
      </c>
      <c r="D578" s="96" t="s">
        <v>383</v>
      </c>
      <c r="E578" s="96" t="s">
        <v>623</v>
      </c>
      <c r="F578" s="96" t="s">
        <v>624</v>
      </c>
      <c r="G578" s="99">
        <v>6380</v>
      </c>
      <c r="H578" s="97">
        <v>86.197128000000006</v>
      </c>
      <c r="I578" s="98">
        <v>549937.67663999996</v>
      </c>
      <c r="J578" s="97">
        <v>89.861306842946703</v>
      </c>
      <c r="K578" s="98">
        <v>-23377.461018000002</v>
      </c>
      <c r="L578" s="99">
        <v>0</v>
      </c>
      <c r="M578" s="98">
        <v>0</v>
      </c>
      <c r="N578" s="99">
        <v>0</v>
      </c>
      <c r="O578" s="98">
        <v>0</v>
      </c>
      <c r="P578" s="99">
        <v>6380</v>
      </c>
      <c r="Q578" s="98">
        <v>549937.67663999996</v>
      </c>
      <c r="R578" s="96" t="s">
        <v>625</v>
      </c>
      <c r="S578" s="96">
        <v>7414000005</v>
      </c>
      <c r="AA578" s="129">
        <v>156622</v>
      </c>
      <c r="AB578" s="130">
        <v>203705476.38309199</v>
      </c>
      <c r="AC578" s="130">
        <v>203705476.38309199</v>
      </c>
    </row>
    <row r="579" spans="1:29" x14ac:dyDescent="0.25">
      <c r="A579" t="str">
        <f t="shared" si="9"/>
        <v xml:space="preserve">1036528GOBFED 310529       </v>
      </c>
      <c r="B579" s="96">
        <v>1036528</v>
      </c>
      <c r="C579" s="96" t="s">
        <v>696</v>
      </c>
      <c r="D579" s="96" t="s">
        <v>427</v>
      </c>
      <c r="E579" s="96" t="s">
        <v>623</v>
      </c>
      <c r="F579" s="96" t="s">
        <v>624</v>
      </c>
      <c r="G579" s="99">
        <v>30682</v>
      </c>
      <c r="H579" s="97">
        <v>86.469353999999996</v>
      </c>
      <c r="I579" s="98">
        <v>2653052.719428</v>
      </c>
      <c r="J579" s="97">
        <v>90.471505061123139</v>
      </c>
      <c r="K579" s="98">
        <v>-122793.99885737999</v>
      </c>
      <c r="L579" s="99">
        <v>0</v>
      </c>
      <c r="M579" s="98">
        <v>0</v>
      </c>
      <c r="N579" s="99">
        <v>0</v>
      </c>
      <c r="O579" s="98">
        <v>0</v>
      </c>
      <c r="P579" s="99">
        <v>30682</v>
      </c>
      <c r="Q579" s="98">
        <v>2653052.719428</v>
      </c>
      <c r="R579" s="96" t="s">
        <v>625</v>
      </c>
      <c r="S579" s="96">
        <v>7414000005</v>
      </c>
      <c r="AA579" s="131" t="s">
        <v>473</v>
      </c>
      <c r="AB579" s="130">
        <v>203705476.38309199</v>
      </c>
      <c r="AC579" s="130">
        <v>203705476.38309199</v>
      </c>
    </row>
    <row r="580" spans="1:29" x14ac:dyDescent="0.25">
      <c r="A580" t="str">
        <f t="shared" si="9"/>
        <v xml:space="preserve">1036528GOBFED 330526       </v>
      </c>
      <c r="B580" s="96">
        <v>1036528</v>
      </c>
      <c r="C580" s="96" t="s">
        <v>696</v>
      </c>
      <c r="D580" s="96" t="s">
        <v>418</v>
      </c>
      <c r="E580" s="96" t="s">
        <v>623</v>
      </c>
      <c r="F580" s="96" t="s">
        <v>624</v>
      </c>
      <c r="G580" s="99">
        <v>412</v>
      </c>
      <c r="H580" s="97">
        <v>101.45096599999999</v>
      </c>
      <c r="I580" s="98">
        <v>41797.797992</v>
      </c>
      <c r="J580" s="97">
        <v>117.16581832999999</v>
      </c>
      <c r="K580" s="98">
        <v>-6474.5191599600003</v>
      </c>
      <c r="L580" s="99">
        <v>0</v>
      </c>
      <c r="M580" s="98">
        <v>0</v>
      </c>
      <c r="N580" s="99">
        <v>0</v>
      </c>
      <c r="O580" s="98">
        <v>0</v>
      </c>
      <c r="P580" s="99">
        <v>412</v>
      </c>
      <c r="Q580" s="98">
        <v>41797.797992</v>
      </c>
      <c r="R580" s="96" t="s">
        <v>625</v>
      </c>
      <c r="S580" s="96">
        <v>7414000005</v>
      </c>
      <c r="AA580" s="129">
        <v>159246</v>
      </c>
      <c r="AB580" s="130">
        <v>13674935.246929999</v>
      </c>
      <c r="AC580" s="130">
        <v>13674935.246929999</v>
      </c>
    </row>
    <row r="581" spans="1:29" x14ac:dyDescent="0.25">
      <c r="A581" t="str">
        <f t="shared" si="9"/>
        <v xml:space="preserve">1036528GOBFED 341123       </v>
      </c>
      <c r="B581" s="96">
        <v>1036528</v>
      </c>
      <c r="C581" s="96" t="s">
        <v>696</v>
      </c>
      <c r="D581" s="96" t="s">
        <v>408</v>
      </c>
      <c r="E581" s="96" t="s">
        <v>623</v>
      </c>
      <c r="F581" s="96" t="s">
        <v>624</v>
      </c>
      <c r="G581" s="99">
        <v>442</v>
      </c>
      <c r="H581" s="97">
        <v>89.643172000000007</v>
      </c>
      <c r="I581" s="98">
        <v>39622.282024</v>
      </c>
      <c r="J581" s="97">
        <v>117.61351206000001</v>
      </c>
      <c r="K581" s="98">
        <v>-12362.890306519999</v>
      </c>
      <c r="L581" s="99">
        <v>0</v>
      </c>
      <c r="M581" s="98">
        <v>0</v>
      </c>
      <c r="N581" s="99">
        <v>0</v>
      </c>
      <c r="O581" s="98">
        <v>0</v>
      </c>
      <c r="P581" s="99">
        <v>442</v>
      </c>
      <c r="Q581" s="98">
        <v>39622.282024</v>
      </c>
      <c r="R581" s="96" t="s">
        <v>625</v>
      </c>
      <c r="S581" s="96">
        <v>7414000005</v>
      </c>
      <c r="AA581" s="131" t="s">
        <v>412</v>
      </c>
      <c r="AB581" s="130">
        <v>176612.783535</v>
      </c>
      <c r="AC581" s="130">
        <v>176612.783535</v>
      </c>
    </row>
    <row r="582" spans="1:29" x14ac:dyDescent="0.25">
      <c r="A582" t="str">
        <f t="shared" si="9"/>
        <v xml:space="preserve">1036528GOBFED 361120       </v>
      </c>
      <c r="B582" s="96">
        <v>1036528</v>
      </c>
      <c r="C582" s="96" t="s">
        <v>696</v>
      </c>
      <c r="D582" s="96" t="s">
        <v>384</v>
      </c>
      <c r="E582" s="96" t="s">
        <v>623</v>
      </c>
      <c r="F582" s="96" t="s">
        <v>624</v>
      </c>
      <c r="G582" s="99">
        <v>11371</v>
      </c>
      <c r="H582" s="97">
        <v>81.738860000000003</v>
      </c>
      <c r="I582" s="98">
        <v>929452.57706000004</v>
      </c>
      <c r="J582" s="97">
        <v>86.458115801873191</v>
      </c>
      <c r="K582" s="98">
        <v>-53662.657723099997</v>
      </c>
      <c r="L582" s="99">
        <v>0</v>
      </c>
      <c r="M582" s="98">
        <v>0</v>
      </c>
      <c r="N582" s="99">
        <v>0</v>
      </c>
      <c r="O582" s="98">
        <v>0</v>
      </c>
      <c r="P582" s="99">
        <v>11371</v>
      </c>
      <c r="Q582" s="98">
        <v>929452.57706000004</v>
      </c>
      <c r="R582" s="96" t="s">
        <v>625</v>
      </c>
      <c r="S582" s="96">
        <v>7414000005</v>
      </c>
      <c r="AA582" s="131" t="s">
        <v>478</v>
      </c>
      <c r="AB582" s="130">
        <v>13498322.463395</v>
      </c>
      <c r="AC582" s="130">
        <v>13498322.463395</v>
      </c>
    </row>
    <row r="583" spans="1:29" x14ac:dyDescent="0.25">
      <c r="A583" t="str">
        <f t="shared" ref="A583:A646" si="10">B581&amp;D581</f>
        <v xml:space="preserve">1036528GOBFED 381118       </v>
      </c>
      <c r="B583" s="96">
        <v>1036528</v>
      </c>
      <c r="C583" s="96" t="s">
        <v>696</v>
      </c>
      <c r="D583" s="96" t="s">
        <v>385</v>
      </c>
      <c r="E583" s="96" t="s">
        <v>623</v>
      </c>
      <c r="F583" s="96" t="s">
        <v>624</v>
      </c>
      <c r="G583" s="99">
        <v>1576</v>
      </c>
      <c r="H583" s="97">
        <v>83.200761</v>
      </c>
      <c r="I583" s="98">
        <v>131124.399336</v>
      </c>
      <c r="J583" s="97">
        <v>92.80328759456853</v>
      </c>
      <c r="K583" s="98">
        <v>-15133.58191304</v>
      </c>
      <c r="L583" s="99">
        <v>0</v>
      </c>
      <c r="M583" s="98">
        <v>0</v>
      </c>
      <c r="N583" s="99">
        <v>0</v>
      </c>
      <c r="O583" s="98">
        <v>0</v>
      </c>
      <c r="P583" s="99">
        <v>1576</v>
      </c>
      <c r="Q583" s="98">
        <v>131124.399336</v>
      </c>
      <c r="R583" s="96" t="s">
        <v>625</v>
      </c>
      <c r="S583" s="96">
        <v>7414000005</v>
      </c>
      <c r="AA583" s="129">
        <v>3373</v>
      </c>
      <c r="AB583" s="130">
        <v>0</v>
      </c>
      <c r="AC583" s="130">
        <v>0</v>
      </c>
    </row>
    <row r="584" spans="1:29" x14ac:dyDescent="0.25">
      <c r="A584" t="str">
        <f t="shared" si="10"/>
        <v xml:space="preserve">1036528GOBFED 421113       </v>
      </c>
      <c r="B584" s="96">
        <v>1036528</v>
      </c>
      <c r="C584" s="96" t="s">
        <v>696</v>
      </c>
      <c r="D584" s="96" t="s">
        <v>386</v>
      </c>
      <c r="E584" s="96" t="s">
        <v>623</v>
      </c>
      <c r="F584" s="96" t="s">
        <v>624</v>
      </c>
      <c r="G584" s="99">
        <v>17408</v>
      </c>
      <c r="H584" s="97">
        <v>82.159907000000004</v>
      </c>
      <c r="I584" s="98">
        <v>1430239.661056</v>
      </c>
      <c r="J584" s="97">
        <v>84.249795421269525</v>
      </c>
      <c r="K584" s="98">
        <v>-36380.77763746</v>
      </c>
      <c r="L584" s="99">
        <v>0</v>
      </c>
      <c r="M584" s="98">
        <v>0</v>
      </c>
      <c r="N584" s="99">
        <v>0</v>
      </c>
      <c r="O584" s="98">
        <v>0</v>
      </c>
      <c r="P584" s="99">
        <v>17408</v>
      </c>
      <c r="Q584" s="98">
        <v>1430239.661056</v>
      </c>
      <c r="R584" s="96" t="s">
        <v>625</v>
      </c>
      <c r="S584" s="96">
        <v>7414000005</v>
      </c>
      <c r="AA584" s="131" t="s">
        <v>468</v>
      </c>
      <c r="AB584" s="130">
        <v>0</v>
      </c>
      <c r="AC584" s="130">
        <v>0</v>
      </c>
    </row>
    <row r="585" spans="1:29" x14ac:dyDescent="0.25">
      <c r="A585" t="str">
        <f t="shared" si="10"/>
        <v xml:space="preserve">1036528GOBFED 471107       </v>
      </c>
      <c r="B585" s="96">
        <v>1036528</v>
      </c>
      <c r="C585" s="96" t="s">
        <v>696</v>
      </c>
      <c r="D585" s="96" t="s">
        <v>429</v>
      </c>
      <c r="E585" s="96" t="s">
        <v>623</v>
      </c>
      <c r="F585" s="96" t="s">
        <v>624</v>
      </c>
      <c r="G585" s="99">
        <v>7840</v>
      </c>
      <c r="H585" s="97">
        <v>98.007834000000003</v>
      </c>
      <c r="I585" s="98">
        <v>768381.41856000002</v>
      </c>
      <c r="J585" s="97">
        <v>92.067947700000005</v>
      </c>
      <c r="K585" s="98">
        <v>46568.708592000003</v>
      </c>
      <c r="L585" s="99">
        <v>0</v>
      </c>
      <c r="M585" s="98">
        <v>0</v>
      </c>
      <c r="N585" s="99">
        <v>0</v>
      </c>
      <c r="O585" s="98">
        <v>0</v>
      </c>
      <c r="P585" s="99">
        <v>7840</v>
      </c>
      <c r="Q585" s="98">
        <v>768381.41856000002</v>
      </c>
      <c r="R585" s="96" t="s">
        <v>625</v>
      </c>
      <c r="S585" s="96">
        <v>7414000005</v>
      </c>
      <c r="AA585" s="131" t="s">
        <v>469</v>
      </c>
      <c r="AB585" s="130">
        <v>0</v>
      </c>
      <c r="AC585" s="130">
        <v>0</v>
      </c>
    </row>
    <row r="586" spans="1:29" x14ac:dyDescent="0.25">
      <c r="A586" t="str">
        <f t="shared" si="10"/>
        <v xml:space="preserve">1036528GOBFED 530731       </v>
      </c>
      <c r="B586" s="96">
        <v>1036528</v>
      </c>
      <c r="C586" s="96" t="s">
        <v>696</v>
      </c>
      <c r="D586" s="96" t="s">
        <v>389</v>
      </c>
      <c r="E586" s="96" t="s">
        <v>623</v>
      </c>
      <c r="F586" s="96" t="s">
        <v>624</v>
      </c>
      <c r="G586" s="99">
        <v>1813682</v>
      </c>
      <c r="H586" s="97">
        <v>3.3967719999999999</v>
      </c>
      <c r="I586" s="98">
        <v>6160664.2345040003</v>
      </c>
      <c r="J586" s="97">
        <v>3.2943384341907787</v>
      </c>
      <c r="K586" s="98">
        <v>185781.91450399999</v>
      </c>
      <c r="L586" s="99">
        <v>0</v>
      </c>
      <c r="M586" s="98">
        <v>0</v>
      </c>
      <c r="N586" s="99">
        <v>0</v>
      </c>
      <c r="O586" s="98">
        <v>0</v>
      </c>
      <c r="P586" s="99">
        <v>1813682</v>
      </c>
      <c r="Q586" s="98">
        <v>6160664.2345040003</v>
      </c>
      <c r="R586" s="96" t="s">
        <v>625</v>
      </c>
      <c r="S586" s="96">
        <v>7414000005</v>
      </c>
      <c r="AA586" s="129">
        <v>65500498081</v>
      </c>
      <c r="AB586" s="130">
        <v>185223025.268884</v>
      </c>
      <c r="AC586" s="130">
        <v>182989670.988884</v>
      </c>
    </row>
    <row r="587" spans="1:29" x14ac:dyDescent="0.25">
      <c r="A587" t="str">
        <f t="shared" si="10"/>
        <v xml:space="preserve">1036528PEMEX 13-2          </v>
      </c>
      <c r="B587" s="96">
        <v>1036528</v>
      </c>
      <c r="C587" s="96" t="s">
        <v>696</v>
      </c>
      <c r="D587" s="96" t="s">
        <v>417</v>
      </c>
      <c r="E587" s="96" t="s">
        <v>623</v>
      </c>
      <c r="F587" s="96" t="s">
        <v>624</v>
      </c>
      <c r="G587" s="99">
        <v>1409220</v>
      </c>
      <c r="H587" s="97">
        <v>3.8832339999999999</v>
      </c>
      <c r="I587" s="98">
        <v>5472331.0174799999</v>
      </c>
      <c r="J587" s="97">
        <v>2.8732591859326435</v>
      </c>
      <c r="K587" s="98">
        <v>1423276.7074800001</v>
      </c>
      <c r="L587" s="99">
        <v>0</v>
      </c>
      <c r="M587" s="98">
        <v>0</v>
      </c>
      <c r="N587" s="99">
        <v>0</v>
      </c>
      <c r="O587" s="98">
        <v>0</v>
      </c>
      <c r="P587" s="99">
        <v>1409220</v>
      </c>
      <c r="Q587" s="98">
        <v>5472331.0174799999</v>
      </c>
      <c r="R587" s="96" t="s">
        <v>625</v>
      </c>
      <c r="S587" s="96">
        <v>7414000005</v>
      </c>
      <c r="AA587" s="131" t="s">
        <v>389</v>
      </c>
      <c r="AB587" s="130">
        <v>5922601.4688839996</v>
      </c>
      <c r="AC587" s="130">
        <v>5922601.4688839996</v>
      </c>
    </row>
    <row r="588" spans="1:29" x14ac:dyDescent="0.25">
      <c r="A588" t="str">
        <f t="shared" si="10"/>
        <v xml:space="preserve">1036528STERGOB ED          </v>
      </c>
      <c r="B588" s="96">
        <v>1036528</v>
      </c>
      <c r="C588" s="96" t="s">
        <v>696</v>
      </c>
      <c r="D588" s="96" t="s">
        <v>466</v>
      </c>
      <c r="E588" s="96" t="s">
        <v>623</v>
      </c>
      <c r="F588" s="96" t="s">
        <v>624</v>
      </c>
      <c r="G588" s="99">
        <v>103</v>
      </c>
      <c r="H588" s="97">
        <v>256.05011500000001</v>
      </c>
      <c r="I588" s="98">
        <v>26373.161844999999</v>
      </c>
      <c r="J588" s="97">
        <v>487.31725861000001</v>
      </c>
      <c r="K588" s="98">
        <v>-23820.515791829999</v>
      </c>
      <c r="L588" s="99">
        <v>0</v>
      </c>
      <c r="M588" s="98">
        <v>0</v>
      </c>
      <c r="N588" s="99">
        <v>0</v>
      </c>
      <c r="O588" s="98">
        <v>0</v>
      </c>
      <c r="P588" s="99">
        <v>103</v>
      </c>
      <c r="Q588" s="98">
        <v>26373.161844999999</v>
      </c>
      <c r="R588" s="96" t="s">
        <v>625</v>
      </c>
      <c r="S588" s="96">
        <v>7414000005</v>
      </c>
      <c r="AA588" s="131" t="s">
        <v>420</v>
      </c>
      <c r="AB588" s="130">
        <v>179300423.80000001</v>
      </c>
      <c r="AC588" s="130">
        <v>177067069.52000001</v>
      </c>
    </row>
    <row r="589" spans="1:29" x14ac:dyDescent="0.25">
      <c r="A589" t="str">
        <f t="shared" si="10"/>
        <v xml:space="preserve">1036528STRGOB2 ED          </v>
      </c>
      <c r="B589" s="96">
        <v>1036528</v>
      </c>
      <c r="C589" s="96" t="s">
        <v>696</v>
      </c>
      <c r="D589" s="96" t="s">
        <v>391</v>
      </c>
      <c r="E589" s="96" t="s">
        <v>623</v>
      </c>
      <c r="F589" s="96" t="s">
        <v>624</v>
      </c>
      <c r="G589" s="99">
        <v>744</v>
      </c>
      <c r="H589" s="97">
        <v>775.69178699999998</v>
      </c>
      <c r="I589" s="98">
        <v>577114.68952799996</v>
      </c>
      <c r="J589" s="97">
        <v>676.3296398930645</v>
      </c>
      <c r="K589" s="98">
        <v>73925.437447560005</v>
      </c>
      <c r="L589" s="99">
        <v>0</v>
      </c>
      <c r="M589" s="98">
        <v>0</v>
      </c>
      <c r="N589" s="99">
        <v>0</v>
      </c>
      <c r="O589" s="98">
        <v>0</v>
      </c>
      <c r="P589" s="99">
        <v>744</v>
      </c>
      <c r="Q589" s="98">
        <v>577114.68952799996</v>
      </c>
      <c r="R589" s="96" t="s">
        <v>625</v>
      </c>
      <c r="S589" s="96">
        <v>7414000005</v>
      </c>
      <c r="AA589" s="129">
        <v>65501372909</v>
      </c>
      <c r="AB589" s="130">
        <v>30554888.754117001</v>
      </c>
      <c r="AC589" s="130">
        <v>30554888.754117001</v>
      </c>
    </row>
    <row r="590" spans="1:29" x14ac:dyDescent="0.25">
      <c r="A590" t="str">
        <f t="shared" si="10"/>
        <v xml:space="preserve">1036528TFOVICB 15U         </v>
      </c>
      <c r="B590" s="96">
        <v>1036528</v>
      </c>
      <c r="C590" s="96" t="s">
        <v>696</v>
      </c>
      <c r="D590" s="96" t="s">
        <v>392</v>
      </c>
      <c r="E590" s="96" t="s">
        <v>623</v>
      </c>
      <c r="F590" s="96" t="s">
        <v>624</v>
      </c>
      <c r="G590" s="99">
        <v>1140</v>
      </c>
      <c r="H590" s="97">
        <v>747.17843200000004</v>
      </c>
      <c r="I590" s="98">
        <v>851783.41248000006</v>
      </c>
      <c r="J590" s="97">
        <v>709.91443943000002</v>
      </c>
      <c r="K590" s="98">
        <v>42480.951529799997</v>
      </c>
      <c r="L590" s="99">
        <v>0</v>
      </c>
      <c r="M590" s="98">
        <v>0</v>
      </c>
      <c r="N590" s="99">
        <v>0</v>
      </c>
      <c r="O590" s="98">
        <v>0</v>
      </c>
      <c r="P590" s="99">
        <v>1140</v>
      </c>
      <c r="Q590" s="98">
        <v>851783.41248000006</v>
      </c>
      <c r="R590" s="96" t="s">
        <v>625</v>
      </c>
      <c r="S590" s="96">
        <v>7414000005</v>
      </c>
      <c r="AA590" s="131" t="s">
        <v>411</v>
      </c>
      <c r="AB590" s="130">
        <v>30554888.754117001</v>
      </c>
      <c r="AC590" s="130">
        <v>30554888.754117001</v>
      </c>
    </row>
    <row r="591" spans="1:29" x14ac:dyDescent="0.25">
      <c r="A591" t="str">
        <f t="shared" si="10"/>
        <v xml:space="preserve">1036528UDIBONO 251204      </v>
      </c>
      <c r="B591" s="96">
        <v>1036528</v>
      </c>
      <c r="C591" s="96" t="s">
        <v>696</v>
      </c>
      <c r="D591" s="96" t="s">
        <v>393</v>
      </c>
      <c r="E591" s="96" t="s">
        <v>623</v>
      </c>
      <c r="F591" s="96" t="s">
        <v>624</v>
      </c>
      <c r="G591" s="99">
        <v>1075</v>
      </c>
      <c r="H591" s="97">
        <v>765.92388300000005</v>
      </c>
      <c r="I591" s="98">
        <v>823368.17422499997</v>
      </c>
      <c r="J591" s="97">
        <v>750.84219278572095</v>
      </c>
      <c r="K591" s="98">
        <v>16212.81698035</v>
      </c>
      <c r="L591" s="99">
        <v>0</v>
      </c>
      <c r="M591" s="98">
        <v>0</v>
      </c>
      <c r="N591" s="99">
        <v>0</v>
      </c>
      <c r="O591" s="98">
        <v>0</v>
      </c>
      <c r="P591" s="99">
        <v>1075</v>
      </c>
      <c r="Q591" s="98">
        <v>823368.17422499997</v>
      </c>
      <c r="R591" s="96" t="s">
        <v>625</v>
      </c>
      <c r="S591" s="96">
        <v>7414000005</v>
      </c>
      <c r="AA591" s="129">
        <v>65501387259</v>
      </c>
      <c r="AB591" s="130">
        <v>114693832.549311</v>
      </c>
      <c r="AC591" s="130">
        <v>114693832.549311</v>
      </c>
    </row>
    <row r="592" spans="1:29" x14ac:dyDescent="0.25">
      <c r="A592" t="str">
        <f t="shared" si="10"/>
        <v xml:space="preserve">1036528UDIBONO 261203      </v>
      </c>
      <c r="B592" s="96">
        <v>1036528</v>
      </c>
      <c r="C592" s="96" t="s">
        <v>696</v>
      </c>
      <c r="D592" s="96" t="s">
        <v>394</v>
      </c>
      <c r="E592" s="96" t="s">
        <v>623</v>
      </c>
      <c r="F592" s="96" t="s">
        <v>624</v>
      </c>
      <c r="G592" s="99">
        <v>5246</v>
      </c>
      <c r="H592" s="97">
        <v>684.88915799999995</v>
      </c>
      <c r="I592" s="98">
        <v>3592928.522868</v>
      </c>
      <c r="J592" s="97">
        <v>677.1143315746092</v>
      </c>
      <c r="K592" s="98">
        <v>40786.739427599998</v>
      </c>
      <c r="L592" s="99">
        <v>0</v>
      </c>
      <c r="M592" s="98">
        <v>0</v>
      </c>
      <c r="N592" s="99">
        <v>0</v>
      </c>
      <c r="O592" s="98">
        <v>0</v>
      </c>
      <c r="P592" s="99">
        <v>5246</v>
      </c>
      <c r="Q592" s="98">
        <v>3592928.522868</v>
      </c>
      <c r="R592" s="96" t="s">
        <v>625</v>
      </c>
      <c r="S592" s="96">
        <v>7414000005</v>
      </c>
      <c r="AA592" s="131" t="s">
        <v>480</v>
      </c>
      <c r="AB592" s="130">
        <v>114693832.549311</v>
      </c>
      <c r="AC592" s="130">
        <v>114693832.549311</v>
      </c>
    </row>
    <row r="593" spans="1:29" x14ac:dyDescent="0.25">
      <c r="A593" t="str">
        <f t="shared" si="10"/>
        <v xml:space="preserve">1036528UDIBONO 281130      </v>
      </c>
      <c r="B593" s="96">
        <v>1036528</v>
      </c>
      <c r="C593" s="96" t="s">
        <v>696</v>
      </c>
      <c r="D593" s="96" t="s">
        <v>395</v>
      </c>
      <c r="E593" s="96" t="s">
        <v>623</v>
      </c>
      <c r="F593" s="96" t="s">
        <v>624</v>
      </c>
      <c r="G593" s="99">
        <v>489</v>
      </c>
      <c r="H593" s="97">
        <v>772.926965</v>
      </c>
      <c r="I593" s="98">
        <v>377961.28588500002</v>
      </c>
      <c r="J593" s="97">
        <v>798.93664675000002</v>
      </c>
      <c r="K593" s="98">
        <v>-12718.73437575</v>
      </c>
      <c r="L593" s="99">
        <v>0</v>
      </c>
      <c r="M593" s="98">
        <v>0</v>
      </c>
      <c r="N593" s="99">
        <v>0</v>
      </c>
      <c r="O593" s="98">
        <v>0</v>
      </c>
      <c r="P593" s="99">
        <v>489</v>
      </c>
      <c r="Q593" s="98">
        <v>377961.28588500002</v>
      </c>
      <c r="R593" s="96" t="s">
        <v>625</v>
      </c>
      <c r="S593" s="96">
        <v>7414000005</v>
      </c>
      <c r="AA593" s="129">
        <v>65502334887</v>
      </c>
      <c r="AB593" s="130">
        <v>685903050.54174614</v>
      </c>
      <c r="AC593" s="130">
        <v>685903050.54174614</v>
      </c>
    </row>
    <row r="594" spans="1:29" x14ac:dyDescent="0.25">
      <c r="A594" t="str">
        <f t="shared" si="10"/>
        <v xml:space="preserve">1036528UDIBONO 311127      </v>
      </c>
      <c r="B594" s="96">
        <v>1036528</v>
      </c>
      <c r="C594" s="96" t="s">
        <v>696</v>
      </c>
      <c r="D594" s="96" t="s">
        <v>396</v>
      </c>
      <c r="E594" s="96" t="s">
        <v>623</v>
      </c>
      <c r="F594" s="96" t="s">
        <v>624</v>
      </c>
      <c r="G594" s="99">
        <v>549</v>
      </c>
      <c r="H594" s="97">
        <v>721.59464000000003</v>
      </c>
      <c r="I594" s="98">
        <v>396155.45736</v>
      </c>
      <c r="J594" s="97">
        <v>758.77574809999999</v>
      </c>
      <c r="K594" s="98">
        <v>-20412.4283469</v>
      </c>
      <c r="L594" s="99">
        <v>0</v>
      </c>
      <c r="M594" s="98">
        <v>0</v>
      </c>
      <c r="N594" s="99">
        <v>0</v>
      </c>
      <c r="O594" s="98">
        <v>0</v>
      </c>
      <c r="P594" s="99">
        <v>549</v>
      </c>
      <c r="Q594" s="98">
        <v>396155.45736</v>
      </c>
      <c r="R594" s="96" t="s">
        <v>625</v>
      </c>
      <c r="S594" s="96">
        <v>7414000005</v>
      </c>
      <c r="AA594" s="131" t="s">
        <v>376</v>
      </c>
      <c r="AB594" s="130">
        <v>8722664.1042240001</v>
      </c>
      <c r="AC594" s="130">
        <v>8722664.1042240001</v>
      </c>
    </row>
    <row r="595" spans="1:29" x14ac:dyDescent="0.25">
      <c r="A595" t="str">
        <f t="shared" si="10"/>
        <v xml:space="preserve">1036528UDIBONO 351122      </v>
      </c>
      <c r="B595" s="96">
        <v>1036528</v>
      </c>
      <c r="C595" s="96" t="s">
        <v>696</v>
      </c>
      <c r="D595" s="96" t="s">
        <v>397</v>
      </c>
      <c r="E595" s="96" t="s">
        <v>623</v>
      </c>
      <c r="F595" s="96" t="s">
        <v>624</v>
      </c>
      <c r="G595" s="99">
        <v>520</v>
      </c>
      <c r="H595" s="97">
        <v>635.96311900000001</v>
      </c>
      <c r="I595" s="98">
        <v>330700.82188</v>
      </c>
      <c r="J595" s="97">
        <v>647.93802047999998</v>
      </c>
      <c r="K595" s="98">
        <v>-6226.9487695999997</v>
      </c>
      <c r="L595" s="99">
        <v>0</v>
      </c>
      <c r="M595" s="98">
        <v>0</v>
      </c>
      <c r="N595" s="99">
        <v>0</v>
      </c>
      <c r="O595" s="98">
        <v>0</v>
      </c>
      <c r="P595" s="99">
        <v>520</v>
      </c>
      <c r="Q595" s="98">
        <v>330700.82188</v>
      </c>
      <c r="R595" s="96" t="s">
        <v>625</v>
      </c>
      <c r="S595" s="96">
        <v>7414000005</v>
      </c>
      <c r="AA595" s="131" t="s">
        <v>378</v>
      </c>
      <c r="AB595" s="130">
        <v>3649358.8528049998</v>
      </c>
      <c r="AC595" s="130">
        <v>3649358.8528049998</v>
      </c>
    </row>
    <row r="596" spans="1:29" x14ac:dyDescent="0.25">
      <c r="A596" t="str">
        <f t="shared" si="10"/>
        <v xml:space="preserve">1036528UDIBONO 401115      </v>
      </c>
      <c r="B596" s="96">
        <v>1036528</v>
      </c>
      <c r="C596" s="96" t="s">
        <v>696</v>
      </c>
      <c r="D596" s="96" t="s">
        <v>398</v>
      </c>
      <c r="E596" s="96" t="s">
        <v>623</v>
      </c>
      <c r="F596" s="96" t="s">
        <v>624</v>
      </c>
      <c r="G596" s="99">
        <v>853</v>
      </c>
      <c r="H596" s="97">
        <v>709.36974099999998</v>
      </c>
      <c r="I596" s="98">
        <v>605092.38907300006</v>
      </c>
      <c r="J596" s="97">
        <v>727.64997899205162</v>
      </c>
      <c r="K596" s="98">
        <v>-15593.04300722</v>
      </c>
      <c r="L596" s="99">
        <v>0</v>
      </c>
      <c r="M596" s="98">
        <v>0</v>
      </c>
      <c r="N596" s="99">
        <v>0</v>
      </c>
      <c r="O596" s="98">
        <v>0</v>
      </c>
      <c r="P596" s="99">
        <v>853</v>
      </c>
      <c r="Q596" s="98">
        <v>605092.38907300006</v>
      </c>
      <c r="R596" s="96" t="s">
        <v>625</v>
      </c>
      <c r="S596" s="96">
        <v>7414000005</v>
      </c>
      <c r="AA596" s="131" t="s">
        <v>380</v>
      </c>
      <c r="AB596" s="130">
        <v>7729494.4659360005</v>
      </c>
      <c r="AC596" s="130">
        <v>7729494.4659360005</v>
      </c>
    </row>
    <row r="597" spans="1:29" x14ac:dyDescent="0.25">
      <c r="A597" t="str">
        <f t="shared" si="10"/>
        <v xml:space="preserve">1036528UDIBONO 431112      </v>
      </c>
      <c r="B597" s="96">
        <v>1036528</v>
      </c>
      <c r="C597" s="96" t="s">
        <v>696</v>
      </c>
      <c r="D597" s="96" t="s">
        <v>399</v>
      </c>
      <c r="E597" s="96" t="s">
        <v>623</v>
      </c>
      <c r="F597" s="96" t="s">
        <v>624</v>
      </c>
      <c r="G597" s="99">
        <v>3208</v>
      </c>
      <c r="H597" s="97">
        <v>694.41118700000004</v>
      </c>
      <c r="I597" s="98">
        <v>2227671.0878960001</v>
      </c>
      <c r="J597" s="97">
        <v>724.28824838688593</v>
      </c>
      <c r="K597" s="98">
        <v>-95845.612929130002</v>
      </c>
      <c r="L597" s="99">
        <v>0</v>
      </c>
      <c r="M597" s="98">
        <v>0</v>
      </c>
      <c r="N597" s="99">
        <v>0</v>
      </c>
      <c r="O597" s="98">
        <v>0</v>
      </c>
      <c r="P597" s="99">
        <v>3208</v>
      </c>
      <c r="Q597" s="98">
        <v>2227671.0878960001</v>
      </c>
      <c r="R597" s="96" t="s">
        <v>625</v>
      </c>
      <c r="S597" s="96">
        <v>7414000005</v>
      </c>
      <c r="AA597" s="131" t="s">
        <v>382</v>
      </c>
      <c r="AB597" s="130">
        <v>125006938.76385</v>
      </c>
      <c r="AC597" s="130">
        <v>125006938.76385</v>
      </c>
    </row>
    <row r="598" spans="1:29" x14ac:dyDescent="0.25">
      <c r="A598" t="str">
        <f t="shared" si="10"/>
        <v xml:space="preserve">1036528UDIBONO 461108      </v>
      </c>
      <c r="B598" s="96">
        <v>1036529</v>
      </c>
      <c r="C598" s="96" t="s">
        <v>696</v>
      </c>
      <c r="D598" s="96" t="s">
        <v>459</v>
      </c>
      <c r="E598" s="96" t="s">
        <v>623</v>
      </c>
      <c r="F598" s="96" t="s">
        <v>624</v>
      </c>
      <c r="G598" s="99">
        <v>2634000</v>
      </c>
      <c r="H598" s="97">
        <v>4.5848760000000004</v>
      </c>
      <c r="I598" s="98">
        <v>12076563.384</v>
      </c>
      <c r="J598" s="97">
        <v>4.1913217995444194</v>
      </c>
      <c r="K598" s="98">
        <v>1036621.764</v>
      </c>
      <c r="L598" s="99">
        <v>0</v>
      </c>
      <c r="M598" s="98">
        <v>0</v>
      </c>
      <c r="N598" s="99">
        <v>0</v>
      </c>
      <c r="O598" s="98">
        <v>0</v>
      </c>
      <c r="P598" s="99">
        <v>2634000</v>
      </c>
      <c r="Q598" s="98">
        <v>12076563.384</v>
      </c>
      <c r="R598" s="96" t="s">
        <v>625</v>
      </c>
      <c r="S598" s="96">
        <v>7414000005</v>
      </c>
      <c r="AA598" s="131" t="s">
        <v>427</v>
      </c>
      <c r="AB598" s="130">
        <v>17424958.340663999</v>
      </c>
      <c r="AC598" s="130">
        <v>17424958.340663999</v>
      </c>
    </row>
    <row r="599" spans="1:29" x14ac:dyDescent="0.25">
      <c r="A599" t="str">
        <f t="shared" si="10"/>
        <v xml:space="preserve">1036528UDIBONO 501103      </v>
      </c>
      <c r="B599" s="96">
        <v>1036529</v>
      </c>
      <c r="C599" s="96" t="s">
        <v>696</v>
      </c>
      <c r="D599" s="96" t="s">
        <v>389</v>
      </c>
      <c r="E599" s="96" t="s">
        <v>623</v>
      </c>
      <c r="F599" s="96" t="s">
        <v>624</v>
      </c>
      <c r="G599" s="99">
        <v>126592</v>
      </c>
      <c r="H599" s="97">
        <v>3.3967719999999999</v>
      </c>
      <c r="I599" s="98">
        <v>430004.16102399997</v>
      </c>
      <c r="J599" s="97">
        <v>3.3342632235844287</v>
      </c>
      <c r="K599" s="98">
        <v>7913.1110239999998</v>
      </c>
      <c r="L599" s="99">
        <v>0</v>
      </c>
      <c r="M599" s="98">
        <v>0</v>
      </c>
      <c r="N599" s="99">
        <v>0</v>
      </c>
      <c r="O599" s="98">
        <v>0</v>
      </c>
      <c r="P599" s="99">
        <v>126592</v>
      </c>
      <c r="Q599" s="98">
        <v>430004.16102399997</v>
      </c>
      <c r="R599" s="96" t="s">
        <v>625</v>
      </c>
      <c r="S599" s="96">
        <v>7414000005</v>
      </c>
      <c r="AA599" s="131" t="s">
        <v>418</v>
      </c>
      <c r="AB599" s="130">
        <v>3766874.3675799998</v>
      </c>
      <c r="AC599" s="130">
        <v>3766874.3675799998</v>
      </c>
    </row>
    <row r="600" spans="1:29" x14ac:dyDescent="0.25">
      <c r="A600" t="str">
        <f t="shared" si="10"/>
        <v xml:space="preserve">1036529STER-OP ED          </v>
      </c>
      <c r="B600" s="96">
        <v>1036529</v>
      </c>
      <c r="C600" s="96" t="s">
        <v>696</v>
      </c>
      <c r="D600" s="96" t="s">
        <v>417</v>
      </c>
      <c r="E600" s="96" t="s">
        <v>623</v>
      </c>
      <c r="F600" s="96" t="s">
        <v>624</v>
      </c>
      <c r="G600" s="99">
        <v>3579</v>
      </c>
      <c r="H600" s="97">
        <v>3.8832339999999999</v>
      </c>
      <c r="I600" s="98">
        <v>13898.094486</v>
      </c>
      <c r="J600" s="97">
        <v>3.2042190556021235</v>
      </c>
      <c r="K600" s="98">
        <v>2430.1944859999999</v>
      </c>
      <c r="L600" s="99">
        <v>0</v>
      </c>
      <c r="M600" s="98">
        <v>0</v>
      </c>
      <c r="N600" s="99">
        <v>0</v>
      </c>
      <c r="O600" s="98">
        <v>0</v>
      </c>
      <c r="P600" s="99">
        <v>3579</v>
      </c>
      <c r="Q600" s="98">
        <v>13898.094486</v>
      </c>
      <c r="R600" s="96" t="s">
        <v>625</v>
      </c>
      <c r="S600" s="96">
        <v>7414000005</v>
      </c>
      <c r="AA600" s="131" t="s">
        <v>408</v>
      </c>
      <c r="AB600" s="130">
        <v>9784910.7964880001</v>
      </c>
      <c r="AC600" s="130">
        <v>9784910.7964880001</v>
      </c>
    </row>
    <row r="601" spans="1:29" x14ac:dyDescent="0.25">
      <c r="A601" t="str">
        <f t="shared" si="10"/>
        <v xml:space="preserve">1036529STERGOB ED          </v>
      </c>
      <c r="B601" s="96">
        <v>1036530</v>
      </c>
      <c r="C601" s="96" t="s">
        <v>696</v>
      </c>
      <c r="D601" s="96" t="s">
        <v>459</v>
      </c>
      <c r="E601" s="96" t="s">
        <v>623</v>
      </c>
      <c r="F601" s="96" t="s">
        <v>624</v>
      </c>
      <c r="G601" s="99">
        <v>2810000</v>
      </c>
      <c r="H601" s="97">
        <v>4.5848760000000004</v>
      </c>
      <c r="I601" s="98">
        <v>12883501.560000001</v>
      </c>
      <c r="J601" s="97">
        <v>4.1933545907473313</v>
      </c>
      <c r="K601" s="98">
        <v>1100175.1599999999</v>
      </c>
      <c r="L601" s="99">
        <v>0</v>
      </c>
      <c r="M601" s="98">
        <v>0</v>
      </c>
      <c r="N601" s="99">
        <v>0</v>
      </c>
      <c r="O601" s="98">
        <v>0</v>
      </c>
      <c r="P601" s="99">
        <v>2810000</v>
      </c>
      <c r="Q601" s="98">
        <v>12883501.560000001</v>
      </c>
      <c r="R601" s="96" t="s">
        <v>625</v>
      </c>
      <c r="S601" s="96">
        <v>7414000005</v>
      </c>
      <c r="AA601" s="131" t="s">
        <v>389</v>
      </c>
      <c r="AB601" s="130">
        <v>11769482.096344</v>
      </c>
      <c r="AC601" s="130">
        <v>11769482.096344</v>
      </c>
    </row>
    <row r="602" spans="1:29" x14ac:dyDescent="0.25">
      <c r="A602" t="str">
        <f t="shared" si="10"/>
        <v xml:space="preserve">1036529STRGOB2 ED          </v>
      </c>
      <c r="B602" s="96">
        <v>1036530</v>
      </c>
      <c r="C602" s="96" t="s">
        <v>696</v>
      </c>
      <c r="D602" s="96" t="s">
        <v>389</v>
      </c>
      <c r="E602" s="96" t="s">
        <v>623</v>
      </c>
      <c r="F602" s="96" t="s">
        <v>624</v>
      </c>
      <c r="G602" s="99">
        <v>147007</v>
      </c>
      <c r="H602" s="97">
        <v>3.3967719999999999</v>
      </c>
      <c r="I602" s="98">
        <v>499349.26140399999</v>
      </c>
      <c r="J602" s="97">
        <v>3.3267777724870244</v>
      </c>
      <c r="K602" s="98">
        <v>10289.641404</v>
      </c>
      <c r="L602" s="99">
        <v>0</v>
      </c>
      <c r="M602" s="98">
        <v>0</v>
      </c>
      <c r="N602" s="99">
        <v>0</v>
      </c>
      <c r="O602" s="98">
        <v>0</v>
      </c>
      <c r="P602" s="99">
        <v>147007</v>
      </c>
      <c r="Q602" s="98">
        <v>499349.26140399999</v>
      </c>
      <c r="R602" s="96" t="s">
        <v>625</v>
      </c>
      <c r="S602" s="96">
        <v>7414000005</v>
      </c>
      <c r="AA602" s="131" t="s">
        <v>391</v>
      </c>
      <c r="AB602" s="130">
        <v>21426934.232301001</v>
      </c>
      <c r="AC602" s="130">
        <v>21426934.232301001</v>
      </c>
    </row>
    <row r="603" spans="1:29" x14ac:dyDescent="0.25">
      <c r="A603" t="str">
        <f t="shared" si="10"/>
        <v xml:space="preserve">1036530STER-OP ED          </v>
      </c>
      <c r="B603" s="96">
        <v>1036613</v>
      </c>
      <c r="C603" s="96" t="s">
        <v>697</v>
      </c>
      <c r="D603" s="96" t="s">
        <v>366</v>
      </c>
      <c r="E603" s="96" t="s">
        <v>623</v>
      </c>
      <c r="F603" s="96" t="s">
        <v>624</v>
      </c>
      <c r="G603" s="99">
        <v>0</v>
      </c>
      <c r="H603" s="97">
        <v>0</v>
      </c>
      <c r="I603" s="98">
        <v>136726683.61000001</v>
      </c>
      <c r="J603" s="97">
        <v>0</v>
      </c>
      <c r="K603" s="98">
        <v>0</v>
      </c>
      <c r="L603" s="99">
        <v>0</v>
      </c>
      <c r="M603" s="98">
        <v>0</v>
      </c>
      <c r="N603" s="99">
        <v>0</v>
      </c>
      <c r="O603" s="98">
        <v>0</v>
      </c>
      <c r="P603" s="99">
        <v>0</v>
      </c>
      <c r="Q603" s="98">
        <v>136726683.61000001</v>
      </c>
      <c r="R603" s="96" t="s">
        <v>625</v>
      </c>
      <c r="S603" s="96">
        <v>7414000005</v>
      </c>
      <c r="AA603" s="131" t="s">
        <v>395</v>
      </c>
      <c r="AB603" s="130">
        <v>11867520.620610001</v>
      </c>
      <c r="AC603" s="130">
        <v>11867520.620610001</v>
      </c>
    </row>
    <row r="604" spans="1:29" x14ac:dyDescent="0.25">
      <c r="A604" t="str">
        <f t="shared" si="10"/>
        <v xml:space="preserve">1036530STERGOB ED          </v>
      </c>
      <c r="B604" s="96">
        <v>1036613</v>
      </c>
      <c r="C604" s="96" t="s">
        <v>697</v>
      </c>
      <c r="D604" s="96" t="s">
        <v>381</v>
      </c>
      <c r="E604" s="96" t="s">
        <v>623</v>
      </c>
      <c r="F604" s="96" t="s">
        <v>624</v>
      </c>
      <c r="G604" s="99">
        <v>0</v>
      </c>
      <c r="H604" s="97">
        <v>0</v>
      </c>
      <c r="I604" s="98">
        <v>0</v>
      </c>
      <c r="J604" s="97">
        <v>0</v>
      </c>
      <c r="K604" s="98">
        <v>0</v>
      </c>
      <c r="L604" s="99">
        <v>0</v>
      </c>
      <c r="M604" s="98">
        <v>0</v>
      </c>
      <c r="N604" s="99">
        <v>0</v>
      </c>
      <c r="O604" s="98">
        <v>0</v>
      </c>
      <c r="P604" s="99">
        <v>0</v>
      </c>
      <c r="Q604" s="98">
        <v>0</v>
      </c>
      <c r="R604" s="96" t="s">
        <v>625</v>
      </c>
      <c r="S604" s="96">
        <v>7414000005</v>
      </c>
      <c r="AA604" s="131" t="s">
        <v>396</v>
      </c>
      <c r="AB604" s="130">
        <v>25109328.688080002</v>
      </c>
      <c r="AC604" s="130">
        <v>25109328.688080002</v>
      </c>
    </row>
    <row r="605" spans="1:29" x14ac:dyDescent="0.25">
      <c r="A605" t="str">
        <f t="shared" si="10"/>
        <v>1036613EFECTIVO</v>
      </c>
      <c r="B605" s="96">
        <v>1036691</v>
      </c>
      <c r="C605" s="96" t="s">
        <v>698</v>
      </c>
      <c r="D605" s="96" t="s">
        <v>389</v>
      </c>
      <c r="E605" s="96" t="s">
        <v>623</v>
      </c>
      <c r="F605" s="96" t="s">
        <v>624</v>
      </c>
      <c r="G605" s="99">
        <v>288941</v>
      </c>
      <c r="H605" s="97">
        <v>3.3967719999999999</v>
      </c>
      <c r="I605" s="98">
        <v>981466.69845200004</v>
      </c>
      <c r="J605" s="97">
        <v>3.3520693497980556</v>
      </c>
      <c r="K605" s="98">
        <v>12916.428452</v>
      </c>
      <c r="L605" s="99">
        <v>0</v>
      </c>
      <c r="M605" s="98">
        <v>0</v>
      </c>
      <c r="N605" s="99">
        <v>0</v>
      </c>
      <c r="O605" s="98">
        <v>0</v>
      </c>
      <c r="P605" s="99">
        <v>288941</v>
      </c>
      <c r="Q605" s="98">
        <v>981466.69845200004</v>
      </c>
      <c r="R605" s="96" t="s">
        <v>625</v>
      </c>
      <c r="S605" s="96">
        <v>7414000005</v>
      </c>
      <c r="AA605" s="131" t="s">
        <v>398</v>
      </c>
      <c r="AB605" s="130">
        <v>7028435.3938279999</v>
      </c>
      <c r="AC605" s="130">
        <v>7028435.3938279999</v>
      </c>
    </row>
    <row r="606" spans="1:29" x14ac:dyDescent="0.25">
      <c r="A606" t="str">
        <f t="shared" si="10"/>
        <v xml:space="preserve">1036613GOBFED 290531       </v>
      </c>
      <c r="B606" s="96">
        <v>1036723</v>
      </c>
      <c r="C606" s="96" t="s">
        <v>699</v>
      </c>
      <c r="D606" s="96" t="s">
        <v>389</v>
      </c>
      <c r="E606" s="96" t="s">
        <v>623</v>
      </c>
      <c r="F606" s="96" t="s">
        <v>624</v>
      </c>
      <c r="G606" s="99">
        <v>1266664</v>
      </c>
      <c r="H606" s="97">
        <v>3.3967719999999999</v>
      </c>
      <c r="I606" s="98">
        <v>4302568.8086080002</v>
      </c>
      <c r="J606" s="97">
        <v>3.2114013740028926</v>
      </c>
      <c r="K606" s="98">
        <v>234802.29860800001</v>
      </c>
      <c r="L606" s="99">
        <v>0</v>
      </c>
      <c r="M606" s="98">
        <v>0</v>
      </c>
      <c r="N606" s="99">
        <v>0</v>
      </c>
      <c r="O606" s="98">
        <v>0</v>
      </c>
      <c r="P606" s="99">
        <v>1266664</v>
      </c>
      <c r="Q606" s="98">
        <v>4302568.8086080002</v>
      </c>
      <c r="R606" s="96" t="s">
        <v>625</v>
      </c>
      <c r="S606" s="96">
        <v>7414000005</v>
      </c>
      <c r="AA606" s="131" t="s">
        <v>381</v>
      </c>
      <c r="AB606" s="130">
        <v>23868667.410101</v>
      </c>
      <c r="AC606" s="130">
        <v>23868667.410101</v>
      </c>
    </row>
    <row r="607" spans="1:29" x14ac:dyDescent="0.25">
      <c r="A607" t="str">
        <f t="shared" si="10"/>
        <v xml:space="preserve">1036691STERGOB ED          </v>
      </c>
      <c r="B607" s="96">
        <v>1036724</v>
      </c>
      <c r="C607" s="96" t="s">
        <v>700</v>
      </c>
      <c r="D607" s="96" t="s">
        <v>389</v>
      </c>
      <c r="E607" s="96" t="s">
        <v>623</v>
      </c>
      <c r="F607" s="96" t="s">
        <v>624</v>
      </c>
      <c r="G607" s="99">
        <v>2766884</v>
      </c>
      <c r="H607" s="97">
        <v>3.3967719999999999</v>
      </c>
      <c r="I607" s="98">
        <v>9398474.0984480008</v>
      </c>
      <c r="J607" s="97">
        <v>3.3267261764497538</v>
      </c>
      <c r="K607" s="98">
        <v>193808.66844800001</v>
      </c>
      <c r="L607" s="99">
        <v>0</v>
      </c>
      <c r="M607" s="98">
        <v>0</v>
      </c>
      <c r="N607" s="99">
        <v>0</v>
      </c>
      <c r="O607" s="98">
        <v>0</v>
      </c>
      <c r="P607" s="99">
        <v>2766884</v>
      </c>
      <c r="Q607" s="98">
        <v>9398474.0984480008</v>
      </c>
      <c r="R607" s="96" t="s">
        <v>625</v>
      </c>
      <c r="S607" s="96">
        <v>7414000005</v>
      </c>
      <c r="AA607" s="131" t="s">
        <v>459</v>
      </c>
      <c r="AB607" s="130">
        <v>66302822.565828003</v>
      </c>
      <c r="AC607" s="130">
        <v>66302822.565828003</v>
      </c>
    </row>
    <row r="608" spans="1:29" x14ac:dyDescent="0.25">
      <c r="A608" t="str">
        <f t="shared" si="10"/>
        <v xml:space="preserve">1036723STERGOB ED          </v>
      </c>
      <c r="B608" s="96">
        <v>1036731</v>
      </c>
      <c r="C608" s="96" t="s">
        <v>701</v>
      </c>
      <c r="D608" s="96" t="s">
        <v>431</v>
      </c>
      <c r="E608" s="96" t="s">
        <v>623</v>
      </c>
      <c r="F608" s="96" t="s">
        <v>624</v>
      </c>
      <c r="G608" s="99">
        <v>180276</v>
      </c>
      <c r="H608" s="97">
        <v>3.4005040000000002</v>
      </c>
      <c r="I608" s="98">
        <v>613029.25910400006</v>
      </c>
      <c r="J608" s="97">
        <v>3.3576768399565111</v>
      </c>
      <c r="K608" s="98">
        <v>7720.7091039999996</v>
      </c>
      <c r="L608" s="99">
        <v>0</v>
      </c>
      <c r="M608" s="98">
        <v>0</v>
      </c>
      <c r="N608" s="99">
        <v>0</v>
      </c>
      <c r="O608" s="98">
        <v>0</v>
      </c>
      <c r="P608" s="99">
        <v>180276</v>
      </c>
      <c r="Q608" s="98">
        <v>613029.25910400006</v>
      </c>
      <c r="R608" s="96" t="s">
        <v>625</v>
      </c>
      <c r="S608" s="96">
        <v>7414000005</v>
      </c>
      <c r="AA608" s="131" t="s">
        <v>393</v>
      </c>
      <c r="AB608" s="130">
        <v>18696201.984030001</v>
      </c>
      <c r="AC608" s="130">
        <v>18696201.984030001</v>
      </c>
    </row>
    <row r="609" spans="1:29" x14ac:dyDescent="0.25">
      <c r="A609" t="str">
        <f t="shared" si="10"/>
        <v xml:space="preserve">1036724STERGOB ED          </v>
      </c>
      <c r="B609" s="96">
        <v>1037085</v>
      </c>
      <c r="C609" s="96" t="s">
        <v>702</v>
      </c>
      <c r="D609" s="96" t="s">
        <v>366</v>
      </c>
      <c r="E609" s="96" t="s">
        <v>623</v>
      </c>
      <c r="F609" s="96" t="s">
        <v>624</v>
      </c>
      <c r="G609" s="99">
        <v>0</v>
      </c>
      <c r="H609" s="97">
        <v>0</v>
      </c>
      <c r="I609" s="98">
        <v>2066083.19</v>
      </c>
      <c r="J609" s="97">
        <v>0</v>
      </c>
      <c r="K609" s="98">
        <v>0</v>
      </c>
      <c r="L609" s="99">
        <v>0</v>
      </c>
      <c r="M609" s="98">
        <v>0</v>
      </c>
      <c r="N609" s="99">
        <v>0</v>
      </c>
      <c r="O609" s="98">
        <v>0</v>
      </c>
      <c r="P609" s="99">
        <v>0</v>
      </c>
      <c r="Q609" s="98">
        <v>2066083.19</v>
      </c>
      <c r="R609" s="96" t="s">
        <v>625</v>
      </c>
      <c r="S609" s="96">
        <v>7414000005</v>
      </c>
      <c r="AA609" s="131" t="s">
        <v>417</v>
      </c>
      <c r="AB609" s="130">
        <v>107170373.426118</v>
      </c>
      <c r="AC609" s="130">
        <v>107170373.426118</v>
      </c>
    </row>
    <row r="610" spans="1:29" x14ac:dyDescent="0.25">
      <c r="A610" t="str">
        <f t="shared" si="10"/>
        <v xml:space="preserve">1036731STERGOB B1          </v>
      </c>
      <c r="B610" s="96">
        <v>1037085</v>
      </c>
      <c r="C610" s="96" t="s">
        <v>702</v>
      </c>
      <c r="D610" s="96" t="s">
        <v>389</v>
      </c>
      <c r="E610" s="96" t="s">
        <v>623</v>
      </c>
      <c r="F610" s="96" t="s">
        <v>624</v>
      </c>
      <c r="G610" s="99">
        <v>11271177</v>
      </c>
      <c r="H610" s="97">
        <v>3.3967719999999999</v>
      </c>
      <c r="I610" s="98">
        <v>38285618.440644003</v>
      </c>
      <c r="J610" s="97">
        <v>3.3207661657695553</v>
      </c>
      <c r="K610" s="98">
        <v>856675.21064399998</v>
      </c>
      <c r="L610" s="99">
        <v>0</v>
      </c>
      <c r="M610" s="98">
        <v>0</v>
      </c>
      <c r="N610" s="99">
        <v>0</v>
      </c>
      <c r="O610" s="98">
        <v>0</v>
      </c>
      <c r="P610" s="99">
        <v>11271177</v>
      </c>
      <c r="Q610" s="98">
        <v>38285618.440644003</v>
      </c>
      <c r="R610" s="96" t="s">
        <v>625</v>
      </c>
      <c r="S610" s="96">
        <v>7414000005</v>
      </c>
      <c r="AA610" s="131" t="s">
        <v>375</v>
      </c>
      <c r="AB610" s="130">
        <v>9992498.6222900003</v>
      </c>
      <c r="AC610" s="130">
        <v>9992498.6222900003</v>
      </c>
    </row>
    <row r="611" spans="1:29" x14ac:dyDescent="0.25">
      <c r="A611" t="str">
        <f t="shared" si="10"/>
        <v>1037085EFECTIVO</v>
      </c>
      <c r="B611" s="96">
        <v>1037086</v>
      </c>
      <c r="C611" s="96" t="s">
        <v>703</v>
      </c>
      <c r="D611" s="96" t="s">
        <v>366</v>
      </c>
      <c r="E611" s="96" t="s">
        <v>623</v>
      </c>
      <c r="F611" s="96" t="s">
        <v>624</v>
      </c>
      <c r="G611" s="99">
        <v>0</v>
      </c>
      <c r="H611" s="97">
        <v>0</v>
      </c>
      <c r="I611" s="98">
        <v>4816735.47</v>
      </c>
      <c r="J611" s="97">
        <v>0</v>
      </c>
      <c r="K611" s="98">
        <v>0</v>
      </c>
      <c r="L611" s="99">
        <v>0</v>
      </c>
      <c r="M611" s="98">
        <v>0</v>
      </c>
      <c r="N611" s="99">
        <v>0</v>
      </c>
      <c r="O611" s="98">
        <v>0</v>
      </c>
      <c r="P611" s="99">
        <v>0</v>
      </c>
      <c r="Q611" s="98">
        <v>4816735.47</v>
      </c>
      <c r="R611" s="96" t="s">
        <v>625</v>
      </c>
      <c r="S611" s="96">
        <v>7414000005</v>
      </c>
      <c r="AA611" s="131" t="s">
        <v>399</v>
      </c>
      <c r="AB611" s="130">
        <v>18174823.997350998</v>
      </c>
      <c r="AC611" s="130">
        <v>18174823.997350998</v>
      </c>
    </row>
    <row r="612" spans="1:29" x14ac:dyDescent="0.25">
      <c r="A612" t="str">
        <f t="shared" si="10"/>
        <v xml:space="preserve">1037085STERGOB ED          </v>
      </c>
      <c r="B612" s="96">
        <v>1037086</v>
      </c>
      <c r="C612" s="96" t="s">
        <v>703</v>
      </c>
      <c r="D612" s="96" t="s">
        <v>389</v>
      </c>
      <c r="E612" s="96" t="s">
        <v>623</v>
      </c>
      <c r="F612" s="96" t="s">
        <v>624</v>
      </c>
      <c r="G612" s="99">
        <v>14901298</v>
      </c>
      <c r="H612" s="97">
        <v>3.3967719999999999</v>
      </c>
      <c r="I612" s="98">
        <v>50616311.810056001</v>
      </c>
      <c r="J612" s="97">
        <v>3.308655970104081</v>
      </c>
      <c r="K612" s="98">
        <v>1313043.2200559999</v>
      </c>
      <c r="L612" s="99">
        <v>0</v>
      </c>
      <c r="M612" s="98">
        <v>0</v>
      </c>
      <c r="N612" s="99">
        <v>0</v>
      </c>
      <c r="O612" s="98">
        <v>0</v>
      </c>
      <c r="P612" s="99">
        <v>14901298</v>
      </c>
      <c r="Q612" s="98">
        <v>50616311.810056001</v>
      </c>
      <c r="R612" s="96" t="s">
        <v>625</v>
      </c>
      <c r="S612" s="96">
        <v>7414000005</v>
      </c>
      <c r="AA612" s="131" t="s">
        <v>434</v>
      </c>
      <c r="AB612" s="130">
        <v>7903647.6620100001</v>
      </c>
      <c r="AC612" s="130">
        <v>7903647.6620100001</v>
      </c>
    </row>
    <row r="613" spans="1:29" x14ac:dyDescent="0.25">
      <c r="A613" t="str">
        <f t="shared" si="10"/>
        <v>1037086EFECTIVO</v>
      </c>
      <c r="B613" s="96">
        <v>1037087</v>
      </c>
      <c r="C613" s="96" t="s">
        <v>704</v>
      </c>
      <c r="D613" s="96" t="s">
        <v>431</v>
      </c>
      <c r="E613" s="96" t="s">
        <v>623</v>
      </c>
      <c r="F613" s="96" t="s">
        <v>624</v>
      </c>
      <c r="G613" s="99">
        <v>5399</v>
      </c>
      <c r="H613" s="97">
        <v>3.4005040000000002</v>
      </c>
      <c r="I613" s="98">
        <v>18359.321096</v>
      </c>
      <c r="J613" s="97">
        <v>3.3420466753102427</v>
      </c>
      <c r="K613" s="98">
        <v>315.61109599999997</v>
      </c>
      <c r="L613" s="99">
        <v>0</v>
      </c>
      <c r="M613" s="98">
        <v>0</v>
      </c>
      <c r="N613" s="99">
        <v>0</v>
      </c>
      <c r="O613" s="98">
        <v>0</v>
      </c>
      <c r="P613" s="99">
        <v>5399</v>
      </c>
      <c r="Q613" s="98">
        <v>18359.321096</v>
      </c>
      <c r="R613" s="96" t="s">
        <v>625</v>
      </c>
      <c r="S613" s="96">
        <v>7414000005</v>
      </c>
      <c r="AA613" s="131" t="s">
        <v>394</v>
      </c>
      <c r="AB613" s="130">
        <v>55181519.46006</v>
      </c>
      <c r="AC613" s="130">
        <v>55181519.46006</v>
      </c>
    </row>
    <row r="614" spans="1:29" x14ac:dyDescent="0.25">
      <c r="A614" t="str">
        <f t="shared" si="10"/>
        <v xml:space="preserve">1037086STERGOB ED          </v>
      </c>
      <c r="B614" s="96">
        <v>1037090</v>
      </c>
      <c r="C614" s="96" t="s">
        <v>705</v>
      </c>
      <c r="D614" s="96" t="s">
        <v>366</v>
      </c>
      <c r="E614" s="96" t="s">
        <v>623</v>
      </c>
      <c r="F614" s="96" t="s">
        <v>624</v>
      </c>
      <c r="G614" s="99">
        <v>0</v>
      </c>
      <c r="H614" s="97">
        <v>0</v>
      </c>
      <c r="I614" s="98">
        <v>720199.81</v>
      </c>
      <c r="J614" s="97">
        <v>0</v>
      </c>
      <c r="K614" s="98">
        <v>0</v>
      </c>
      <c r="L614" s="99">
        <v>0</v>
      </c>
      <c r="M614" s="98">
        <v>0</v>
      </c>
      <c r="N614" s="99">
        <v>0</v>
      </c>
      <c r="O614" s="98">
        <v>0</v>
      </c>
      <c r="P614" s="99">
        <v>0</v>
      </c>
      <c r="Q614" s="98">
        <v>720199.81</v>
      </c>
      <c r="R614" s="96" t="s">
        <v>625</v>
      </c>
      <c r="S614" s="96">
        <v>7414000005</v>
      </c>
      <c r="AA614" s="131" t="s">
        <v>392</v>
      </c>
      <c r="AB614" s="130">
        <v>20572810.946688</v>
      </c>
      <c r="AC614" s="130">
        <v>20572810.946688</v>
      </c>
    </row>
    <row r="615" spans="1:29" x14ac:dyDescent="0.25">
      <c r="A615" t="str">
        <f t="shared" si="10"/>
        <v xml:space="preserve">1037087STERGOB B1          </v>
      </c>
      <c r="B615" s="96">
        <v>1037090</v>
      </c>
      <c r="C615" s="96" t="s">
        <v>705</v>
      </c>
      <c r="D615" s="96" t="s">
        <v>431</v>
      </c>
      <c r="E615" s="96" t="s">
        <v>623</v>
      </c>
      <c r="F615" s="96" t="s">
        <v>624</v>
      </c>
      <c r="G615" s="99">
        <v>4700479</v>
      </c>
      <c r="H615" s="97">
        <v>3.4005040000000002</v>
      </c>
      <c r="I615" s="98">
        <v>15983997.641416</v>
      </c>
      <c r="J615" s="97">
        <v>3.3602059768802284</v>
      </c>
      <c r="K615" s="98">
        <v>189420.01141599999</v>
      </c>
      <c r="L615" s="99">
        <v>0</v>
      </c>
      <c r="M615" s="98">
        <v>0</v>
      </c>
      <c r="N615" s="99">
        <v>0</v>
      </c>
      <c r="O615" s="98">
        <v>0</v>
      </c>
      <c r="P615" s="99">
        <v>4700479</v>
      </c>
      <c r="Q615" s="98">
        <v>15983997.641416</v>
      </c>
      <c r="R615" s="96" t="s">
        <v>625</v>
      </c>
      <c r="S615" s="96">
        <v>7414000005</v>
      </c>
      <c r="AA615" s="131" t="s">
        <v>383</v>
      </c>
      <c r="AB615" s="130">
        <v>104752783.74456</v>
      </c>
      <c r="AC615" s="130">
        <v>104752783.74456</v>
      </c>
    </row>
    <row r="616" spans="1:29" x14ac:dyDescent="0.25">
      <c r="A616" t="str">
        <f t="shared" si="10"/>
        <v>1037090EFECTIVO</v>
      </c>
      <c r="B616" s="96">
        <v>1037097</v>
      </c>
      <c r="C616" s="96" t="s">
        <v>706</v>
      </c>
      <c r="D616" s="96" t="s">
        <v>431</v>
      </c>
      <c r="E616" s="96" t="s">
        <v>623</v>
      </c>
      <c r="F616" s="96" t="s">
        <v>624</v>
      </c>
      <c r="G616" s="99">
        <v>1364000</v>
      </c>
      <c r="H616" s="97">
        <v>3.4005040000000002</v>
      </c>
      <c r="I616" s="98">
        <v>4638287.4560000002</v>
      </c>
      <c r="J616" s="97">
        <v>3.3623344428152491</v>
      </c>
      <c r="K616" s="98">
        <v>52063.275999999998</v>
      </c>
      <c r="L616" s="99">
        <v>0</v>
      </c>
      <c r="M616" s="98">
        <v>0</v>
      </c>
      <c r="N616" s="99">
        <v>0</v>
      </c>
      <c r="O616" s="98">
        <v>0</v>
      </c>
      <c r="P616" s="99">
        <v>1364000</v>
      </c>
      <c r="Q616" s="98">
        <v>4638287.4560000002</v>
      </c>
      <c r="R616" s="96" t="s">
        <v>625</v>
      </c>
      <c r="S616" s="96">
        <v>7414000005</v>
      </c>
      <c r="AA616" s="129">
        <v>65502898380</v>
      </c>
      <c r="AB616" s="130">
        <v>15987028.169565998</v>
      </c>
      <c r="AC616" s="130">
        <v>15987028.169565998</v>
      </c>
    </row>
    <row r="617" spans="1:29" x14ac:dyDescent="0.25">
      <c r="A617" t="str">
        <f t="shared" si="10"/>
        <v xml:space="preserve">1037090STERGOB B1          </v>
      </c>
      <c r="B617" s="96">
        <v>1037109</v>
      </c>
      <c r="C617" s="96" t="s">
        <v>707</v>
      </c>
      <c r="D617" s="96" t="s">
        <v>431</v>
      </c>
      <c r="E617" s="96" t="s">
        <v>623</v>
      </c>
      <c r="F617" s="96" t="s">
        <v>624</v>
      </c>
      <c r="G617" s="99">
        <v>1874444</v>
      </c>
      <c r="H617" s="97">
        <v>3.4005040000000002</v>
      </c>
      <c r="I617" s="98">
        <v>6374054.3197760005</v>
      </c>
      <c r="J617" s="97">
        <v>3.354343965463892</v>
      </c>
      <c r="K617" s="98">
        <v>86524.399776000006</v>
      </c>
      <c r="L617" s="99">
        <v>0</v>
      </c>
      <c r="M617" s="98">
        <v>0</v>
      </c>
      <c r="N617" s="99">
        <v>0</v>
      </c>
      <c r="O617" s="98">
        <v>0</v>
      </c>
      <c r="P617" s="99">
        <v>1874444</v>
      </c>
      <c r="Q617" s="98">
        <v>6374054.3197760005</v>
      </c>
      <c r="R617" s="96" t="s">
        <v>625</v>
      </c>
      <c r="S617" s="96">
        <v>7414000005</v>
      </c>
      <c r="AA617" s="131" t="s">
        <v>366</v>
      </c>
      <c r="AB617" s="130">
        <v>10978925.859999999</v>
      </c>
      <c r="AC617" s="130">
        <v>10978925.859999999</v>
      </c>
    </row>
    <row r="618" spans="1:29" x14ac:dyDescent="0.25">
      <c r="A618" t="str">
        <f t="shared" si="10"/>
        <v xml:space="preserve">1037097STERGOB B1          </v>
      </c>
      <c r="B618" s="96">
        <v>1037113</v>
      </c>
      <c r="C618" s="96" t="s">
        <v>708</v>
      </c>
      <c r="D618" s="96" t="s">
        <v>366</v>
      </c>
      <c r="E618" s="96" t="s">
        <v>623</v>
      </c>
      <c r="F618" s="96" t="s">
        <v>624</v>
      </c>
      <c r="G618" s="99">
        <v>0</v>
      </c>
      <c r="H618" s="97">
        <v>0</v>
      </c>
      <c r="I618" s="98">
        <v>2496246.89</v>
      </c>
      <c r="J618" s="97">
        <v>0</v>
      </c>
      <c r="K618" s="98">
        <v>0</v>
      </c>
      <c r="L618" s="99">
        <v>0</v>
      </c>
      <c r="M618" s="98">
        <v>0</v>
      </c>
      <c r="N618" s="99">
        <v>0</v>
      </c>
      <c r="O618" s="98">
        <v>0</v>
      </c>
      <c r="P618" s="99">
        <v>0</v>
      </c>
      <c r="Q618" s="98">
        <v>2496246.89</v>
      </c>
      <c r="R618" s="96" t="s">
        <v>625</v>
      </c>
      <c r="S618" s="96">
        <v>7414000005</v>
      </c>
      <c r="AA618" s="131" t="s">
        <v>429</v>
      </c>
      <c r="AB618" s="130">
        <v>5008102.3095659995</v>
      </c>
      <c r="AC618" s="130">
        <v>5008102.3095659995</v>
      </c>
    </row>
    <row r="619" spans="1:29" x14ac:dyDescent="0.25">
      <c r="A619" t="str">
        <f t="shared" si="10"/>
        <v xml:space="preserve">1037109STERGOB B1          </v>
      </c>
      <c r="B619" s="96">
        <v>1037113</v>
      </c>
      <c r="C619" s="96" t="s">
        <v>708</v>
      </c>
      <c r="D619" s="96" t="s">
        <v>389</v>
      </c>
      <c r="E619" s="96" t="s">
        <v>623</v>
      </c>
      <c r="F619" s="96" t="s">
        <v>624</v>
      </c>
      <c r="G619" s="99">
        <v>1617132</v>
      </c>
      <c r="H619" s="97">
        <v>3.3967719999999999</v>
      </c>
      <c r="I619" s="98">
        <v>5493028.6979040001</v>
      </c>
      <c r="J619" s="97">
        <v>3.3388523262170313</v>
      </c>
      <c r="K619" s="98">
        <v>93663.757903999998</v>
      </c>
      <c r="L619" s="99">
        <v>0</v>
      </c>
      <c r="M619" s="98">
        <v>0</v>
      </c>
      <c r="N619" s="99">
        <v>0</v>
      </c>
      <c r="O619" s="98">
        <v>0</v>
      </c>
      <c r="P619" s="99">
        <v>1617132</v>
      </c>
      <c r="Q619" s="98">
        <v>5493028.6979040001</v>
      </c>
      <c r="R619" s="96" t="s">
        <v>625</v>
      </c>
      <c r="S619" s="96">
        <v>7414000005</v>
      </c>
      <c r="AA619" s="129">
        <v>65502898437</v>
      </c>
      <c r="AB619" s="130">
        <v>0</v>
      </c>
      <c r="AC619" s="130">
        <v>0</v>
      </c>
    </row>
    <row r="620" spans="1:29" x14ac:dyDescent="0.25">
      <c r="A620" t="str">
        <f t="shared" si="10"/>
        <v>1037113EFECTIVO</v>
      </c>
      <c r="B620" s="96">
        <v>1037115</v>
      </c>
      <c r="C620" s="96" t="s">
        <v>709</v>
      </c>
      <c r="D620" s="96" t="s">
        <v>389</v>
      </c>
      <c r="E620" s="96" t="s">
        <v>623</v>
      </c>
      <c r="F620" s="96" t="s">
        <v>624</v>
      </c>
      <c r="G620" s="99">
        <v>1192887</v>
      </c>
      <c r="H620" s="97">
        <v>3.3967719999999999</v>
      </c>
      <c r="I620" s="98">
        <v>4051965.1607639999</v>
      </c>
      <c r="J620" s="97">
        <v>3.3326248839999093</v>
      </c>
      <c r="K620" s="98">
        <v>76520.260764000006</v>
      </c>
      <c r="L620" s="99">
        <v>0</v>
      </c>
      <c r="M620" s="98">
        <v>0</v>
      </c>
      <c r="N620" s="99">
        <v>0</v>
      </c>
      <c r="O620" s="98">
        <v>0</v>
      </c>
      <c r="P620" s="99">
        <v>1192887</v>
      </c>
      <c r="Q620" s="98">
        <v>4051965.1607639999</v>
      </c>
      <c r="R620" s="96" t="s">
        <v>625</v>
      </c>
      <c r="S620" s="96">
        <v>7414000005</v>
      </c>
      <c r="AA620" s="131" t="s">
        <v>393</v>
      </c>
      <c r="AB620" s="130">
        <v>0</v>
      </c>
      <c r="AC620" s="130">
        <v>0</v>
      </c>
    </row>
    <row r="621" spans="1:29" x14ac:dyDescent="0.25">
      <c r="A621" t="str">
        <f t="shared" si="10"/>
        <v xml:space="preserve">1037113STERGOB ED          </v>
      </c>
      <c r="B621" s="96">
        <v>1037115</v>
      </c>
      <c r="C621" s="96" t="s">
        <v>709</v>
      </c>
      <c r="D621" s="96" t="s">
        <v>417</v>
      </c>
      <c r="E621" s="96" t="s">
        <v>623</v>
      </c>
      <c r="F621" s="96" t="s">
        <v>624</v>
      </c>
      <c r="G621" s="99">
        <v>597515</v>
      </c>
      <c r="H621" s="97">
        <v>3.8832339999999999</v>
      </c>
      <c r="I621" s="98">
        <v>2320290.5635099998</v>
      </c>
      <c r="J621" s="97">
        <v>2.7830230370785669</v>
      </c>
      <c r="K621" s="98">
        <v>657392.55351</v>
      </c>
      <c r="L621" s="99">
        <v>0</v>
      </c>
      <c r="M621" s="98">
        <v>0</v>
      </c>
      <c r="N621" s="99">
        <v>0</v>
      </c>
      <c r="O621" s="98">
        <v>0</v>
      </c>
      <c r="P621" s="99">
        <v>597515</v>
      </c>
      <c r="Q621" s="98">
        <v>2320290.5635099998</v>
      </c>
      <c r="R621" s="96" t="s">
        <v>625</v>
      </c>
      <c r="S621" s="96">
        <v>7414000005</v>
      </c>
      <c r="AA621" s="131" t="s">
        <v>394</v>
      </c>
      <c r="AB621" s="130">
        <v>0</v>
      </c>
      <c r="AC621" s="130">
        <v>0</v>
      </c>
    </row>
    <row r="622" spans="1:29" x14ac:dyDescent="0.25">
      <c r="A622" t="str">
        <f t="shared" si="10"/>
        <v xml:space="preserve">1037115STERGOB ED          </v>
      </c>
      <c r="B622" s="96">
        <v>1037115</v>
      </c>
      <c r="C622" s="96" t="s">
        <v>709</v>
      </c>
      <c r="D622" s="96" t="s">
        <v>407</v>
      </c>
      <c r="E622" s="96" t="s">
        <v>623</v>
      </c>
      <c r="F622" s="96" t="s">
        <v>624</v>
      </c>
      <c r="G622" s="99">
        <v>1762362</v>
      </c>
      <c r="H622" s="97">
        <v>2.7668819999999998</v>
      </c>
      <c r="I622" s="98">
        <v>4876247.6952839997</v>
      </c>
      <c r="J622" s="97">
        <v>2.3501810014060673</v>
      </c>
      <c r="K622" s="98">
        <v>734378.00528399996</v>
      </c>
      <c r="L622" s="99">
        <v>0</v>
      </c>
      <c r="M622" s="98">
        <v>0</v>
      </c>
      <c r="N622" s="99">
        <v>0</v>
      </c>
      <c r="O622" s="98">
        <v>0</v>
      </c>
      <c r="P622" s="99">
        <v>1762362</v>
      </c>
      <c r="Q622" s="98">
        <v>4876247.6952839997</v>
      </c>
      <c r="R622" s="96" t="s">
        <v>625</v>
      </c>
      <c r="S622" s="96">
        <v>7414000005</v>
      </c>
      <c r="AA622" s="129">
        <v>65503523505</v>
      </c>
      <c r="AB622" s="130">
        <v>4715.3213189999997</v>
      </c>
      <c r="AC622" s="130">
        <v>4715.3213189999997</v>
      </c>
    </row>
    <row r="623" spans="1:29" x14ac:dyDescent="0.25">
      <c r="A623" t="str">
        <f t="shared" si="10"/>
        <v xml:space="preserve">1037115STRGOB2 ED          </v>
      </c>
      <c r="B623" s="96">
        <v>1037117</v>
      </c>
      <c r="C623" s="96" t="s">
        <v>710</v>
      </c>
      <c r="D623" s="96" t="s">
        <v>366</v>
      </c>
      <c r="E623" s="96" t="s">
        <v>623</v>
      </c>
      <c r="F623" s="96" t="s">
        <v>624</v>
      </c>
      <c r="G623" s="99">
        <v>0</v>
      </c>
      <c r="H623" s="97">
        <v>0</v>
      </c>
      <c r="I623" s="98">
        <v>411999.01</v>
      </c>
      <c r="J623" s="97">
        <v>0</v>
      </c>
      <c r="K623" s="98">
        <v>0</v>
      </c>
      <c r="L623" s="99">
        <v>0</v>
      </c>
      <c r="M623" s="98">
        <v>0</v>
      </c>
      <c r="N623" s="99">
        <v>0</v>
      </c>
      <c r="O623" s="98">
        <v>0</v>
      </c>
      <c r="P623" s="99">
        <v>0</v>
      </c>
      <c r="Q623" s="98">
        <v>411999.01</v>
      </c>
      <c r="R623" s="96" t="s">
        <v>625</v>
      </c>
      <c r="S623" s="96">
        <v>7414000005</v>
      </c>
      <c r="AA623" s="131" t="s">
        <v>412</v>
      </c>
      <c r="AB623" s="130">
        <v>4715.3213189999997</v>
      </c>
      <c r="AC623" s="130">
        <v>4715.3213189999997</v>
      </c>
    </row>
    <row r="624" spans="1:29" x14ac:dyDescent="0.25">
      <c r="A624" t="str">
        <f t="shared" si="10"/>
        <v xml:space="preserve">1037115SVIVE60 ED          </v>
      </c>
      <c r="B624" s="96">
        <v>1037117</v>
      </c>
      <c r="C624" s="96" t="s">
        <v>710</v>
      </c>
      <c r="D624" s="96" t="s">
        <v>389</v>
      </c>
      <c r="E624" s="96" t="s">
        <v>623</v>
      </c>
      <c r="F624" s="96" t="s">
        <v>624</v>
      </c>
      <c r="G624" s="99">
        <v>2496183</v>
      </c>
      <c r="H624" s="97">
        <v>3.3967719999999999</v>
      </c>
      <c r="I624" s="98">
        <v>8478964.5212760009</v>
      </c>
      <c r="J624" s="97">
        <v>3.3294021672289249</v>
      </c>
      <c r="K624" s="98">
        <v>168167.43127599999</v>
      </c>
      <c r="L624" s="99">
        <v>0</v>
      </c>
      <c r="M624" s="98">
        <v>0</v>
      </c>
      <c r="N624" s="99">
        <v>0</v>
      </c>
      <c r="O624" s="98">
        <v>0</v>
      </c>
      <c r="P624" s="99">
        <v>2496183</v>
      </c>
      <c r="Q624" s="98">
        <v>8478964.5212760009</v>
      </c>
      <c r="R624" s="96" t="s">
        <v>625</v>
      </c>
      <c r="S624" s="96">
        <v>7414000005</v>
      </c>
      <c r="AA624" s="129">
        <v>65503525966</v>
      </c>
      <c r="AB624" s="130">
        <v>571018.854926</v>
      </c>
      <c r="AC624" s="130">
        <v>571018.854926</v>
      </c>
    </row>
    <row r="625" spans="1:29" x14ac:dyDescent="0.25">
      <c r="A625" t="str">
        <f t="shared" si="10"/>
        <v>1037117EFECTIVO</v>
      </c>
      <c r="B625" s="96">
        <v>1037118</v>
      </c>
      <c r="C625" s="96" t="s">
        <v>711</v>
      </c>
      <c r="D625" s="96" t="s">
        <v>366</v>
      </c>
      <c r="E625" s="96" t="s">
        <v>623</v>
      </c>
      <c r="F625" s="96" t="s">
        <v>624</v>
      </c>
      <c r="G625" s="99">
        <v>0</v>
      </c>
      <c r="H625" s="97">
        <v>0</v>
      </c>
      <c r="I625" s="98">
        <v>1350374.65</v>
      </c>
      <c r="J625" s="97">
        <v>0</v>
      </c>
      <c r="K625" s="98">
        <v>0</v>
      </c>
      <c r="L625" s="99">
        <v>0</v>
      </c>
      <c r="M625" s="98">
        <v>0</v>
      </c>
      <c r="N625" s="99">
        <v>0</v>
      </c>
      <c r="O625" s="98">
        <v>0</v>
      </c>
      <c r="P625" s="99">
        <v>0</v>
      </c>
      <c r="Q625" s="98">
        <v>1350374.65</v>
      </c>
      <c r="R625" s="96" t="s">
        <v>625</v>
      </c>
      <c r="S625" s="96">
        <v>7414000005</v>
      </c>
      <c r="AA625" s="131" t="s">
        <v>389</v>
      </c>
      <c r="AB625" s="130">
        <v>568137.29117600003</v>
      </c>
      <c r="AC625" s="130">
        <v>568137.29117600003</v>
      </c>
    </row>
    <row r="626" spans="1:29" x14ac:dyDescent="0.25">
      <c r="A626" t="str">
        <f t="shared" si="10"/>
        <v xml:space="preserve">1037117STERGOB ED          </v>
      </c>
      <c r="B626" s="96">
        <v>1037118</v>
      </c>
      <c r="C626" s="96" t="s">
        <v>711</v>
      </c>
      <c r="D626" s="96" t="s">
        <v>389</v>
      </c>
      <c r="E626" s="96" t="s">
        <v>623</v>
      </c>
      <c r="F626" s="96" t="s">
        <v>624</v>
      </c>
      <c r="G626" s="99">
        <v>3941087</v>
      </c>
      <c r="H626" s="97">
        <v>3.3967719999999999</v>
      </c>
      <c r="I626" s="98">
        <v>13386973.971163999</v>
      </c>
      <c r="J626" s="97">
        <v>3.3242348012109351</v>
      </c>
      <c r="K626" s="98">
        <v>285875.41116399999</v>
      </c>
      <c r="L626" s="99">
        <v>0</v>
      </c>
      <c r="M626" s="98">
        <v>0</v>
      </c>
      <c r="N626" s="99">
        <v>0</v>
      </c>
      <c r="O626" s="98">
        <v>0</v>
      </c>
      <c r="P626" s="99">
        <v>3941087</v>
      </c>
      <c r="Q626" s="98">
        <v>13386973.971163999</v>
      </c>
      <c r="R626" s="96" t="s">
        <v>625</v>
      </c>
      <c r="S626" s="96">
        <v>7414000005</v>
      </c>
      <c r="AA626" s="131" t="s">
        <v>481</v>
      </c>
      <c r="AB626" s="130">
        <v>2881.5637499999998</v>
      </c>
      <c r="AC626" s="130">
        <v>2881.5637499999998</v>
      </c>
    </row>
    <row r="627" spans="1:29" x14ac:dyDescent="0.25">
      <c r="A627" t="str">
        <f t="shared" si="10"/>
        <v>1037118EFECTIVO</v>
      </c>
      <c r="B627" s="96">
        <v>1037124</v>
      </c>
      <c r="C627" s="96" t="s">
        <v>712</v>
      </c>
      <c r="D627" s="96" t="s">
        <v>412</v>
      </c>
      <c r="E627" s="96" t="s">
        <v>623</v>
      </c>
      <c r="F627" s="96" t="s">
        <v>624</v>
      </c>
      <c r="G627" s="99">
        <v>916623</v>
      </c>
      <c r="H627" s="97">
        <v>3.137273</v>
      </c>
      <c r="I627" s="98">
        <v>2875696.5890790001</v>
      </c>
      <c r="J627" s="97">
        <v>3.0472462506395761</v>
      </c>
      <c r="K627" s="98">
        <v>82520.589078999998</v>
      </c>
      <c r="L627" s="99">
        <v>0</v>
      </c>
      <c r="M627" s="98">
        <v>0</v>
      </c>
      <c r="N627" s="99">
        <v>0</v>
      </c>
      <c r="O627" s="98">
        <v>0</v>
      </c>
      <c r="P627" s="99">
        <v>916623</v>
      </c>
      <c r="Q627" s="98">
        <v>2875696.5890790001</v>
      </c>
      <c r="R627" s="96" t="s">
        <v>625</v>
      </c>
      <c r="S627" s="96">
        <v>7414000005</v>
      </c>
      <c r="AA627" s="129">
        <v>65503691935</v>
      </c>
      <c r="AB627" s="130">
        <v>14666173.122264</v>
      </c>
      <c r="AC627" s="130">
        <v>14666173.122264</v>
      </c>
    </row>
    <row r="628" spans="1:29" x14ac:dyDescent="0.25">
      <c r="A628" t="str">
        <f t="shared" si="10"/>
        <v xml:space="preserve">1037118STERGOB ED          </v>
      </c>
      <c r="B628" s="96">
        <v>1037125</v>
      </c>
      <c r="C628" s="96" t="s">
        <v>713</v>
      </c>
      <c r="D628" s="96" t="s">
        <v>612</v>
      </c>
      <c r="E628" s="96" t="s">
        <v>623</v>
      </c>
      <c r="F628" s="96" t="s">
        <v>624</v>
      </c>
      <c r="G628" s="99">
        <v>2500000</v>
      </c>
      <c r="H628" s="97">
        <v>9.8627230000000008</v>
      </c>
      <c r="I628" s="98">
        <v>24656807.5</v>
      </c>
      <c r="J628" s="97">
        <v>9.7229553800000001</v>
      </c>
      <c r="K628" s="98">
        <v>349419.05</v>
      </c>
      <c r="L628" s="99">
        <v>0</v>
      </c>
      <c r="M628" s="98">
        <v>0</v>
      </c>
      <c r="N628" s="99">
        <v>0</v>
      </c>
      <c r="O628" s="98">
        <v>0</v>
      </c>
      <c r="P628" s="99">
        <v>2500000</v>
      </c>
      <c r="Q628" s="98">
        <v>24656807.5</v>
      </c>
      <c r="R628" s="96" t="s">
        <v>625</v>
      </c>
      <c r="S628" s="96">
        <v>7414000005</v>
      </c>
      <c r="AA628" s="131" t="s">
        <v>431</v>
      </c>
      <c r="AB628" s="130">
        <v>14666173.122264</v>
      </c>
      <c r="AC628" s="130">
        <v>14666173.122264</v>
      </c>
    </row>
    <row r="629" spans="1:29" x14ac:dyDescent="0.25">
      <c r="A629" t="str">
        <f t="shared" si="10"/>
        <v xml:space="preserve">1037124STERGOB B0          </v>
      </c>
      <c r="B629" s="96">
        <v>1037125</v>
      </c>
      <c r="C629" s="96" t="s">
        <v>713</v>
      </c>
      <c r="D629" s="96" t="s">
        <v>410</v>
      </c>
      <c r="E629" s="96" t="s">
        <v>623</v>
      </c>
      <c r="F629" s="96" t="s">
        <v>624</v>
      </c>
      <c r="G629" s="99">
        <v>1000000</v>
      </c>
      <c r="H629" s="97">
        <v>9.0621639999999992</v>
      </c>
      <c r="I629" s="98">
        <v>9062164</v>
      </c>
      <c r="J629" s="97">
        <v>8.1474269100000001</v>
      </c>
      <c r="K629" s="98">
        <v>914737.09</v>
      </c>
      <c r="L629" s="99">
        <v>0</v>
      </c>
      <c r="M629" s="98">
        <v>0</v>
      </c>
      <c r="N629" s="99">
        <v>0</v>
      </c>
      <c r="O629" s="98">
        <v>0</v>
      </c>
      <c r="P629" s="99">
        <v>1000000</v>
      </c>
      <c r="Q629" s="98">
        <v>9062164</v>
      </c>
      <c r="R629" s="96" t="s">
        <v>625</v>
      </c>
      <c r="S629" s="96">
        <v>7414000005</v>
      </c>
      <c r="AA629" s="129">
        <v>65503867094</v>
      </c>
      <c r="AB629" s="130">
        <v>92503.152543000004</v>
      </c>
      <c r="AC629" s="130">
        <v>92503.152543000004</v>
      </c>
    </row>
    <row r="630" spans="1:29" x14ac:dyDescent="0.25">
      <c r="A630" t="str">
        <f t="shared" si="10"/>
        <v xml:space="preserve">1037125CETES 240530        </v>
      </c>
      <c r="B630" s="96">
        <v>1037125</v>
      </c>
      <c r="C630" s="96" t="s">
        <v>713</v>
      </c>
      <c r="D630" s="96" t="s">
        <v>389</v>
      </c>
      <c r="E630" s="96" t="s">
        <v>623</v>
      </c>
      <c r="F630" s="96" t="s">
        <v>624</v>
      </c>
      <c r="G630" s="99">
        <v>998432</v>
      </c>
      <c r="H630" s="97">
        <v>3.3967719999999999</v>
      </c>
      <c r="I630" s="98">
        <v>3391445.8615040001</v>
      </c>
      <c r="J630" s="97">
        <v>3.3412600056889201</v>
      </c>
      <c r="K630" s="98">
        <v>55424.951503999997</v>
      </c>
      <c r="L630" s="99">
        <v>0</v>
      </c>
      <c r="M630" s="98">
        <v>0</v>
      </c>
      <c r="N630" s="99">
        <v>0</v>
      </c>
      <c r="O630" s="98">
        <v>0</v>
      </c>
      <c r="P630" s="99">
        <v>998432</v>
      </c>
      <c r="Q630" s="98">
        <v>3391445.8615040001</v>
      </c>
      <c r="R630" s="96" t="s">
        <v>625</v>
      </c>
      <c r="S630" s="96">
        <v>7414000005</v>
      </c>
      <c r="AA630" s="131" t="s">
        <v>480</v>
      </c>
      <c r="AB630" s="130">
        <v>92503.152543000004</v>
      </c>
      <c r="AC630" s="130">
        <v>92503.152543000004</v>
      </c>
    </row>
    <row r="631" spans="1:29" x14ac:dyDescent="0.25">
      <c r="A631" t="str">
        <f t="shared" si="10"/>
        <v xml:space="preserve">1037125CETES 250320        </v>
      </c>
      <c r="B631" s="96">
        <v>1037540</v>
      </c>
      <c r="C631" s="96" t="s">
        <v>714</v>
      </c>
      <c r="D631" s="96" t="s">
        <v>409</v>
      </c>
      <c r="E631" s="96" t="s">
        <v>623</v>
      </c>
      <c r="F631" s="96" t="s">
        <v>624</v>
      </c>
      <c r="G631" s="99">
        <v>140930</v>
      </c>
      <c r="H631" s="97">
        <v>9.3381629999999998</v>
      </c>
      <c r="I631" s="98">
        <v>1316027.3115900001</v>
      </c>
      <c r="J631" s="97">
        <v>8.3307969100000001</v>
      </c>
      <c r="K631" s="98">
        <v>141968.10306369999</v>
      </c>
      <c r="L631" s="99">
        <v>0</v>
      </c>
      <c r="M631" s="98">
        <v>0</v>
      </c>
      <c r="N631" s="99">
        <v>0</v>
      </c>
      <c r="O631" s="98">
        <v>0</v>
      </c>
      <c r="P631" s="99">
        <v>140930</v>
      </c>
      <c r="Q631" s="98">
        <v>1316027.3115900001</v>
      </c>
      <c r="R631" s="96" t="s">
        <v>625</v>
      </c>
      <c r="S631" s="96">
        <v>7414000005</v>
      </c>
      <c r="AA631" s="129">
        <v>65504832250</v>
      </c>
      <c r="AB631" s="130">
        <v>0</v>
      </c>
      <c r="AC631" s="130">
        <v>0</v>
      </c>
    </row>
    <row r="632" spans="1:29" x14ac:dyDescent="0.25">
      <c r="A632" t="str">
        <f t="shared" si="10"/>
        <v xml:space="preserve">1037125STERGOB ED          </v>
      </c>
      <c r="B632" s="96">
        <v>1037540</v>
      </c>
      <c r="C632" s="96" t="s">
        <v>714</v>
      </c>
      <c r="D632" s="96" t="s">
        <v>364</v>
      </c>
      <c r="E632" s="96" t="s">
        <v>623</v>
      </c>
      <c r="F632" s="96" t="s">
        <v>624</v>
      </c>
      <c r="G632" s="99">
        <v>107960</v>
      </c>
      <c r="H632" s="97">
        <v>9.190137</v>
      </c>
      <c r="I632" s="98">
        <v>992167.19051999995</v>
      </c>
      <c r="J632" s="97">
        <v>8.2164038599999998</v>
      </c>
      <c r="K632" s="98">
        <v>105124.2297944</v>
      </c>
      <c r="L632" s="99">
        <v>0</v>
      </c>
      <c r="M632" s="98">
        <v>0</v>
      </c>
      <c r="N632" s="99">
        <v>0</v>
      </c>
      <c r="O632" s="98">
        <v>0</v>
      </c>
      <c r="P632" s="99">
        <v>107960</v>
      </c>
      <c r="Q632" s="98">
        <v>992167.19051999995</v>
      </c>
      <c r="R632" s="96" t="s">
        <v>625</v>
      </c>
      <c r="S632" s="96">
        <v>7414000005</v>
      </c>
      <c r="AA632" s="131" t="s">
        <v>419</v>
      </c>
      <c r="AB632" s="130">
        <v>0</v>
      </c>
      <c r="AC632" s="130">
        <v>0</v>
      </c>
    </row>
    <row r="633" spans="1:29" x14ac:dyDescent="0.25">
      <c r="A633" t="str">
        <f t="shared" si="10"/>
        <v xml:space="preserve">1037540CETES 241128        </v>
      </c>
      <c r="B633" s="96">
        <v>1037540</v>
      </c>
      <c r="C633" s="96" t="s">
        <v>714</v>
      </c>
      <c r="D633" s="96" t="s">
        <v>366</v>
      </c>
      <c r="E633" s="96" t="s">
        <v>623</v>
      </c>
      <c r="F633" s="96" t="s">
        <v>624</v>
      </c>
      <c r="G633" s="99">
        <v>0</v>
      </c>
      <c r="H633" s="97">
        <v>0</v>
      </c>
      <c r="I633" s="98">
        <v>6761036.1500000004</v>
      </c>
      <c r="J633" s="97">
        <v>0</v>
      </c>
      <c r="K633" s="98">
        <v>0</v>
      </c>
      <c r="L633" s="99">
        <v>0</v>
      </c>
      <c r="M633" s="98">
        <v>0</v>
      </c>
      <c r="N633" s="99">
        <v>0</v>
      </c>
      <c r="O633" s="98">
        <v>0</v>
      </c>
      <c r="P633" s="99">
        <v>0</v>
      </c>
      <c r="Q633" s="98">
        <v>6761036.1500000004</v>
      </c>
      <c r="R633" s="96" t="s">
        <v>625</v>
      </c>
      <c r="S633" s="96">
        <v>7414000005</v>
      </c>
      <c r="AA633" s="129">
        <v>65505285253</v>
      </c>
      <c r="AB633" s="130">
        <v>257628.98404800001</v>
      </c>
      <c r="AC633" s="130">
        <v>257628.98404800001</v>
      </c>
    </row>
    <row r="634" spans="1:29" x14ac:dyDescent="0.25">
      <c r="A634" t="str">
        <f t="shared" si="10"/>
        <v xml:space="preserve">1037540CETES 250123        </v>
      </c>
      <c r="B634" s="96">
        <v>1037540</v>
      </c>
      <c r="C634" s="96" t="s">
        <v>714</v>
      </c>
      <c r="D634" s="96" t="s">
        <v>375</v>
      </c>
      <c r="E634" s="96" t="s">
        <v>623</v>
      </c>
      <c r="F634" s="96" t="s">
        <v>624</v>
      </c>
      <c r="G634" s="99">
        <v>6330</v>
      </c>
      <c r="H634" s="97">
        <v>98.730349000000004</v>
      </c>
      <c r="I634" s="98">
        <v>624963.10916999995</v>
      </c>
      <c r="J634" s="97">
        <v>108.06787303999999</v>
      </c>
      <c r="K634" s="98">
        <v>-59106.527173199996</v>
      </c>
      <c r="L634" s="99">
        <v>0</v>
      </c>
      <c r="M634" s="98">
        <v>0</v>
      </c>
      <c r="N634" s="99">
        <v>0</v>
      </c>
      <c r="O634" s="98">
        <v>0</v>
      </c>
      <c r="P634" s="99">
        <v>6330</v>
      </c>
      <c r="Q634" s="98">
        <v>624963.10916999995</v>
      </c>
      <c r="R634" s="96" t="s">
        <v>625</v>
      </c>
      <c r="S634" s="96">
        <v>7414000005</v>
      </c>
      <c r="AA634" s="131" t="s">
        <v>431</v>
      </c>
      <c r="AB634" s="130">
        <v>257628.98404800001</v>
      </c>
      <c r="AC634" s="130">
        <v>257628.98404800001</v>
      </c>
    </row>
    <row r="635" spans="1:29" x14ac:dyDescent="0.25">
      <c r="A635" t="str">
        <f t="shared" si="10"/>
        <v>1037540EFECTIVO</v>
      </c>
      <c r="B635" s="96">
        <v>1037540</v>
      </c>
      <c r="C635" s="96" t="s">
        <v>714</v>
      </c>
      <c r="D635" s="96" t="s">
        <v>376</v>
      </c>
      <c r="E635" s="96" t="s">
        <v>623</v>
      </c>
      <c r="F635" s="96" t="s">
        <v>624</v>
      </c>
      <c r="G635" s="99">
        <v>4639</v>
      </c>
      <c r="H635" s="97">
        <v>99.247497999999993</v>
      </c>
      <c r="I635" s="98">
        <v>460409.14322199998</v>
      </c>
      <c r="J635" s="97">
        <v>115.75135435</v>
      </c>
      <c r="K635" s="98">
        <v>-76561.389607649995</v>
      </c>
      <c r="L635" s="99">
        <v>0</v>
      </c>
      <c r="M635" s="98">
        <v>0</v>
      </c>
      <c r="N635" s="99">
        <v>0</v>
      </c>
      <c r="O635" s="98">
        <v>0</v>
      </c>
      <c r="P635" s="99">
        <v>4639</v>
      </c>
      <c r="Q635" s="98">
        <v>460409.14322199998</v>
      </c>
      <c r="R635" s="96" t="s">
        <v>625</v>
      </c>
      <c r="S635" s="96">
        <v>7414000005</v>
      </c>
      <c r="AA635" s="129">
        <v>65505597846</v>
      </c>
      <c r="AB635" s="130">
        <v>202222200.64281899</v>
      </c>
      <c r="AC635" s="130">
        <v>202222200.64281899</v>
      </c>
    </row>
    <row r="636" spans="1:29" x14ac:dyDescent="0.25">
      <c r="A636" t="str">
        <f t="shared" si="10"/>
        <v xml:space="preserve">1037540GOBFED 240905       </v>
      </c>
      <c r="B636" s="96">
        <v>1037540</v>
      </c>
      <c r="C636" s="96" t="s">
        <v>714</v>
      </c>
      <c r="D636" s="96" t="s">
        <v>377</v>
      </c>
      <c r="E636" s="96" t="s">
        <v>623</v>
      </c>
      <c r="F636" s="96" t="s">
        <v>624</v>
      </c>
      <c r="G636" s="99">
        <v>1360</v>
      </c>
      <c r="H636" s="97">
        <v>94.973146999999997</v>
      </c>
      <c r="I636" s="98">
        <v>129163.47992</v>
      </c>
      <c r="J636" s="97">
        <v>91.134764709999999</v>
      </c>
      <c r="K636" s="98">
        <v>5220.1999144000001</v>
      </c>
      <c r="L636" s="99">
        <v>0</v>
      </c>
      <c r="M636" s="98">
        <v>0</v>
      </c>
      <c r="N636" s="99">
        <v>0</v>
      </c>
      <c r="O636" s="98">
        <v>0</v>
      </c>
      <c r="P636" s="99">
        <v>1360</v>
      </c>
      <c r="Q636" s="98">
        <v>129163.47992</v>
      </c>
      <c r="R636" s="96" t="s">
        <v>625</v>
      </c>
      <c r="S636" s="96">
        <v>7414000005</v>
      </c>
      <c r="AA636" s="131" t="s">
        <v>389</v>
      </c>
      <c r="AB636" s="130">
        <v>3075454.3526599999</v>
      </c>
      <c r="AC636" s="130">
        <v>3075454.3526599999</v>
      </c>
    </row>
    <row r="637" spans="1:29" x14ac:dyDescent="0.25">
      <c r="A637" t="str">
        <f t="shared" si="10"/>
        <v xml:space="preserve">1037540GOBFED 241205       </v>
      </c>
      <c r="B637" s="96">
        <v>1037540</v>
      </c>
      <c r="C637" s="96" t="s">
        <v>714</v>
      </c>
      <c r="D637" s="96" t="s">
        <v>378</v>
      </c>
      <c r="E637" s="96" t="s">
        <v>623</v>
      </c>
      <c r="F637" s="96" t="s">
        <v>624</v>
      </c>
      <c r="G637" s="99">
        <v>8055</v>
      </c>
      <c r="H637" s="97">
        <v>91.911821000000003</v>
      </c>
      <c r="I637" s="98">
        <v>740349.71815500001</v>
      </c>
      <c r="J637" s="97">
        <v>97.809169460000007</v>
      </c>
      <c r="K637" s="98">
        <v>-47503.141845300001</v>
      </c>
      <c r="L637" s="99">
        <v>0</v>
      </c>
      <c r="M637" s="98">
        <v>0</v>
      </c>
      <c r="N637" s="99">
        <v>0</v>
      </c>
      <c r="O637" s="98">
        <v>0</v>
      </c>
      <c r="P637" s="99">
        <v>8055</v>
      </c>
      <c r="Q637" s="98">
        <v>740349.71815500001</v>
      </c>
      <c r="R637" s="96" t="s">
        <v>625</v>
      </c>
      <c r="S637" s="96">
        <v>7414000005</v>
      </c>
      <c r="AA637" s="131" t="s">
        <v>420</v>
      </c>
      <c r="AB637" s="130">
        <v>98093803.859883994</v>
      </c>
      <c r="AC637" s="130">
        <v>98093803.859883994</v>
      </c>
    </row>
    <row r="638" spans="1:29" x14ac:dyDescent="0.25">
      <c r="A638" t="str">
        <f t="shared" si="10"/>
        <v xml:space="preserve">1037540GOBFED 250306       </v>
      </c>
      <c r="B638" s="96">
        <v>1037540</v>
      </c>
      <c r="C638" s="96" t="s">
        <v>714</v>
      </c>
      <c r="D638" s="96" t="s">
        <v>379</v>
      </c>
      <c r="E638" s="96" t="s">
        <v>623</v>
      </c>
      <c r="F638" s="96" t="s">
        <v>624</v>
      </c>
      <c r="G638" s="99">
        <v>3380</v>
      </c>
      <c r="H638" s="97">
        <v>88.698122999999995</v>
      </c>
      <c r="I638" s="98">
        <v>299799.65574000002</v>
      </c>
      <c r="J638" s="97">
        <v>92.101102100000006</v>
      </c>
      <c r="K638" s="98">
        <v>-11502.069358000001</v>
      </c>
      <c r="L638" s="99">
        <v>0</v>
      </c>
      <c r="M638" s="98">
        <v>0</v>
      </c>
      <c r="N638" s="99">
        <v>0</v>
      </c>
      <c r="O638" s="98">
        <v>0</v>
      </c>
      <c r="P638" s="99">
        <v>3380</v>
      </c>
      <c r="Q638" s="98">
        <v>299799.65574000002</v>
      </c>
      <c r="R638" s="96" t="s">
        <v>625</v>
      </c>
      <c r="S638" s="96">
        <v>7414000005</v>
      </c>
      <c r="AA638" s="131" t="s">
        <v>482</v>
      </c>
      <c r="AB638" s="130">
        <v>101052942.43027499</v>
      </c>
      <c r="AC638" s="130">
        <v>101052942.43027499</v>
      </c>
    </row>
    <row r="639" spans="1:29" x14ac:dyDescent="0.25">
      <c r="A639" t="str">
        <f t="shared" si="10"/>
        <v xml:space="preserve">1037540GOBFED 260305       </v>
      </c>
      <c r="B639" s="96">
        <v>1037540</v>
      </c>
      <c r="C639" s="96" t="s">
        <v>714</v>
      </c>
      <c r="D639" s="96" t="s">
        <v>380</v>
      </c>
      <c r="E639" s="96" t="s">
        <v>623</v>
      </c>
      <c r="F639" s="96" t="s">
        <v>624</v>
      </c>
      <c r="G639" s="99">
        <v>6880</v>
      </c>
      <c r="H639" s="97">
        <v>93.314192000000006</v>
      </c>
      <c r="I639" s="98">
        <v>642001.64095999999</v>
      </c>
      <c r="J639" s="97">
        <v>104.61324234</v>
      </c>
      <c r="K639" s="98">
        <v>-77737.466339199993</v>
      </c>
      <c r="L639" s="99">
        <v>0</v>
      </c>
      <c r="M639" s="98">
        <v>0</v>
      </c>
      <c r="N639" s="99">
        <v>0</v>
      </c>
      <c r="O639" s="98">
        <v>0</v>
      </c>
      <c r="P639" s="99">
        <v>6880</v>
      </c>
      <c r="Q639" s="98">
        <v>642001.64095999999</v>
      </c>
      <c r="R639" s="96" t="s">
        <v>625</v>
      </c>
      <c r="S639" s="96">
        <v>7414000005</v>
      </c>
      <c r="AA639" s="129">
        <v>1008777</v>
      </c>
      <c r="AB639" s="130">
        <v>30469637.100000001</v>
      </c>
      <c r="AC639" s="130">
        <v>30469637.100000001</v>
      </c>
    </row>
    <row r="640" spans="1:29" x14ac:dyDescent="0.25">
      <c r="A640" t="str">
        <f t="shared" si="10"/>
        <v xml:space="preserve">1037540GOBFED 270304       </v>
      </c>
      <c r="B640" s="96">
        <v>1037540</v>
      </c>
      <c r="C640" s="96" t="s">
        <v>714</v>
      </c>
      <c r="D640" s="96" t="s">
        <v>381</v>
      </c>
      <c r="E640" s="96" t="s">
        <v>623</v>
      </c>
      <c r="F640" s="96" t="s">
        <v>624</v>
      </c>
      <c r="G640" s="99">
        <v>6256</v>
      </c>
      <c r="H640" s="97">
        <v>94.870157000000006</v>
      </c>
      <c r="I640" s="98">
        <v>593507.702192</v>
      </c>
      <c r="J640" s="97">
        <v>97.949190880677747</v>
      </c>
      <c r="K640" s="98">
        <v>-19262.43595752</v>
      </c>
      <c r="L640" s="99">
        <v>0</v>
      </c>
      <c r="M640" s="98">
        <v>0</v>
      </c>
      <c r="N640" s="99">
        <v>0</v>
      </c>
      <c r="O640" s="98">
        <v>0</v>
      </c>
      <c r="P640" s="99">
        <v>6256</v>
      </c>
      <c r="Q640" s="98">
        <v>593507.702192</v>
      </c>
      <c r="R640" s="96" t="s">
        <v>625</v>
      </c>
      <c r="S640" s="96">
        <v>7414000005</v>
      </c>
      <c r="AA640" s="131" t="s">
        <v>366</v>
      </c>
      <c r="AB640" s="130">
        <v>30469637.100000001</v>
      </c>
      <c r="AC640" s="130">
        <v>30469637.100000001</v>
      </c>
    </row>
    <row r="641" spans="1:29" x14ac:dyDescent="0.25">
      <c r="A641" t="str">
        <f t="shared" si="10"/>
        <v xml:space="preserve">1037540GOBFED 270603       </v>
      </c>
      <c r="B641" s="96">
        <v>1037540</v>
      </c>
      <c r="C641" s="96" t="s">
        <v>714</v>
      </c>
      <c r="D641" s="96" t="s">
        <v>382</v>
      </c>
      <c r="E641" s="96" t="s">
        <v>623</v>
      </c>
      <c r="F641" s="96" t="s">
        <v>624</v>
      </c>
      <c r="G641" s="99">
        <v>7471</v>
      </c>
      <c r="H641" s="97">
        <v>89.489464999999996</v>
      </c>
      <c r="I641" s="98">
        <v>668575.79301499994</v>
      </c>
      <c r="J641" s="97">
        <v>92.384535582177747</v>
      </c>
      <c r="K641" s="98">
        <v>-21629.072319449999</v>
      </c>
      <c r="L641" s="99">
        <v>0</v>
      </c>
      <c r="M641" s="98">
        <v>0</v>
      </c>
      <c r="N641" s="99">
        <v>0</v>
      </c>
      <c r="O641" s="98">
        <v>0</v>
      </c>
      <c r="P641" s="99">
        <v>7471</v>
      </c>
      <c r="Q641" s="98">
        <v>668575.79301499994</v>
      </c>
      <c r="R641" s="96" t="s">
        <v>625</v>
      </c>
      <c r="S641" s="96">
        <v>7414000005</v>
      </c>
      <c r="AA641" s="129">
        <v>1008778</v>
      </c>
      <c r="AB641" s="130">
        <v>2673834.7000000002</v>
      </c>
      <c r="AC641" s="130">
        <v>2673834.7000000002</v>
      </c>
    </row>
    <row r="642" spans="1:29" x14ac:dyDescent="0.25">
      <c r="A642" t="str">
        <f t="shared" si="10"/>
        <v xml:space="preserve">1037540GOBFED 290531       </v>
      </c>
      <c r="B642" s="96">
        <v>1037540</v>
      </c>
      <c r="C642" s="96" t="s">
        <v>714</v>
      </c>
      <c r="D642" s="96" t="s">
        <v>383</v>
      </c>
      <c r="E642" s="96" t="s">
        <v>623</v>
      </c>
      <c r="F642" s="96" t="s">
        <v>624</v>
      </c>
      <c r="G642" s="99">
        <v>5030</v>
      </c>
      <c r="H642" s="97">
        <v>86.197128000000006</v>
      </c>
      <c r="I642" s="98">
        <v>433571.55384000001</v>
      </c>
      <c r="J642" s="97">
        <v>90.563850158230622</v>
      </c>
      <c r="K642" s="98">
        <v>-21964.612455900002</v>
      </c>
      <c r="L642" s="99">
        <v>0</v>
      </c>
      <c r="M642" s="98">
        <v>0</v>
      </c>
      <c r="N642" s="99">
        <v>0</v>
      </c>
      <c r="O642" s="98">
        <v>0</v>
      </c>
      <c r="P642" s="99">
        <v>5030</v>
      </c>
      <c r="Q642" s="98">
        <v>433571.55384000001</v>
      </c>
      <c r="R642" s="96" t="s">
        <v>625</v>
      </c>
      <c r="S642" s="96">
        <v>7414000005</v>
      </c>
      <c r="AA642" s="131" t="s">
        <v>366</v>
      </c>
      <c r="AB642" s="130">
        <v>2673834.7000000002</v>
      </c>
      <c r="AC642" s="130">
        <v>2673834.7000000002</v>
      </c>
    </row>
    <row r="643" spans="1:29" x14ac:dyDescent="0.25">
      <c r="A643" t="str">
        <f t="shared" si="10"/>
        <v xml:space="preserve">1037540GOBFED 310529       </v>
      </c>
      <c r="B643" s="96">
        <v>1037540</v>
      </c>
      <c r="C643" s="96" t="s">
        <v>714</v>
      </c>
      <c r="D643" s="96" t="s">
        <v>427</v>
      </c>
      <c r="E643" s="96" t="s">
        <v>623</v>
      </c>
      <c r="F643" s="96" t="s">
        <v>624</v>
      </c>
      <c r="G643" s="99">
        <v>1960</v>
      </c>
      <c r="H643" s="97">
        <v>86.469353999999996</v>
      </c>
      <c r="I643" s="98">
        <v>169479.93384000001</v>
      </c>
      <c r="J643" s="97">
        <v>112.18590927</v>
      </c>
      <c r="K643" s="98">
        <v>-50404.4483292</v>
      </c>
      <c r="L643" s="99">
        <v>0</v>
      </c>
      <c r="M643" s="98">
        <v>0</v>
      </c>
      <c r="N643" s="99">
        <v>0</v>
      </c>
      <c r="O643" s="98">
        <v>0</v>
      </c>
      <c r="P643" s="99">
        <v>1960</v>
      </c>
      <c r="Q643" s="98">
        <v>169479.93384000001</v>
      </c>
      <c r="R643" s="96" t="s">
        <v>625</v>
      </c>
      <c r="S643" s="96">
        <v>7414000005</v>
      </c>
      <c r="AA643" s="129">
        <v>2000123</v>
      </c>
      <c r="AB643" s="130">
        <v>0</v>
      </c>
      <c r="AC643" s="130">
        <v>0</v>
      </c>
    </row>
    <row r="644" spans="1:29" x14ac:dyDescent="0.25">
      <c r="A644" t="str">
        <f t="shared" si="10"/>
        <v xml:space="preserve">1037540GOBFED 330526       </v>
      </c>
      <c r="B644" s="96">
        <v>1037540</v>
      </c>
      <c r="C644" s="96" t="s">
        <v>714</v>
      </c>
      <c r="D644" s="96" t="s">
        <v>418</v>
      </c>
      <c r="E644" s="96" t="s">
        <v>623</v>
      </c>
      <c r="F644" s="96" t="s">
        <v>624</v>
      </c>
      <c r="G644" s="99">
        <v>1050</v>
      </c>
      <c r="H644" s="97">
        <v>101.45096599999999</v>
      </c>
      <c r="I644" s="98">
        <v>106523.5143</v>
      </c>
      <c r="J644" s="97">
        <v>116.56035229</v>
      </c>
      <c r="K644" s="98">
        <v>-15864.8556045</v>
      </c>
      <c r="L644" s="99">
        <v>0</v>
      </c>
      <c r="M644" s="98">
        <v>0</v>
      </c>
      <c r="N644" s="99">
        <v>0</v>
      </c>
      <c r="O644" s="98">
        <v>0</v>
      </c>
      <c r="P644" s="99">
        <v>1050</v>
      </c>
      <c r="Q644" s="98">
        <v>106523.5143</v>
      </c>
      <c r="R644" s="96" t="s">
        <v>625</v>
      </c>
      <c r="S644" s="96">
        <v>7414000005</v>
      </c>
      <c r="AA644" s="131" t="s">
        <v>443</v>
      </c>
      <c r="AB644" s="130">
        <v>0</v>
      </c>
      <c r="AC644" s="130">
        <v>0</v>
      </c>
    </row>
    <row r="645" spans="1:29" x14ac:dyDescent="0.25">
      <c r="A645" t="str">
        <f t="shared" si="10"/>
        <v xml:space="preserve">1037540GOBFED 341123       </v>
      </c>
      <c r="B645" s="96">
        <v>1037540</v>
      </c>
      <c r="C645" s="96" t="s">
        <v>714</v>
      </c>
      <c r="D645" s="96" t="s">
        <v>408</v>
      </c>
      <c r="E645" s="96" t="s">
        <v>623</v>
      </c>
      <c r="F645" s="96" t="s">
        <v>624</v>
      </c>
      <c r="G645" s="99">
        <v>2717</v>
      </c>
      <c r="H645" s="97">
        <v>89.643172000000007</v>
      </c>
      <c r="I645" s="98">
        <v>243560.49832399999</v>
      </c>
      <c r="J645" s="97">
        <v>108.47711815</v>
      </c>
      <c r="K645" s="98">
        <v>-51171.831689550003</v>
      </c>
      <c r="L645" s="99">
        <v>0</v>
      </c>
      <c r="M645" s="98">
        <v>0</v>
      </c>
      <c r="N645" s="99">
        <v>0</v>
      </c>
      <c r="O645" s="98">
        <v>0</v>
      </c>
      <c r="P645" s="99">
        <v>2717</v>
      </c>
      <c r="Q645" s="98">
        <v>243560.49832399999</v>
      </c>
      <c r="R645" s="96" t="s">
        <v>625</v>
      </c>
      <c r="S645" s="96">
        <v>7414000005</v>
      </c>
      <c r="AA645" s="131" t="s">
        <v>564</v>
      </c>
      <c r="AB645" s="130">
        <v>0</v>
      </c>
      <c r="AC645" s="130">
        <v>0</v>
      </c>
    </row>
    <row r="646" spans="1:29" x14ac:dyDescent="0.25">
      <c r="A646" t="str">
        <f t="shared" si="10"/>
        <v xml:space="preserve">1037540GOBFED 361120       </v>
      </c>
      <c r="B646" s="96">
        <v>1037540</v>
      </c>
      <c r="C646" s="96" t="s">
        <v>714</v>
      </c>
      <c r="D646" s="96" t="s">
        <v>385</v>
      </c>
      <c r="E646" s="96" t="s">
        <v>623</v>
      </c>
      <c r="F646" s="96" t="s">
        <v>624</v>
      </c>
      <c r="G646" s="99">
        <v>1980</v>
      </c>
      <c r="H646" s="97">
        <v>83.200761</v>
      </c>
      <c r="I646" s="98">
        <v>164737.50678</v>
      </c>
      <c r="J646" s="97">
        <v>92.05256061</v>
      </c>
      <c r="K646" s="98">
        <v>-17526.563227800001</v>
      </c>
      <c r="L646" s="99">
        <v>0</v>
      </c>
      <c r="M646" s="98">
        <v>0</v>
      </c>
      <c r="N646" s="99">
        <v>0</v>
      </c>
      <c r="O646" s="98">
        <v>0</v>
      </c>
      <c r="P646" s="99">
        <v>1980</v>
      </c>
      <c r="Q646" s="98">
        <v>164737.50678</v>
      </c>
      <c r="R646" s="96" t="s">
        <v>625</v>
      </c>
      <c r="S646" s="96">
        <v>7414000005</v>
      </c>
      <c r="AA646" s="131" t="s">
        <v>445</v>
      </c>
      <c r="AB646" s="130">
        <v>0</v>
      </c>
      <c r="AC646" s="130">
        <v>0</v>
      </c>
    </row>
    <row r="647" spans="1:29" x14ac:dyDescent="0.25">
      <c r="A647" t="str">
        <f t="shared" ref="A647:A710" si="11">B645&amp;D645</f>
        <v xml:space="preserve">1037540GOBFED 381118       </v>
      </c>
      <c r="B647" s="96">
        <v>1037540</v>
      </c>
      <c r="C647" s="96" t="s">
        <v>714</v>
      </c>
      <c r="D647" s="96" t="s">
        <v>386</v>
      </c>
      <c r="E647" s="96" t="s">
        <v>623</v>
      </c>
      <c r="F647" s="96" t="s">
        <v>624</v>
      </c>
      <c r="G647" s="99">
        <v>2255</v>
      </c>
      <c r="H647" s="97">
        <v>82.159907000000004</v>
      </c>
      <c r="I647" s="98">
        <v>185270.59028500001</v>
      </c>
      <c r="J647" s="97">
        <v>86.420874420000004</v>
      </c>
      <c r="K647" s="98">
        <v>-9608.4815321000005</v>
      </c>
      <c r="L647" s="99">
        <v>0</v>
      </c>
      <c r="M647" s="98">
        <v>0</v>
      </c>
      <c r="N647" s="99">
        <v>0</v>
      </c>
      <c r="O647" s="98">
        <v>0</v>
      </c>
      <c r="P647" s="99">
        <v>2255</v>
      </c>
      <c r="Q647" s="98">
        <v>185270.59028500001</v>
      </c>
      <c r="R647" s="96" t="s">
        <v>625</v>
      </c>
      <c r="S647" s="96">
        <v>7414000005</v>
      </c>
      <c r="AA647" s="131" t="s">
        <v>382</v>
      </c>
      <c r="AB647" s="130">
        <v>0</v>
      </c>
      <c r="AC647" s="130">
        <v>0</v>
      </c>
    </row>
    <row r="648" spans="1:29" x14ac:dyDescent="0.25">
      <c r="A648" t="str">
        <f t="shared" si="11"/>
        <v xml:space="preserve">1037540GOBFED 471107       </v>
      </c>
      <c r="B648" s="96">
        <v>1037540</v>
      </c>
      <c r="C648" s="96" t="s">
        <v>714</v>
      </c>
      <c r="D648" s="96" t="s">
        <v>429</v>
      </c>
      <c r="E648" s="96" t="s">
        <v>623</v>
      </c>
      <c r="F648" s="96" t="s">
        <v>624</v>
      </c>
      <c r="G648" s="99">
        <v>11638</v>
      </c>
      <c r="H648" s="97">
        <v>98.007834000000003</v>
      </c>
      <c r="I648" s="98">
        <v>1140615.172092</v>
      </c>
      <c r="J648" s="97">
        <v>89.107030300000005</v>
      </c>
      <c r="K648" s="98">
        <v>103587.5534606</v>
      </c>
      <c r="L648" s="99">
        <v>0</v>
      </c>
      <c r="M648" s="98">
        <v>0</v>
      </c>
      <c r="N648" s="99">
        <v>0</v>
      </c>
      <c r="O648" s="98">
        <v>0</v>
      </c>
      <c r="P648" s="99">
        <v>11638</v>
      </c>
      <c r="Q648" s="98">
        <v>1140615.172092</v>
      </c>
      <c r="R648" s="96" t="s">
        <v>625</v>
      </c>
      <c r="S648" s="96">
        <v>7414000005</v>
      </c>
      <c r="AA648" s="131" t="s">
        <v>450</v>
      </c>
      <c r="AB648" s="130">
        <v>0</v>
      </c>
      <c r="AC648" s="130">
        <v>0</v>
      </c>
    </row>
    <row r="649" spans="1:29" x14ac:dyDescent="0.25">
      <c r="A649" t="str">
        <f t="shared" si="11"/>
        <v xml:space="preserve">1037540GOBFED 530731       </v>
      </c>
      <c r="B649" s="96">
        <v>1037540</v>
      </c>
      <c r="C649" s="96" t="s">
        <v>714</v>
      </c>
      <c r="D649" s="96" t="s">
        <v>467</v>
      </c>
      <c r="E649" s="96" t="s">
        <v>623</v>
      </c>
      <c r="F649" s="96" t="s">
        <v>624</v>
      </c>
      <c r="G649" s="99">
        <v>970000</v>
      </c>
      <c r="H649" s="97">
        <v>4.5555430000000001</v>
      </c>
      <c r="I649" s="98">
        <v>4418876.71</v>
      </c>
      <c r="J649" s="97">
        <v>3.1184202474226805</v>
      </c>
      <c r="K649" s="98">
        <v>1394009.07</v>
      </c>
      <c r="L649" s="99">
        <v>0</v>
      </c>
      <c r="M649" s="98">
        <v>0</v>
      </c>
      <c r="N649" s="99">
        <v>0</v>
      </c>
      <c r="O649" s="98">
        <v>0</v>
      </c>
      <c r="P649" s="99">
        <v>970000</v>
      </c>
      <c r="Q649" s="98">
        <v>4418876.71</v>
      </c>
      <c r="R649" s="96" t="s">
        <v>625</v>
      </c>
      <c r="S649" s="96">
        <v>7414000005</v>
      </c>
      <c r="AA649" s="131" t="s">
        <v>451</v>
      </c>
      <c r="AB649" s="130">
        <v>0</v>
      </c>
      <c r="AC649" s="130">
        <v>0</v>
      </c>
    </row>
    <row r="650" spans="1:29" x14ac:dyDescent="0.25">
      <c r="A650" t="str">
        <f t="shared" si="11"/>
        <v xml:space="preserve">1037540PEMEX 13-2          </v>
      </c>
      <c r="B650" s="96">
        <v>1037540</v>
      </c>
      <c r="C650" s="96" t="s">
        <v>714</v>
      </c>
      <c r="D650" s="96" t="s">
        <v>391</v>
      </c>
      <c r="E650" s="96" t="s">
        <v>623</v>
      </c>
      <c r="F650" s="96" t="s">
        <v>624</v>
      </c>
      <c r="G650" s="99">
        <v>1078</v>
      </c>
      <c r="H650" s="97">
        <v>775.69178699999998</v>
      </c>
      <c r="I650" s="98">
        <v>836195.74638599996</v>
      </c>
      <c r="J650" s="97">
        <v>749.6274899</v>
      </c>
      <c r="K650" s="98">
        <v>28097.312273799998</v>
      </c>
      <c r="L650" s="99">
        <v>0</v>
      </c>
      <c r="M650" s="98">
        <v>0</v>
      </c>
      <c r="N650" s="99">
        <v>0</v>
      </c>
      <c r="O650" s="98">
        <v>0</v>
      </c>
      <c r="P650" s="99">
        <v>1078</v>
      </c>
      <c r="Q650" s="98">
        <v>836195.74638599996</v>
      </c>
      <c r="R650" s="96" t="s">
        <v>625</v>
      </c>
      <c r="S650" s="96">
        <v>7414000005</v>
      </c>
      <c r="AA650" s="131" t="s">
        <v>391</v>
      </c>
      <c r="AB650" s="130">
        <v>0</v>
      </c>
      <c r="AC650" s="130">
        <v>0</v>
      </c>
    </row>
    <row r="651" spans="1:29" x14ac:dyDescent="0.25">
      <c r="A651" t="str">
        <f t="shared" si="11"/>
        <v xml:space="preserve">1037540STER-OP MD          </v>
      </c>
      <c r="B651" s="96">
        <v>1037540</v>
      </c>
      <c r="C651" s="96" t="s">
        <v>714</v>
      </c>
      <c r="D651" s="96" t="s">
        <v>392</v>
      </c>
      <c r="E651" s="96" t="s">
        <v>623</v>
      </c>
      <c r="F651" s="96" t="s">
        <v>624</v>
      </c>
      <c r="G651" s="99">
        <v>710</v>
      </c>
      <c r="H651" s="97">
        <v>747.17843200000004</v>
      </c>
      <c r="I651" s="98">
        <v>530496.68672</v>
      </c>
      <c r="J651" s="97">
        <v>710.45212059845073</v>
      </c>
      <c r="K651" s="98">
        <v>26075.681095100001</v>
      </c>
      <c r="L651" s="99">
        <v>0</v>
      </c>
      <c r="M651" s="98">
        <v>0</v>
      </c>
      <c r="N651" s="99">
        <v>0</v>
      </c>
      <c r="O651" s="98">
        <v>0</v>
      </c>
      <c r="P651" s="99">
        <v>710</v>
      </c>
      <c r="Q651" s="98">
        <v>530496.68672</v>
      </c>
      <c r="R651" s="96" t="s">
        <v>625</v>
      </c>
      <c r="S651" s="96">
        <v>7414000005</v>
      </c>
      <c r="AA651" s="131" t="s">
        <v>396</v>
      </c>
      <c r="AB651" s="130">
        <v>0</v>
      </c>
      <c r="AC651" s="130">
        <v>0</v>
      </c>
    </row>
    <row r="652" spans="1:29" x14ac:dyDescent="0.25">
      <c r="A652" t="str">
        <f t="shared" si="11"/>
        <v xml:space="preserve">1037540UDIBONO 251204      </v>
      </c>
      <c r="B652" s="96">
        <v>1037540</v>
      </c>
      <c r="C652" s="96" t="s">
        <v>714</v>
      </c>
      <c r="D652" s="96" t="s">
        <v>393</v>
      </c>
      <c r="E652" s="96" t="s">
        <v>623</v>
      </c>
      <c r="F652" s="96" t="s">
        <v>624</v>
      </c>
      <c r="G652" s="99">
        <v>1548</v>
      </c>
      <c r="H652" s="97">
        <v>765.92388300000005</v>
      </c>
      <c r="I652" s="98">
        <v>1185650.1708839999</v>
      </c>
      <c r="J652" s="97">
        <v>738.25231559785527</v>
      </c>
      <c r="K652" s="98">
        <v>42835.586338519999</v>
      </c>
      <c r="L652" s="99">
        <v>0</v>
      </c>
      <c r="M652" s="98">
        <v>0</v>
      </c>
      <c r="N652" s="99">
        <v>0</v>
      </c>
      <c r="O652" s="98">
        <v>0</v>
      </c>
      <c r="P652" s="99">
        <v>1548</v>
      </c>
      <c r="Q652" s="98">
        <v>1185650.1708839999</v>
      </c>
      <c r="R652" s="96" t="s">
        <v>625</v>
      </c>
      <c r="S652" s="96">
        <v>7414000005</v>
      </c>
      <c r="AA652" s="131" t="s">
        <v>448</v>
      </c>
      <c r="AB652" s="130">
        <v>0</v>
      </c>
      <c r="AC652" s="130">
        <v>0</v>
      </c>
    </row>
    <row r="653" spans="1:29" x14ac:dyDescent="0.25">
      <c r="A653" t="str">
        <f t="shared" si="11"/>
        <v xml:space="preserve">1037540UDIBONO 261203      </v>
      </c>
      <c r="B653" s="96">
        <v>1037540</v>
      </c>
      <c r="C653" s="96" t="s">
        <v>714</v>
      </c>
      <c r="D653" s="96" t="s">
        <v>394</v>
      </c>
      <c r="E653" s="96" t="s">
        <v>623</v>
      </c>
      <c r="F653" s="96" t="s">
        <v>624</v>
      </c>
      <c r="G653" s="99">
        <v>910</v>
      </c>
      <c r="H653" s="97">
        <v>684.88915799999995</v>
      </c>
      <c r="I653" s="98">
        <v>623249.13378000003</v>
      </c>
      <c r="J653" s="97">
        <v>689.07145538615384</v>
      </c>
      <c r="K653" s="98">
        <v>-3805.8906213999999</v>
      </c>
      <c r="L653" s="99">
        <v>0</v>
      </c>
      <c r="M653" s="98">
        <v>0</v>
      </c>
      <c r="N653" s="99">
        <v>0</v>
      </c>
      <c r="O653" s="98">
        <v>0</v>
      </c>
      <c r="P653" s="99">
        <v>910</v>
      </c>
      <c r="Q653" s="98">
        <v>623249.13378000003</v>
      </c>
      <c r="R653" s="96" t="s">
        <v>625</v>
      </c>
      <c r="S653" s="96">
        <v>7414000005</v>
      </c>
      <c r="AA653" s="131" t="s">
        <v>558</v>
      </c>
      <c r="AB653" s="130">
        <v>0</v>
      </c>
      <c r="AC653" s="130">
        <v>0</v>
      </c>
    </row>
    <row r="654" spans="1:29" x14ac:dyDescent="0.25">
      <c r="A654" t="str">
        <f t="shared" si="11"/>
        <v xml:space="preserve">1037540UDIBONO 281130      </v>
      </c>
      <c r="B654" s="96">
        <v>1037540</v>
      </c>
      <c r="C654" s="96" t="s">
        <v>714</v>
      </c>
      <c r="D654" s="96" t="s">
        <v>395</v>
      </c>
      <c r="E654" s="96" t="s">
        <v>623</v>
      </c>
      <c r="F654" s="96" t="s">
        <v>624</v>
      </c>
      <c r="G654" s="99">
        <v>348</v>
      </c>
      <c r="H654" s="97">
        <v>772.926965</v>
      </c>
      <c r="I654" s="98">
        <v>268978.58382</v>
      </c>
      <c r="J654" s="97">
        <v>623.49165198000003</v>
      </c>
      <c r="K654" s="98">
        <v>52003.488930959997</v>
      </c>
      <c r="L654" s="99">
        <v>0</v>
      </c>
      <c r="M654" s="98">
        <v>0</v>
      </c>
      <c r="N654" s="99">
        <v>0</v>
      </c>
      <c r="O654" s="98">
        <v>0</v>
      </c>
      <c r="P654" s="99">
        <v>348</v>
      </c>
      <c r="Q654" s="98">
        <v>268978.58382</v>
      </c>
      <c r="R654" s="96" t="s">
        <v>625</v>
      </c>
      <c r="S654" s="96">
        <v>7414000005</v>
      </c>
      <c r="AA654" s="131" t="s">
        <v>559</v>
      </c>
      <c r="AB654" s="130">
        <v>0</v>
      </c>
      <c r="AC654" s="130">
        <v>0</v>
      </c>
    </row>
    <row r="655" spans="1:29" x14ac:dyDescent="0.25">
      <c r="A655" t="str">
        <f t="shared" si="11"/>
        <v xml:space="preserve">1037540UDIBONO 311127      </v>
      </c>
      <c r="B655" s="96">
        <v>1037540</v>
      </c>
      <c r="C655" s="96" t="s">
        <v>714</v>
      </c>
      <c r="D655" s="96" t="s">
        <v>396</v>
      </c>
      <c r="E655" s="96" t="s">
        <v>623</v>
      </c>
      <c r="F655" s="96" t="s">
        <v>624</v>
      </c>
      <c r="G655" s="99">
        <v>1327</v>
      </c>
      <c r="H655" s="97">
        <v>721.59464000000003</v>
      </c>
      <c r="I655" s="98">
        <v>957556.08727999998</v>
      </c>
      <c r="J655" s="97">
        <v>758.08309179000003</v>
      </c>
      <c r="K655" s="98">
        <v>-48420.17552533</v>
      </c>
      <c r="L655" s="99">
        <v>0</v>
      </c>
      <c r="M655" s="98">
        <v>0</v>
      </c>
      <c r="N655" s="99">
        <v>0</v>
      </c>
      <c r="O655" s="98">
        <v>0</v>
      </c>
      <c r="P655" s="99">
        <v>1327</v>
      </c>
      <c r="Q655" s="98">
        <v>957556.08727999998</v>
      </c>
      <c r="R655" s="96" t="s">
        <v>625</v>
      </c>
      <c r="S655" s="96">
        <v>7414000005</v>
      </c>
      <c r="AA655" s="131" t="s">
        <v>560</v>
      </c>
      <c r="AB655" s="130">
        <v>0</v>
      </c>
      <c r="AC655" s="130">
        <v>0</v>
      </c>
    </row>
    <row r="656" spans="1:29" x14ac:dyDescent="0.25">
      <c r="A656" t="str">
        <f t="shared" si="11"/>
        <v xml:space="preserve">1037540UDIBONO 351122      </v>
      </c>
      <c r="B656" s="96">
        <v>1037540</v>
      </c>
      <c r="C656" s="96" t="s">
        <v>714</v>
      </c>
      <c r="D656" s="96" t="s">
        <v>397</v>
      </c>
      <c r="E656" s="96" t="s">
        <v>623</v>
      </c>
      <c r="F656" s="96" t="s">
        <v>624</v>
      </c>
      <c r="G656" s="99">
        <v>383</v>
      </c>
      <c r="H656" s="97">
        <v>635.96311900000001</v>
      </c>
      <c r="I656" s="98">
        <v>243573.87457700001</v>
      </c>
      <c r="J656" s="97">
        <v>647.93802047999998</v>
      </c>
      <c r="K656" s="98">
        <v>-4586.3872668399999</v>
      </c>
      <c r="L656" s="99">
        <v>0</v>
      </c>
      <c r="M656" s="98">
        <v>0</v>
      </c>
      <c r="N656" s="99">
        <v>0</v>
      </c>
      <c r="O656" s="98">
        <v>0</v>
      </c>
      <c r="P656" s="99">
        <v>383</v>
      </c>
      <c r="Q656" s="98">
        <v>243573.87457700001</v>
      </c>
      <c r="R656" s="96" t="s">
        <v>625</v>
      </c>
      <c r="S656" s="96">
        <v>7414000005</v>
      </c>
      <c r="AA656" s="131" t="s">
        <v>561</v>
      </c>
      <c r="AB656" s="130">
        <v>0</v>
      </c>
      <c r="AC656" s="130">
        <v>0</v>
      </c>
    </row>
    <row r="657" spans="1:29" x14ac:dyDescent="0.25">
      <c r="A657" t="str">
        <f t="shared" si="11"/>
        <v xml:space="preserve">1037540UDIBONO 401115      </v>
      </c>
      <c r="B657" s="96">
        <v>1037540</v>
      </c>
      <c r="C657" s="96" t="s">
        <v>714</v>
      </c>
      <c r="D657" s="96" t="s">
        <v>398</v>
      </c>
      <c r="E657" s="96" t="s">
        <v>623</v>
      </c>
      <c r="F657" s="96" t="s">
        <v>624</v>
      </c>
      <c r="G657" s="99">
        <v>711</v>
      </c>
      <c r="H657" s="97">
        <v>709.36974099999998</v>
      </c>
      <c r="I657" s="98">
        <v>504361.88585100003</v>
      </c>
      <c r="J657" s="97">
        <v>771.09918425000001</v>
      </c>
      <c r="K657" s="98">
        <v>-43889.634150749996</v>
      </c>
      <c r="L657" s="99">
        <v>0</v>
      </c>
      <c r="M657" s="98">
        <v>0</v>
      </c>
      <c r="N657" s="99">
        <v>0</v>
      </c>
      <c r="O657" s="98">
        <v>0</v>
      </c>
      <c r="P657" s="99">
        <v>711</v>
      </c>
      <c r="Q657" s="98">
        <v>504361.88585100003</v>
      </c>
      <c r="R657" s="96" t="s">
        <v>625</v>
      </c>
      <c r="S657" s="96">
        <v>7414000005</v>
      </c>
      <c r="AA657" s="131" t="s">
        <v>562</v>
      </c>
      <c r="AB657" s="130">
        <v>0</v>
      </c>
      <c r="AC657" s="130">
        <v>0</v>
      </c>
    </row>
    <row r="658" spans="1:29" x14ac:dyDescent="0.25">
      <c r="A658" t="str">
        <f t="shared" si="11"/>
        <v xml:space="preserve">1037540UDIBONO 431112      </v>
      </c>
      <c r="B658" s="96">
        <v>1037540</v>
      </c>
      <c r="C658" s="96" t="s">
        <v>714</v>
      </c>
      <c r="D658" s="96" t="s">
        <v>399</v>
      </c>
      <c r="E658" s="96" t="s">
        <v>623</v>
      </c>
      <c r="F658" s="96" t="s">
        <v>624</v>
      </c>
      <c r="G658" s="99">
        <v>2619</v>
      </c>
      <c r="H658" s="97">
        <v>694.41118700000004</v>
      </c>
      <c r="I658" s="98">
        <v>1818662.898753</v>
      </c>
      <c r="J658" s="97">
        <v>727.27319225586098</v>
      </c>
      <c r="K658" s="98">
        <v>-86065.591765100005</v>
      </c>
      <c r="L658" s="99">
        <v>0</v>
      </c>
      <c r="M658" s="98">
        <v>0</v>
      </c>
      <c r="N658" s="99">
        <v>0</v>
      </c>
      <c r="O658" s="98">
        <v>0</v>
      </c>
      <c r="P658" s="99">
        <v>2619</v>
      </c>
      <c r="Q658" s="98">
        <v>1818662.898753</v>
      </c>
      <c r="R658" s="96" t="s">
        <v>625</v>
      </c>
      <c r="S658" s="96">
        <v>7414000005</v>
      </c>
      <c r="AA658" s="131" t="s">
        <v>563</v>
      </c>
      <c r="AB658" s="130">
        <v>0</v>
      </c>
      <c r="AC658" s="130">
        <v>0</v>
      </c>
    </row>
    <row r="659" spans="1:29" x14ac:dyDescent="0.25">
      <c r="A659" t="str">
        <f t="shared" si="11"/>
        <v xml:space="preserve">1037540UDIBONO 461108      </v>
      </c>
      <c r="B659" s="96">
        <v>1037923</v>
      </c>
      <c r="C659" s="96" t="s">
        <v>715</v>
      </c>
      <c r="D659" s="96" t="s">
        <v>389</v>
      </c>
      <c r="E659" s="96" t="s">
        <v>623</v>
      </c>
      <c r="F659" s="96" t="s">
        <v>624</v>
      </c>
      <c r="G659" s="99">
        <v>441341</v>
      </c>
      <c r="H659" s="97">
        <v>3.3967719999999999</v>
      </c>
      <c r="I659" s="98">
        <v>1499134.751252</v>
      </c>
      <c r="J659" s="97">
        <v>3.3527301791585193</v>
      </c>
      <c r="K659" s="98">
        <v>19437.461252000001</v>
      </c>
      <c r="L659" s="99">
        <v>0</v>
      </c>
      <c r="M659" s="98">
        <v>0</v>
      </c>
      <c r="N659" s="99">
        <v>0</v>
      </c>
      <c r="O659" s="98">
        <v>0</v>
      </c>
      <c r="P659" s="99">
        <v>441341</v>
      </c>
      <c r="Q659" s="98">
        <v>1499134.751252</v>
      </c>
      <c r="R659" s="96" t="s">
        <v>625</v>
      </c>
      <c r="S659" s="96">
        <v>7414000005</v>
      </c>
      <c r="AA659" s="131" t="s">
        <v>565</v>
      </c>
      <c r="AB659" s="130">
        <v>0</v>
      </c>
      <c r="AC659" s="130">
        <v>0</v>
      </c>
    </row>
    <row r="660" spans="1:29" x14ac:dyDescent="0.25">
      <c r="A660" t="str">
        <f t="shared" si="11"/>
        <v xml:space="preserve">1037540UDIBONO 501103      </v>
      </c>
      <c r="B660" s="96">
        <v>1037925</v>
      </c>
      <c r="C660" s="96" t="s">
        <v>716</v>
      </c>
      <c r="D660" s="96" t="s">
        <v>389</v>
      </c>
      <c r="E660" s="96" t="s">
        <v>623</v>
      </c>
      <c r="F660" s="96" t="s">
        <v>624</v>
      </c>
      <c r="G660" s="99">
        <v>450953</v>
      </c>
      <c r="H660" s="97">
        <v>3.3967719999999999</v>
      </c>
      <c r="I660" s="98">
        <v>1531784.5237159999</v>
      </c>
      <c r="J660" s="97">
        <v>3.3518677999702851</v>
      </c>
      <c r="K660" s="98">
        <v>20249.683716</v>
      </c>
      <c r="L660" s="99">
        <v>0</v>
      </c>
      <c r="M660" s="98">
        <v>0</v>
      </c>
      <c r="N660" s="99">
        <v>0</v>
      </c>
      <c r="O660" s="98">
        <v>0</v>
      </c>
      <c r="P660" s="99">
        <v>450953</v>
      </c>
      <c r="Q660" s="98">
        <v>1531784.5237159999</v>
      </c>
      <c r="R660" s="96" t="s">
        <v>625</v>
      </c>
      <c r="S660" s="96">
        <v>7414000005</v>
      </c>
      <c r="AA660" s="129">
        <v>2000146</v>
      </c>
      <c r="AB660" s="130">
        <v>0</v>
      </c>
      <c r="AC660" s="130">
        <v>0</v>
      </c>
    </row>
    <row r="661" spans="1:29" x14ac:dyDescent="0.25">
      <c r="A661" t="str">
        <f t="shared" si="11"/>
        <v xml:space="preserve">1037923STERGOB ED          </v>
      </c>
      <c r="B661" s="96">
        <v>1038853</v>
      </c>
      <c r="C661" s="96" t="s">
        <v>717</v>
      </c>
      <c r="D661" s="96" t="s">
        <v>431</v>
      </c>
      <c r="E661" s="96" t="s">
        <v>623</v>
      </c>
      <c r="F661" s="96" t="s">
        <v>624</v>
      </c>
      <c r="G661" s="99">
        <v>288953</v>
      </c>
      <c r="H661" s="97">
        <v>3.4005040000000002</v>
      </c>
      <c r="I661" s="98">
        <v>982585.83231199998</v>
      </c>
      <c r="J661" s="97">
        <v>3.3787471664942048</v>
      </c>
      <c r="K661" s="98">
        <v>6286.7023120000003</v>
      </c>
      <c r="L661" s="99">
        <v>0</v>
      </c>
      <c r="M661" s="98">
        <v>0</v>
      </c>
      <c r="N661" s="99">
        <v>0</v>
      </c>
      <c r="O661" s="98">
        <v>0</v>
      </c>
      <c r="P661" s="99">
        <v>288953</v>
      </c>
      <c r="Q661" s="98">
        <v>982585.83231199998</v>
      </c>
      <c r="R661" s="96" t="s">
        <v>625</v>
      </c>
      <c r="S661" s="96">
        <v>7414000005</v>
      </c>
      <c r="AA661" s="131" t="s">
        <v>376</v>
      </c>
      <c r="AB661" s="130">
        <v>0</v>
      </c>
      <c r="AC661" s="130">
        <v>0</v>
      </c>
    </row>
    <row r="662" spans="1:29" x14ac:dyDescent="0.25">
      <c r="A662" t="str">
        <f t="shared" si="11"/>
        <v xml:space="preserve">1037925STERGOB ED          </v>
      </c>
      <c r="B662" s="96">
        <v>143510</v>
      </c>
      <c r="C662" s="96" t="s">
        <v>718</v>
      </c>
      <c r="D662" s="96" t="s">
        <v>468</v>
      </c>
      <c r="E662" s="96" t="s">
        <v>623</v>
      </c>
      <c r="F662" s="96" t="s">
        <v>624</v>
      </c>
      <c r="G662" s="99">
        <v>0</v>
      </c>
      <c r="H662" s="97">
        <v>0</v>
      </c>
      <c r="I662" s="98">
        <v>0</v>
      </c>
      <c r="J662" s="97">
        <v>0</v>
      </c>
      <c r="K662" s="98">
        <v>0</v>
      </c>
      <c r="L662" s="99">
        <v>0</v>
      </c>
      <c r="M662" s="98">
        <v>0</v>
      </c>
      <c r="N662" s="99">
        <v>0</v>
      </c>
      <c r="O662" s="98">
        <v>0</v>
      </c>
      <c r="P662" s="99">
        <v>0</v>
      </c>
      <c r="Q662" s="98">
        <v>0</v>
      </c>
      <c r="R662" s="96" t="s">
        <v>625</v>
      </c>
      <c r="S662" s="96">
        <v>7414000005</v>
      </c>
      <c r="AA662" s="131" t="s">
        <v>382</v>
      </c>
      <c r="AB662" s="130">
        <v>0</v>
      </c>
      <c r="AC662" s="130">
        <v>0</v>
      </c>
    </row>
    <row r="663" spans="1:29" x14ac:dyDescent="0.25">
      <c r="A663" t="str">
        <f t="shared" si="11"/>
        <v xml:space="preserve">1038853STERGOB B1          </v>
      </c>
      <c r="B663" s="96">
        <v>143510</v>
      </c>
      <c r="C663" s="96" t="s">
        <v>718</v>
      </c>
      <c r="D663" s="96" t="s">
        <v>469</v>
      </c>
      <c r="E663" s="96" t="s">
        <v>623</v>
      </c>
      <c r="F663" s="96" t="s">
        <v>624</v>
      </c>
      <c r="G663" s="99">
        <v>0</v>
      </c>
      <c r="H663" s="97">
        <v>0</v>
      </c>
      <c r="I663" s="98">
        <v>0</v>
      </c>
      <c r="J663" s="97">
        <v>0</v>
      </c>
      <c r="K663" s="98">
        <v>0</v>
      </c>
      <c r="L663" s="99">
        <v>0</v>
      </c>
      <c r="M663" s="98">
        <v>0</v>
      </c>
      <c r="N663" s="99">
        <v>0</v>
      </c>
      <c r="O663" s="98">
        <v>0</v>
      </c>
      <c r="P663" s="99">
        <v>0</v>
      </c>
      <c r="Q663" s="98">
        <v>0</v>
      </c>
      <c r="R663" s="96" t="s">
        <v>625</v>
      </c>
      <c r="S663" s="96">
        <v>7414000005</v>
      </c>
      <c r="AA663" s="131" t="s">
        <v>396</v>
      </c>
      <c r="AB663" s="130">
        <v>0</v>
      </c>
      <c r="AC663" s="130">
        <v>0</v>
      </c>
    </row>
    <row r="664" spans="1:29" x14ac:dyDescent="0.25">
      <c r="A664" t="str">
        <f t="shared" si="11"/>
        <v xml:space="preserve">143510BPA182 130919       </v>
      </c>
      <c r="B664" s="96">
        <v>143510</v>
      </c>
      <c r="C664" s="96" t="s">
        <v>718</v>
      </c>
      <c r="D664" s="96" t="s">
        <v>470</v>
      </c>
      <c r="E664" s="96" t="s">
        <v>623</v>
      </c>
      <c r="F664" s="96" t="s">
        <v>624</v>
      </c>
      <c r="G664" s="99">
        <v>0</v>
      </c>
      <c r="H664" s="97">
        <v>0</v>
      </c>
      <c r="I664" s="98">
        <v>0</v>
      </c>
      <c r="J664" s="97">
        <v>0</v>
      </c>
      <c r="K664" s="98">
        <v>0</v>
      </c>
      <c r="L664" s="99">
        <v>0</v>
      </c>
      <c r="M664" s="98">
        <v>0</v>
      </c>
      <c r="N664" s="99">
        <v>0</v>
      </c>
      <c r="O664" s="98">
        <v>0</v>
      </c>
      <c r="P664" s="99">
        <v>0</v>
      </c>
      <c r="Q664" s="98">
        <v>0</v>
      </c>
      <c r="R664" s="96" t="s">
        <v>625</v>
      </c>
      <c r="S664" s="96">
        <v>7414000005</v>
      </c>
      <c r="AA664" s="129">
        <v>2000182</v>
      </c>
      <c r="AB664" s="130">
        <v>12347.138266</v>
      </c>
      <c r="AC664" s="130">
        <v>12347.138266</v>
      </c>
    </row>
    <row r="665" spans="1:29" x14ac:dyDescent="0.25">
      <c r="A665" t="str">
        <f t="shared" si="11"/>
        <v xml:space="preserve">143510BPA182 140327       </v>
      </c>
      <c r="B665" s="96">
        <v>147309</v>
      </c>
      <c r="C665" s="96" t="s">
        <v>719</v>
      </c>
      <c r="D665" s="96" t="s">
        <v>552</v>
      </c>
      <c r="E665" s="96" t="s">
        <v>623</v>
      </c>
      <c r="F665" s="96" t="s">
        <v>624</v>
      </c>
      <c r="G665" s="99">
        <v>31790</v>
      </c>
      <c r="H665" s="97">
        <v>100.000484</v>
      </c>
      <c r="I665" s="98">
        <v>3179015.3863599999</v>
      </c>
      <c r="J665" s="97">
        <v>100</v>
      </c>
      <c r="K665" s="98">
        <v>15.38636</v>
      </c>
      <c r="L665" s="99">
        <v>0</v>
      </c>
      <c r="M665" s="98">
        <v>0</v>
      </c>
      <c r="N665" s="99">
        <v>0</v>
      </c>
      <c r="O665" s="98">
        <v>0</v>
      </c>
      <c r="P665" s="99">
        <v>31790</v>
      </c>
      <c r="Q665" s="98">
        <v>3179015.3863599999</v>
      </c>
      <c r="R665" s="96" t="s">
        <v>625</v>
      </c>
      <c r="S665" s="96">
        <v>7414000005</v>
      </c>
      <c r="AA665" s="131" t="s">
        <v>480</v>
      </c>
      <c r="AB665" s="130">
        <v>7446.3538410000001</v>
      </c>
      <c r="AC665" s="130">
        <v>7446.3538410000001</v>
      </c>
    </row>
    <row r="666" spans="1:29" x14ac:dyDescent="0.25">
      <c r="A666" t="str">
        <f t="shared" si="11"/>
        <v xml:space="preserve">143510CETES 131017        </v>
      </c>
      <c r="B666" s="96">
        <v>147309</v>
      </c>
      <c r="C666" s="96" t="s">
        <v>719</v>
      </c>
      <c r="D666" s="96" t="s">
        <v>471</v>
      </c>
      <c r="E666" s="96" t="s">
        <v>623</v>
      </c>
      <c r="F666" s="96" t="s">
        <v>624</v>
      </c>
      <c r="G666" s="99">
        <v>0</v>
      </c>
      <c r="H666" s="97">
        <v>0</v>
      </c>
      <c r="I666" s="98">
        <v>0</v>
      </c>
      <c r="J666" s="97">
        <v>0</v>
      </c>
      <c r="K666" s="98">
        <v>0</v>
      </c>
      <c r="L666" s="99">
        <v>0</v>
      </c>
      <c r="M666" s="98">
        <v>0</v>
      </c>
      <c r="N666" s="99">
        <v>0</v>
      </c>
      <c r="O666" s="98">
        <v>0</v>
      </c>
      <c r="P666" s="99">
        <v>0</v>
      </c>
      <c r="Q666" s="98">
        <v>0</v>
      </c>
      <c r="R666" s="96" t="s">
        <v>625</v>
      </c>
      <c r="S666" s="96">
        <v>7414000005</v>
      </c>
      <c r="AA666" s="131" t="s">
        <v>416</v>
      </c>
      <c r="AB666" s="130">
        <v>4900.7844249999998</v>
      </c>
      <c r="AC666" s="130">
        <v>4900.7844249999998</v>
      </c>
    </row>
    <row r="667" spans="1:29" x14ac:dyDescent="0.25">
      <c r="A667" t="str">
        <f t="shared" si="11"/>
        <v xml:space="preserve">147309BLADEX 24           </v>
      </c>
      <c r="B667" s="96">
        <v>147309</v>
      </c>
      <c r="C667" s="96" t="s">
        <v>719</v>
      </c>
      <c r="D667" s="96" t="s">
        <v>543</v>
      </c>
      <c r="E667" s="96" t="s">
        <v>623</v>
      </c>
      <c r="F667" s="96" t="s">
        <v>624</v>
      </c>
      <c r="G667" s="99">
        <v>1626153</v>
      </c>
      <c r="H667" s="97">
        <v>8.5044190000000004</v>
      </c>
      <c r="I667" s="98">
        <v>13829486.470107</v>
      </c>
      <c r="J667" s="97">
        <v>8.3071887600000007</v>
      </c>
      <c r="K667" s="98">
        <v>320726.54646672</v>
      </c>
      <c r="L667" s="99">
        <v>0</v>
      </c>
      <c r="M667" s="98">
        <v>0</v>
      </c>
      <c r="N667" s="99">
        <v>0</v>
      </c>
      <c r="O667" s="98">
        <v>0</v>
      </c>
      <c r="P667" s="99">
        <v>1626153</v>
      </c>
      <c r="Q667" s="98">
        <v>13829486.470107</v>
      </c>
      <c r="R667" s="96" t="s">
        <v>625</v>
      </c>
      <c r="S667" s="96">
        <v>7414000005</v>
      </c>
      <c r="AA667" s="129">
        <v>2000183</v>
      </c>
      <c r="AB667" s="130">
        <v>36325491.774582997</v>
      </c>
      <c r="AC667" s="130">
        <v>36325491.774582997</v>
      </c>
    </row>
    <row r="668" spans="1:29" x14ac:dyDescent="0.25">
      <c r="A668" t="str">
        <f t="shared" si="11"/>
        <v xml:space="preserve">147309CETES 230601        </v>
      </c>
      <c r="B668" s="96">
        <v>147309</v>
      </c>
      <c r="C668" s="96" t="s">
        <v>719</v>
      </c>
      <c r="D668" s="96" t="s">
        <v>554</v>
      </c>
      <c r="E668" s="96" t="s">
        <v>623</v>
      </c>
      <c r="F668" s="96" t="s">
        <v>624</v>
      </c>
      <c r="G668" s="99">
        <v>2668910</v>
      </c>
      <c r="H668" s="97">
        <v>8.3813510000000004</v>
      </c>
      <c r="I668" s="98">
        <v>22369071.497409999</v>
      </c>
      <c r="J668" s="97">
        <v>8.2713869767429031</v>
      </c>
      <c r="K668" s="98">
        <v>293484.08131109999</v>
      </c>
      <c r="L668" s="99">
        <v>0</v>
      </c>
      <c r="M668" s="98">
        <v>0</v>
      </c>
      <c r="N668" s="99">
        <v>0</v>
      </c>
      <c r="O668" s="98">
        <v>0</v>
      </c>
      <c r="P668" s="99">
        <v>2668910</v>
      </c>
      <c r="Q668" s="98">
        <v>22369071.497409999</v>
      </c>
      <c r="R668" s="96" t="s">
        <v>625</v>
      </c>
      <c r="S668" s="96">
        <v>7414000005</v>
      </c>
      <c r="AA668" s="131" t="s">
        <v>480</v>
      </c>
      <c r="AB668" s="130">
        <v>72555.884441999995</v>
      </c>
      <c r="AC668" s="130">
        <v>72555.884441999995</v>
      </c>
    </row>
    <row r="669" spans="1:29" x14ac:dyDescent="0.25">
      <c r="A669" t="str">
        <f t="shared" si="11"/>
        <v xml:space="preserve">147309CETES 251030        </v>
      </c>
      <c r="B669" s="96">
        <v>147309</v>
      </c>
      <c r="C669" s="96" t="s">
        <v>719</v>
      </c>
      <c r="D669" s="96" t="s">
        <v>613</v>
      </c>
      <c r="E669" s="96" t="s">
        <v>623</v>
      </c>
      <c r="F669" s="96" t="s">
        <v>624</v>
      </c>
      <c r="G669" s="99">
        <v>3337377</v>
      </c>
      <c r="H669" s="97">
        <v>8.2580650000000002</v>
      </c>
      <c r="I669" s="98">
        <v>27560276.195505001</v>
      </c>
      <c r="J669" s="97">
        <v>8.2583871841649987</v>
      </c>
      <c r="K669" s="98">
        <v>-1075.2500220300001</v>
      </c>
      <c r="L669" s="99">
        <v>0</v>
      </c>
      <c r="M669" s="98">
        <v>0</v>
      </c>
      <c r="N669" s="99">
        <v>0</v>
      </c>
      <c r="O669" s="98">
        <v>0</v>
      </c>
      <c r="P669" s="99">
        <v>3337377</v>
      </c>
      <c r="Q669" s="98">
        <v>27560276.195505001</v>
      </c>
      <c r="R669" s="96" t="s">
        <v>625</v>
      </c>
      <c r="S669" s="96">
        <v>7414000005</v>
      </c>
      <c r="AA669" s="131" t="s">
        <v>413</v>
      </c>
      <c r="AB669" s="130">
        <v>5278910.0803659996</v>
      </c>
      <c r="AC669" s="130">
        <v>5278910.0803659996</v>
      </c>
    </row>
    <row r="670" spans="1:29" x14ac:dyDescent="0.25">
      <c r="A670" t="str">
        <f t="shared" si="11"/>
        <v xml:space="preserve">147309CETES 251224        </v>
      </c>
      <c r="B670" s="96">
        <v>147309</v>
      </c>
      <c r="C670" s="96" t="s">
        <v>719</v>
      </c>
      <c r="D670" s="96" t="s">
        <v>366</v>
      </c>
      <c r="E670" s="96" t="s">
        <v>623</v>
      </c>
      <c r="F670" s="96" t="s">
        <v>624</v>
      </c>
      <c r="G670" s="99">
        <v>0</v>
      </c>
      <c r="H670" s="97">
        <v>0</v>
      </c>
      <c r="I670" s="98">
        <v>1098894.58</v>
      </c>
      <c r="J670" s="97">
        <v>0</v>
      </c>
      <c r="K670" s="98">
        <v>0</v>
      </c>
      <c r="L670" s="99">
        <v>0</v>
      </c>
      <c r="M670" s="98">
        <v>0</v>
      </c>
      <c r="N670" s="99">
        <v>0</v>
      </c>
      <c r="O670" s="98">
        <v>0</v>
      </c>
      <c r="P670" s="99">
        <v>0</v>
      </c>
      <c r="Q670" s="98">
        <v>1098894.58</v>
      </c>
      <c r="R670" s="96" t="s">
        <v>625</v>
      </c>
      <c r="S670" s="96">
        <v>7414000005</v>
      </c>
      <c r="AA670" s="131" t="s">
        <v>414</v>
      </c>
      <c r="AB670" s="130">
        <v>7129975.8853120003</v>
      </c>
      <c r="AC670" s="130">
        <v>7129975.8853120003</v>
      </c>
    </row>
    <row r="671" spans="1:29" x14ac:dyDescent="0.25">
      <c r="A671" t="str">
        <f t="shared" si="11"/>
        <v xml:space="preserve">147309CETES 260219        </v>
      </c>
      <c r="B671" s="96">
        <v>147309</v>
      </c>
      <c r="C671" s="96" t="s">
        <v>719</v>
      </c>
      <c r="D671" s="96" t="s">
        <v>375</v>
      </c>
      <c r="E671" s="96" t="s">
        <v>623</v>
      </c>
      <c r="F671" s="96" t="s">
        <v>624</v>
      </c>
      <c r="G671" s="99">
        <v>56480</v>
      </c>
      <c r="H671" s="97">
        <v>98.730349000000004</v>
      </c>
      <c r="I671" s="98">
        <v>5576290.1115199998</v>
      </c>
      <c r="J671" s="97">
        <v>111.89286593999999</v>
      </c>
      <c r="K671" s="98">
        <v>-743418.95677120006</v>
      </c>
      <c r="L671" s="99">
        <v>0</v>
      </c>
      <c r="M671" s="98">
        <v>0</v>
      </c>
      <c r="N671" s="99">
        <v>0</v>
      </c>
      <c r="O671" s="98">
        <v>0</v>
      </c>
      <c r="P671" s="99">
        <v>56480</v>
      </c>
      <c r="Q671" s="98">
        <v>5576290.1115199998</v>
      </c>
      <c r="R671" s="96" t="s">
        <v>625</v>
      </c>
      <c r="S671" s="96">
        <v>7414000005</v>
      </c>
      <c r="AA671" s="131" t="s">
        <v>415</v>
      </c>
      <c r="AB671" s="130">
        <v>23102139.846687999</v>
      </c>
      <c r="AC671" s="130">
        <v>23102139.846687999</v>
      </c>
    </row>
    <row r="672" spans="1:29" x14ac:dyDescent="0.25">
      <c r="A672" t="str">
        <f t="shared" si="11"/>
        <v>147309EFECTIVO</v>
      </c>
      <c r="B672" s="96">
        <v>147309</v>
      </c>
      <c r="C672" s="96" t="s">
        <v>719</v>
      </c>
      <c r="D672" s="96" t="s">
        <v>376</v>
      </c>
      <c r="E672" s="96" t="s">
        <v>623</v>
      </c>
      <c r="F672" s="96" t="s">
        <v>624</v>
      </c>
      <c r="G672" s="99">
        <v>213840</v>
      </c>
      <c r="H672" s="97">
        <v>99.247497999999993</v>
      </c>
      <c r="I672" s="98">
        <v>21223084.972320002</v>
      </c>
      <c r="J672" s="97">
        <v>116.96087605337308</v>
      </c>
      <c r="K672" s="98">
        <v>-3787828.7629332999</v>
      </c>
      <c r="L672" s="99">
        <v>0</v>
      </c>
      <c r="M672" s="98">
        <v>0</v>
      </c>
      <c r="N672" s="99">
        <v>0</v>
      </c>
      <c r="O672" s="98">
        <v>0</v>
      </c>
      <c r="P672" s="99">
        <v>213840</v>
      </c>
      <c r="Q672" s="98">
        <v>21223084.972320002</v>
      </c>
      <c r="R672" s="96" t="s">
        <v>625</v>
      </c>
      <c r="S672" s="96">
        <v>7414000005</v>
      </c>
      <c r="AA672" s="131" t="s">
        <v>416</v>
      </c>
      <c r="AB672" s="130">
        <v>741910.07777500001</v>
      </c>
      <c r="AC672" s="130">
        <v>741910.07777500001</v>
      </c>
    </row>
    <row r="673" spans="1:29" x14ac:dyDescent="0.25">
      <c r="A673" t="str">
        <f t="shared" si="11"/>
        <v xml:space="preserve">147309GOBFED 240905       </v>
      </c>
      <c r="B673" s="96">
        <v>147309</v>
      </c>
      <c r="C673" s="96" t="s">
        <v>719</v>
      </c>
      <c r="D673" s="96" t="s">
        <v>377</v>
      </c>
      <c r="E673" s="96" t="s">
        <v>623</v>
      </c>
      <c r="F673" s="96" t="s">
        <v>624</v>
      </c>
      <c r="G673" s="99">
        <v>211730</v>
      </c>
      <c r="H673" s="97">
        <v>94.973146999999997</v>
      </c>
      <c r="I673" s="98">
        <v>20108664.414310001</v>
      </c>
      <c r="J673" s="97">
        <v>89.762576393084586</v>
      </c>
      <c r="K673" s="98">
        <v>1103234.1146022</v>
      </c>
      <c r="L673" s="99">
        <v>0</v>
      </c>
      <c r="M673" s="98">
        <v>0</v>
      </c>
      <c r="N673" s="99">
        <v>0</v>
      </c>
      <c r="O673" s="98">
        <v>0</v>
      </c>
      <c r="P673" s="99">
        <v>211730</v>
      </c>
      <c r="Q673" s="98">
        <v>20108664.414310001</v>
      </c>
      <c r="R673" s="96" t="s">
        <v>625</v>
      </c>
      <c r="S673" s="96">
        <v>7414000005</v>
      </c>
      <c r="AA673" s="129">
        <v>2000216</v>
      </c>
      <c r="AB673" s="130">
        <v>922574612.25220394</v>
      </c>
      <c r="AC673" s="130">
        <v>922574612.25220394</v>
      </c>
    </row>
    <row r="674" spans="1:29" x14ac:dyDescent="0.25">
      <c r="A674" t="str">
        <f t="shared" si="11"/>
        <v xml:space="preserve">147309GOBFED 241205       </v>
      </c>
      <c r="B674" s="96">
        <v>147309</v>
      </c>
      <c r="C674" s="96" t="s">
        <v>719</v>
      </c>
      <c r="D674" s="96" t="s">
        <v>378</v>
      </c>
      <c r="E674" s="96" t="s">
        <v>623</v>
      </c>
      <c r="F674" s="96" t="s">
        <v>624</v>
      </c>
      <c r="G674" s="99">
        <v>400098</v>
      </c>
      <c r="H674" s="97">
        <v>91.911821000000003</v>
      </c>
      <c r="I674" s="98">
        <v>36773735.758458003</v>
      </c>
      <c r="J674" s="97">
        <v>90.839871057283659</v>
      </c>
      <c r="K674" s="98">
        <v>428885.02818092</v>
      </c>
      <c r="L674" s="99">
        <v>0</v>
      </c>
      <c r="M674" s="98">
        <v>0</v>
      </c>
      <c r="N674" s="99">
        <v>0</v>
      </c>
      <c r="O674" s="98">
        <v>0</v>
      </c>
      <c r="P674" s="99">
        <v>400098</v>
      </c>
      <c r="Q674" s="98">
        <v>36773735.758458003</v>
      </c>
      <c r="R674" s="96" t="s">
        <v>625</v>
      </c>
      <c r="S674" s="96">
        <v>7414000005</v>
      </c>
      <c r="AA674" s="131" t="s">
        <v>480</v>
      </c>
      <c r="AB674" s="130">
        <v>5780234.8788120002</v>
      </c>
      <c r="AC674" s="130">
        <v>5780234.8788120002</v>
      </c>
    </row>
    <row r="675" spans="1:29" x14ac:dyDescent="0.25">
      <c r="A675" t="str">
        <f t="shared" si="11"/>
        <v xml:space="preserve">147309GOBFED 250306       </v>
      </c>
      <c r="B675" s="96">
        <v>147309</v>
      </c>
      <c r="C675" s="96" t="s">
        <v>719</v>
      </c>
      <c r="D675" s="96" t="s">
        <v>499</v>
      </c>
      <c r="E675" s="96" t="s">
        <v>623</v>
      </c>
      <c r="F675" s="96" t="s">
        <v>624</v>
      </c>
      <c r="G675" s="99">
        <v>725550</v>
      </c>
      <c r="H675" s="97">
        <v>92.954503000000003</v>
      </c>
      <c r="I675" s="98">
        <v>67443139.651649997</v>
      </c>
      <c r="J675" s="97">
        <v>93.270701028852045</v>
      </c>
      <c r="K675" s="98">
        <v>-229417.47983359999</v>
      </c>
      <c r="L675" s="99">
        <v>0</v>
      </c>
      <c r="M675" s="98">
        <v>0</v>
      </c>
      <c r="N675" s="99">
        <v>0</v>
      </c>
      <c r="O675" s="98">
        <v>0</v>
      </c>
      <c r="P675" s="99">
        <v>725550</v>
      </c>
      <c r="Q675" s="98">
        <v>67443139.651649997</v>
      </c>
      <c r="R675" s="96" t="s">
        <v>625</v>
      </c>
      <c r="S675" s="96">
        <v>7414000005</v>
      </c>
      <c r="AA675" s="131" t="s">
        <v>414</v>
      </c>
      <c r="AB675" s="130">
        <v>916794377.37339199</v>
      </c>
      <c r="AC675" s="130">
        <v>916794377.37339199</v>
      </c>
    </row>
    <row r="676" spans="1:29" x14ac:dyDescent="0.25">
      <c r="A676" t="str">
        <f t="shared" si="11"/>
        <v xml:space="preserve">147309GOBFED 260305       </v>
      </c>
      <c r="B676" s="96">
        <v>147309</v>
      </c>
      <c r="C676" s="96" t="s">
        <v>719</v>
      </c>
      <c r="D676" s="96" t="s">
        <v>379</v>
      </c>
      <c r="E676" s="96" t="s">
        <v>623</v>
      </c>
      <c r="F676" s="96" t="s">
        <v>624</v>
      </c>
      <c r="G676" s="99">
        <v>266639</v>
      </c>
      <c r="H676" s="97">
        <v>88.698122999999995</v>
      </c>
      <c r="I676" s="98">
        <v>23650378.818597</v>
      </c>
      <c r="J676" s="97">
        <v>88.298702795140201</v>
      </c>
      <c r="K676" s="98">
        <v>106501.00400361</v>
      </c>
      <c r="L676" s="99">
        <v>0</v>
      </c>
      <c r="M676" s="98">
        <v>0</v>
      </c>
      <c r="N676" s="99">
        <v>0</v>
      </c>
      <c r="O676" s="98">
        <v>0</v>
      </c>
      <c r="P676" s="99">
        <v>266639</v>
      </c>
      <c r="Q676" s="98">
        <v>23650378.818597</v>
      </c>
      <c r="R676" s="96" t="s">
        <v>625</v>
      </c>
      <c r="S676" s="96">
        <v>7414000005</v>
      </c>
      <c r="AA676" s="129">
        <v>2000217</v>
      </c>
      <c r="AB676" s="130">
        <v>264795717.92865101</v>
      </c>
      <c r="AC676" s="130">
        <v>264795717.92865101</v>
      </c>
    </row>
    <row r="677" spans="1:29" x14ac:dyDescent="0.25">
      <c r="A677" t="str">
        <f t="shared" si="11"/>
        <v xml:space="preserve">147309GOBFED 260903       </v>
      </c>
      <c r="B677" s="96">
        <v>147309</v>
      </c>
      <c r="C677" s="96" t="s">
        <v>719</v>
      </c>
      <c r="D677" s="96" t="s">
        <v>380</v>
      </c>
      <c r="E677" s="96" t="s">
        <v>623</v>
      </c>
      <c r="F677" s="96" t="s">
        <v>624</v>
      </c>
      <c r="G677" s="99">
        <v>260500</v>
      </c>
      <c r="H677" s="97">
        <v>93.314192000000006</v>
      </c>
      <c r="I677" s="98">
        <v>24308347.015999999</v>
      </c>
      <c r="J677" s="97">
        <v>93.347952247940114</v>
      </c>
      <c r="K677" s="98">
        <v>-8794.5445884000001</v>
      </c>
      <c r="L677" s="99">
        <v>0</v>
      </c>
      <c r="M677" s="98">
        <v>0</v>
      </c>
      <c r="N677" s="99">
        <v>0</v>
      </c>
      <c r="O677" s="98">
        <v>0</v>
      </c>
      <c r="P677" s="99">
        <v>260500</v>
      </c>
      <c r="Q677" s="98">
        <v>24308347.015999999</v>
      </c>
      <c r="R677" s="96" t="s">
        <v>625</v>
      </c>
      <c r="S677" s="96">
        <v>7414000005</v>
      </c>
      <c r="AA677" s="131" t="s">
        <v>480</v>
      </c>
      <c r="AB677" s="130">
        <v>1678095.9942030001</v>
      </c>
      <c r="AC677" s="130">
        <v>1678095.9942030001</v>
      </c>
    </row>
    <row r="678" spans="1:29" x14ac:dyDescent="0.25">
      <c r="A678" t="str">
        <f t="shared" si="11"/>
        <v xml:space="preserve">147309GOBFED 270304       </v>
      </c>
      <c r="B678" s="96">
        <v>147309</v>
      </c>
      <c r="C678" s="96" t="s">
        <v>719</v>
      </c>
      <c r="D678" s="96" t="s">
        <v>382</v>
      </c>
      <c r="E678" s="96" t="s">
        <v>623</v>
      </c>
      <c r="F678" s="96" t="s">
        <v>624</v>
      </c>
      <c r="G678" s="99">
        <v>0</v>
      </c>
      <c r="H678" s="97">
        <v>0</v>
      </c>
      <c r="I678" s="98">
        <v>0</v>
      </c>
      <c r="J678" s="97">
        <v>0</v>
      </c>
      <c r="K678" s="98">
        <v>0</v>
      </c>
      <c r="L678" s="99">
        <v>0</v>
      </c>
      <c r="M678" s="98">
        <v>0</v>
      </c>
      <c r="N678" s="99">
        <v>0</v>
      </c>
      <c r="O678" s="98">
        <v>0</v>
      </c>
      <c r="P678" s="99">
        <v>0</v>
      </c>
      <c r="Q678" s="98">
        <v>0</v>
      </c>
      <c r="R678" s="96" t="s">
        <v>625</v>
      </c>
      <c r="S678" s="96">
        <v>7414000005</v>
      </c>
      <c r="AA678" s="131" t="s">
        <v>415</v>
      </c>
      <c r="AB678" s="130">
        <v>263117621.934448</v>
      </c>
      <c r="AC678" s="130">
        <v>263117621.934448</v>
      </c>
    </row>
    <row r="679" spans="1:29" x14ac:dyDescent="0.25">
      <c r="A679" t="str">
        <f t="shared" si="11"/>
        <v xml:space="preserve">147309GOBFED 270603       </v>
      </c>
      <c r="B679" s="96">
        <v>147309</v>
      </c>
      <c r="C679" s="96" t="s">
        <v>719</v>
      </c>
      <c r="D679" s="96" t="s">
        <v>429</v>
      </c>
      <c r="E679" s="96" t="s">
        <v>623</v>
      </c>
      <c r="F679" s="96" t="s">
        <v>624</v>
      </c>
      <c r="G679" s="99">
        <v>20560</v>
      </c>
      <c r="H679" s="97">
        <v>98.007834000000003</v>
      </c>
      <c r="I679" s="98">
        <v>2015041.0670400001</v>
      </c>
      <c r="J679" s="97">
        <v>93.280048030000003</v>
      </c>
      <c r="K679" s="98">
        <v>97203.279543199998</v>
      </c>
      <c r="L679" s="99">
        <v>0</v>
      </c>
      <c r="M679" s="98">
        <v>0</v>
      </c>
      <c r="N679" s="99">
        <v>0</v>
      </c>
      <c r="O679" s="98">
        <v>0</v>
      </c>
      <c r="P679" s="99">
        <v>20560</v>
      </c>
      <c r="Q679" s="98">
        <v>2015041.0670400001</v>
      </c>
      <c r="R679" s="96" t="s">
        <v>625</v>
      </c>
      <c r="S679" s="96">
        <v>7414000005</v>
      </c>
      <c r="AA679" s="129">
        <v>2000218</v>
      </c>
      <c r="AB679" s="130">
        <v>155645696.975986</v>
      </c>
      <c r="AC679" s="130">
        <v>155645696.975986</v>
      </c>
    </row>
    <row r="680" spans="1:29" x14ac:dyDescent="0.25">
      <c r="A680" t="str">
        <f t="shared" si="11"/>
        <v xml:space="preserve">147309GOBFED 310529       </v>
      </c>
      <c r="B680" s="96">
        <v>147309</v>
      </c>
      <c r="C680" s="96" t="s">
        <v>719</v>
      </c>
      <c r="D680" s="96" t="s">
        <v>437</v>
      </c>
      <c r="E680" s="96" t="s">
        <v>623</v>
      </c>
      <c r="F680" s="96" t="s">
        <v>624</v>
      </c>
      <c r="G680" s="99">
        <v>57960</v>
      </c>
      <c r="H680" s="97">
        <v>100.38890499999999</v>
      </c>
      <c r="I680" s="98">
        <v>5818540.9337999998</v>
      </c>
      <c r="J680" s="97">
        <v>91.398345289999995</v>
      </c>
      <c r="K680" s="98">
        <v>521092.8407916</v>
      </c>
      <c r="L680" s="99">
        <v>0</v>
      </c>
      <c r="M680" s="98">
        <v>0</v>
      </c>
      <c r="N680" s="99">
        <v>0</v>
      </c>
      <c r="O680" s="98">
        <v>0</v>
      </c>
      <c r="P680" s="99">
        <v>57960</v>
      </c>
      <c r="Q680" s="98">
        <v>5818540.9337999998</v>
      </c>
      <c r="R680" s="96" t="s">
        <v>625</v>
      </c>
      <c r="S680" s="96">
        <v>7414000005</v>
      </c>
      <c r="AA680" s="131" t="s">
        <v>480</v>
      </c>
      <c r="AB680" s="130">
        <v>657674.54441099998</v>
      </c>
      <c r="AC680" s="130">
        <v>657674.54441099998</v>
      </c>
    </row>
    <row r="681" spans="1:29" x14ac:dyDescent="0.25">
      <c r="A681" t="str">
        <f t="shared" si="11"/>
        <v xml:space="preserve">147309PEMEX 13-2          </v>
      </c>
      <c r="B681" s="96">
        <v>147309</v>
      </c>
      <c r="C681" s="96" t="s">
        <v>719</v>
      </c>
      <c r="D681" s="96" t="s">
        <v>472</v>
      </c>
      <c r="E681" s="96" t="s">
        <v>623</v>
      </c>
      <c r="F681" s="96" t="s">
        <v>624</v>
      </c>
      <c r="G681" s="99">
        <v>11820000</v>
      </c>
      <c r="H681" s="97">
        <v>4.1069599999999999</v>
      </c>
      <c r="I681" s="98">
        <v>48544267.200000003</v>
      </c>
      <c r="J681" s="97">
        <v>3.2688078688663285</v>
      </c>
      <c r="K681" s="98">
        <v>9906958.1899999995</v>
      </c>
      <c r="L681" s="99">
        <v>0</v>
      </c>
      <c r="M681" s="98">
        <v>0</v>
      </c>
      <c r="N681" s="99">
        <v>0</v>
      </c>
      <c r="O681" s="98">
        <v>0</v>
      </c>
      <c r="P681" s="99">
        <v>11820000</v>
      </c>
      <c r="Q681" s="98">
        <v>48544267.200000003</v>
      </c>
      <c r="R681" s="96" t="s">
        <v>625</v>
      </c>
      <c r="S681" s="96">
        <v>7414000005</v>
      </c>
      <c r="AA681" s="131" t="s">
        <v>416</v>
      </c>
      <c r="AB681" s="130">
        <v>154988022.431575</v>
      </c>
      <c r="AC681" s="130">
        <v>154988022.431575</v>
      </c>
    </row>
    <row r="682" spans="1:29" x14ac:dyDescent="0.25">
      <c r="A682" t="str">
        <f t="shared" si="11"/>
        <v xml:space="preserve">147309PEMEX 19            </v>
      </c>
      <c r="B682" s="96">
        <v>147309</v>
      </c>
      <c r="C682" s="96" t="s">
        <v>719</v>
      </c>
      <c r="D682" s="96" t="s">
        <v>391</v>
      </c>
      <c r="E682" s="96" t="s">
        <v>623</v>
      </c>
      <c r="F682" s="96" t="s">
        <v>624</v>
      </c>
      <c r="G682" s="99">
        <v>50</v>
      </c>
      <c r="H682" s="97">
        <v>775.69178699999998</v>
      </c>
      <c r="I682" s="98">
        <v>38784.589350000002</v>
      </c>
      <c r="J682" s="97">
        <v>770.06763651000006</v>
      </c>
      <c r="K682" s="98">
        <v>281.20752449999998</v>
      </c>
      <c r="L682" s="99">
        <v>0</v>
      </c>
      <c r="M682" s="98">
        <v>0</v>
      </c>
      <c r="N682" s="99">
        <v>0</v>
      </c>
      <c r="O682" s="98">
        <v>0</v>
      </c>
      <c r="P682" s="99">
        <v>50</v>
      </c>
      <c r="Q682" s="98">
        <v>38784.589350000002</v>
      </c>
      <c r="R682" s="96" t="s">
        <v>625</v>
      </c>
      <c r="S682" s="96">
        <v>7414000005</v>
      </c>
      <c r="AA682" s="129">
        <v>2000219</v>
      </c>
      <c r="AB682" s="130">
        <v>2369479045.8979201</v>
      </c>
      <c r="AC682" s="130">
        <v>2369479045.8979201</v>
      </c>
    </row>
    <row r="683" spans="1:29" x14ac:dyDescent="0.25">
      <c r="A683" t="str">
        <f t="shared" si="11"/>
        <v xml:space="preserve">147309STER-OP E2          </v>
      </c>
      <c r="B683" s="96">
        <v>147310</v>
      </c>
      <c r="C683" s="96" t="s">
        <v>720</v>
      </c>
      <c r="D683" s="96" t="s">
        <v>552</v>
      </c>
      <c r="E683" s="96" t="s">
        <v>623</v>
      </c>
      <c r="F683" s="96" t="s">
        <v>624</v>
      </c>
      <c r="G683" s="99">
        <v>15230</v>
      </c>
      <c r="H683" s="97">
        <v>100.000484</v>
      </c>
      <c r="I683" s="98">
        <v>1523007.3713199999</v>
      </c>
      <c r="J683" s="97">
        <v>100</v>
      </c>
      <c r="K683" s="98">
        <v>7.3713199999999999</v>
      </c>
      <c r="L683" s="99">
        <v>0</v>
      </c>
      <c r="M683" s="98">
        <v>0</v>
      </c>
      <c r="N683" s="99">
        <v>0</v>
      </c>
      <c r="O683" s="98">
        <v>0</v>
      </c>
      <c r="P683" s="99">
        <v>15230</v>
      </c>
      <c r="Q683" s="98">
        <v>1523007.3713199999</v>
      </c>
      <c r="R683" s="96" t="s">
        <v>625</v>
      </c>
      <c r="S683" s="96">
        <v>7414000005</v>
      </c>
      <c r="AA683" s="131" t="s">
        <v>414</v>
      </c>
      <c r="AB683" s="130">
        <v>2369479045.8979201</v>
      </c>
      <c r="AC683" s="130">
        <v>2369479045.8979201</v>
      </c>
    </row>
    <row r="684" spans="1:29" x14ac:dyDescent="0.25">
      <c r="A684" t="str">
        <f t="shared" si="11"/>
        <v xml:space="preserve">147309UDIBONO 251204      </v>
      </c>
      <c r="B684" s="96">
        <v>147310</v>
      </c>
      <c r="C684" s="96" t="s">
        <v>720</v>
      </c>
      <c r="D684" s="96" t="s">
        <v>471</v>
      </c>
      <c r="E684" s="96" t="s">
        <v>623</v>
      </c>
      <c r="F684" s="96" t="s">
        <v>624</v>
      </c>
      <c r="G684" s="99">
        <v>0</v>
      </c>
      <c r="H684" s="97">
        <v>0</v>
      </c>
      <c r="I684" s="98">
        <v>0</v>
      </c>
      <c r="J684" s="97">
        <v>0</v>
      </c>
      <c r="K684" s="98">
        <v>0</v>
      </c>
      <c r="L684" s="99">
        <v>0</v>
      </c>
      <c r="M684" s="98">
        <v>0</v>
      </c>
      <c r="N684" s="99">
        <v>0</v>
      </c>
      <c r="O684" s="98">
        <v>0</v>
      </c>
      <c r="P684" s="99">
        <v>0</v>
      </c>
      <c r="Q684" s="98">
        <v>0</v>
      </c>
      <c r="R684" s="96" t="s">
        <v>625</v>
      </c>
      <c r="S684" s="96">
        <v>7414000005</v>
      </c>
      <c r="AA684" s="129">
        <v>2000220</v>
      </c>
      <c r="AB684" s="130">
        <v>671634193.761114</v>
      </c>
      <c r="AC684" s="130">
        <v>671634193.761114</v>
      </c>
    </row>
    <row r="685" spans="1:29" x14ac:dyDescent="0.25">
      <c r="A685" t="str">
        <f t="shared" si="11"/>
        <v xml:space="preserve">147310BLADEX 24           </v>
      </c>
      <c r="B685" s="96">
        <v>147310</v>
      </c>
      <c r="C685" s="96" t="s">
        <v>720</v>
      </c>
      <c r="D685" s="96" t="s">
        <v>543</v>
      </c>
      <c r="E685" s="96" t="s">
        <v>623</v>
      </c>
      <c r="F685" s="96" t="s">
        <v>624</v>
      </c>
      <c r="G685" s="99">
        <v>469515</v>
      </c>
      <c r="H685" s="97">
        <v>8.5044190000000004</v>
      </c>
      <c r="I685" s="98">
        <v>3992952.286785</v>
      </c>
      <c r="J685" s="97">
        <v>8.3071887600000007</v>
      </c>
      <c r="K685" s="98">
        <v>92602.556133599996</v>
      </c>
      <c r="L685" s="99">
        <v>0</v>
      </c>
      <c r="M685" s="98">
        <v>0</v>
      </c>
      <c r="N685" s="99">
        <v>0</v>
      </c>
      <c r="O685" s="98">
        <v>0</v>
      </c>
      <c r="P685" s="99">
        <v>469515</v>
      </c>
      <c r="Q685" s="98">
        <v>3992952.286785</v>
      </c>
      <c r="R685" s="96" t="s">
        <v>625</v>
      </c>
      <c r="S685" s="96">
        <v>7414000005</v>
      </c>
      <c r="AA685" s="131" t="s">
        <v>480</v>
      </c>
      <c r="AB685" s="130">
        <v>374369.86525799998</v>
      </c>
      <c r="AC685" s="130">
        <v>374369.86525799998</v>
      </c>
    </row>
    <row r="686" spans="1:29" x14ac:dyDescent="0.25">
      <c r="A686" t="str">
        <f t="shared" si="11"/>
        <v xml:space="preserve">147310CETES 230601        </v>
      </c>
      <c r="B686" s="96">
        <v>147310</v>
      </c>
      <c r="C686" s="96" t="s">
        <v>720</v>
      </c>
      <c r="D686" s="96" t="s">
        <v>554</v>
      </c>
      <c r="E686" s="96" t="s">
        <v>623</v>
      </c>
      <c r="F686" s="96" t="s">
        <v>624</v>
      </c>
      <c r="G686" s="99">
        <v>1299030</v>
      </c>
      <c r="H686" s="97">
        <v>8.3813510000000004</v>
      </c>
      <c r="I686" s="98">
        <v>10887626.389529999</v>
      </c>
      <c r="J686" s="97">
        <v>8.2713651095923115</v>
      </c>
      <c r="K686" s="98">
        <v>142874.97121630001</v>
      </c>
      <c r="L686" s="99">
        <v>0</v>
      </c>
      <c r="M686" s="98">
        <v>0</v>
      </c>
      <c r="N686" s="99">
        <v>0</v>
      </c>
      <c r="O686" s="98">
        <v>0</v>
      </c>
      <c r="P686" s="99">
        <v>1299030</v>
      </c>
      <c r="Q686" s="98">
        <v>10887626.389529999</v>
      </c>
      <c r="R686" s="96" t="s">
        <v>625</v>
      </c>
      <c r="S686" s="96">
        <v>7414000005</v>
      </c>
      <c r="AA686" s="131" t="s">
        <v>415</v>
      </c>
      <c r="AB686" s="130">
        <v>671259823.89585602</v>
      </c>
      <c r="AC686" s="130">
        <v>671259823.89585602</v>
      </c>
    </row>
    <row r="687" spans="1:29" x14ac:dyDescent="0.25">
      <c r="A687" t="str">
        <f t="shared" si="11"/>
        <v xml:space="preserve">147310CETES 251030        </v>
      </c>
      <c r="B687" s="96">
        <v>147310</v>
      </c>
      <c r="C687" s="96" t="s">
        <v>720</v>
      </c>
      <c r="D687" s="96" t="s">
        <v>613</v>
      </c>
      <c r="E687" s="96" t="s">
        <v>623</v>
      </c>
      <c r="F687" s="96" t="s">
        <v>624</v>
      </c>
      <c r="G687" s="99">
        <v>1627532</v>
      </c>
      <c r="H687" s="97">
        <v>8.2580650000000002</v>
      </c>
      <c r="I687" s="98">
        <v>13440265.04558</v>
      </c>
      <c r="J687" s="97">
        <v>8.2577354955094471</v>
      </c>
      <c r="K687" s="98">
        <v>536.27910252000004</v>
      </c>
      <c r="L687" s="99">
        <v>0</v>
      </c>
      <c r="M687" s="98">
        <v>0</v>
      </c>
      <c r="N687" s="99">
        <v>0</v>
      </c>
      <c r="O687" s="98">
        <v>0</v>
      </c>
      <c r="P687" s="99">
        <v>1627532</v>
      </c>
      <c r="Q687" s="98">
        <v>13440265.04558</v>
      </c>
      <c r="R687" s="96" t="s">
        <v>625</v>
      </c>
      <c r="S687" s="96">
        <v>7414000005</v>
      </c>
      <c r="AA687" s="129">
        <v>2000221</v>
      </c>
      <c r="AB687" s="130">
        <v>396460627.13844502</v>
      </c>
      <c r="AC687" s="130">
        <v>396460627.13844502</v>
      </c>
    </row>
    <row r="688" spans="1:29" x14ac:dyDescent="0.25">
      <c r="A688" t="str">
        <f t="shared" si="11"/>
        <v xml:space="preserve">147310CETES 251224        </v>
      </c>
      <c r="B688" s="96">
        <v>147310</v>
      </c>
      <c r="C688" s="96" t="s">
        <v>720</v>
      </c>
      <c r="D688" s="96" t="s">
        <v>366</v>
      </c>
      <c r="E688" s="96" t="s">
        <v>623</v>
      </c>
      <c r="F688" s="96" t="s">
        <v>624</v>
      </c>
      <c r="G688" s="99">
        <v>0</v>
      </c>
      <c r="H688" s="97">
        <v>0</v>
      </c>
      <c r="I688" s="98">
        <v>1625075.07</v>
      </c>
      <c r="J688" s="97">
        <v>0</v>
      </c>
      <c r="K688" s="98">
        <v>0</v>
      </c>
      <c r="L688" s="99">
        <v>0</v>
      </c>
      <c r="M688" s="98">
        <v>0</v>
      </c>
      <c r="N688" s="99">
        <v>0</v>
      </c>
      <c r="O688" s="98">
        <v>0</v>
      </c>
      <c r="P688" s="99">
        <v>0</v>
      </c>
      <c r="Q688" s="98">
        <v>1625075.07</v>
      </c>
      <c r="R688" s="96" t="s">
        <v>625</v>
      </c>
      <c r="S688" s="96">
        <v>7414000005</v>
      </c>
      <c r="AA688" s="131" t="s">
        <v>480</v>
      </c>
      <c r="AB688" s="130">
        <v>2237049.4457700001</v>
      </c>
      <c r="AC688" s="130">
        <v>2237049.4457700001</v>
      </c>
    </row>
    <row r="689" spans="1:29" x14ac:dyDescent="0.25">
      <c r="A689" t="str">
        <f t="shared" si="11"/>
        <v xml:space="preserve">147310CETES 260219        </v>
      </c>
      <c r="B689" s="96">
        <v>147310</v>
      </c>
      <c r="C689" s="96" t="s">
        <v>720</v>
      </c>
      <c r="D689" s="96" t="s">
        <v>375</v>
      </c>
      <c r="E689" s="96" t="s">
        <v>623</v>
      </c>
      <c r="F689" s="96" t="s">
        <v>624</v>
      </c>
      <c r="G689" s="99">
        <v>24937</v>
      </c>
      <c r="H689" s="97">
        <v>98.730349000000004</v>
      </c>
      <c r="I689" s="98">
        <v>2462038.7130129999</v>
      </c>
      <c r="J689" s="97">
        <v>111.89286593999999</v>
      </c>
      <c r="K689" s="98">
        <v>-328233.68493277999</v>
      </c>
      <c r="L689" s="99">
        <v>0</v>
      </c>
      <c r="M689" s="98">
        <v>0</v>
      </c>
      <c r="N689" s="99">
        <v>0</v>
      </c>
      <c r="O689" s="98">
        <v>0</v>
      </c>
      <c r="P689" s="99">
        <v>24937</v>
      </c>
      <c r="Q689" s="98">
        <v>2462038.7130129999</v>
      </c>
      <c r="R689" s="96" t="s">
        <v>625</v>
      </c>
      <c r="S689" s="96">
        <v>7414000005</v>
      </c>
      <c r="AA689" s="131" t="s">
        <v>416</v>
      </c>
      <c r="AB689" s="130">
        <v>394223577.69267499</v>
      </c>
      <c r="AC689" s="130">
        <v>394223577.69267499</v>
      </c>
    </row>
    <row r="690" spans="1:29" x14ac:dyDescent="0.25">
      <c r="A690" t="str">
        <f t="shared" si="11"/>
        <v>147310EFECTIVO</v>
      </c>
      <c r="B690" s="96">
        <v>147310</v>
      </c>
      <c r="C690" s="96" t="s">
        <v>720</v>
      </c>
      <c r="D690" s="96" t="s">
        <v>376</v>
      </c>
      <c r="E690" s="96" t="s">
        <v>623</v>
      </c>
      <c r="F690" s="96" t="s">
        <v>624</v>
      </c>
      <c r="G690" s="99">
        <v>42820</v>
      </c>
      <c r="H690" s="97">
        <v>99.247497999999993</v>
      </c>
      <c r="I690" s="98">
        <v>4249777.86436</v>
      </c>
      <c r="J690" s="97">
        <v>114.66602873908921</v>
      </c>
      <c r="K690" s="98">
        <v>-660221.48624780006</v>
      </c>
      <c r="L690" s="99">
        <v>0</v>
      </c>
      <c r="M690" s="98">
        <v>0</v>
      </c>
      <c r="N690" s="99">
        <v>0</v>
      </c>
      <c r="O690" s="98">
        <v>0</v>
      </c>
      <c r="P690" s="99">
        <v>42820</v>
      </c>
      <c r="Q690" s="98">
        <v>4249777.86436</v>
      </c>
      <c r="R690" s="96" t="s">
        <v>625</v>
      </c>
      <c r="S690" s="96">
        <v>7414000005</v>
      </c>
      <c r="AA690" s="129">
        <v>2000301</v>
      </c>
      <c r="AB690" s="130">
        <v>0</v>
      </c>
      <c r="AC690" s="130">
        <v>0</v>
      </c>
    </row>
    <row r="691" spans="1:29" x14ac:dyDescent="0.25">
      <c r="A691" t="str">
        <f t="shared" si="11"/>
        <v xml:space="preserve">147310GOBFED 240905       </v>
      </c>
      <c r="B691" s="96">
        <v>147310</v>
      </c>
      <c r="C691" s="96" t="s">
        <v>720</v>
      </c>
      <c r="D691" s="96" t="s">
        <v>377</v>
      </c>
      <c r="E691" s="96" t="s">
        <v>623</v>
      </c>
      <c r="F691" s="96" t="s">
        <v>624</v>
      </c>
      <c r="G691" s="99">
        <v>112281</v>
      </c>
      <c r="H691" s="97">
        <v>94.973146999999997</v>
      </c>
      <c r="I691" s="98">
        <v>10663679.918307001</v>
      </c>
      <c r="J691" s="97">
        <v>89.76481543271008</v>
      </c>
      <c r="K691" s="98">
        <v>584796.67670687998</v>
      </c>
      <c r="L691" s="99">
        <v>0</v>
      </c>
      <c r="M691" s="98">
        <v>0</v>
      </c>
      <c r="N691" s="99">
        <v>0</v>
      </c>
      <c r="O691" s="98">
        <v>0</v>
      </c>
      <c r="P691" s="99">
        <v>112281</v>
      </c>
      <c r="Q691" s="98">
        <v>10663679.918307001</v>
      </c>
      <c r="R691" s="96" t="s">
        <v>625</v>
      </c>
      <c r="S691" s="96">
        <v>7414000005</v>
      </c>
      <c r="AA691" s="131" t="s">
        <v>566</v>
      </c>
      <c r="AB691" s="130">
        <v>0</v>
      </c>
      <c r="AC691" s="130">
        <v>0</v>
      </c>
    </row>
    <row r="692" spans="1:29" x14ac:dyDescent="0.25">
      <c r="A692" t="str">
        <f t="shared" si="11"/>
        <v xml:space="preserve">147310GOBFED 241205       </v>
      </c>
      <c r="B692" s="96">
        <v>147310</v>
      </c>
      <c r="C692" s="96" t="s">
        <v>720</v>
      </c>
      <c r="D692" s="96" t="s">
        <v>378</v>
      </c>
      <c r="E692" s="96" t="s">
        <v>623</v>
      </c>
      <c r="F692" s="96" t="s">
        <v>624</v>
      </c>
      <c r="G692" s="99">
        <v>191488</v>
      </c>
      <c r="H692" s="97">
        <v>91.911821000000003</v>
      </c>
      <c r="I692" s="98">
        <v>17600010.779647999</v>
      </c>
      <c r="J692" s="97">
        <v>90.71152459523563</v>
      </c>
      <c r="K692" s="98">
        <v>229842.35795552001</v>
      </c>
      <c r="L692" s="99">
        <v>0</v>
      </c>
      <c r="M692" s="98">
        <v>0</v>
      </c>
      <c r="N692" s="99">
        <v>0</v>
      </c>
      <c r="O692" s="98">
        <v>0</v>
      </c>
      <c r="P692" s="99">
        <v>191488</v>
      </c>
      <c r="Q692" s="98">
        <v>17600010.779647999</v>
      </c>
      <c r="R692" s="96" t="s">
        <v>625</v>
      </c>
      <c r="S692" s="96">
        <v>7414000005</v>
      </c>
      <c r="AA692" s="129">
        <v>2000302</v>
      </c>
      <c r="AB692" s="130">
        <v>1316927.9615189999</v>
      </c>
      <c r="AC692" s="130">
        <v>1316927.9615189999</v>
      </c>
    </row>
    <row r="693" spans="1:29" x14ac:dyDescent="0.25">
      <c r="A693" t="str">
        <f t="shared" si="11"/>
        <v xml:space="preserve">147310GOBFED 250306       </v>
      </c>
      <c r="B693" s="96">
        <v>147310</v>
      </c>
      <c r="C693" s="96" t="s">
        <v>720</v>
      </c>
      <c r="D693" s="96" t="s">
        <v>499</v>
      </c>
      <c r="E693" s="96" t="s">
        <v>623</v>
      </c>
      <c r="F693" s="96" t="s">
        <v>624</v>
      </c>
      <c r="G693" s="99">
        <v>375550</v>
      </c>
      <c r="H693" s="97">
        <v>92.954503000000003</v>
      </c>
      <c r="I693" s="98">
        <v>34909063.60165</v>
      </c>
      <c r="J693" s="97">
        <v>93.271038426409007</v>
      </c>
      <c r="K693" s="98">
        <v>-118874.8793879</v>
      </c>
      <c r="L693" s="99">
        <v>0</v>
      </c>
      <c r="M693" s="98">
        <v>0</v>
      </c>
      <c r="N693" s="99">
        <v>0</v>
      </c>
      <c r="O693" s="98">
        <v>0</v>
      </c>
      <c r="P693" s="99">
        <v>375550</v>
      </c>
      <c r="Q693" s="98">
        <v>34909063.60165</v>
      </c>
      <c r="R693" s="96" t="s">
        <v>625</v>
      </c>
      <c r="S693" s="96">
        <v>7414000005</v>
      </c>
      <c r="AA693" s="131" t="s">
        <v>480</v>
      </c>
      <c r="AB693" s="130">
        <v>1316927.9615189999</v>
      </c>
      <c r="AC693" s="130">
        <v>1316927.9615189999</v>
      </c>
    </row>
    <row r="694" spans="1:29" x14ac:dyDescent="0.25">
      <c r="A694" t="str">
        <f t="shared" si="11"/>
        <v xml:space="preserve">147310GOBFED 260305       </v>
      </c>
      <c r="B694" s="96">
        <v>147310</v>
      </c>
      <c r="C694" s="96" t="s">
        <v>720</v>
      </c>
      <c r="D694" s="96" t="s">
        <v>379</v>
      </c>
      <c r="E694" s="96" t="s">
        <v>623</v>
      </c>
      <c r="F694" s="96" t="s">
        <v>624</v>
      </c>
      <c r="G694" s="99">
        <v>140261</v>
      </c>
      <c r="H694" s="97">
        <v>88.698122999999995</v>
      </c>
      <c r="I694" s="98">
        <v>12440887.430103</v>
      </c>
      <c r="J694" s="97">
        <v>88.298813108870675</v>
      </c>
      <c r="K694" s="98">
        <v>56007.604639689998</v>
      </c>
      <c r="L694" s="99">
        <v>0</v>
      </c>
      <c r="M694" s="98">
        <v>0</v>
      </c>
      <c r="N694" s="99">
        <v>0</v>
      </c>
      <c r="O694" s="98">
        <v>0</v>
      </c>
      <c r="P694" s="99">
        <v>140261</v>
      </c>
      <c r="Q694" s="98">
        <v>12440887.430103</v>
      </c>
      <c r="R694" s="96" t="s">
        <v>625</v>
      </c>
      <c r="S694" s="96">
        <v>7414000005</v>
      </c>
      <c r="AA694" s="129">
        <v>2000402</v>
      </c>
      <c r="AB694" s="130">
        <v>1020121.499424</v>
      </c>
      <c r="AC694" s="130">
        <v>1020121.499424</v>
      </c>
    </row>
    <row r="695" spans="1:29" x14ac:dyDescent="0.25">
      <c r="A695" t="str">
        <f t="shared" si="11"/>
        <v xml:space="preserve">147310GOBFED 260903       </v>
      </c>
      <c r="B695" s="96">
        <v>147310</v>
      </c>
      <c r="C695" s="96" t="s">
        <v>720</v>
      </c>
      <c r="D695" s="96" t="s">
        <v>380</v>
      </c>
      <c r="E695" s="96" t="s">
        <v>623</v>
      </c>
      <c r="F695" s="96" t="s">
        <v>624</v>
      </c>
      <c r="G695" s="99">
        <v>111630</v>
      </c>
      <c r="H695" s="97">
        <v>93.314192000000006</v>
      </c>
      <c r="I695" s="98">
        <v>10416663.25296</v>
      </c>
      <c r="J695" s="97">
        <v>93.354296434451314</v>
      </c>
      <c r="K695" s="98">
        <v>-4476.8580178000002</v>
      </c>
      <c r="L695" s="99">
        <v>0</v>
      </c>
      <c r="M695" s="98">
        <v>0</v>
      </c>
      <c r="N695" s="99">
        <v>0</v>
      </c>
      <c r="O695" s="98">
        <v>0</v>
      </c>
      <c r="P695" s="99">
        <v>111630</v>
      </c>
      <c r="Q695" s="98">
        <v>10416663.25296</v>
      </c>
      <c r="R695" s="96" t="s">
        <v>625</v>
      </c>
      <c r="S695" s="96">
        <v>7414000005</v>
      </c>
      <c r="AA695" s="131" t="s">
        <v>389</v>
      </c>
      <c r="AB695" s="130">
        <v>942115.09483199997</v>
      </c>
      <c r="AC695" s="130">
        <v>942115.09483199997</v>
      </c>
    </row>
    <row r="696" spans="1:29" x14ac:dyDescent="0.25">
      <c r="A696" t="str">
        <f t="shared" si="11"/>
        <v xml:space="preserve">147310GOBFED 270304       </v>
      </c>
      <c r="B696" s="96">
        <v>147310</v>
      </c>
      <c r="C696" s="96" t="s">
        <v>720</v>
      </c>
      <c r="D696" s="96" t="s">
        <v>382</v>
      </c>
      <c r="E696" s="96" t="s">
        <v>623</v>
      </c>
      <c r="F696" s="96" t="s">
        <v>624</v>
      </c>
      <c r="G696" s="99">
        <v>0</v>
      </c>
      <c r="H696" s="97">
        <v>0</v>
      </c>
      <c r="I696" s="98">
        <v>0</v>
      </c>
      <c r="J696" s="97">
        <v>0</v>
      </c>
      <c r="K696" s="98">
        <v>0</v>
      </c>
      <c r="L696" s="99">
        <v>0</v>
      </c>
      <c r="M696" s="98">
        <v>0</v>
      </c>
      <c r="N696" s="99">
        <v>0</v>
      </c>
      <c r="O696" s="98">
        <v>0</v>
      </c>
      <c r="P696" s="99">
        <v>0</v>
      </c>
      <c r="Q696" s="98">
        <v>0</v>
      </c>
      <c r="R696" s="96" t="s">
        <v>625</v>
      </c>
      <c r="S696" s="96">
        <v>7414000005</v>
      </c>
      <c r="AA696" s="131" t="s">
        <v>417</v>
      </c>
      <c r="AB696" s="130">
        <v>78006.404592000006</v>
      </c>
      <c r="AC696" s="130">
        <v>78006.404592000006</v>
      </c>
    </row>
    <row r="697" spans="1:29" x14ac:dyDescent="0.25">
      <c r="A697" t="str">
        <f t="shared" si="11"/>
        <v xml:space="preserve">147310GOBFED 270603       </v>
      </c>
      <c r="B697" s="96">
        <v>147310</v>
      </c>
      <c r="C697" s="96" t="s">
        <v>720</v>
      </c>
      <c r="D697" s="96" t="s">
        <v>429</v>
      </c>
      <c r="E697" s="96" t="s">
        <v>623</v>
      </c>
      <c r="F697" s="96" t="s">
        <v>624</v>
      </c>
      <c r="G697" s="99">
        <v>9590</v>
      </c>
      <c r="H697" s="97">
        <v>98.007834000000003</v>
      </c>
      <c r="I697" s="98">
        <v>939895.12806000002</v>
      </c>
      <c r="J697" s="97">
        <v>93.280048030000003</v>
      </c>
      <c r="K697" s="98">
        <v>45339.467452299999</v>
      </c>
      <c r="L697" s="99">
        <v>0</v>
      </c>
      <c r="M697" s="98">
        <v>0</v>
      </c>
      <c r="N697" s="99">
        <v>0</v>
      </c>
      <c r="O697" s="98">
        <v>0</v>
      </c>
      <c r="P697" s="99">
        <v>9590</v>
      </c>
      <c r="Q697" s="98">
        <v>939895.12806000002</v>
      </c>
      <c r="R697" s="96" t="s">
        <v>625</v>
      </c>
      <c r="S697" s="96">
        <v>7414000005</v>
      </c>
      <c r="AA697" s="129">
        <v>2000423</v>
      </c>
      <c r="AB697" s="130">
        <v>1887811.3808290001</v>
      </c>
      <c r="AC697" s="130">
        <v>1887811.3808290001</v>
      </c>
    </row>
    <row r="698" spans="1:29" x14ac:dyDescent="0.25">
      <c r="A698" t="str">
        <f t="shared" si="11"/>
        <v xml:space="preserve">147310GOBFED 310529       </v>
      </c>
      <c r="B698" s="96">
        <v>147310</v>
      </c>
      <c r="C698" s="96" t="s">
        <v>720</v>
      </c>
      <c r="D698" s="96" t="s">
        <v>437</v>
      </c>
      <c r="E698" s="96" t="s">
        <v>623</v>
      </c>
      <c r="F698" s="96" t="s">
        <v>624</v>
      </c>
      <c r="G698" s="99">
        <v>22830</v>
      </c>
      <c r="H698" s="97">
        <v>100.38890499999999</v>
      </c>
      <c r="I698" s="98">
        <v>2291878.7011500001</v>
      </c>
      <c r="J698" s="97">
        <v>91.398345289999995</v>
      </c>
      <c r="K698" s="98">
        <v>205254.4781793</v>
      </c>
      <c r="L698" s="99">
        <v>0</v>
      </c>
      <c r="M698" s="98">
        <v>0</v>
      </c>
      <c r="N698" s="99">
        <v>0</v>
      </c>
      <c r="O698" s="98">
        <v>0</v>
      </c>
      <c r="P698" s="99">
        <v>22830</v>
      </c>
      <c r="Q698" s="98">
        <v>2291878.7011500001</v>
      </c>
      <c r="R698" s="96" t="s">
        <v>625</v>
      </c>
      <c r="S698" s="96">
        <v>7414000005</v>
      </c>
      <c r="AA698" s="131" t="s">
        <v>480</v>
      </c>
      <c r="AB698" s="130">
        <v>6662.3369640000001</v>
      </c>
      <c r="AC698" s="130">
        <v>6662.3369640000001</v>
      </c>
    </row>
    <row r="699" spans="1:29" x14ac:dyDescent="0.25">
      <c r="A699" t="str">
        <f t="shared" si="11"/>
        <v xml:space="preserve">147310PEMEX 13-2          </v>
      </c>
      <c r="B699" s="96">
        <v>147310</v>
      </c>
      <c r="C699" s="96" t="s">
        <v>720</v>
      </c>
      <c r="D699" s="96" t="s">
        <v>472</v>
      </c>
      <c r="E699" s="96" t="s">
        <v>623</v>
      </c>
      <c r="F699" s="96" t="s">
        <v>624</v>
      </c>
      <c r="G699" s="99">
        <v>5670000</v>
      </c>
      <c r="H699" s="97">
        <v>4.1069599999999999</v>
      </c>
      <c r="I699" s="98">
        <v>23286463.199999999</v>
      </c>
      <c r="J699" s="97">
        <v>3.2025773668430335</v>
      </c>
      <c r="K699" s="98">
        <v>5127849.53</v>
      </c>
      <c r="L699" s="99">
        <v>0</v>
      </c>
      <c r="M699" s="98">
        <v>0</v>
      </c>
      <c r="N699" s="99">
        <v>0</v>
      </c>
      <c r="O699" s="98">
        <v>0</v>
      </c>
      <c r="P699" s="99">
        <v>5670000</v>
      </c>
      <c r="Q699" s="98">
        <v>23286463.199999999</v>
      </c>
      <c r="R699" s="96" t="s">
        <v>625</v>
      </c>
      <c r="S699" s="96">
        <v>7414000005</v>
      </c>
      <c r="AA699" s="131" t="s">
        <v>413</v>
      </c>
      <c r="AB699" s="130">
        <v>628086.00686199998</v>
      </c>
      <c r="AC699" s="130">
        <v>628086.00686199998</v>
      </c>
    </row>
    <row r="700" spans="1:29" x14ac:dyDescent="0.25">
      <c r="A700" t="str">
        <f t="shared" si="11"/>
        <v xml:space="preserve">147310PEMEX 19            </v>
      </c>
      <c r="B700" s="96">
        <v>147310</v>
      </c>
      <c r="C700" s="96" t="s">
        <v>720</v>
      </c>
      <c r="D700" s="96" t="s">
        <v>391</v>
      </c>
      <c r="E700" s="96" t="s">
        <v>623</v>
      </c>
      <c r="F700" s="96" t="s">
        <v>624</v>
      </c>
      <c r="G700" s="99">
        <v>4</v>
      </c>
      <c r="H700" s="97">
        <v>775.69178699999998</v>
      </c>
      <c r="I700" s="98">
        <v>3102.7671479999999</v>
      </c>
      <c r="J700" s="97">
        <v>770.06763651000006</v>
      </c>
      <c r="K700" s="98">
        <v>22.49660196</v>
      </c>
      <c r="L700" s="99">
        <v>0</v>
      </c>
      <c r="M700" s="98">
        <v>0</v>
      </c>
      <c r="N700" s="99">
        <v>0</v>
      </c>
      <c r="O700" s="98">
        <v>0</v>
      </c>
      <c r="P700" s="99">
        <v>4</v>
      </c>
      <c r="Q700" s="98">
        <v>3102.7671479999999</v>
      </c>
      <c r="R700" s="96" t="s">
        <v>625</v>
      </c>
      <c r="S700" s="96">
        <v>7414000005</v>
      </c>
      <c r="AA700" s="131" t="s">
        <v>414</v>
      </c>
      <c r="AB700" s="130">
        <v>1145994.439952</v>
      </c>
      <c r="AC700" s="130">
        <v>1145994.439952</v>
      </c>
    </row>
    <row r="701" spans="1:29" x14ac:dyDescent="0.25">
      <c r="A701" t="str">
        <f t="shared" si="11"/>
        <v xml:space="preserve">147310STER-OP E2          </v>
      </c>
      <c r="B701" s="96">
        <v>147310</v>
      </c>
      <c r="C701" s="96" t="s">
        <v>720</v>
      </c>
      <c r="D701" s="96" t="s">
        <v>392</v>
      </c>
      <c r="E701" s="96" t="s">
        <v>623</v>
      </c>
      <c r="F701" s="96" t="s">
        <v>624</v>
      </c>
      <c r="G701" s="99">
        <v>3</v>
      </c>
      <c r="H701" s="97">
        <v>747.17843200000004</v>
      </c>
      <c r="I701" s="98">
        <v>2241.535296</v>
      </c>
      <c r="J701" s="97">
        <v>730.99471579999999</v>
      </c>
      <c r="K701" s="98">
        <v>48.551148599999998</v>
      </c>
      <c r="L701" s="99">
        <v>0</v>
      </c>
      <c r="M701" s="98">
        <v>0</v>
      </c>
      <c r="N701" s="99">
        <v>0</v>
      </c>
      <c r="O701" s="98">
        <v>0</v>
      </c>
      <c r="P701" s="99">
        <v>3</v>
      </c>
      <c r="Q701" s="98">
        <v>2241.535296</v>
      </c>
      <c r="R701" s="96" t="s">
        <v>625</v>
      </c>
      <c r="S701" s="96">
        <v>7414000005</v>
      </c>
      <c r="AA701" s="131" t="s">
        <v>415</v>
      </c>
      <c r="AB701" s="130">
        <v>306.936576</v>
      </c>
      <c r="AC701" s="130">
        <v>306.936576</v>
      </c>
    </row>
    <row r="702" spans="1:29" x14ac:dyDescent="0.25">
      <c r="A702" t="str">
        <f t="shared" si="11"/>
        <v xml:space="preserve">147310UDIBONO 251204      </v>
      </c>
      <c r="B702" s="96">
        <v>147311</v>
      </c>
      <c r="C702" s="96" t="s">
        <v>721</v>
      </c>
      <c r="D702" s="96" t="s">
        <v>552</v>
      </c>
      <c r="E702" s="96" t="s">
        <v>623</v>
      </c>
      <c r="F702" s="96" t="s">
        <v>624</v>
      </c>
      <c r="G702" s="99">
        <v>21230</v>
      </c>
      <c r="H702" s="97">
        <v>100.000484</v>
      </c>
      <c r="I702" s="98">
        <v>2123010.27532</v>
      </c>
      <c r="J702" s="97">
        <v>100</v>
      </c>
      <c r="K702" s="98">
        <v>10.275320000000001</v>
      </c>
      <c r="L702" s="99">
        <v>0</v>
      </c>
      <c r="M702" s="98">
        <v>0</v>
      </c>
      <c r="N702" s="99">
        <v>0</v>
      </c>
      <c r="O702" s="98">
        <v>0</v>
      </c>
      <c r="P702" s="99">
        <v>21230</v>
      </c>
      <c r="Q702" s="98">
        <v>2123010.27532</v>
      </c>
      <c r="R702" s="96" t="s">
        <v>625</v>
      </c>
      <c r="S702" s="96">
        <v>7414000005</v>
      </c>
      <c r="AA702" s="131" t="s">
        <v>416</v>
      </c>
      <c r="AB702" s="130">
        <v>106761.660475</v>
      </c>
      <c r="AC702" s="130">
        <v>106761.660475</v>
      </c>
    </row>
    <row r="703" spans="1:29" x14ac:dyDescent="0.25">
      <c r="A703" t="str">
        <f t="shared" si="11"/>
        <v xml:space="preserve">147310UDIBONO 261203      </v>
      </c>
      <c r="B703" s="96">
        <v>147311</v>
      </c>
      <c r="C703" s="96" t="s">
        <v>721</v>
      </c>
      <c r="D703" s="96" t="s">
        <v>556</v>
      </c>
      <c r="E703" s="96" t="s">
        <v>623</v>
      </c>
      <c r="F703" s="96" t="s">
        <v>624</v>
      </c>
      <c r="G703" s="99">
        <v>1700000</v>
      </c>
      <c r="H703" s="97">
        <v>9.1534650000000006</v>
      </c>
      <c r="I703" s="98">
        <v>15560890.5</v>
      </c>
      <c r="J703" s="97">
        <v>8.9797925000000003</v>
      </c>
      <c r="K703" s="98">
        <v>295243.25</v>
      </c>
      <c r="L703" s="99">
        <v>0</v>
      </c>
      <c r="M703" s="98">
        <v>0</v>
      </c>
      <c r="N703" s="99">
        <v>0</v>
      </c>
      <c r="O703" s="98">
        <v>0</v>
      </c>
      <c r="P703" s="99">
        <v>1700000</v>
      </c>
      <c r="Q703" s="98">
        <v>15560890.5</v>
      </c>
      <c r="R703" s="96" t="s">
        <v>625</v>
      </c>
      <c r="S703" s="96">
        <v>7414000005</v>
      </c>
      <c r="AA703" s="129">
        <v>2000424</v>
      </c>
      <c r="AB703" s="130">
        <v>4443331.693763</v>
      </c>
      <c r="AC703" s="130">
        <v>4443331.693763</v>
      </c>
    </row>
    <row r="704" spans="1:29" x14ac:dyDescent="0.25">
      <c r="A704" t="str">
        <f t="shared" si="11"/>
        <v xml:space="preserve">147311BLADEX 24           </v>
      </c>
      <c r="B704" s="96">
        <v>147311</v>
      </c>
      <c r="C704" s="96" t="s">
        <v>721</v>
      </c>
      <c r="D704" s="96" t="s">
        <v>554</v>
      </c>
      <c r="E704" s="96" t="s">
        <v>623</v>
      </c>
      <c r="F704" s="96" t="s">
        <v>624</v>
      </c>
      <c r="G704" s="99">
        <v>140000</v>
      </c>
      <c r="H704" s="97">
        <v>8.3813510000000004</v>
      </c>
      <c r="I704" s="98">
        <v>1173389.1399999999</v>
      </c>
      <c r="J704" s="97">
        <v>8.2700011300000007</v>
      </c>
      <c r="K704" s="98">
        <v>15588.9818</v>
      </c>
      <c r="L704" s="99">
        <v>0</v>
      </c>
      <c r="M704" s="98">
        <v>0</v>
      </c>
      <c r="N704" s="99">
        <v>0</v>
      </c>
      <c r="O704" s="98">
        <v>0</v>
      </c>
      <c r="P704" s="99">
        <v>140000</v>
      </c>
      <c r="Q704" s="98">
        <v>1173389.1399999999</v>
      </c>
      <c r="R704" s="96" t="s">
        <v>625</v>
      </c>
      <c r="S704" s="96">
        <v>7414000005</v>
      </c>
      <c r="AA704" s="131" t="s">
        <v>480</v>
      </c>
      <c r="AB704" s="130">
        <v>8197.853889</v>
      </c>
      <c r="AC704" s="130">
        <v>8197.853889</v>
      </c>
    </row>
    <row r="705" spans="1:29" x14ac:dyDescent="0.25">
      <c r="A705" t="str">
        <f t="shared" si="11"/>
        <v xml:space="preserve">147311CETES 250206        </v>
      </c>
      <c r="B705" s="96">
        <v>147311</v>
      </c>
      <c r="C705" s="96" t="s">
        <v>721</v>
      </c>
      <c r="D705" s="96" t="s">
        <v>613</v>
      </c>
      <c r="E705" s="96" t="s">
        <v>623</v>
      </c>
      <c r="F705" s="96" t="s">
        <v>624</v>
      </c>
      <c r="G705" s="99">
        <v>206800</v>
      </c>
      <c r="H705" s="97">
        <v>8.2580650000000002</v>
      </c>
      <c r="I705" s="98">
        <v>1707767.8419999999</v>
      </c>
      <c r="J705" s="97">
        <v>8.2115149400000007</v>
      </c>
      <c r="K705" s="98">
        <v>9626.5524079999996</v>
      </c>
      <c r="L705" s="99">
        <v>0</v>
      </c>
      <c r="M705" s="98">
        <v>0</v>
      </c>
      <c r="N705" s="99">
        <v>0</v>
      </c>
      <c r="O705" s="98">
        <v>0</v>
      </c>
      <c r="P705" s="99">
        <v>206800</v>
      </c>
      <c r="Q705" s="98">
        <v>1707767.8419999999</v>
      </c>
      <c r="R705" s="96" t="s">
        <v>625</v>
      </c>
      <c r="S705" s="96">
        <v>7414000005</v>
      </c>
      <c r="AA705" s="131" t="s">
        <v>413</v>
      </c>
      <c r="AB705" s="130">
        <v>1622635.4617600001</v>
      </c>
      <c r="AC705" s="130">
        <v>1622635.4617600001</v>
      </c>
    </row>
    <row r="706" spans="1:29" x14ac:dyDescent="0.25">
      <c r="A706" t="str">
        <f t="shared" si="11"/>
        <v xml:space="preserve">147311CETES 251224        </v>
      </c>
      <c r="B706" s="96">
        <v>147311</v>
      </c>
      <c r="C706" s="96" t="s">
        <v>721</v>
      </c>
      <c r="D706" s="96" t="s">
        <v>424</v>
      </c>
      <c r="E706" s="96" t="s">
        <v>623</v>
      </c>
      <c r="F706" s="96" t="s">
        <v>624</v>
      </c>
      <c r="G706" s="99">
        <v>6160</v>
      </c>
      <c r="H706" s="97">
        <v>93.248425999999995</v>
      </c>
      <c r="I706" s="98">
        <v>574410.30416000006</v>
      </c>
      <c r="J706" s="97">
        <v>97.17965882</v>
      </c>
      <c r="K706" s="98">
        <v>-24216.394171200001</v>
      </c>
      <c r="L706" s="99">
        <v>0</v>
      </c>
      <c r="M706" s="98">
        <v>0</v>
      </c>
      <c r="N706" s="99">
        <v>0</v>
      </c>
      <c r="O706" s="98">
        <v>0</v>
      </c>
      <c r="P706" s="99">
        <v>6160</v>
      </c>
      <c r="Q706" s="98">
        <v>574410.30416000006</v>
      </c>
      <c r="R706" s="96" t="s">
        <v>625</v>
      </c>
      <c r="S706" s="96">
        <v>7414000005</v>
      </c>
      <c r="AA706" s="131" t="s">
        <v>414</v>
      </c>
      <c r="AB706" s="130">
        <v>2594363.5223039999</v>
      </c>
      <c r="AC706" s="130">
        <v>2594363.5223039999</v>
      </c>
    </row>
    <row r="707" spans="1:29" x14ac:dyDescent="0.25">
      <c r="A707" t="str">
        <f t="shared" si="11"/>
        <v xml:space="preserve">147311CETES 260219        </v>
      </c>
      <c r="B707" s="96">
        <v>147311</v>
      </c>
      <c r="C707" s="96" t="s">
        <v>721</v>
      </c>
      <c r="D707" s="96" t="s">
        <v>366</v>
      </c>
      <c r="E707" s="96" t="s">
        <v>623</v>
      </c>
      <c r="F707" s="96" t="s">
        <v>624</v>
      </c>
      <c r="G707" s="99">
        <v>0</v>
      </c>
      <c r="H707" s="97">
        <v>0</v>
      </c>
      <c r="I707" s="98">
        <v>61019763.859999999</v>
      </c>
      <c r="J707" s="97">
        <v>0</v>
      </c>
      <c r="K707" s="98">
        <v>0</v>
      </c>
      <c r="L707" s="99">
        <v>0</v>
      </c>
      <c r="M707" s="98">
        <v>0</v>
      </c>
      <c r="N707" s="99">
        <v>0</v>
      </c>
      <c r="O707" s="98">
        <v>0</v>
      </c>
      <c r="P707" s="99">
        <v>0</v>
      </c>
      <c r="Q707" s="98">
        <v>61019763.859999999</v>
      </c>
      <c r="R707" s="96" t="s">
        <v>625</v>
      </c>
      <c r="S707" s="96">
        <v>7414000005</v>
      </c>
      <c r="AA707" s="131" t="s">
        <v>415</v>
      </c>
      <c r="AB707" s="130">
        <v>884.57416000000001</v>
      </c>
      <c r="AC707" s="130">
        <v>884.57416000000001</v>
      </c>
    </row>
    <row r="708" spans="1:29" x14ac:dyDescent="0.25">
      <c r="A708" t="str">
        <f t="shared" si="11"/>
        <v xml:space="preserve">147311CFE 14-2            </v>
      </c>
      <c r="B708" s="96">
        <v>147311</v>
      </c>
      <c r="C708" s="96" t="s">
        <v>721</v>
      </c>
      <c r="D708" s="96" t="s">
        <v>378</v>
      </c>
      <c r="E708" s="96" t="s">
        <v>623</v>
      </c>
      <c r="F708" s="96" t="s">
        <v>624</v>
      </c>
      <c r="G708" s="99">
        <v>10923</v>
      </c>
      <c r="H708" s="97">
        <v>91.911821000000003</v>
      </c>
      <c r="I708" s="98">
        <v>1003952.820783</v>
      </c>
      <c r="J708" s="97">
        <v>99.894493202676003</v>
      </c>
      <c r="K708" s="98">
        <v>-87194.728469830006</v>
      </c>
      <c r="L708" s="99">
        <v>0</v>
      </c>
      <c r="M708" s="98">
        <v>0</v>
      </c>
      <c r="N708" s="99">
        <v>0</v>
      </c>
      <c r="O708" s="98">
        <v>0</v>
      </c>
      <c r="P708" s="99">
        <v>10923</v>
      </c>
      <c r="Q708" s="98">
        <v>1003952.820783</v>
      </c>
      <c r="R708" s="96" t="s">
        <v>625</v>
      </c>
      <c r="S708" s="96">
        <v>7414000005</v>
      </c>
      <c r="AA708" s="131" t="s">
        <v>416</v>
      </c>
      <c r="AB708" s="130">
        <v>217250.28164999999</v>
      </c>
      <c r="AC708" s="130">
        <v>217250.28164999999</v>
      </c>
    </row>
    <row r="709" spans="1:29" x14ac:dyDescent="0.25">
      <c r="A709" t="str">
        <f t="shared" si="11"/>
        <v>147311EFECTIVO</v>
      </c>
      <c r="B709" s="96">
        <v>147311</v>
      </c>
      <c r="C709" s="96" t="s">
        <v>721</v>
      </c>
      <c r="D709" s="96" t="s">
        <v>379</v>
      </c>
      <c r="E709" s="96" t="s">
        <v>623</v>
      </c>
      <c r="F709" s="96" t="s">
        <v>624</v>
      </c>
      <c r="G709" s="99">
        <v>51482</v>
      </c>
      <c r="H709" s="97">
        <v>88.698122999999995</v>
      </c>
      <c r="I709" s="98">
        <v>4566356.768286</v>
      </c>
      <c r="J709" s="97">
        <v>88.069429229509538</v>
      </c>
      <c r="K709" s="98">
        <v>32366.41269239</v>
      </c>
      <c r="L709" s="99">
        <v>0</v>
      </c>
      <c r="M709" s="98">
        <v>0</v>
      </c>
      <c r="N709" s="99">
        <v>0</v>
      </c>
      <c r="O709" s="98">
        <v>0</v>
      </c>
      <c r="P709" s="99">
        <v>51482</v>
      </c>
      <c r="Q709" s="98">
        <v>4566356.768286</v>
      </c>
      <c r="R709" s="96" t="s">
        <v>625</v>
      </c>
      <c r="S709" s="96">
        <v>7414000005</v>
      </c>
      <c r="AA709" s="129">
        <v>2000465</v>
      </c>
      <c r="AB709" s="130">
        <v>34935585.610114001</v>
      </c>
      <c r="AC709" s="130">
        <v>34935585.610114001</v>
      </c>
    </row>
    <row r="710" spans="1:29" x14ac:dyDescent="0.25">
      <c r="A710" t="str">
        <f t="shared" si="11"/>
        <v xml:space="preserve">147311GOBFED 260305       </v>
      </c>
      <c r="B710" s="96">
        <v>147311</v>
      </c>
      <c r="C710" s="96" t="s">
        <v>721</v>
      </c>
      <c r="D710" s="96" t="s">
        <v>380</v>
      </c>
      <c r="E710" s="96" t="s">
        <v>623</v>
      </c>
      <c r="F710" s="96" t="s">
        <v>624</v>
      </c>
      <c r="G710" s="99">
        <v>87876</v>
      </c>
      <c r="H710" s="97">
        <v>93.314192000000006</v>
      </c>
      <c r="I710" s="98">
        <v>8200077.9361920003</v>
      </c>
      <c r="J710" s="97">
        <v>95.62696583153307</v>
      </c>
      <c r="K710" s="98">
        <v>-203237.31321980001</v>
      </c>
      <c r="L710" s="99">
        <v>0</v>
      </c>
      <c r="M710" s="98">
        <v>0</v>
      </c>
      <c r="N710" s="99">
        <v>0</v>
      </c>
      <c r="O710" s="98">
        <v>0</v>
      </c>
      <c r="P710" s="99">
        <v>87876</v>
      </c>
      <c r="Q710" s="98">
        <v>8200077.9361920003</v>
      </c>
      <c r="R710" s="96" t="s">
        <v>625</v>
      </c>
      <c r="S710" s="96">
        <v>7414000005</v>
      </c>
      <c r="AA710" s="131" t="s">
        <v>389</v>
      </c>
      <c r="AB710" s="130">
        <v>18162706.325828001</v>
      </c>
      <c r="AC710" s="130">
        <v>18162706.325828001</v>
      </c>
    </row>
    <row r="711" spans="1:29" x14ac:dyDescent="0.25">
      <c r="A711" t="str">
        <f t="shared" ref="A711:A774" si="12">B709&amp;D709</f>
        <v xml:space="preserve">147311GOBFED 270304       </v>
      </c>
      <c r="B711" s="96">
        <v>147311</v>
      </c>
      <c r="C711" s="96" t="s">
        <v>721</v>
      </c>
      <c r="D711" s="96" t="s">
        <v>507</v>
      </c>
      <c r="E711" s="96" t="s">
        <v>623</v>
      </c>
      <c r="F711" s="96" t="s">
        <v>624</v>
      </c>
      <c r="G711" s="99">
        <v>35860</v>
      </c>
      <c r="H711" s="97">
        <v>94.864168000000006</v>
      </c>
      <c r="I711" s="98">
        <v>3401829.0644800002</v>
      </c>
      <c r="J711" s="97">
        <v>96.263034200000007</v>
      </c>
      <c r="K711" s="98">
        <v>-50163.341932000003</v>
      </c>
      <c r="L711" s="99">
        <v>0</v>
      </c>
      <c r="M711" s="98">
        <v>0</v>
      </c>
      <c r="N711" s="99">
        <v>0</v>
      </c>
      <c r="O711" s="98">
        <v>0</v>
      </c>
      <c r="P711" s="99">
        <v>35860</v>
      </c>
      <c r="Q711" s="98">
        <v>3401829.0644800002</v>
      </c>
      <c r="R711" s="96" t="s">
        <v>625</v>
      </c>
      <c r="S711" s="96">
        <v>7414000005</v>
      </c>
      <c r="AA711" s="131" t="s">
        <v>396</v>
      </c>
      <c r="AB711" s="130">
        <v>0</v>
      </c>
      <c r="AC711" s="130">
        <v>0</v>
      </c>
    </row>
    <row r="712" spans="1:29" x14ac:dyDescent="0.25">
      <c r="A712" t="str">
        <f t="shared" si="12"/>
        <v xml:space="preserve">147311GOBFED 270603       </v>
      </c>
      <c r="B712" s="96">
        <v>147311</v>
      </c>
      <c r="C712" s="96" t="s">
        <v>721</v>
      </c>
      <c r="D712" s="96" t="s">
        <v>381</v>
      </c>
      <c r="E712" s="96" t="s">
        <v>623</v>
      </c>
      <c r="F712" s="96" t="s">
        <v>624</v>
      </c>
      <c r="G712" s="99">
        <v>151300</v>
      </c>
      <c r="H712" s="97">
        <v>94.870157000000006</v>
      </c>
      <c r="I712" s="98">
        <v>14353854.7541</v>
      </c>
      <c r="J712" s="97">
        <v>97.211223897195637</v>
      </c>
      <c r="K712" s="98">
        <v>-354203.4215457</v>
      </c>
      <c r="L712" s="99">
        <v>0</v>
      </c>
      <c r="M712" s="98">
        <v>0</v>
      </c>
      <c r="N712" s="99">
        <v>0</v>
      </c>
      <c r="O712" s="98">
        <v>0</v>
      </c>
      <c r="P712" s="99">
        <v>151300</v>
      </c>
      <c r="Q712" s="98">
        <v>14353854.7541</v>
      </c>
      <c r="R712" s="96" t="s">
        <v>625</v>
      </c>
      <c r="S712" s="96">
        <v>7414000005</v>
      </c>
      <c r="AA712" s="131" t="s">
        <v>417</v>
      </c>
      <c r="AB712" s="130">
        <v>5302462.829384</v>
      </c>
      <c r="AC712" s="130">
        <v>5302462.829384</v>
      </c>
    </row>
    <row r="713" spans="1:29" x14ac:dyDescent="0.25">
      <c r="A713" t="str">
        <f t="shared" si="12"/>
        <v xml:space="preserve">147311GOBFED 290301       </v>
      </c>
      <c r="B713" s="96">
        <v>147311</v>
      </c>
      <c r="C713" s="96" t="s">
        <v>721</v>
      </c>
      <c r="D713" s="96" t="s">
        <v>382</v>
      </c>
      <c r="E713" s="96" t="s">
        <v>623</v>
      </c>
      <c r="F713" s="96" t="s">
        <v>624</v>
      </c>
      <c r="G713" s="99">
        <v>199144</v>
      </c>
      <c r="H713" s="97">
        <v>89.489464999999996</v>
      </c>
      <c r="I713" s="98">
        <v>17821290.017960001</v>
      </c>
      <c r="J713" s="97">
        <v>92.85697234501572</v>
      </c>
      <c r="K713" s="98">
        <v>-670618.88271580997</v>
      </c>
      <c r="L713" s="99">
        <v>0</v>
      </c>
      <c r="M713" s="98">
        <v>0</v>
      </c>
      <c r="N713" s="99">
        <v>0</v>
      </c>
      <c r="O713" s="98">
        <v>0</v>
      </c>
      <c r="P713" s="99">
        <v>199144</v>
      </c>
      <c r="Q713" s="98">
        <v>17821290.017960001</v>
      </c>
      <c r="R713" s="96" t="s">
        <v>625</v>
      </c>
      <c r="S713" s="96">
        <v>7414000005</v>
      </c>
      <c r="AA713" s="131" t="s">
        <v>407</v>
      </c>
      <c r="AB713" s="130">
        <v>11470416.454902001</v>
      </c>
      <c r="AC713" s="130">
        <v>11470416.454902001</v>
      </c>
    </row>
    <row r="714" spans="1:29" x14ac:dyDescent="0.25">
      <c r="A714" t="str">
        <f t="shared" si="12"/>
        <v xml:space="preserve">147311GOBFED 290531       </v>
      </c>
      <c r="B714" s="96">
        <v>147311</v>
      </c>
      <c r="C714" s="96" t="s">
        <v>721</v>
      </c>
      <c r="D714" s="96" t="s">
        <v>383</v>
      </c>
      <c r="E714" s="96" t="s">
        <v>623</v>
      </c>
      <c r="F714" s="96" t="s">
        <v>624</v>
      </c>
      <c r="G714" s="99">
        <v>144987</v>
      </c>
      <c r="H714" s="97">
        <v>86.197128000000006</v>
      </c>
      <c r="I714" s="98">
        <v>12497462.997336</v>
      </c>
      <c r="J714" s="97">
        <v>91.969042462435738</v>
      </c>
      <c r="K714" s="98">
        <v>-836852.56216516998</v>
      </c>
      <c r="L714" s="99">
        <v>0</v>
      </c>
      <c r="M714" s="98">
        <v>0</v>
      </c>
      <c r="N714" s="99">
        <v>0</v>
      </c>
      <c r="O714" s="98">
        <v>0</v>
      </c>
      <c r="P714" s="99">
        <v>144987</v>
      </c>
      <c r="Q714" s="98">
        <v>12497462.997336</v>
      </c>
      <c r="R714" s="96" t="s">
        <v>625</v>
      </c>
      <c r="S714" s="96">
        <v>7414000005</v>
      </c>
      <c r="AA714" s="129">
        <v>2000467</v>
      </c>
      <c r="AB714" s="130">
        <v>22901377.689304002</v>
      </c>
      <c r="AC714" s="130">
        <v>22901377.689304002</v>
      </c>
    </row>
    <row r="715" spans="1:29" x14ac:dyDescent="0.25">
      <c r="A715" t="str">
        <f t="shared" si="12"/>
        <v xml:space="preserve">147311GOBFED 310529       </v>
      </c>
      <c r="B715" s="96">
        <v>147311</v>
      </c>
      <c r="C715" s="96" t="s">
        <v>721</v>
      </c>
      <c r="D715" s="96" t="s">
        <v>427</v>
      </c>
      <c r="E715" s="96" t="s">
        <v>623</v>
      </c>
      <c r="F715" s="96" t="s">
        <v>624</v>
      </c>
      <c r="G715" s="99">
        <v>55189</v>
      </c>
      <c r="H715" s="97">
        <v>86.469353999999996</v>
      </c>
      <c r="I715" s="98">
        <v>4772157.1779060001</v>
      </c>
      <c r="J715" s="97">
        <v>89.838096089999993</v>
      </c>
      <c r="K715" s="98">
        <v>-185917.50720501001</v>
      </c>
      <c r="L715" s="99">
        <v>0</v>
      </c>
      <c r="M715" s="98">
        <v>0</v>
      </c>
      <c r="N715" s="99">
        <v>0</v>
      </c>
      <c r="O715" s="98">
        <v>0</v>
      </c>
      <c r="P715" s="99">
        <v>55189</v>
      </c>
      <c r="Q715" s="98">
        <v>4772157.1779060001</v>
      </c>
      <c r="R715" s="96" t="s">
        <v>625</v>
      </c>
      <c r="S715" s="96">
        <v>7414000005</v>
      </c>
      <c r="AA715" s="131" t="s">
        <v>431</v>
      </c>
      <c r="AB715" s="130">
        <v>22901377.689304002</v>
      </c>
      <c r="AC715" s="130">
        <v>22901377.689304002</v>
      </c>
    </row>
    <row r="716" spans="1:29" x14ac:dyDescent="0.25">
      <c r="A716" t="str">
        <f t="shared" si="12"/>
        <v xml:space="preserve">147311GOBFED 330526       </v>
      </c>
      <c r="B716" s="96">
        <v>147311</v>
      </c>
      <c r="C716" s="96" t="s">
        <v>721</v>
      </c>
      <c r="D716" s="96" t="s">
        <v>429</v>
      </c>
      <c r="E716" s="96" t="s">
        <v>623</v>
      </c>
      <c r="F716" s="96" t="s">
        <v>624</v>
      </c>
      <c r="G716" s="99">
        <v>11200</v>
      </c>
      <c r="H716" s="97">
        <v>98.007834000000003</v>
      </c>
      <c r="I716" s="98">
        <v>1097687.7408</v>
      </c>
      <c r="J716" s="97">
        <v>92.657762245866067</v>
      </c>
      <c r="K716" s="98">
        <v>59920.803646300003</v>
      </c>
      <c r="L716" s="99">
        <v>0</v>
      </c>
      <c r="M716" s="98">
        <v>0</v>
      </c>
      <c r="N716" s="99">
        <v>0</v>
      </c>
      <c r="O716" s="98">
        <v>0</v>
      </c>
      <c r="P716" s="99">
        <v>11200</v>
      </c>
      <c r="Q716" s="98">
        <v>1097687.7408</v>
      </c>
      <c r="R716" s="96" t="s">
        <v>625</v>
      </c>
      <c r="S716" s="96">
        <v>7414000005</v>
      </c>
      <c r="AA716" s="129">
        <v>2000513</v>
      </c>
      <c r="AB716" s="130">
        <v>0</v>
      </c>
      <c r="AC716" s="130">
        <v>0</v>
      </c>
    </row>
    <row r="717" spans="1:29" x14ac:dyDescent="0.25">
      <c r="A717" t="str">
        <f t="shared" si="12"/>
        <v xml:space="preserve">147311GOBFED 341123       </v>
      </c>
      <c r="B717" s="96">
        <v>147311</v>
      </c>
      <c r="C717" s="96" t="s">
        <v>721</v>
      </c>
      <c r="D717" s="96" t="s">
        <v>437</v>
      </c>
      <c r="E717" s="96" t="s">
        <v>623</v>
      </c>
      <c r="F717" s="96" t="s">
        <v>624</v>
      </c>
      <c r="G717" s="99">
        <v>5690</v>
      </c>
      <c r="H717" s="97">
        <v>100.38890499999999</v>
      </c>
      <c r="I717" s="98">
        <v>571212.86945</v>
      </c>
      <c r="J717" s="97">
        <v>91.398345289999995</v>
      </c>
      <c r="K717" s="98">
        <v>51156.284749899998</v>
      </c>
      <c r="L717" s="99">
        <v>0</v>
      </c>
      <c r="M717" s="98">
        <v>0</v>
      </c>
      <c r="N717" s="99">
        <v>0</v>
      </c>
      <c r="O717" s="98">
        <v>0</v>
      </c>
      <c r="P717" s="99">
        <v>5690</v>
      </c>
      <c r="Q717" s="98">
        <v>571212.86945</v>
      </c>
      <c r="R717" s="96" t="s">
        <v>625</v>
      </c>
      <c r="S717" s="96">
        <v>7414000005</v>
      </c>
      <c r="AA717" s="131" t="s">
        <v>376</v>
      </c>
      <c r="AB717" s="130">
        <v>0</v>
      </c>
      <c r="AC717" s="130">
        <v>0</v>
      </c>
    </row>
    <row r="718" spans="1:29" x14ac:dyDescent="0.25">
      <c r="A718" t="str">
        <f t="shared" si="12"/>
        <v xml:space="preserve">147311PEMEX 13-2          </v>
      </c>
      <c r="B718" s="96">
        <v>147311</v>
      </c>
      <c r="C718" s="96" t="s">
        <v>721</v>
      </c>
      <c r="D718" s="96" t="s">
        <v>459</v>
      </c>
      <c r="E718" s="96" t="s">
        <v>623</v>
      </c>
      <c r="F718" s="96" t="s">
        <v>624</v>
      </c>
      <c r="G718" s="99">
        <v>13600000</v>
      </c>
      <c r="H718" s="97">
        <v>4.5848760000000004</v>
      </c>
      <c r="I718" s="98">
        <v>62354313.600000001</v>
      </c>
      <c r="J718" s="97">
        <v>3.4178773522058825</v>
      </c>
      <c r="K718" s="98">
        <v>15871181.609999999</v>
      </c>
      <c r="L718" s="99">
        <v>0</v>
      </c>
      <c r="M718" s="98">
        <v>0</v>
      </c>
      <c r="N718" s="99">
        <v>0</v>
      </c>
      <c r="O718" s="98">
        <v>0</v>
      </c>
      <c r="P718" s="99">
        <v>13600000</v>
      </c>
      <c r="Q718" s="98">
        <v>62354313.600000001</v>
      </c>
      <c r="R718" s="96" t="s">
        <v>625</v>
      </c>
      <c r="S718" s="96">
        <v>7414000005</v>
      </c>
      <c r="AA718" s="131" t="s">
        <v>382</v>
      </c>
      <c r="AB718" s="130">
        <v>0</v>
      </c>
      <c r="AC718" s="130">
        <v>0</v>
      </c>
    </row>
    <row r="719" spans="1:29" x14ac:dyDescent="0.25">
      <c r="A719" t="str">
        <f t="shared" si="12"/>
        <v xml:space="preserve">147311PEMEX 19            </v>
      </c>
      <c r="B719" s="96">
        <v>147311</v>
      </c>
      <c r="C719" s="96" t="s">
        <v>721</v>
      </c>
      <c r="D719" s="96" t="s">
        <v>391</v>
      </c>
      <c r="E719" s="96" t="s">
        <v>623</v>
      </c>
      <c r="F719" s="96" t="s">
        <v>624</v>
      </c>
      <c r="G719" s="99">
        <v>331</v>
      </c>
      <c r="H719" s="97">
        <v>775.69178699999998</v>
      </c>
      <c r="I719" s="98">
        <v>256753.981497</v>
      </c>
      <c r="J719" s="97">
        <v>766.69784126000002</v>
      </c>
      <c r="K719" s="98">
        <v>2976.9960399400002</v>
      </c>
      <c r="L719" s="99">
        <v>0</v>
      </c>
      <c r="M719" s="98">
        <v>0</v>
      </c>
      <c r="N719" s="99">
        <v>0</v>
      </c>
      <c r="O719" s="98">
        <v>0</v>
      </c>
      <c r="P719" s="99">
        <v>331</v>
      </c>
      <c r="Q719" s="98">
        <v>256753.981497</v>
      </c>
      <c r="R719" s="96" t="s">
        <v>625</v>
      </c>
      <c r="S719" s="96">
        <v>7414000005</v>
      </c>
      <c r="AA719" s="131" t="s">
        <v>396</v>
      </c>
      <c r="AB719" s="130">
        <v>0</v>
      </c>
      <c r="AC719" s="130">
        <v>0</v>
      </c>
    </row>
    <row r="720" spans="1:29" x14ac:dyDescent="0.25">
      <c r="A720" t="str">
        <f t="shared" si="12"/>
        <v xml:space="preserve">147311STER-OP ED          </v>
      </c>
      <c r="B720" s="96">
        <v>147311</v>
      </c>
      <c r="C720" s="96" t="s">
        <v>721</v>
      </c>
      <c r="D720" s="96" t="s">
        <v>393</v>
      </c>
      <c r="E720" s="96" t="s">
        <v>623</v>
      </c>
      <c r="F720" s="96" t="s">
        <v>624</v>
      </c>
      <c r="G720" s="99">
        <v>5</v>
      </c>
      <c r="H720" s="97">
        <v>765.92388300000005</v>
      </c>
      <c r="I720" s="98">
        <v>3829.6194150000001</v>
      </c>
      <c r="J720" s="97">
        <v>762.50221063000004</v>
      </c>
      <c r="K720" s="98">
        <v>17.108361850000001</v>
      </c>
      <c r="L720" s="99">
        <v>0</v>
      </c>
      <c r="M720" s="98">
        <v>0</v>
      </c>
      <c r="N720" s="99">
        <v>0</v>
      </c>
      <c r="O720" s="98">
        <v>0</v>
      </c>
      <c r="P720" s="99">
        <v>5</v>
      </c>
      <c r="Q720" s="98">
        <v>3829.6194150000001</v>
      </c>
      <c r="R720" s="96" t="s">
        <v>625</v>
      </c>
      <c r="S720" s="96">
        <v>7414000005</v>
      </c>
      <c r="AA720" s="129">
        <v>2000534</v>
      </c>
      <c r="AB720" s="130">
        <v>437.32162499999998</v>
      </c>
      <c r="AC720" s="130">
        <v>437.32162499999998</v>
      </c>
    </row>
    <row r="721" spans="1:29" x14ac:dyDescent="0.25">
      <c r="A721" t="str">
        <f t="shared" si="12"/>
        <v xml:space="preserve">147311UDIBONO 251204      </v>
      </c>
      <c r="B721" s="96">
        <v>147311</v>
      </c>
      <c r="C721" s="96" t="s">
        <v>721</v>
      </c>
      <c r="D721" s="96" t="s">
        <v>394</v>
      </c>
      <c r="E721" s="96" t="s">
        <v>623</v>
      </c>
      <c r="F721" s="96" t="s">
        <v>624</v>
      </c>
      <c r="G721" s="99">
        <v>1770</v>
      </c>
      <c r="H721" s="97">
        <v>684.88915799999995</v>
      </c>
      <c r="I721" s="98">
        <v>1212253.80966</v>
      </c>
      <c r="J721" s="97">
        <v>700.97292315000004</v>
      </c>
      <c r="K721" s="98">
        <v>-28468.264315500001</v>
      </c>
      <c r="L721" s="99">
        <v>0</v>
      </c>
      <c r="M721" s="98">
        <v>0</v>
      </c>
      <c r="N721" s="99">
        <v>0</v>
      </c>
      <c r="O721" s="98">
        <v>0</v>
      </c>
      <c r="P721" s="99">
        <v>1770</v>
      </c>
      <c r="Q721" s="98">
        <v>1212253.80966</v>
      </c>
      <c r="R721" s="96" t="s">
        <v>625</v>
      </c>
      <c r="S721" s="96">
        <v>7414000005</v>
      </c>
      <c r="AA721" s="131" t="s">
        <v>411</v>
      </c>
      <c r="AB721" s="130">
        <v>437.32162499999998</v>
      </c>
      <c r="AC721" s="130">
        <v>437.32162499999998</v>
      </c>
    </row>
    <row r="722" spans="1:29" x14ac:dyDescent="0.25">
      <c r="A722" t="str">
        <f t="shared" si="12"/>
        <v xml:space="preserve">147311UDIBONO 281130      </v>
      </c>
      <c r="B722" s="96">
        <v>147312</v>
      </c>
      <c r="C722" s="96" t="s">
        <v>722</v>
      </c>
      <c r="D722" s="96" t="s">
        <v>552</v>
      </c>
      <c r="E722" s="96" t="s">
        <v>623</v>
      </c>
      <c r="F722" s="96" t="s">
        <v>624</v>
      </c>
      <c r="G722" s="99">
        <v>3880</v>
      </c>
      <c r="H722" s="97">
        <v>100.000484</v>
      </c>
      <c r="I722" s="98">
        <v>388001.87792</v>
      </c>
      <c r="J722" s="97">
        <v>100</v>
      </c>
      <c r="K722" s="98">
        <v>1.87792</v>
      </c>
      <c r="L722" s="99">
        <v>0</v>
      </c>
      <c r="M722" s="98">
        <v>0</v>
      </c>
      <c r="N722" s="99">
        <v>0</v>
      </c>
      <c r="O722" s="98">
        <v>0</v>
      </c>
      <c r="P722" s="99">
        <v>3880</v>
      </c>
      <c r="Q722" s="98">
        <v>388001.87792</v>
      </c>
      <c r="R722" s="96" t="s">
        <v>625</v>
      </c>
      <c r="S722" s="96">
        <v>7414000005</v>
      </c>
      <c r="AA722" s="129">
        <v>2000554</v>
      </c>
      <c r="AB722" s="130">
        <v>15505122.864607999</v>
      </c>
      <c r="AC722" s="130">
        <v>15505122.864607999</v>
      </c>
    </row>
    <row r="723" spans="1:29" x14ac:dyDescent="0.25">
      <c r="A723" t="str">
        <f t="shared" si="12"/>
        <v xml:space="preserve">147311UDIBONO 311127      </v>
      </c>
      <c r="B723" s="96">
        <v>147312</v>
      </c>
      <c r="C723" s="96" t="s">
        <v>722</v>
      </c>
      <c r="D723" s="96" t="s">
        <v>556</v>
      </c>
      <c r="E723" s="96" t="s">
        <v>623</v>
      </c>
      <c r="F723" s="96" t="s">
        <v>624</v>
      </c>
      <c r="G723" s="99">
        <v>300000</v>
      </c>
      <c r="H723" s="97">
        <v>9.1534650000000006</v>
      </c>
      <c r="I723" s="98">
        <v>2746039.5</v>
      </c>
      <c r="J723" s="97">
        <v>8.9797925000000003</v>
      </c>
      <c r="K723" s="98">
        <v>52101.75</v>
      </c>
      <c r="L723" s="99">
        <v>0</v>
      </c>
      <c r="M723" s="98">
        <v>0</v>
      </c>
      <c r="N723" s="99">
        <v>0</v>
      </c>
      <c r="O723" s="98">
        <v>0</v>
      </c>
      <c r="P723" s="99">
        <v>300000</v>
      </c>
      <c r="Q723" s="98">
        <v>2746039.5</v>
      </c>
      <c r="R723" s="96" t="s">
        <v>625</v>
      </c>
      <c r="S723" s="96">
        <v>7414000005</v>
      </c>
      <c r="AA723" s="131" t="s">
        <v>389</v>
      </c>
      <c r="AB723" s="130">
        <v>15505122.864607999</v>
      </c>
      <c r="AC723" s="130">
        <v>15505122.864607999</v>
      </c>
    </row>
    <row r="724" spans="1:29" x14ac:dyDescent="0.25">
      <c r="A724" t="str">
        <f t="shared" si="12"/>
        <v xml:space="preserve">147312BLADEX 24           </v>
      </c>
      <c r="B724" s="96">
        <v>147312</v>
      </c>
      <c r="C724" s="96" t="s">
        <v>722</v>
      </c>
      <c r="D724" s="96" t="s">
        <v>554</v>
      </c>
      <c r="E724" s="96" t="s">
        <v>623</v>
      </c>
      <c r="F724" s="96" t="s">
        <v>624</v>
      </c>
      <c r="G724" s="99">
        <v>25000</v>
      </c>
      <c r="H724" s="97">
        <v>8.3813510000000004</v>
      </c>
      <c r="I724" s="98">
        <v>209533.77499999999</v>
      </c>
      <c r="J724" s="97">
        <v>8.2700011300000007</v>
      </c>
      <c r="K724" s="98">
        <v>2783.7467499999998</v>
      </c>
      <c r="L724" s="99">
        <v>0</v>
      </c>
      <c r="M724" s="98">
        <v>0</v>
      </c>
      <c r="N724" s="99">
        <v>0</v>
      </c>
      <c r="O724" s="98">
        <v>0</v>
      </c>
      <c r="P724" s="99">
        <v>25000</v>
      </c>
      <c r="Q724" s="98">
        <v>209533.77499999999</v>
      </c>
      <c r="R724" s="96" t="s">
        <v>625</v>
      </c>
      <c r="S724" s="96">
        <v>7414000005</v>
      </c>
      <c r="AA724" s="129">
        <v>2000569</v>
      </c>
      <c r="AB724" s="130">
        <v>16110805.096042</v>
      </c>
      <c r="AC724" s="130">
        <v>16110805.096042</v>
      </c>
    </row>
    <row r="725" spans="1:29" x14ac:dyDescent="0.25">
      <c r="A725" t="str">
        <f t="shared" si="12"/>
        <v xml:space="preserve">147312CETES 250206        </v>
      </c>
      <c r="B725" s="96">
        <v>147312</v>
      </c>
      <c r="C725" s="96" t="s">
        <v>722</v>
      </c>
      <c r="D725" s="96" t="s">
        <v>613</v>
      </c>
      <c r="E725" s="96" t="s">
        <v>623</v>
      </c>
      <c r="F725" s="96" t="s">
        <v>624</v>
      </c>
      <c r="G725" s="99">
        <v>37900</v>
      </c>
      <c r="H725" s="97">
        <v>8.2580650000000002</v>
      </c>
      <c r="I725" s="98">
        <v>312980.66350000002</v>
      </c>
      <c r="J725" s="97">
        <v>8.2115149400000007</v>
      </c>
      <c r="K725" s="98">
        <v>1764.2472740000001</v>
      </c>
      <c r="L725" s="99">
        <v>0</v>
      </c>
      <c r="M725" s="98">
        <v>0</v>
      </c>
      <c r="N725" s="99">
        <v>0</v>
      </c>
      <c r="O725" s="98">
        <v>0</v>
      </c>
      <c r="P725" s="99">
        <v>37900</v>
      </c>
      <c r="Q725" s="98">
        <v>312980.66350000002</v>
      </c>
      <c r="R725" s="96" t="s">
        <v>625</v>
      </c>
      <c r="S725" s="96">
        <v>7414000005</v>
      </c>
      <c r="AA725" s="131" t="s">
        <v>473</v>
      </c>
      <c r="AB725" s="130">
        <v>16110805.096042</v>
      </c>
      <c r="AC725" s="130">
        <v>16110805.096042</v>
      </c>
    </row>
    <row r="726" spans="1:29" x14ac:dyDescent="0.25">
      <c r="A726" t="str">
        <f t="shared" si="12"/>
        <v xml:space="preserve">147312CETES 251224        </v>
      </c>
      <c r="B726" s="96">
        <v>147312</v>
      </c>
      <c r="C726" s="96" t="s">
        <v>722</v>
      </c>
      <c r="D726" s="96" t="s">
        <v>424</v>
      </c>
      <c r="E726" s="96" t="s">
        <v>623</v>
      </c>
      <c r="F726" s="96" t="s">
        <v>624</v>
      </c>
      <c r="G726" s="99">
        <v>940</v>
      </c>
      <c r="H726" s="97">
        <v>93.248425999999995</v>
      </c>
      <c r="I726" s="98">
        <v>87653.520439999993</v>
      </c>
      <c r="J726" s="97">
        <v>97.17965882</v>
      </c>
      <c r="K726" s="98">
        <v>-3695.3588507999998</v>
      </c>
      <c r="L726" s="99">
        <v>0</v>
      </c>
      <c r="M726" s="98">
        <v>0</v>
      </c>
      <c r="N726" s="99">
        <v>0</v>
      </c>
      <c r="O726" s="98">
        <v>0</v>
      </c>
      <c r="P726" s="99">
        <v>940</v>
      </c>
      <c r="Q726" s="98">
        <v>87653.520439999993</v>
      </c>
      <c r="R726" s="96" t="s">
        <v>625</v>
      </c>
      <c r="S726" s="96">
        <v>7414000005</v>
      </c>
      <c r="AA726" s="129">
        <v>2000574</v>
      </c>
      <c r="AB726" s="130">
        <v>6247804.5492439996</v>
      </c>
      <c r="AC726" s="130">
        <v>6247804.5492439996</v>
      </c>
    </row>
    <row r="727" spans="1:29" x14ac:dyDescent="0.25">
      <c r="A727" t="str">
        <f t="shared" si="12"/>
        <v xml:space="preserve">147312CETES 260219        </v>
      </c>
      <c r="B727" s="96">
        <v>147312</v>
      </c>
      <c r="C727" s="96" t="s">
        <v>722</v>
      </c>
      <c r="D727" s="96" t="s">
        <v>366</v>
      </c>
      <c r="E727" s="96" t="s">
        <v>623</v>
      </c>
      <c r="F727" s="96" t="s">
        <v>624</v>
      </c>
      <c r="G727" s="99">
        <v>0</v>
      </c>
      <c r="H727" s="97">
        <v>0</v>
      </c>
      <c r="I727" s="98">
        <v>9580196.5500000007</v>
      </c>
      <c r="J727" s="97">
        <v>0</v>
      </c>
      <c r="K727" s="98">
        <v>0</v>
      </c>
      <c r="L727" s="99">
        <v>0</v>
      </c>
      <c r="M727" s="98">
        <v>0</v>
      </c>
      <c r="N727" s="99">
        <v>0</v>
      </c>
      <c r="O727" s="98">
        <v>0</v>
      </c>
      <c r="P727" s="99">
        <v>0</v>
      </c>
      <c r="Q727" s="98">
        <v>9580196.5500000007</v>
      </c>
      <c r="R727" s="96" t="s">
        <v>625</v>
      </c>
      <c r="S727" s="96">
        <v>7414000005</v>
      </c>
      <c r="AA727" s="131" t="s">
        <v>389</v>
      </c>
      <c r="AB727" s="130">
        <v>8247.3624159999999</v>
      </c>
      <c r="AC727" s="130">
        <v>8247.3624159999999</v>
      </c>
    </row>
    <row r="728" spans="1:29" x14ac:dyDescent="0.25">
      <c r="A728" t="str">
        <f t="shared" si="12"/>
        <v xml:space="preserve">147312CFE 14-2            </v>
      </c>
      <c r="B728" s="96">
        <v>147312</v>
      </c>
      <c r="C728" s="96" t="s">
        <v>722</v>
      </c>
      <c r="D728" s="96" t="s">
        <v>378</v>
      </c>
      <c r="E728" s="96" t="s">
        <v>623</v>
      </c>
      <c r="F728" s="96" t="s">
        <v>624</v>
      </c>
      <c r="G728" s="99">
        <v>2160</v>
      </c>
      <c r="H728" s="97">
        <v>91.911821000000003</v>
      </c>
      <c r="I728" s="98">
        <v>198529.53336</v>
      </c>
      <c r="J728" s="97">
        <v>100.6372491099074</v>
      </c>
      <c r="K728" s="98">
        <v>-18846.924717400001</v>
      </c>
      <c r="L728" s="99">
        <v>0</v>
      </c>
      <c r="M728" s="98">
        <v>0</v>
      </c>
      <c r="N728" s="99">
        <v>0</v>
      </c>
      <c r="O728" s="98">
        <v>0</v>
      </c>
      <c r="P728" s="99">
        <v>2160</v>
      </c>
      <c r="Q728" s="98">
        <v>198529.53336</v>
      </c>
      <c r="R728" s="96" t="s">
        <v>625</v>
      </c>
      <c r="S728" s="96">
        <v>7414000005</v>
      </c>
      <c r="AA728" s="131" t="s">
        <v>567</v>
      </c>
      <c r="AB728" s="130">
        <v>6239557.1868279995</v>
      </c>
      <c r="AC728" s="130">
        <v>6239557.1868279995</v>
      </c>
    </row>
    <row r="729" spans="1:29" x14ac:dyDescent="0.25">
      <c r="A729" t="str">
        <f t="shared" si="12"/>
        <v>147312EFECTIVO</v>
      </c>
      <c r="B729" s="96">
        <v>147312</v>
      </c>
      <c r="C729" s="96" t="s">
        <v>722</v>
      </c>
      <c r="D729" s="96" t="s">
        <v>379</v>
      </c>
      <c r="E729" s="96" t="s">
        <v>623</v>
      </c>
      <c r="F729" s="96" t="s">
        <v>624</v>
      </c>
      <c r="G729" s="99">
        <v>7849</v>
      </c>
      <c r="H729" s="97">
        <v>88.698122999999995</v>
      </c>
      <c r="I729" s="98">
        <v>696191.56742700003</v>
      </c>
      <c r="J729" s="97">
        <v>88.50604674849663</v>
      </c>
      <c r="K729" s="98">
        <v>1507.60649805</v>
      </c>
      <c r="L729" s="99">
        <v>0</v>
      </c>
      <c r="M729" s="98">
        <v>0</v>
      </c>
      <c r="N729" s="99">
        <v>0</v>
      </c>
      <c r="O729" s="98">
        <v>0</v>
      </c>
      <c r="P729" s="99">
        <v>7849</v>
      </c>
      <c r="Q729" s="98">
        <v>696191.56742700003</v>
      </c>
      <c r="R729" s="96" t="s">
        <v>625</v>
      </c>
      <c r="S729" s="96">
        <v>7414000005</v>
      </c>
      <c r="AA729" s="129">
        <v>2000575</v>
      </c>
      <c r="AB729" s="130">
        <v>27603079.142901</v>
      </c>
      <c r="AC729" s="130">
        <v>27603079.142901</v>
      </c>
    </row>
    <row r="730" spans="1:29" x14ac:dyDescent="0.25">
      <c r="A730" t="str">
        <f t="shared" si="12"/>
        <v xml:space="preserve">147312GOBFED 260305       </v>
      </c>
      <c r="B730" s="96">
        <v>147312</v>
      </c>
      <c r="C730" s="96" t="s">
        <v>722</v>
      </c>
      <c r="D730" s="96" t="s">
        <v>380</v>
      </c>
      <c r="E730" s="96" t="s">
        <v>623</v>
      </c>
      <c r="F730" s="96" t="s">
        <v>624</v>
      </c>
      <c r="G730" s="99">
        <v>20165</v>
      </c>
      <c r="H730" s="97">
        <v>93.314192000000006</v>
      </c>
      <c r="I730" s="98">
        <v>1881680.6816799999</v>
      </c>
      <c r="J730" s="97">
        <v>95.199862288507319</v>
      </c>
      <c r="K730" s="98">
        <v>-38024.541367749996</v>
      </c>
      <c r="L730" s="99">
        <v>0</v>
      </c>
      <c r="M730" s="98">
        <v>0</v>
      </c>
      <c r="N730" s="99">
        <v>0</v>
      </c>
      <c r="O730" s="98">
        <v>0</v>
      </c>
      <c r="P730" s="99">
        <v>20165</v>
      </c>
      <c r="Q730" s="98">
        <v>1881680.6816799999</v>
      </c>
      <c r="R730" s="96" t="s">
        <v>625</v>
      </c>
      <c r="S730" s="96">
        <v>7414000005</v>
      </c>
      <c r="AA730" s="131" t="s">
        <v>389</v>
      </c>
      <c r="AB730" s="130">
        <v>56957.072895999998</v>
      </c>
      <c r="AC730" s="130">
        <v>56957.072895999998</v>
      </c>
    </row>
    <row r="731" spans="1:29" x14ac:dyDescent="0.25">
      <c r="A731" t="str">
        <f t="shared" si="12"/>
        <v xml:space="preserve">147312GOBFED 270304       </v>
      </c>
      <c r="B731" s="96">
        <v>147312</v>
      </c>
      <c r="C731" s="96" t="s">
        <v>722</v>
      </c>
      <c r="D731" s="96" t="s">
        <v>507</v>
      </c>
      <c r="E731" s="96" t="s">
        <v>623</v>
      </c>
      <c r="F731" s="96" t="s">
        <v>624</v>
      </c>
      <c r="G731" s="99">
        <v>5590</v>
      </c>
      <c r="H731" s="97">
        <v>94.864168000000006</v>
      </c>
      <c r="I731" s="98">
        <v>530290.69912</v>
      </c>
      <c r="J731" s="97">
        <v>96.263034200000007</v>
      </c>
      <c r="K731" s="98">
        <v>-7819.6620579999999</v>
      </c>
      <c r="L731" s="99">
        <v>0</v>
      </c>
      <c r="M731" s="98">
        <v>0</v>
      </c>
      <c r="N731" s="99">
        <v>0</v>
      </c>
      <c r="O731" s="98">
        <v>0</v>
      </c>
      <c r="P731" s="99">
        <v>5590</v>
      </c>
      <c r="Q731" s="98">
        <v>530290.69912</v>
      </c>
      <c r="R731" s="96" t="s">
        <v>625</v>
      </c>
      <c r="S731" s="96">
        <v>7414000005</v>
      </c>
      <c r="AA731" s="131" t="s">
        <v>478</v>
      </c>
      <c r="AB731" s="130">
        <v>27546122.070005</v>
      </c>
      <c r="AC731" s="130">
        <v>27546122.070005</v>
      </c>
    </row>
    <row r="732" spans="1:29" x14ac:dyDescent="0.25">
      <c r="A732" t="str">
        <f t="shared" si="12"/>
        <v xml:space="preserve">147312GOBFED 270603       </v>
      </c>
      <c r="B732" s="96">
        <v>147312</v>
      </c>
      <c r="C732" s="96" t="s">
        <v>722</v>
      </c>
      <c r="D732" s="96" t="s">
        <v>381</v>
      </c>
      <c r="E732" s="96" t="s">
        <v>623</v>
      </c>
      <c r="F732" s="96" t="s">
        <v>624</v>
      </c>
      <c r="G732" s="99">
        <v>26794</v>
      </c>
      <c r="H732" s="97">
        <v>94.870157000000006</v>
      </c>
      <c r="I732" s="98">
        <v>2541950.9866579999</v>
      </c>
      <c r="J732" s="97">
        <v>97.14097609622975</v>
      </c>
      <c r="K732" s="98">
        <v>-60844.326864379997</v>
      </c>
      <c r="L732" s="99">
        <v>0</v>
      </c>
      <c r="M732" s="98">
        <v>0</v>
      </c>
      <c r="N732" s="99">
        <v>0</v>
      </c>
      <c r="O732" s="98">
        <v>0</v>
      </c>
      <c r="P732" s="99">
        <v>26794</v>
      </c>
      <c r="Q732" s="98">
        <v>2541950.9866579999</v>
      </c>
      <c r="R732" s="96" t="s">
        <v>625</v>
      </c>
      <c r="S732" s="96">
        <v>7414000005</v>
      </c>
      <c r="AA732" s="129">
        <v>2000576</v>
      </c>
      <c r="AB732" s="130">
        <v>7847433.3837179998</v>
      </c>
      <c r="AC732" s="130">
        <v>7847433.3837179998</v>
      </c>
    </row>
    <row r="733" spans="1:29" x14ac:dyDescent="0.25">
      <c r="A733" t="str">
        <f t="shared" si="12"/>
        <v xml:space="preserve">147312GOBFED 290301       </v>
      </c>
      <c r="B733" s="96">
        <v>147312</v>
      </c>
      <c r="C733" s="96" t="s">
        <v>722</v>
      </c>
      <c r="D733" s="96" t="s">
        <v>382</v>
      </c>
      <c r="E733" s="96" t="s">
        <v>623</v>
      </c>
      <c r="F733" s="96" t="s">
        <v>624</v>
      </c>
      <c r="G733" s="99">
        <v>36807</v>
      </c>
      <c r="H733" s="97">
        <v>89.489464999999996</v>
      </c>
      <c r="I733" s="98">
        <v>3293838.7382550002</v>
      </c>
      <c r="J733" s="97">
        <v>93.004981382727465</v>
      </c>
      <c r="K733" s="98">
        <v>-129395.61149905001</v>
      </c>
      <c r="L733" s="99">
        <v>0</v>
      </c>
      <c r="M733" s="98">
        <v>0</v>
      </c>
      <c r="N733" s="99">
        <v>0</v>
      </c>
      <c r="O733" s="98">
        <v>0</v>
      </c>
      <c r="P733" s="99">
        <v>36807</v>
      </c>
      <c r="Q733" s="98">
        <v>3293838.7382550002</v>
      </c>
      <c r="R733" s="96" t="s">
        <v>625</v>
      </c>
      <c r="S733" s="96">
        <v>7414000005</v>
      </c>
      <c r="T733" s="23"/>
      <c r="AA733" s="131" t="s">
        <v>389</v>
      </c>
      <c r="AB733" s="130">
        <v>34117.177968000004</v>
      </c>
      <c r="AC733" s="130">
        <v>34117.177968000004</v>
      </c>
    </row>
    <row r="734" spans="1:29" x14ac:dyDescent="0.25">
      <c r="A734" t="str">
        <f t="shared" si="12"/>
        <v xml:space="preserve">147312GOBFED 290531       </v>
      </c>
      <c r="B734" s="96">
        <v>147312</v>
      </c>
      <c r="C734" s="96" t="s">
        <v>722</v>
      </c>
      <c r="D734" s="96" t="s">
        <v>383</v>
      </c>
      <c r="E734" s="96" t="s">
        <v>623</v>
      </c>
      <c r="F734" s="96" t="s">
        <v>624</v>
      </c>
      <c r="G734" s="99">
        <v>27601</v>
      </c>
      <c r="H734" s="97">
        <v>86.197128000000006</v>
      </c>
      <c r="I734" s="98">
        <v>2379126.9299280001</v>
      </c>
      <c r="J734" s="97">
        <v>91.976921222622735</v>
      </c>
      <c r="K734" s="98">
        <v>-159528.07273761</v>
      </c>
      <c r="L734" s="99">
        <v>0</v>
      </c>
      <c r="M734" s="98">
        <v>0</v>
      </c>
      <c r="N734" s="99">
        <v>0</v>
      </c>
      <c r="O734" s="98">
        <v>0</v>
      </c>
      <c r="P734" s="99">
        <v>27601</v>
      </c>
      <c r="Q734" s="98">
        <v>2379126.9299280001</v>
      </c>
      <c r="R734" s="96" t="s">
        <v>625</v>
      </c>
      <c r="S734" s="96">
        <v>7414000005</v>
      </c>
      <c r="T734" s="27"/>
      <c r="AA734" s="131" t="s">
        <v>420</v>
      </c>
      <c r="AB734" s="130">
        <v>7813316.2057499997</v>
      </c>
      <c r="AC734" s="130">
        <v>7813316.2057499997</v>
      </c>
    </row>
    <row r="735" spans="1:29" x14ac:dyDescent="0.25">
      <c r="A735" t="str">
        <f t="shared" si="12"/>
        <v xml:space="preserve">147312GOBFED 310529       </v>
      </c>
      <c r="B735" s="96">
        <v>147312</v>
      </c>
      <c r="C735" s="96" t="s">
        <v>722</v>
      </c>
      <c r="D735" s="96" t="s">
        <v>427</v>
      </c>
      <c r="E735" s="96" t="s">
        <v>623</v>
      </c>
      <c r="F735" s="96" t="s">
        <v>624</v>
      </c>
      <c r="G735" s="99">
        <v>7712</v>
      </c>
      <c r="H735" s="97">
        <v>86.469353999999996</v>
      </c>
      <c r="I735" s="98">
        <v>666851.65804799995</v>
      </c>
      <c r="J735" s="97">
        <v>89.838096089999993</v>
      </c>
      <c r="K735" s="98">
        <v>-25979.73899808</v>
      </c>
      <c r="L735" s="99">
        <v>0</v>
      </c>
      <c r="M735" s="98">
        <v>0</v>
      </c>
      <c r="N735" s="99">
        <v>0</v>
      </c>
      <c r="O735" s="98">
        <v>0</v>
      </c>
      <c r="P735" s="99">
        <v>7712</v>
      </c>
      <c r="Q735" s="98">
        <v>666851.65804799995</v>
      </c>
      <c r="R735" s="96" t="s">
        <v>625</v>
      </c>
      <c r="S735" s="96">
        <v>7414000005</v>
      </c>
      <c r="AA735" s="135">
        <v>2000577</v>
      </c>
      <c r="AB735" s="133">
        <v>61534022.634461001</v>
      </c>
      <c r="AC735" s="133">
        <v>61534022.634461001</v>
      </c>
    </row>
    <row r="736" spans="1:29" x14ac:dyDescent="0.25">
      <c r="A736" t="str">
        <f t="shared" si="12"/>
        <v xml:space="preserve">147312GOBFED 330526       </v>
      </c>
      <c r="B736" s="96">
        <v>147312</v>
      </c>
      <c r="C736" s="96" t="s">
        <v>722</v>
      </c>
      <c r="D736" s="96" t="s">
        <v>429</v>
      </c>
      <c r="E736" s="96" t="s">
        <v>623</v>
      </c>
      <c r="F736" s="96" t="s">
        <v>624</v>
      </c>
      <c r="G736" s="99">
        <v>2220</v>
      </c>
      <c r="H736" s="97">
        <v>98.007834000000003</v>
      </c>
      <c r="I736" s="98">
        <v>217577.39147999999</v>
      </c>
      <c r="J736" s="97">
        <v>92.65759825148649</v>
      </c>
      <c r="K736" s="98">
        <v>11877.523361699999</v>
      </c>
      <c r="L736" s="99">
        <v>0</v>
      </c>
      <c r="M736" s="98">
        <v>0</v>
      </c>
      <c r="N736" s="99">
        <v>0</v>
      </c>
      <c r="O736" s="98">
        <v>0</v>
      </c>
      <c r="P736" s="99">
        <v>2220</v>
      </c>
      <c r="Q736" s="98">
        <v>217577.39147999999</v>
      </c>
      <c r="R736" s="96" t="s">
        <v>625</v>
      </c>
      <c r="S736" s="96">
        <v>7414000005</v>
      </c>
      <c r="AA736" s="131" t="s">
        <v>389</v>
      </c>
      <c r="AB736" s="130">
        <v>258963.10373599999</v>
      </c>
      <c r="AC736" s="130">
        <v>258963.10373599999</v>
      </c>
    </row>
    <row r="737" spans="1:29" x14ac:dyDescent="0.25">
      <c r="A737" t="str">
        <f t="shared" si="12"/>
        <v xml:space="preserve">147312GOBFED 341123       </v>
      </c>
      <c r="B737" s="96">
        <v>147312</v>
      </c>
      <c r="C737" s="96" t="s">
        <v>722</v>
      </c>
      <c r="D737" s="96" t="s">
        <v>437</v>
      </c>
      <c r="E737" s="96" t="s">
        <v>623</v>
      </c>
      <c r="F737" s="96" t="s">
        <v>624</v>
      </c>
      <c r="G737" s="99">
        <v>860</v>
      </c>
      <c r="H737" s="97">
        <v>100.38890499999999</v>
      </c>
      <c r="I737" s="98">
        <v>86334.458299999998</v>
      </c>
      <c r="J737" s="97">
        <v>91.398345289999995</v>
      </c>
      <c r="K737" s="98">
        <v>7731.8813505999997</v>
      </c>
      <c r="L737" s="99">
        <v>0</v>
      </c>
      <c r="M737" s="98">
        <v>0</v>
      </c>
      <c r="N737" s="99">
        <v>0</v>
      </c>
      <c r="O737" s="98">
        <v>0</v>
      </c>
      <c r="P737" s="99">
        <v>860</v>
      </c>
      <c r="Q737" s="98">
        <v>86334.458299999998</v>
      </c>
      <c r="R737" s="96" t="s">
        <v>625</v>
      </c>
      <c r="S737" s="96">
        <v>7414000005</v>
      </c>
      <c r="T737" s="23"/>
      <c r="AA737" s="131" t="s">
        <v>482</v>
      </c>
      <c r="AB737" s="130">
        <v>61275059.530725002</v>
      </c>
      <c r="AC737" s="130">
        <v>61275059.530725002</v>
      </c>
    </row>
    <row r="738" spans="1:29" x14ac:dyDescent="0.25">
      <c r="A738" t="str">
        <f t="shared" si="12"/>
        <v xml:space="preserve">147312PEMEX 13-2          </v>
      </c>
      <c r="B738" s="96">
        <v>147312</v>
      </c>
      <c r="C738" s="96" t="s">
        <v>722</v>
      </c>
      <c r="D738" s="96" t="s">
        <v>459</v>
      </c>
      <c r="E738" s="96" t="s">
        <v>623</v>
      </c>
      <c r="F738" s="96" t="s">
        <v>624</v>
      </c>
      <c r="G738" s="99">
        <v>2330000</v>
      </c>
      <c r="H738" s="97">
        <v>4.5848760000000004</v>
      </c>
      <c r="I738" s="98">
        <v>10682761.08</v>
      </c>
      <c r="J738" s="97">
        <v>3.4693629484978539</v>
      </c>
      <c r="K738" s="98">
        <v>2599145.41</v>
      </c>
      <c r="L738" s="99">
        <v>0</v>
      </c>
      <c r="M738" s="98">
        <v>0</v>
      </c>
      <c r="N738" s="99">
        <v>0</v>
      </c>
      <c r="O738" s="98">
        <v>0</v>
      </c>
      <c r="P738" s="99">
        <v>2330000</v>
      </c>
      <c r="Q738" s="98">
        <v>10682761.08</v>
      </c>
      <c r="R738" s="96" t="s">
        <v>625</v>
      </c>
      <c r="S738" s="96">
        <v>7414000005</v>
      </c>
      <c r="T738" s="23"/>
      <c r="AA738" s="129">
        <v>2000579</v>
      </c>
      <c r="AB738" s="130">
        <v>1302583.044304</v>
      </c>
      <c r="AC738" s="130">
        <v>1378422.794304</v>
      </c>
    </row>
    <row r="739" spans="1:29" x14ac:dyDescent="0.25">
      <c r="A739" t="str">
        <f t="shared" si="12"/>
        <v xml:space="preserve">147312PEMEX 19            </v>
      </c>
      <c r="B739" s="96">
        <v>147312</v>
      </c>
      <c r="C739" s="96" t="s">
        <v>722</v>
      </c>
      <c r="D739" s="96" t="s">
        <v>391</v>
      </c>
      <c r="E739" s="96" t="s">
        <v>623</v>
      </c>
      <c r="F739" s="96" t="s">
        <v>624</v>
      </c>
      <c r="G739" s="99">
        <v>26</v>
      </c>
      <c r="H739" s="97">
        <v>775.69178699999998</v>
      </c>
      <c r="I739" s="98">
        <v>20167.986462000001</v>
      </c>
      <c r="J739" s="97">
        <v>766.69784126000002</v>
      </c>
      <c r="K739" s="98">
        <v>233.84258924</v>
      </c>
      <c r="L739" s="99">
        <v>0</v>
      </c>
      <c r="M739" s="98">
        <v>0</v>
      </c>
      <c r="N739" s="99">
        <v>0</v>
      </c>
      <c r="O739" s="98">
        <v>0</v>
      </c>
      <c r="P739" s="99">
        <v>26</v>
      </c>
      <c r="Q739" s="98">
        <v>20167.986462000001</v>
      </c>
      <c r="R739" s="96" t="s">
        <v>625</v>
      </c>
      <c r="S739" s="96">
        <v>7414000005</v>
      </c>
      <c r="T739" s="23"/>
      <c r="AA739" s="131" t="s">
        <v>389</v>
      </c>
      <c r="AB739" s="130">
        <v>332724.00771600002</v>
      </c>
      <c r="AC739" s="130">
        <v>332724.00771600002</v>
      </c>
    </row>
    <row r="740" spans="1:29" x14ac:dyDescent="0.25">
      <c r="A740" t="str">
        <f t="shared" si="12"/>
        <v xml:space="preserve">147312STER-OP ED          </v>
      </c>
      <c r="B740" s="96">
        <v>147312</v>
      </c>
      <c r="C740" s="96" t="s">
        <v>722</v>
      </c>
      <c r="D740" s="96" t="s">
        <v>393</v>
      </c>
      <c r="E740" s="96" t="s">
        <v>623</v>
      </c>
      <c r="F740" s="96" t="s">
        <v>624</v>
      </c>
      <c r="G740" s="99">
        <v>9</v>
      </c>
      <c r="H740" s="97">
        <v>765.92388300000005</v>
      </c>
      <c r="I740" s="98">
        <v>6893.3149469999998</v>
      </c>
      <c r="J740" s="97">
        <v>762.50221063000004</v>
      </c>
      <c r="K740" s="98">
        <v>30.79505133</v>
      </c>
      <c r="L740" s="99">
        <v>0</v>
      </c>
      <c r="M740" s="98">
        <v>0</v>
      </c>
      <c r="N740" s="99">
        <v>0</v>
      </c>
      <c r="O740" s="98">
        <v>0</v>
      </c>
      <c r="P740" s="99">
        <v>9</v>
      </c>
      <c r="Q740" s="98">
        <v>6893.3149469999998</v>
      </c>
      <c r="R740" s="96" t="s">
        <v>625</v>
      </c>
      <c r="S740" s="96">
        <v>7414000005</v>
      </c>
      <c r="T740" s="23"/>
      <c r="AA740" s="131" t="s">
        <v>358</v>
      </c>
      <c r="AB740" s="130">
        <v>53437.14</v>
      </c>
      <c r="AC740" s="130">
        <v>69673.5</v>
      </c>
    </row>
    <row r="741" spans="1:29" x14ac:dyDescent="0.25">
      <c r="A741" t="str">
        <f t="shared" si="12"/>
        <v xml:space="preserve">147312UDIBONO 251204      </v>
      </c>
      <c r="B741" s="96">
        <v>147312</v>
      </c>
      <c r="C741" s="96" t="s">
        <v>722</v>
      </c>
      <c r="D741" s="96" t="s">
        <v>394</v>
      </c>
      <c r="E741" s="96" t="s">
        <v>623</v>
      </c>
      <c r="F741" s="96" t="s">
        <v>624</v>
      </c>
      <c r="G741" s="99">
        <v>320</v>
      </c>
      <c r="H741" s="97">
        <v>684.88915799999995</v>
      </c>
      <c r="I741" s="98">
        <v>219164.53056000001</v>
      </c>
      <c r="J741" s="97">
        <v>700.97292315000004</v>
      </c>
      <c r="K741" s="98">
        <v>-5146.8048479999998</v>
      </c>
      <c r="L741" s="99">
        <v>0</v>
      </c>
      <c r="M741" s="98">
        <v>0</v>
      </c>
      <c r="N741" s="99">
        <v>0</v>
      </c>
      <c r="O741" s="98">
        <v>0</v>
      </c>
      <c r="P741" s="99">
        <v>320</v>
      </c>
      <c r="Q741" s="98">
        <v>219164.53056000001</v>
      </c>
      <c r="R741" s="96" t="s">
        <v>625</v>
      </c>
      <c r="S741" s="96">
        <v>7414000005</v>
      </c>
      <c r="AA741" s="131" t="s">
        <v>459</v>
      </c>
      <c r="AB741" s="130">
        <v>154051.8316</v>
      </c>
      <c r="AC741" s="130">
        <v>213655.22159999999</v>
      </c>
    </row>
    <row r="742" spans="1:29" x14ac:dyDescent="0.25">
      <c r="A742" t="str">
        <f t="shared" si="12"/>
        <v xml:space="preserve">147312UDIBONO 281130      </v>
      </c>
      <c r="B742" s="96">
        <v>147313</v>
      </c>
      <c r="C742" s="96" t="s">
        <v>723</v>
      </c>
      <c r="D742" s="96" t="s">
        <v>552</v>
      </c>
      <c r="E742" s="96" t="s">
        <v>623</v>
      </c>
      <c r="F742" s="96" t="s">
        <v>624</v>
      </c>
      <c r="G742" s="99">
        <v>2820</v>
      </c>
      <c r="H742" s="97">
        <v>100.000484</v>
      </c>
      <c r="I742" s="98">
        <v>282001.36488000001</v>
      </c>
      <c r="J742" s="97">
        <v>100</v>
      </c>
      <c r="K742" s="98">
        <v>1.3648800000000001</v>
      </c>
      <c r="L742" s="99">
        <v>0</v>
      </c>
      <c r="M742" s="98">
        <v>0</v>
      </c>
      <c r="N742" s="99">
        <v>0</v>
      </c>
      <c r="O742" s="98">
        <v>0</v>
      </c>
      <c r="P742" s="99">
        <v>2820</v>
      </c>
      <c r="Q742" s="98">
        <v>282001.36488000001</v>
      </c>
      <c r="R742" s="96" t="s">
        <v>625</v>
      </c>
      <c r="S742" s="96">
        <v>7414000005</v>
      </c>
      <c r="AA742" s="131" t="s">
        <v>407</v>
      </c>
      <c r="AB742" s="130">
        <v>762370.06498799997</v>
      </c>
      <c r="AC742" s="130">
        <v>762370.06498799997</v>
      </c>
    </row>
    <row r="743" spans="1:29" x14ac:dyDescent="0.25">
      <c r="A743" t="str">
        <f t="shared" si="12"/>
        <v xml:space="preserve">147312UDIBONO 311127      </v>
      </c>
      <c r="B743" s="96">
        <v>147313</v>
      </c>
      <c r="C743" s="96" t="s">
        <v>723</v>
      </c>
      <c r="D743" s="96" t="s">
        <v>471</v>
      </c>
      <c r="E743" s="96" t="s">
        <v>623</v>
      </c>
      <c r="F743" s="96" t="s">
        <v>624</v>
      </c>
      <c r="G743" s="99">
        <v>0</v>
      </c>
      <c r="H743" s="97">
        <v>0</v>
      </c>
      <c r="I743" s="98">
        <v>0</v>
      </c>
      <c r="J743" s="97">
        <v>0</v>
      </c>
      <c r="K743" s="98">
        <v>0</v>
      </c>
      <c r="L743" s="99">
        <v>0</v>
      </c>
      <c r="M743" s="98">
        <v>0</v>
      </c>
      <c r="N743" s="99">
        <v>0</v>
      </c>
      <c r="O743" s="98">
        <v>0</v>
      </c>
      <c r="P743" s="99">
        <v>0</v>
      </c>
      <c r="Q743" s="98">
        <v>0</v>
      </c>
      <c r="R743" s="96" t="s">
        <v>625</v>
      </c>
      <c r="S743" s="96">
        <v>7414000005</v>
      </c>
      <c r="T743" s="23"/>
      <c r="AA743" s="129">
        <v>2000581</v>
      </c>
      <c r="AB743" s="130">
        <v>25028863.381446</v>
      </c>
      <c r="AC743" s="130">
        <v>25028863.381446</v>
      </c>
    </row>
    <row r="744" spans="1:29" x14ac:dyDescent="0.25">
      <c r="A744" t="str">
        <f t="shared" si="12"/>
        <v xml:space="preserve">147313BLADEX 24           </v>
      </c>
      <c r="B744" s="96">
        <v>147313</v>
      </c>
      <c r="C744" s="96" t="s">
        <v>723</v>
      </c>
      <c r="D744" s="96" t="s">
        <v>543</v>
      </c>
      <c r="E744" s="96" t="s">
        <v>623</v>
      </c>
      <c r="F744" s="96" t="s">
        <v>624</v>
      </c>
      <c r="G744" s="99">
        <v>171975</v>
      </c>
      <c r="H744" s="97">
        <v>8.5044190000000004</v>
      </c>
      <c r="I744" s="98">
        <v>1462547.457525</v>
      </c>
      <c r="J744" s="97">
        <v>8.3071887600000007</v>
      </c>
      <c r="K744" s="98">
        <v>33918.670524000001</v>
      </c>
      <c r="L744" s="99">
        <v>0</v>
      </c>
      <c r="M744" s="98">
        <v>0</v>
      </c>
      <c r="N744" s="99">
        <v>0</v>
      </c>
      <c r="O744" s="98">
        <v>0</v>
      </c>
      <c r="P744" s="99">
        <v>171975</v>
      </c>
      <c r="Q744" s="98">
        <v>1462547.457525</v>
      </c>
      <c r="R744" s="96" t="s">
        <v>625</v>
      </c>
      <c r="S744" s="96">
        <v>7414000005</v>
      </c>
      <c r="T744" s="23"/>
      <c r="AA744" s="131" t="s">
        <v>389</v>
      </c>
      <c r="AB744" s="130">
        <v>9973099.2241440006</v>
      </c>
      <c r="AC744" s="130">
        <v>9973099.2241440006</v>
      </c>
    </row>
    <row r="745" spans="1:29" x14ac:dyDescent="0.25">
      <c r="A745" t="str">
        <f t="shared" si="12"/>
        <v xml:space="preserve">147313CETES 230601        </v>
      </c>
      <c r="B745" s="96">
        <v>147313</v>
      </c>
      <c r="C745" s="96" t="s">
        <v>723</v>
      </c>
      <c r="D745" s="96" t="s">
        <v>554</v>
      </c>
      <c r="E745" s="96" t="s">
        <v>623</v>
      </c>
      <c r="F745" s="96" t="s">
        <v>624</v>
      </c>
      <c r="G745" s="99">
        <v>237940</v>
      </c>
      <c r="H745" s="97">
        <v>8.3813510000000004</v>
      </c>
      <c r="I745" s="98">
        <v>1994258.6569399999</v>
      </c>
      <c r="J745" s="97">
        <v>8.2713784227645633</v>
      </c>
      <c r="K745" s="98">
        <v>26166.875027400001</v>
      </c>
      <c r="L745" s="99">
        <v>0</v>
      </c>
      <c r="M745" s="98">
        <v>0</v>
      </c>
      <c r="N745" s="99">
        <v>0</v>
      </c>
      <c r="O745" s="98">
        <v>0</v>
      </c>
      <c r="P745" s="99">
        <v>237940</v>
      </c>
      <c r="Q745" s="98">
        <v>1994258.6569399999</v>
      </c>
      <c r="R745" s="96" t="s">
        <v>625</v>
      </c>
      <c r="S745" s="96">
        <v>7414000005</v>
      </c>
      <c r="T745" s="23"/>
      <c r="AA745" s="131" t="s">
        <v>419</v>
      </c>
      <c r="AB745" s="130">
        <v>0</v>
      </c>
      <c r="AC745" s="130">
        <v>0</v>
      </c>
    </row>
    <row r="746" spans="1:29" x14ac:dyDescent="0.25">
      <c r="A746" t="str">
        <f t="shared" si="12"/>
        <v xml:space="preserve">147313CETES 251030        </v>
      </c>
      <c r="B746" s="96">
        <v>147313</v>
      </c>
      <c r="C746" s="96" t="s">
        <v>723</v>
      </c>
      <c r="D746" s="96" t="s">
        <v>613</v>
      </c>
      <c r="E746" s="96" t="s">
        <v>623</v>
      </c>
      <c r="F746" s="96" t="s">
        <v>624</v>
      </c>
      <c r="G746" s="99">
        <v>133000</v>
      </c>
      <c r="H746" s="97">
        <v>8.2580650000000002</v>
      </c>
      <c r="I746" s="98">
        <v>1098322.645</v>
      </c>
      <c r="J746" s="97">
        <v>8.2405797294736836</v>
      </c>
      <c r="K746" s="98">
        <v>2325.5409800000002</v>
      </c>
      <c r="L746" s="99">
        <v>0</v>
      </c>
      <c r="M746" s="98">
        <v>0</v>
      </c>
      <c r="N746" s="99">
        <v>0</v>
      </c>
      <c r="O746" s="98">
        <v>0</v>
      </c>
      <c r="P746" s="99">
        <v>133000</v>
      </c>
      <c r="Q746" s="98">
        <v>1098322.645</v>
      </c>
      <c r="R746" s="96" t="s">
        <v>625</v>
      </c>
      <c r="S746" s="96">
        <v>7414000005</v>
      </c>
      <c r="T746" s="23"/>
      <c r="AA746" s="131" t="s">
        <v>358</v>
      </c>
      <c r="AB746" s="130">
        <v>964710</v>
      </c>
      <c r="AC746" s="130">
        <v>964710</v>
      </c>
    </row>
    <row r="747" spans="1:29" x14ac:dyDescent="0.25">
      <c r="A747" t="str">
        <f t="shared" si="12"/>
        <v xml:space="preserve">147313CETES 251224        </v>
      </c>
      <c r="B747" s="96">
        <v>147313</v>
      </c>
      <c r="C747" s="96" t="s">
        <v>723</v>
      </c>
      <c r="D747" s="96" t="s">
        <v>366</v>
      </c>
      <c r="E747" s="96" t="s">
        <v>623</v>
      </c>
      <c r="F747" s="96" t="s">
        <v>624</v>
      </c>
      <c r="G747" s="99">
        <v>0</v>
      </c>
      <c r="H747" s="97">
        <v>0</v>
      </c>
      <c r="I747" s="98">
        <v>488325.78</v>
      </c>
      <c r="J747" s="97">
        <v>0</v>
      </c>
      <c r="K747" s="98">
        <v>0</v>
      </c>
      <c r="L747" s="99">
        <v>0</v>
      </c>
      <c r="M747" s="98">
        <v>0</v>
      </c>
      <c r="N747" s="99">
        <v>0</v>
      </c>
      <c r="O747" s="98">
        <v>0</v>
      </c>
      <c r="P747" s="99">
        <v>0</v>
      </c>
      <c r="Q747" s="98">
        <v>488325.78</v>
      </c>
      <c r="R747" s="96" t="s">
        <v>625</v>
      </c>
      <c r="S747" s="96">
        <v>7414000005</v>
      </c>
      <c r="AA747" s="131" t="s">
        <v>459</v>
      </c>
      <c r="AB747" s="130">
        <v>2888471.88</v>
      </c>
      <c r="AC747" s="130">
        <v>2888471.88</v>
      </c>
    </row>
    <row r="748" spans="1:29" x14ac:dyDescent="0.25">
      <c r="A748" t="str">
        <f t="shared" si="12"/>
        <v xml:space="preserve">147313CETES 260219        </v>
      </c>
      <c r="B748" s="96">
        <v>147313</v>
      </c>
      <c r="C748" s="96" t="s">
        <v>723</v>
      </c>
      <c r="D748" s="96" t="s">
        <v>375</v>
      </c>
      <c r="E748" s="96" t="s">
        <v>623</v>
      </c>
      <c r="F748" s="96" t="s">
        <v>624</v>
      </c>
      <c r="G748" s="99">
        <v>2736</v>
      </c>
      <c r="H748" s="97">
        <v>98.730349000000004</v>
      </c>
      <c r="I748" s="98">
        <v>270126.234864</v>
      </c>
      <c r="J748" s="97">
        <v>111.89286593999999</v>
      </c>
      <c r="K748" s="98">
        <v>-36012.646347839996</v>
      </c>
      <c r="L748" s="99">
        <v>0</v>
      </c>
      <c r="M748" s="98">
        <v>0</v>
      </c>
      <c r="N748" s="99">
        <v>0</v>
      </c>
      <c r="O748" s="98">
        <v>0</v>
      </c>
      <c r="P748" s="99">
        <v>2736</v>
      </c>
      <c r="Q748" s="98">
        <v>270126.234864</v>
      </c>
      <c r="R748" s="96" t="s">
        <v>625</v>
      </c>
      <c r="S748" s="96">
        <v>7414000005</v>
      </c>
      <c r="AA748" s="131" t="s">
        <v>407</v>
      </c>
      <c r="AB748" s="130">
        <v>11202582.277302001</v>
      </c>
      <c r="AC748" s="130">
        <v>11202582.277302001</v>
      </c>
    </row>
    <row r="749" spans="1:29" x14ac:dyDescent="0.25">
      <c r="A749" t="str">
        <f t="shared" si="12"/>
        <v>147313EFECTIVO</v>
      </c>
      <c r="B749" s="96">
        <v>147313</v>
      </c>
      <c r="C749" s="96" t="s">
        <v>723</v>
      </c>
      <c r="D749" s="96" t="s">
        <v>376</v>
      </c>
      <c r="E749" s="96" t="s">
        <v>623</v>
      </c>
      <c r="F749" s="96" t="s">
        <v>624</v>
      </c>
      <c r="G749" s="99">
        <v>17830</v>
      </c>
      <c r="H749" s="97">
        <v>99.247497999999993</v>
      </c>
      <c r="I749" s="98">
        <v>1769582.88934</v>
      </c>
      <c r="J749" s="97">
        <v>116.71045514946719</v>
      </c>
      <c r="K749" s="98">
        <v>-311364.525975</v>
      </c>
      <c r="L749" s="99">
        <v>0</v>
      </c>
      <c r="M749" s="98">
        <v>0</v>
      </c>
      <c r="N749" s="99">
        <v>0</v>
      </c>
      <c r="O749" s="98">
        <v>0</v>
      </c>
      <c r="P749" s="99">
        <v>17830</v>
      </c>
      <c r="Q749" s="98">
        <v>1769582.88934</v>
      </c>
      <c r="R749" s="96" t="s">
        <v>625</v>
      </c>
      <c r="S749" s="96">
        <v>7414000005</v>
      </c>
      <c r="T749" s="23"/>
      <c r="AA749" s="129">
        <v>2000597</v>
      </c>
      <c r="AB749" s="130">
        <v>23370.467639999999</v>
      </c>
      <c r="AC749" s="130">
        <v>23370.467639999999</v>
      </c>
    </row>
    <row r="750" spans="1:29" x14ac:dyDescent="0.25">
      <c r="A750" t="str">
        <f t="shared" si="12"/>
        <v xml:space="preserve">147313GOBFED 240905       </v>
      </c>
      <c r="B750" s="96">
        <v>147313</v>
      </c>
      <c r="C750" s="96" t="s">
        <v>723</v>
      </c>
      <c r="D750" s="96" t="s">
        <v>377</v>
      </c>
      <c r="E750" s="96" t="s">
        <v>623</v>
      </c>
      <c r="F750" s="96" t="s">
        <v>624</v>
      </c>
      <c r="G750" s="99">
        <v>7071</v>
      </c>
      <c r="H750" s="97">
        <v>94.973146999999997</v>
      </c>
      <c r="I750" s="98">
        <v>671555.12243700004</v>
      </c>
      <c r="J750" s="97">
        <v>90.560310748128984</v>
      </c>
      <c r="K750" s="98">
        <v>31203.165136979998</v>
      </c>
      <c r="L750" s="99">
        <v>0</v>
      </c>
      <c r="M750" s="98">
        <v>0</v>
      </c>
      <c r="N750" s="99">
        <v>0</v>
      </c>
      <c r="O750" s="98">
        <v>0</v>
      </c>
      <c r="P750" s="99">
        <v>7071</v>
      </c>
      <c r="Q750" s="98">
        <v>671555.12243700004</v>
      </c>
      <c r="R750" s="96" t="s">
        <v>625</v>
      </c>
      <c r="S750" s="96">
        <v>7414000005</v>
      </c>
      <c r="AA750" s="131" t="s">
        <v>411</v>
      </c>
      <c r="AB750" s="130">
        <v>23370.467639999999</v>
      </c>
      <c r="AC750" s="130">
        <v>23370.467639999999</v>
      </c>
    </row>
    <row r="751" spans="1:29" x14ac:dyDescent="0.25">
      <c r="A751" t="str">
        <f t="shared" si="12"/>
        <v xml:space="preserve">147313GOBFED 241205       </v>
      </c>
      <c r="B751" s="96">
        <v>147313</v>
      </c>
      <c r="C751" s="96" t="s">
        <v>723</v>
      </c>
      <c r="D751" s="96" t="s">
        <v>378</v>
      </c>
      <c r="E751" s="96" t="s">
        <v>623</v>
      </c>
      <c r="F751" s="96" t="s">
        <v>624</v>
      </c>
      <c r="G751" s="99">
        <v>37048</v>
      </c>
      <c r="H751" s="97">
        <v>91.911821000000003</v>
      </c>
      <c r="I751" s="98">
        <v>3405149.1444080002</v>
      </c>
      <c r="J751" s="97">
        <v>90.749888678419353</v>
      </c>
      <c r="K751" s="98">
        <v>43047.268649919999</v>
      </c>
      <c r="L751" s="99">
        <v>0</v>
      </c>
      <c r="M751" s="98">
        <v>0</v>
      </c>
      <c r="N751" s="99">
        <v>0</v>
      </c>
      <c r="O751" s="98">
        <v>0</v>
      </c>
      <c r="P751" s="99">
        <v>37048</v>
      </c>
      <c r="Q751" s="98">
        <v>3405149.1444080002</v>
      </c>
      <c r="R751" s="96" t="s">
        <v>625</v>
      </c>
      <c r="S751" s="96">
        <v>7414000005</v>
      </c>
      <c r="AA751" s="129">
        <v>2000722</v>
      </c>
      <c r="AB751" s="130">
        <v>4504921.8844280001</v>
      </c>
      <c r="AC751" s="130">
        <v>4504921.8844280001</v>
      </c>
    </row>
    <row r="752" spans="1:29" x14ac:dyDescent="0.25">
      <c r="A752" t="str">
        <f t="shared" si="12"/>
        <v xml:space="preserve">147313GOBFED 250306       </v>
      </c>
      <c r="B752" s="96">
        <v>147313</v>
      </c>
      <c r="C752" s="96" t="s">
        <v>723</v>
      </c>
      <c r="D752" s="96" t="s">
        <v>499</v>
      </c>
      <c r="E752" s="96" t="s">
        <v>623</v>
      </c>
      <c r="F752" s="96" t="s">
        <v>624</v>
      </c>
      <c r="G752" s="99">
        <v>69530</v>
      </c>
      <c r="H752" s="97">
        <v>92.954503000000003</v>
      </c>
      <c r="I752" s="98">
        <v>6463126.5935899997</v>
      </c>
      <c r="J752" s="97">
        <v>93.271311902296844</v>
      </c>
      <c r="K752" s="98">
        <v>-22027.722976699999</v>
      </c>
      <c r="L752" s="99">
        <v>0</v>
      </c>
      <c r="M752" s="98">
        <v>0</v>
      </c>
      <c r="N752" s="99">
        <v>0</v>
      </c>
      <c r="O752" s="98">
        <v>0</v>
      </c>
      <c r="P752" s="99">
        <v>69530</v>
      </c>
      <c r="Q752" s="98">
        <v>6463126.5935899997</v>
      </c>
      <c r="R752" s="96" t="s">
        <v>625</v>
      </c>
      <c r="S752" s="96">
        <v>7414000005</v>
      </c>
      <c r="AA752" s="131" t="s">
        <v>473</v>
      </c>
      <c r="AB752" s="130">
        <v>4504921.8844280001</v>
      </c>
      <c r="AC752" s="130">
        <v>4504921.8844280001</v>
      </c>
    </row>
    <row r="753" spans="1:29" x14ac:dyDescent="0.25">
      <c r="A753" t="str">
        <f t="shared" si="12"/>
        <v xml:space="preserve">147313GOBFED 260305       </v>
      </c>
      <c r="B753" s="96">
        <v>147313</v>
      </c>
      <c r="C753" s="96" t="s">
        <v>723</v>
      </c>
      <c r="D753" s="96" t="s">
        <v>379</v>
      </c>
      <c r="E753" s="96" t="s">
        <v>623</v>
      </c>
      <c r="F753" s="96" t="s">
        <v>624</v>
      </c>
      <c r="G753" s="99">
        <v>26275</v>
      </c>
      <c r="H753" s="97">
        <v>88.698122999999995</v>
      </c>
      <c r="I753" s="98">
        <v>2330543.1818249999</v>
      </c>
      <c r="J753" s="97">
        <v>88.29884983774501</v>
      </c>
      <c r="K753" s="98">
        <v>10490.90233825</v>
      </c>
      <c r="L753" s="99">
        <v>0</v>
      </c>
      <c r="M753" s="98">
        <v>0</v>
      </c>
      <c r="N753" s="99">
        <v>0</v>
      </c>
      <c r="O753" s="98">
        <v>0</v>
      </c>
      <c r="P753" s="99">
        <v>26275</v>
      </c>
      <c r="Q753" s="98">
        <v>2330543.1818249999</v>
      </c>
      <c r="R753" s="96" t="s">
        <v>625</v>
      </c>
      <c r="S753" s="96">
        <v>7414000005</v>
      </c>
      <c r="T753" s="23"/>
      <c r="AA753" s="129">
        <v>2000724</v>
      </c>
      <c r="AB753" s="130">
        <v>3870182.2995600002</v>
      </c>
      <c r="AC753" s="130">
        <v>3870182.2995600002</v>
      </c>
    </row>
    <row r="754" spans="1:29" x14ac:dyDescent="0.25">
      <c r="A754" t="str">
        <f t="shared" si="12"/>
        <v xml:space="preserve">147313GOBFED 260903       </v>
      </c>
      <c r="B754" s="96">
        <v>147313</v>
      </c>
      <c r="C754" s="96" t="s">
        <v>723</v>
      </c>
      <c r="D754" s="96" t="s">
        <v>380</v>
      </c>
      <c r="E754" s="96" t="s">
        <v>623</v>
      </c>
      <c r="F754" s="96" t="s">
        <v>624</v>
      </c>
      <c r="G754" s="99">
        <v>23960</v>
      </c>
      <c r="H754" s="97">
        <v>93.314192000000006</v>
      </c>
      <c r="I754" s="98">
        <v>2235808.0403200001</v>
      </c>
      <c r="J754" s="97">
        <v>93.347298033418198</v>
      </c>
      <c r="K754" s="98">
        <v>-793.22056069999996</v>
      </c>
      <c r="L754" s="99">
        <v>0</v>
      </c>
      <c r="M754" s="98">
        <v>0</v>
      </c>
      <c r="N754" s="99">
        <v>0</v>
      </c>
      <c r="O754" s="98">
        <v>0</v>
      </c>
      <c r="P754" s="99">
        <v>23960</v>
      </c>
      <c r="Q754" s="98">
        <v>2235808.0403200001</v>
      </c>
      <c r="R754" s="96" t="s">
        <v>625</v>
      </c>
      <c r="S754" s="96">
        <v>7414000005</v>
      </c>
      <c r="AA754" s="131" t="s">
        <v>473</v>
      </c>
      <c r="AB754" s="130">
        <v>3870182.2995600002</v>
      </c>
      <c r="AC754" s="130">
        <v>3870182.2995600002</v>
      </c>
    </row>
    <row r="755" spans="1:29" x14ac:dyDescent="0.25">
      <c r="A755" t="str">
        <f t="shared" si="12"/>
        <v xml:space="preserve">147313GOBFED 270304       </v>
      </c>
      <c r="B755" s="96">
        <v>147313</v>
      </c>
      <c r="C755" s="96" t="s">
        <v>723</v>
      </c>
      <c r="D755" s="96" t="s">
        <v>382</v>
      </c>
      <c r="E755" s="96" t="s">
        <v>623</v>
      </c>
      <c r="F755" s="96" t="s">
        <v>624</v>
      </c>
      <c r="G755" s="99">
        <v>0</v>
      </c>
      <c r="H755" s="97">
        <v>0</v>
      </c>
      <c r="I755" s="98">
        <v>0</v>
      </c>
      <c r="J755" s="97">
        <v>0</v>
      </c>
      <c r="K755" s="98">
        <v>0</v>
      </c>
      <c r="L755" s="99">
        <v>0</v>
      </c>
      <c r="M755" s="98">
        <v>0</v>
      </c>
      <c r="N755" s="99">
        <v>0</v>
      </c>
      <c r="O755" s="98">
        <v>0</v>
      </c>
      <c r="P755" s="99">
        <v>0</v>
      </c>
      <c r="Q755" s="98">
        <v>0</v>
      </c>
      <c r="R755" s="96" t="s">
        <v>625</v>
      </c>
      <c r="S755" s="96">
        <v>7414000005</v>
      </c>
      <c r="AA755" s="129">
        <v>2000725</v>
      </c>
      <c r="AB755" s="130">
        <v>149.865996</v>
      </c>
      <c r="AC755" s="130">
        <v>149.865996</v>
      </c>
    </row>
    <row r="756" spans="1:29" x14ac:dyDescent="0.25">
      <c r="A756" t="str">
        <f t="shared" si="12"/>
        <v xml:space="preserve">147313GOBFED 270603       </v>
      </c>
      <c r="B756" s="96">
        <v>147313</v>
      </c>
      <c r="C756" s="96" t="s">
        <v>723</v>
      </c>
      <c r="D756" s="96" t="s">
        <v>429</v>
      </c>
      <c r="E756" s="96" t="s">
        <v>623</v>
      </c>
      <c r="F756" s="96" t="s">
        <v>624</v>
      </c>
      <c r="G756" s="99">
        <v>1530</v>
      </c>
      <c r="H756" s="97">
        <v>98.007834000000003</v>
      </c>
      <c r="I756" s="98">
        <v>149951.98602000001</v>
      </c>
      <c r="J756" s="97">
        <v>93.280048030000003</v>
      </c>
      <c r="K756" s="98">
        <v>7233.5125341000003</v>
      </c>
      <c r="L756" s="99">
        <v>0</v>
      </c>
      <c r="M756" s="98">
        <v>0</v>
      </c>
      <c r="N756" s="99">
        <v>0</v>
      </c>
      <c r="O756" s="98">
        <v>0</v>
      </c>
      <c r="P756" s="99">
        <v>1530</v>
      </c>
      <c r="Q756" s="98">
        <v>149951.98602000001</v>
      </c>
      <c r="R756" s="96" t="s">
        <v>625</v>
      </c>
      <c r="S756" s="96">
        <v>7414000005</v>
      </c>
      <c r="AA756" s="131" t="s">
        <v>473</v>
      </c>
      <c r="AB756" s="130">
        <v>149.865996</v>
      </c>
      <c r="AC756" s="130">
        <v>149.865996</v>
      </c>
    </row>
    <row r="757" spans="1:29" x14ac:dyDescent="0.25">
      <c r="A757" t="str">
        <f t="shared" si="12"/>
        <v xml:space="preserve">147313GOBFED 310529       </v>
      </c>
      <c r="B757" s="96">
        <v>147313</v>
      </c>
      <c r="C757" s="96" t="s">
        <v>723</v>
      </c>
      <c r="D757" s="96" t="s">
        <v>437</v>
      </c>
      <c r="E757" s="96" t="s">
        <v>623</v>
      </c>
      <c r="F757" s="96" t="s">
        <v>624</v>
      </c>
      <c r="G757" s="99">
        <v>6200</v>
      </c>
      <c r="H757" s="97">
        <v>100.38890499999999</v>
      </c>
      <c r="I757" s="98">
        <v>622411.21100000001</v>
      </c>
      <c r="J757" s="97">
        <v>91.398345289999995</v>
      </c>
      <c r="K757" s="98">
        <v>55741.470201999997</v>
      </c>
      <c r="L757" s="99">
        <v>0</v>
      </c>
      <c r="M757" s="98">
        <v>0</v>
      </c>
      <c r="N757" s="99">
        <v>0</v>
      </c>
      <c r="O757" s="98">
        <v>0</v>
      </c>
      <c r="P757" s="99">
        <v>6200</v>
      </c>
      <c r="Q757" s="98">
        <v>622411.21100000001</v>
      </c>
      <c r="R757" s="96" t="s">
        <v>625</v>
      </c>
      <c r="S757" s="96">
        <v>7414000005</v>
      </c>
      <c r="T757" s="23"/>
      <c r="X757" s="24"/>
      <c r="AA757" s="129">
        <v>2000730</v>
      </c>
      <c r="AB757" s="130">
        <v>4910789.4843149995</v>
      </c>
      <c r="AC757" s="130">
        <v>4910789.4843149995</v>
      </c>
    </row>
    <row r="758" spans="1:29" x14ac:dyDescent="0.25">
      <c r="A758" t="str">
        <f t="shared" si="12"/>
        <v xml:space="preserve">147313PEMEX 13-2          </v>
      </c>
      <c r="B758" s="96">
        <v>147313</v>
      </c>
      <c r="C758" s="96" t="s">
        <v>723</v>
      </c>
      <c r="D758" s="96" t="s">
        <v>472</v>
      </c>
      <c r="E758" s="96" t="s">
        <v>623</v>
      </c>
      <c r="F758" s="96" t="s">
        <v>624</v>
      </c>
      <c r="G758" s="99">
        <v>1050000</v>
      </c>
      <c r="H758" s="97">
        <v>4.1069599999999999</v>
      </c>
      <c r="I758" s="98">
        <v>4312308</v>
      </c>
      <c r="J758" s="97">
        <v>3.1698389523809523</v>
      </c>
      <c r="K758" s="98">
        <v>983977.1</v>
      </c>
      <c r="L758" s="99">
        <v>0</v>
      </c>
      <c r="M758" s="98">
        <v>0</v>
      </c>
      <c r="N758" s="99">
        <v>0</v>
      </c>
      <c r="O758" s="98">
        <v>0</v>
      </c>
      <c r="P758" s="99">
        <v>1050000</v>
      </c>
      <c r="Q758" s="98">
        <v>4312308</v>
      </c>
      <c r="R758" s="96" t="s">
        <v>625</v>
      </c>
      <c r="S758" s="96">
        <v>7414000005</v>
      </c>
      <c r="X758" s="24"/>
      <c r="AA758" s="131" t="s">
        <v>411</v>
      </c>
      <c r="AB758" s="130">
        <v>4910789.4843149995</v>
      </c>
      <c r="AC758" s="130">
        <v>4910789.4843149995</v>
      </c>
    </row>
    <row r="759" spans="1:29" x14ac:dyDescent="0.25">
      <c r="A759" t="str">
        <f t="shared" si="12"/>
        <v xml:space="preserve">147313PEMEX 19            </v>
      </c>
      <c r="B759" s="96">
        <v>147313</v>
      </c>
      <c r="C759" s="96" t="s">
        <v>723</v>
      </c>
      <c r="D759" s="96" t="s">
        <v>392</v>
      </c>
      <c r="E759" s="96" t="s">
        <v>623</v>
      </c>
      <c r="F759" s="96" t="s">
        <v>624</v>
      </c>
      <c r="G759" s="99">
        <v>3</v>
      </c>
      <c r="H759" s="97">
        <v>747.17843200000004</v>
      </c>
      <c r="I759" s="98">
        <v>2241.535296</v>
      </c>
      <c r="J759" s="97">
        <v>730.99471579999999</v>
      </c>
      <c r="K759" s="98">
        <v>48.551148599999998</v>
      </c>
      <c r="L759" s="99">
        <v>0</v>
      </c>
      <c r="M759" s="98">
        <v>0</v>
      </c>
      <c r="N759" s="99">
        <v>0</v>
      </c>
      <c r="O759" s="98">
        <v>0</v>
      </c>
      <c r="P759" s="99">
        <v>3</v>
      </c>
      <c r="Q759" s="98">
        <v>2241.535296</v>
      </c>
      <c r="R759" s="96" t="s">
        <v>625</v>
      </c>
      <c r="S759" s="96">
        <v>7414000005</v>
      </c>
      <c r="T759" s="23"/>
      <c r="AA759" s="129">
        <v>2000739</v>
      </c>
      <c r="AB759" s="130">
        <v>7517299.037064</v>
      </c>
      <c r="AC759" s="130">
        <v>7517299.037064</v>
      </c>
    </row>
    <row r="760" spans="1:29" x14ac:dyDescent="0.25">
      <c r="A760" t="str">
        <f t="shared" si="12"/>
        <v xml:space="preserve">147313STER-OP E2          </v>
      </c>
      <c r="B760" s="96">
        <v>147314</v>
      </c>
      <c r="C760" s="96" t="s">
        <v>724</v>
      </c>
      <c r="D760" s="96" t="s">
        <v>552</v>
      </c>
      <c r="E760" s="96" t="s">
        <v>623</v>
      </c>
      <c r="F760" s="96" t="s">
        <v>624</v>
      </c>
      <c r="G760" s="99">
        <v>147110</v>
      </c>
      <c r="H760" s="97">
        <v>100.000484</v>
      </c>
      <c r="I760" s="98">
        <v>14711071.201239999</v>
      </c>
      <c r="J760" s="97">
        <v>100</v>
      </c>
      <c r="K760" s="98">
        <v>71.201239999999999</v>
      </c>
      <c r="L760" s="99">
        <v>0</v>
      </c>
      <c r="M760" s="98">
        <v>0</v>
      </c>
      <c r="N760" s="99">
        <v>0</v>
      </c>
      <c r="O760" s="98">
        <v>0</v>
      </c>
      <c r="P760" s="99">
        <v>147110</v>
      </c>
      <c r="Q760" s="98">
        <v>14711071.201239999</v>
      </c>
      <c r="R760" s="96" t="s">
        <v>625</v>
      </c>
      <c r="S760" s="96">
        <v>7414000005</v>
      </c>
      <c r="T760" s="23"/>
      <c r="AA760" s="131" t="s">
        <v>389</v>
      </c>
      <c r="AB760" s="130">
        <v>270845.01219199999</v>
      </c>
      <c r="AC760" s="130">
        <v>270845.01219199999</v>
      </c>
    </row>
    <row r="761" spans="1:29" x14ac:dyDescent="0.25">
      <c r="A761" t="str">
        <f t="shared" si="12"/>
        <v xml:space="preserve">147313UDIBONO 261203      </v>
      </c>
      <c r="B761" s="96">
        <v>147314</v>
      </c>
      <c r="C761" s="96" t="s">
        <v>724</v>
      </c>
      <c r="D761" s="96" t="s">
        <v>471</v>
      </c>
      <c r="E761" s="96" t="s">
        <v>623</v>
      </c>
      <c r="F761" s="96" t="s">
        <v>624</v>
      </c>
      <c r="G761" s="99">
        <v>0</v>
      </c>
      <c r="H761" s="97">
        <v>0</v>
      </c>
      <c r="I761" s="98">
        <v>0</v>
      </c>
      <c r="J761" s="97">
        <v>0</v>
      </c>
      <c r="K761" s="98">
        <v>0</v>
      </c>
      <c r="L761" s="99">
        <v>0</v>
      </c>
      <c r="M761" s="98">
        <v>0</v>
      </c>
      <c r="N761" s="99">
        <v>0</v>
      </c>
      <c r="O761" s="98">
        <v>0</v>
      </c>
      <c r="P761" s="99">
        <v>0</v>
      </c>
      <c r="Q761" s="98">
        <v>0</v>
      </c>
      <c r="R761" s="96" t="s">
        <v>625</v>
      </c>
      <c r="S761" s="96">
        <v>7414000005</v>
      </c>
      <c r="AA761" s="131" t="s">
        <v>358</v>
      </c>
      <c r="AB761" s="130">
        <v>839655</v>
      </c>
      <c r="AC761" s="130">
        <v>839655</v>
      </c>
    </row>
    <row r="762" spans="1:29" x14ac:dyDescent="0.25">
      <c r="A762" t="str">
        <f t="shared" si="12"/>
        <v xml:space="preserve">147314BLADEX 24           </v>
      </c>
      <c r="B762" s="96">
        <v>147314</v>
      </c>
      <c r="C762" s="96" t="s">
        <v>724</v>
      </c>
      <c r="D762" s="96" t="s">
        <v>543</v>
      </c>
      <c r="E762" s="96" t="s">
        <v>623</v>
      </c>
      <c r="F762" s="96" t="s">
        <v>624</v>
      </c>
      <c r="G762" s="99">
        <v>5348712</v>
      </c>
      <c r="H762" s="97">
        <v>8.5044190000000004</v>
      </c>
      <c r="I762" s="98">
        <v>45487687.958328001</v>
      </c>
      <c r="J762" s="97">
        <v>8.3071887600000007</v>
      </c>
      <c r="K762" s="98">
        <v>1054927.75145088</v>
      </c>
      <c r="L762" s="99">
        <v>0</v>
      </c>
      <c r="M762" s="98">
        <v>0</v>
      </c>
      <c r="N762" s="99">
        <v>0</v>
      </c>
      <c r="O762" s="98">
        <v>0</v>
      </c>
      <c r="P762" s="99">
        <v>5348712</v>
      </c>
      <c r="Q762" s="98">
        <v>45487687.958328001</v>
      </c>
      <c r="R762" s="96" t="s">
        <v>625</v>
      </c>
      <c r="S762" s="96">
        <v>7414000005</v>
      </c>
      <c r="AA762" s="131" t="s">
        <v>459</v>
      </c>
      <c r="AB762" s="130">
        <v>1832483.2396800001</v>
      </c>
      <c r="AC762" s="130">
        <v>1832483.2396800001</v>
      </c>
    </row>
    <row r="763" spans="1:29" x14ac:dyDescent="0.25">
      <c r="A763" t="str">
        <f t="shared" si="12"/>
        <v xml:space="preserve">147314CETES 230601        </v>
      </c>
      <c r="B763" s="96">
        <v>147314</v>
      </c>
      <c r="C763" s="96" t="s">
        <v>724</v>
      </c>
      <c r="D763" s="96" t="s">
        <v>554</v>
      </c>
      <c r="E763" s="96" t="s">
        <v>623</v>
      </c>
      <c r="F763" s="96" t="s">
        <v>624</v>
      </c>
      <c r="G763" s="99">
        <v>9698110</v>
      </c>
      <c r="H763" s="97">
        <v>8.3813510000000004</v>
      </c>
      <c r="I763" s="98">
        <v>81283263.946610004</v>
      </c>
      <c r="J763" s="97">
        <v>8.2717659885242494</v>
      </c>
      <c r="K763" s="98">
        <v>1062767.4956431</v>
      </c>
      <c r="L763" s="99">
        <v>0</v>
      </c>
      <c r="M763" s="98">
        <v>0</v>
      </c>
      <c r="N763" s="99">
        <v>0</v>
      </c>
      <c r="O763" s="98">
        <v>0</v>
      </c>
      <c r="P763" s="99">
        <v>9698110</v>
      </c>
      <c r="Q763" s="98">
        <v>81283263.946610004</v>
      </c>
      <c r="R763" s="96" t="s">
        <v>625</v>
      </c>
      <c r="S763" s="96">
        <v>7414000005</v>
      </c>
      <c r="T763" s="23"/>
      <c r="AA763" s="131" t="s">
        <v>568</v>
      </c>
      <c r="AB763" s="130">
        <v>2325898.7638739999</v>
      </c>
      <c r="AC763" s="130">
        <v>2325898.7638739999</v>
      </c>
    </row>
    <row r="764" spans="1:29" x14ac:dyDescent="0.25">
      <c r="A764" t="str">
        <f t="shared" si="12"/>
        <v xml:space="preserve">147314CETES 251030        </v>
      </c>
      <c r="B764" s="96">
        <v>147314</v>
      </c>
      <c r="C764" s="96" t="s">
        <v>724</v>
      </c>
      <c r="D764" s="96" t="s">
        <v>613</v>
      </c>
      <c r="E764" s="96" t="s">
        <v>623</v>
      </c>
      <c r="F764" s="96" t="s">
        <v>624</v>
      </c>
      <c r="G764" s="99">
        <v>19087857</v>
      </c>
      <c r="H764" s="97">
        <v>8.2580650000000002</v>
      </c>
      <c r="I764" s="98">
        <v>157628763.81670499</v>
      </c>
      <c r="J764" s="97">
        <v>8.2567570035609155</v>
      </c>
      <c r="K764" s="98">
        <v>24966.848985770001</v>
      </c>
      <c r="L764" s="99">
        <v>0</v>
      </c>
      <c r="M764" s="98">
        <v>0</v>
      </c>
      <c r="N764" s="99">
        <v>0</v>
      </c>
      <c r="O764" s="98">
        <v>0</v>
      </c>
      <c r="P764" s="99">
        <v>19087857</v>
      </c>
      <c r="Q764" s="98">
        <v>157628763.81670499</v>
      </c>
      <c r="R764" s="96" t="s">
        <v>625</v>
      </c>
      <c r="S764" s="96">
        <v>7414000005</v>
      </c>
      <c r="T764" s="23"/>
      <c r="AA764" s="131" t="s">
        <v>569</v>
      </c>
      <c r="AB764" s="130">
        <v>2248417.0213179998</v>
      </c>
      <c r="AC764" s="130">
        <v>2248417.0213179998</v>
      </c>
    </row>
    <row r="765" spans="1:29" x14ac:dyDescent="0.25">
      <c r="A765" t="str">
        <f t="shared" si="12"/>
        <v xml:space="preserve">147314CETES 251224        </v>
      </c>
      <c r="B765" s="96">
        <v>147314</v>
      </c>
      <c r="C765" s="96" t="s">
        <v>724</v>
      </c>
      <c r="D765" s="96" t="s">
        <v>366</v>
      </c>
      <c r="E765" s="96" t="s">
        <v>623</v>
      </c>
      <c r="F765" s="96" t="s">
        <v>624</v>
      </c>
      <c r="G765" s="99">
        <v>0</v>
      </c>
      <c r="H765" s="97">
        <v>0</v>
      </c>
      <c r="I765" s="98">
        <v>6899159.6799999997</v>
      </c>
      <c r="J765" s="97">
        <v>0</v>
      </c>
      <c r="K765" s="98">
        <v>0</v>
      </c>
      <c r="L765" s="99">
        <v>0</v>
      </c>
      <c r="M765" s="98">
        <v>0</v>
      </c>
      <c r="N765" s="99">
        <v>0</v>
      </c>
      <c r="O765" s="98">
        <v>0</v>
      </c>
      <c r="P765" s="99">
        <v>0</v>
      </c>
      <c r="Q765" s="98">
        <v>6899159.6799999997</v>
      </c>
      <c r="R765" s="96" t="s">
        <v>625</v>
      </c>
      <c r="S765" s="96">
        <v>7414000005</v>
      </c>
      <c r="AA765" s="129">
        <v>2000776</v>
      </c>
      <c r="AB765" s="130">
        <v>15392383.193598</v>
      </c>
      <c r="AC765" s="130">
        <v>15392383.193598</v>
      </c>
    </row>
    <row r="766" spans="1:29" x14ac:dyDescent="0.25">
      <c r="A766" t="str">
        <f t="shared" si="12"/>
        <v xml:space="preserve">147314CETES 260219        </v>
      </c>
      <c r="B766" s="96">
        <v>147314</v>
      </c>
      <c r="C766" s="96" t="s">
        <v>724</v>
      </c>
      <c r="D766" s="96" t="s">
        <v>375</v>
      </c>
      <c r="E766" s="96" t="s">
        <v>623</v>
      </c>
      <c r="F766" s="96" t="s">
        <v>624</v>
      </c>
      <c r="G766" s="99">
        <v>186808</v>
      </c>
      <c r="H766" s="97">
        <v>98.730349000000004</v>
      </c>
      <c r="I766" s="98">
        <v>18443619.035992</v>
      </c>
      <c r="J766" s="97">
        <v>111.89286593999999</v>
      </c>
      <c r="K766" s="98">
        <v>-2458863.4645275199</v>
      </c>
      <c r="L766" s="99">
        <v>0</v>
      </c>
      <c r="M766" s="98">
        <v>0</v>
      </c>
      <c r="N766" s="99">
        <v>0</v>
      </c>
      <c r="O766" s="98">
        <v>0</v>
      </c>
      <c r="P766" s="99">
        <v>186808</v>
      </c>
      <c r="Q766" s="98">
        <v>18443619.035992</v>
      </c>
      <c r="R766" s="96" t="s">
        <v>625</v>
      </c>
      <c r="S766" s="96">
        <v>7414000005</v>
      </c>
      <c r="T766" s="23"/>
      <c r="AA766" s="131" t="s">
        <v>473</v>
      </c>
      <c r="AB766" s="130">
        <v>15392383.193598</v>
      </c>
      <c r="AC766" s="130">
        <v>15392383.193598</v>
      </c>
    </row>
    <row r="767" spans="1:29" x14ac:dyDescent="0.25">
      <c r="A767" t="str">
        <f t="shared" si="12"/>
        <v>147314EFECTIVO</v>
      </c>
      <c r="B767" s="96">
        <v>147314</v>
      </c>
      <c r="C767" s="96" t="s">
        <v>724</v>
      </c>
      <c r="D767" s="96" t="s">
        <v>376</v>
      </c>
      <c r="E767" s="96" t="s">
        <v>623</v>
      </c>
      <c r="F767" s="96" t="s">
        <v>624</v>
      </c>
      <c r="G767" s="99">
        <v>1036770</v>
      </c>
      <c r="H767" s="97">
        <v>99.247497999999993</v>
      </c>
      <c r="I767" s="98">
        <v>102896828.50146</v>
      </c>
      <c r="J767" s="97">
        <v>116.92795819391871</v>
      </c>
      <c r="K767" s="98">
        <v>-18330570.715249099</v>
      </c>
      <c r="L767" s="99">
        <v>0</v>
      </c>
      <c r="M767" s="98">
        <v>0</v>
      </c>
      <c r="N767" s="99">
        <v>0</v>
      </c>
      <c r="O767" s="98">
        <v>0</v>
      </c>
      <c r="P767" s="99">
        <v>1036770</v>
      </c>
      <c r="Q767" s="98">
        <v>102896828.50146</v>
      </c>
      <c r="R767" s="96" t="s">
        <v>625</v>
      </c>
      <c r="S767" s="96">
        <v>7414000005</v>
      </c>
      <c r="AA767" s="129">
        <v>2000777</v>
      </c>
      <c r="AB767" s="130">
        <v>2272996.151904</v>
      </c>
      <c r="AC767" s="130">
        <v>2272996.151904</v>
      </c>
    </row>
    <row r="768" spans="1:29" x14ac:dyDescent="0.25">
      <c r="A768" t="str">
        <f t="shared" si="12"/>
        <v xml:space="preserve">147314GOBFED 240905       </v>
      </c>
      <c r="B768" s="96">
        <v>147314</v>
      </c>
      <c r="C768" s="96" t="s">
        <v>724</v>
      </c>
      <c r="D768" s="96" t="s">
        <v>377</v>
      </c>
      <c r="E768" s="96" t="s">
        <v>623</v>
      </c>
      <c r="F768" s="96" t="s">
        <v>624</v>
      </c>
      <c r="G768" s="99">
        <v>1004142</v>
      </c>
      <c r="H768" s="97">
        <v>94.973146999999997</v>
      </c>
      <c r="I768" s="98">
        <v>95366525.774874002</v>
      </c>
      <c r="J768" s="97">
        <v>90.042079336113034</v>
      </c>
      <c r="K768" s="98">
        <v>4951492.1461507799</v>
      </c>
      <c r="L768" s="99">
        <v>0</v>
      </c>
      <c r="M768" s="98">
        <v>0</v>
      </c>
      <c r="N768" s="99">
        <v>0</v>
      </c>
      <c r="O768" s="98">
        <v>0</v>
      </c>
      <c r="P768" s="99">
        <v>1004142</v>
      </c>
      <c r="Q768" s="98">
        <v>95366525.774874002</v>
      </c>
      <c r="R768" s="96" t="s">
        <v>625</v>
      </c>
      <c r="S768" s="96">
        <v>7414000005</v>
      </c>
      <c r="AA768" s="131" t="s">
        <v>473</v>
      </c>
      <c r="AB768" s="130">
        <v>2272996.151904</v>
      </c>
      <c r="AC768" s="130">
        <v>2272996.151904</v>
      </c>
    </row>
    <row r="769" spans="1:29" x14ac:dyDescent="0.25">
      <c r="A769" t="str">
        <f t="shared" si="12"/>
        <v xml:space="preserve">147314GOBFED 241205       </v>
      </c>
      <c r="B769" s="96">
        <v>147314</v>
      </c>
      <c r="C769" s="96" t="s">
        <v>724</v>
      </c>
      <c r="D769" s="96" t="s">
        <v>378</v>
      </c>
      <c r="E769" s="96" t="s">
        <v>623</v>
      </c>
      <c r="F769" s="96" t="s">
        <v>624</v>
      </c>
      <c r="G769" s="99">
        <v>1855916</v>
      </c>
      <c r="H769" s="97">
        <v>91.911821000000003</v>
      </c>
      <c r="I769" s="98">
        <v>170580619.183036</v>
      </c>
      <c r="J769" s="97">
        <v>90.841685154635201</v>
      </c>
      <c r="K769" s="98">
        <v>1986082.2375860601</v>
      </c>
      <c r="L769" s="99">
        <v>0</v>
      </c>
      <c r="M769" s="98">
        <v>0</v>
      </c>
      <c r="N769" s="99">
        <v>0</v>
      </c>
      <c r="O769" s="98">
        <v>0</v>
      </c>
      <c r="P769" s="99">
        <v>1855916</v>
      </c>
      <c r="Q769" s="98">
        <v>170580619.183036</v>
      </c>
      <c r="R769" s="96" t="s">
        <v>625</v>
      </c>
      <c r="S769" s="96">
        <v>7414000005</v>
      </c>
      <c r="AA769" s="129">
        <v>2000778</v>
      </c>
      <c r="AB769" s="130">
        <v>12211224.0836</v>
      </c>
      <c r="AC769" s="130">
        <v>12211224.0836</v>
      </c>
    </row>
    <row r="770" spans="1:29" x14ac:dyDescent="0.25">
      <c r="A770" t="str">
        <f t="shared" si="12"/>
        <v xml:space="preserve">147314GOBFED 250306       </v>
      </c>
      <c r="B770" s="96">
        <v>147314</v>
      </c>
      <c r="C770" s="96" t="s">
        <v>724</v>
      </c>
      <c r="D770" s="96" t="s">
        <v>499</v>
      </c>
      <c r="E770" s="96" t="s">
        <v>623</v>
      </c>
      <c r="F770" s="96" t="s">
        <v>624</v>
      </c>
      <c r="G770" s="99">
        <v>3388950</v>
      </c>
      <c r="H770" s="97">
        <v>92.954503000000003</v>
      </c>
      <c r="I770" s="98">
        <v>315018162.94185001</v>
      </c>
      <c r="J770" s="97">
        <v>93.270700291316459</v>
      </c>
      <c r="K770" s="98">
        <v>-1071576.8104069</v>
      </c>
      <c r="L770" s="99">
        <v>0</v>
      </c>
      <c r="M770" s="98">
        <v>0</v>
      </c>
      <c r="N770" s="99">
        <v>0</v>
      </c>
      <c r="O770" s="98">
        <v>0</v>
      </c>
      <c r="P770" s="99">
        <v>3388950</v>
      </c>
      <c r="Q770" s="98">
        <v>315018162.94185001</v>
      </c>
      <c r="R770" s="96" t="s">
        <v>625</v>
      </c>
      <c r="S770" s="96">
        <v>7414000005</v>
      </c>
      <c r="AA770" s="131" t="s">
        <v>473</v>
      </c>
      <c r="AB770" s="130">
        <v>12211224.0836</v>
      </c>
      <c r="AC770" s="130">
        <v>12211224.0836</v>
      </c>
    </row>
    <row r="771" spans="1:29" x14ac:dyDescent="0.25">
      <c r="A771" t="str">
        <f t="shared" si="12"/>
        <v xml:space="preserve">147314GOBFED 260305       </v>
      </c>
      <c r="B771" s="96">
        <v>147314</v>
      </c>
      <c r="C771" s="96" t="s">
        <v>724</v>
      </c>
      <c r="D771" s="96" t="s">
        <v>379</v>
      </c>
      <c r="E771" s="96" t="s">
        <v>623</v>
      </c>
      <c r="F771" s="96" t="s">
        <v>624</v>
      </c>
      <c r="G771" s="99">
        <v>1246014</v>
      </c>
      <c r="H771" s="97">
        <v>88.698122999999995</v>
      </c>
      <c r="I771" s="98">
        <v>110519103.03172199</v>
      </c>
      <c r="J771" s="97">
        <v>88.298692396428891</v>
      </c>
      <c r="K771" s="98">
        <v>497696.12407805998</v>
      </c>
      <c r="L771" s="99">
        <v>0</v>
      </c>
      <c r="M771" s="98">
        <v>0</v>
      </c>
      <c r="N771" s="99">
        <v>0</v>
      </c>
      <c r="O771" s="98">
        <v>0</v>
      </c>
      <c r="P771" s="99">
        <v>1246014</v>
      </c>
      <c r="Q771" s="98">
        <v>110519103.03172199</v>
      </c>
      <c r="R771" s="96" t="s">
        <v>625</v>
      </c>
      <c r="S771" s="96">
        <v>7414000005</v>
      </c>
      <c r="AA771" s="129">
        <v>2000791</v>
      </c>
      <c r="AB771" s="130">
        <v>39836595.161101997</v>
      </c>
      <c r="AC771" s="130">
        <v>40064343.441101998</v>
      </c>
    </row>
    <row r="772" spans="1:29" x14ac:dyDescent="0.25">
      <c r="A772" t="str">
        <f t="shared" si="12"/>
        <v xml:space="preserve">147314GOBFED 260903       </v>
      </c>
      <c r="B772" s="96">
        <v>147314</v>
      </c>
      <c r="C772" s="96" t="s">
        <v>724</v>
      </c>
      <c r="D772" s="96" t="s">
        <v>380</v>
      </c>
      <c r="E772" s="96" t="s">
        <v>623</v>
      </c>
      <c r="F772" s="96" t="s">
        <v>624</v>
      </c>
      <c r="G772" s="99">
        <v>1252910</v>
      </c>
      <c r="H772" s="97">
        <v>93.314192000000006</v>
      </c>
      <c r="I772" s="98">
        <v>116914284.29872</v>
      </c>
      <c r="J772" s="97">
        <v>93.346762706102666</v>
      </c>
      <c r="K772" s="98">
        <v>-40808.1633831</v>
      </c>
      <c r="L772" s="99">
        <v>0</v>
      </c>
      <c r="M772" s="98">
        <v>0</v>
      </c>
      <c r="N772" s="99">
        <v>0</v>
      </c>
      <c r="O772" s="98">
        <v>0</v>
      </c>
      <c r="P772" s="99">
        <v>1252910</v>
      </c>
      <c r="Q772" s="98">
        <v>116914284.29872</v>
      </c>
      <c r="R772" s="96" t="s">
        <v>625</v>
      </c>
      <c r="S772" s="96">
        <v>7414000005</v>
      </c>
      <c r="AA772" s="131" t="s">
        <v>389</v>
      </c>
      <c r="AB772" s="130">
        <v>15247830.972696001</v>
      </c>
      <c r="AC772" s="130">
        <v>15247830.972696001</v>
      </c>
    </row>
    <row r="773" spans="1:29" x14ac:dyDescent="0.25">
      <c r="A773" t="str">
        <f t="shared" si="12"/>
        <v xml:space="preserve">147314GOBFED 270304       </v>
      </c>
      <c r="B773" s="96">
        <v>147314</v>
      </c>
      <c r="C773" s="96" t="s">
        <v>724</v>
      </c>
      <c r="D773" s="96" t="s">
        <v>382</v>
      </c>
      <c r="E773" s="96" t="s">
        <v>623</v>
      </c>
      <c r="F773" s="96" t="s">
        <v>624</v>
      </c>
      <c r="G773" s="99">
        <v>0</v>
      </c>
      <c r="H773" s="97">
        <v>0</v>
      </c>
      <c r="I773" s="98">
        <v>0</v>
      </c>
      <c r="J773" s="97">
        <v>0</v>
      </c>
      <c r="K773" s="98">
        <v>0</v>
      </c>
      <c r="L773" s="99">
        <v>0</v>
      </c>
      <c r="M773" s="98">
        <v>0</v>
      </c>
      <c r="N773" s="99">
        <v>0</v>
      </c>
      <c r="O773" s="98">
        <v>0</v>
      </c>
      <c r="P773" s="99">
        <v>0</v>
      </c>
      <c r="Q773" s="98">
        <v>0</v>
      </c>
      <c r="R773" s="96" t="s">
        <v>625</v>
      </c>
      <c r="S773" s="96">
        <v>7414000005</v>
      </c>
      <c r="T773" s="23"/>
      <c r="AA773" s="131" t="s">
        <v>358</v>
      </c>
      <c r="AB773" s="130">
        <v>1517648</v>
      </c>
      <c r="AC773" s="130">
        <v>1607850</v>
      </c>
    </row>
    <row r="774" spans="1:29" x14ac:dyDescent="0.25">
      <c r="A774" t="str">
        <f t="shared" si="12"/>
        <v xml:space="preserve">147314GOBFED 270603       </v>
      </c>
      <c r="B774" s="96">
        <v>147314</v>
      </c>
      <c r="C774" s="96" t="s">
        <v>724</v>
      </c>
      <c r="D774" s="96" t="s">
        <v>429</v>
      </c>
      <c r="E774" s="96" t="s">
        <v>623</v>
      </c>
      <c r="F774" s="96" t="s">
        <v>624</v>
      </c>
      <c r="G774" s="99">
        <v>70103</v>
      </c>
      <c r="H774" s="97">
        <v>98.007834000000003</v>
      </c>
      <c r="I774" s="98">
        <v>6870643.1869019996</v>
      </c>
      <c r="J774" s="97">
        <v>93.280048030000003</v>
      </c>
      <c r="K774" s="98">
        <v>331431.97985490999</v>
      </c>
      <c r="L774" s="99">
        <v>0</v>
      </c>
      <c r="M774" s="98">
        <v>0</v>
      </c>
      <c r="N774" s="99">
        <v>0</v>
      </c>
      <c r="O774" s="98">
        <v>0</v>
      </c>
      <c r="P774" s="99">
        <v>70103</v>
      </c>
      <c r="Q774" s="98">
        <v>6870643.1869019996</v>
      </c>
      <c r="R774" s="96" t="s">
        <v>625</v>
      </c>
      <c r="S774" s="96">
        <v>7414000005</v>
      </c>
      <c r="AA774" s="131" t="s">
        <v>459</v>
      </c>
      <c r="AB774" s="130">
        <v>4630724.76</v>
      </c>
      <c r="AC774" s="130">
        <v>4768271.04</v>
      </c>
    </row>
    <row r="775" spans="1:29" x14ac:dyDescent="0.25">
      <c r="A775" t="str">
        <f t="shared" ref="A775:A838" si="13">B773&amp;D773</f>
        <v xml:space="preserve">147314GOBFED 310529       </v>
      </c>
      <c r="B775" s="96">
        <v>147314</v>
      </c>
      <c r="C775" s="96" t="s">
        <v>724</v>
      </c>
      <c r="D775" s="96" t="s">
        <v>437</v>
      </c>
      <c r="E775" s="96" t="s">
        <v>623</v>
      </c>
      <c r="F775" s="96" t="s">
        <v>624</v>
      </c>
      <c r="G775" s="99">
        <v>291840</v>
      </c>
      <c r="H775" s="97">
        <v>100.38890499999999</v>
      </c>
      <c r="I775" s="98">
        <v>29297498.0352</v>
      </c>
      <c r="J775" s="97">
        <v>91.398345289999995</v>
      </c>
      <c r="K775" s="98">
        <v>2623804.9457664001</v>
      </c>
      <c r="L775" s="99">
        <v>0</v>
      </c>
      <c r="M775" s="98">
        <v>0</v>
      </c>
      <c r="N775" s="99">
        <v>0</v>
      </c>
      <c r="O775" s="98">
        <v>0</v>
      </c>
      <c r="P775" s="99">
        <v>291840</v>
      </c>
      <c r="Q775" s="98">
        <v>29297498.0352</v>
      </c>
      <c r="R775" s="96" t="s">
        <v>625</v>
      </c>
      <c r="S775" s="96">
        <v>7414000005</v>
      </c>
      <c r="AA775" s="131" t="s">
        <v>407</v>
      </c>
      <c r="AB775" s="130">
        <v>18440391.428406</v>
      </c>
      <c r="AC775" s="130">
        <v>18440391.428406</v>
      </c>
    </row>
    <row r="776" spans="1:29" x14ac:dyDescent="0.25">
      <c r="A776" t="str">
        <f t="shared" si="13"/>
        <v xml:space="preserve">147314PEMEX 13-2          </v>
      </c>
      <c r="B776" s="96">
        <v>147314</v>
      </c>
      <c r="C776" s="96" t="s">
        <v>724</v>
      </c>
      <c r="D776" s="96" t="s">
        <v>472</v>
      </c>
      <c r="E776" s="96" t="s">
        <v>623</v>
      </c>
      <c r="F776" s="96" t="s">
        <v>624</v>
      </c>
      <c r="G776" s="99">
        <v>54700000</v>
      </c>
      <c r="H776" s="97">
        <v>4.1069599999999999</v>
      </c>
      <c r="I776" s="98">
        <v>224650712</v>
      </c>
      <c r="J776" s="97">
        <v>3.2472985290676415</v>
      </c>
      <c r="K776" s="98">
        <v>47023482.460000001</v>
      </c>
      <c r="L776" s="99">
        <v>0</v>
      </c>
      <c r="M776" s="98">
        <v>0</v>
      </c>
      <c r="N776" s="99">
        <v>0</v>
      </c>
      <c r="O776" s="98">
        <v>0</v>
      </c>
      <c r="P776" s="99">
        <v>54700000</v>
      </c>
      <c r="Q776" s="98">
        <v>224650712</v>
      </c>
      <c r="R776" s="96" t="s">
        <v>625</v>
      </c>
      <c r="S776" s="96">
        <v>7414000005</v>
      </c>
      <c r="AA776" s="129">
        <v>2000795</v>
      </c>
      <c r="AB776" s="130">
        <v>163015917.776907</v>
      </c>
      <c r="AC776" s="130">
        <v>163015917.776907</v>
      </c>
    </row>
    <row r="777" spans="1:29" x14ac:dyDescent="0.25">
      <c r="A777" t="str">
        <f t="shared" si="13"/>
        <v xml:space="preserve">147314PEMEX 19            </v>
      </c>
      <c r="B777" s="96">
        <v>147314</v>
      </c>
      <c r="C777" s="96" t="s">
        <v>724</v>
      </c>
      <c r="D777" s="96" t="s">
        <v>391</v>
      </c>
      <c r="E777" s="96" t="s">
        <v>623</v>
      </c>
      <c r="F777" s="96" t="s">
        <v>624</v>
      </c>
      <c r="G777" s="99">
        <v>90</v>
      </c>
      <c r="H777" s="97">
        <v>775.69178699999998</v>
      </c>
      <c r="I777" s="98">
        <v>69812.260829999999</v>
      </c>
      <c r="J777" s="97">
        <v>770.06763651000006</v>
      </c>
      <c r="K777" s="98">
        <v>506.17354410000002</v>
      </c>
      <c r="L777" s="99">
        <v>0</v>
      </c>
      <c r="M777" s="98">
        <v>0</v>
      </c>
      <c r="N777" s="99">
        <v>0</v>
      </c>
      <c r="O777" s="98">
        <v>0</v>
      </c>
      <c r="P777" s="99">
        <v>90</v>
      </c>
      <c r="Q777" s="98">
        <v>69812.260829999999</v>
      </c>
      <c r="R777" s="96" t="s">
        <v>625</v>
      </c>
      <c r="S777" s="96">
        <v>7414000005</v>
      </c>
      <c r="AA777" s="131" t="s">
        <v>389</v>
      </c>
      <c r="AB777" s="130">
        <v>58830572.682916</v>
      </c>
      <c r="AC777" s="130">
        <v>58830572.682916</v>
      </c>
    </row>
    <row r="778" spans="1:29" x14ac:dyDescent="0.25">
      <c r="A778" t="str">
        <f t="shared" si="13"/>
        <v xml:space="preserve">147314STER-OP E2          </v>
      </c>
      <c r="B778" s="96">
        <v>147314</v>
      </c>
      <c r="C778" s="96" t="s">
        <v>724</v>
      </c>
      <c r="D778" s="96" t="s">
        <v>392</v>
      </c>
      <c r="E778" s="96" t="s">
        <v>623</v>
      </c>
      <c r="F778" s="96" t="s">
        <v>624</v>
      </c>
      <c r="G778" s="99">
        <v>564</v>
      </c>
      <c r="H778" s="97">
        <v>747.17843200000004</v>
      </c>
      <c r="I778" s="98">
        <v>421408.635648</v>
      </c>
      <c r="J778" s="97">
        <v>730.99471579999999</v>
      </c>
      <c r="K778" s="98">
        <v>9127.6159368000008</v>
      </c>
      <c r="L778" s="99">
        <v>0</v>
      </c>
      <c r="M778" s="98">
        <v>0</v>
      </c>
      <c r="N778" s="99">
        <v>0</v>
      </c>
      <c r="O778" s="98">
        <v>0</v>
      </c>
      <c r="P778" s="99">
        <v>564</v>
      </c>
      <c r="Q778" s="98">
        <v>421408.635648</v>
      </c>
      <c r="R778" s="96" t="s">
        <v>625</v>
      </c>
      <c r="S778" s="96">
        <v>7414000005</v>
      </c>
      <c r="AA778" s="131" t="s">
        <v>357</v>
      </c>
      <c r="AB778" s="130">
        <v>876928</v>
      </c>
      <c r="AC778" s="130">
        <v>876928</v>
      </c>
    </row>
    <row r="779" spans="1:29" x14ac:dyDescent="0.25">
      <c r="A779" t="str">
        <f t="shared" si="13"/>
        <v xml:space="preserve">147314UDIBONO 251204      </v>
      </c>
      <c r="B779" s="96">
        <v>147491</v>
      </c>
      <c r="C779" s="96" t="s">
        <v>725</v>
      </c>
      <c r="D779" s="96" t="s">
        <v>412</v>
      </c>
      <c r="E779" s="96" t="s">
        <v>623</v>
      </c>
      <c r="F779" s="96" t="s">
        <v>624</v>
      </c>
      <c r="G779" s="99">
        <v>510092</v>
      </c>
      <c r="H779" s="97">
        <v>3.137273</v>
      </c>
      <c r="I779" s="98">
        <v>1600297.8591159999</v>
      </c>
      <c r="J779" s="97">
        <v>3.0779330003215106</v>
      </c>
      <c r="K779" s="98">
        <v>30268.859116</v>
      </c>
      <c r="L779" s="99">
        <v>0</v>
      </c>
      <c r="M779" s="98">
        <v>0</v>
      </c>
      <c r="N779" s="99">
        <v>0</v>
      </c>
      <c r="O779" s="98">
        <v>0</v>
      </c>
      <c r="P779" s="99">
        <v>510092</v>
      </c>
      <c r="Q779" s="98">
        <v>1600297.8591159999</v>
      </c>
      <c r="R779" s="96" t="s">
        <v>625</v>
      </c>
      <c r="S779" s="96">
        <v>7414000005</v>
      </c>
      <c r="AA779" s="131" t="s">
        <v>617</v>
      </c>
      <c r="AB779" s="130">
        <v>194504</v>
      </c>
      <c r="AC779" s="130">
        <v>194504</v>
      </c>
    </row>
    <row r="780" spans="1:29" x14ac:dyDescent="0.25">
      <c r="A780" t="str">
        <f t="shared" si="13"/>
        <v xml:space="preserve">147314UDIBONO 261203      </v>
      </c>
      <c r="B780" s="96">
        <v>147492</v>
      </c>
      <c r="C780" s="96" t="s">
        <v>726</v>
      </c>
      <c r="D780" s="96" t="s">
        <v>474</v>
      </c>
      <c r="E780" s="96" t="s">
        <v>727</v>
      </c>
      <c r="F780" s="96" t="s">
        <v>624</v>
      </c>
      <c r="G780" s="99">
        <v>0</v>
      </c>
      <c r="H780" s="97">
        <v>0</v>
      </c>
      <c r="I780" s="98">
        <v>0</v>
      </c>
      <c r="J780" s="97">
        <v>0</v>
      </c>
      <c r="K780" s="98">
        <v>0</v>
      </c>
      <c r="L780" s="99">
        <v>0</v>
      </c>
      <c r="M780" s="98">
        <v>0</v>
      </c>
      <c r="N780" s="99">
        <v>0</v>
      </c>
      <c r="O780" s="98">
        <v>0</v>
      </c>
      <c r="P780" s="99">
        <v>0</v>
      </c>
      <c r="Q780" s="98">
        <v>0</v>
      </c>
      <c r="R780" s="96" t="s">
        <v>625</v>
      </c>
      <c r="S780" s="96">
        <v>7414000005</v>
      </c>
      <c r="AA780" s="131" t="s">
        <v>359</v>
      </c>
      <c r="AB780" s="130">
        <v>997832</v>
      </c>
      <c r="AC780" s="130">
        <v>997832</v>
      </c>
    </row>
    <row r="781" spans="1:29" x14ac:dyDescent="0.25">
      <c r="A781" t="str">
        <f t="shared" si="13"/>
        <v xml:space="preserve">147491STERGOB B0          </v>
      </c>
      <c r="B781" s="96">
        <v>147492</v>
      </c>
      <c r="C781" s="96" t="s">
        <v>726</v>
      </c>
      <c r="D781" s="96" t="s">
        <v>412</v>
      </c>
      <c r="E781" s="96" t="s">
        <v>623</v>
      </c>
      <c r="F781" s="96" t="s">
        <v>624</v>
      </c>
      <c r="G781" s="99">
        <v>196371</v>
      </c>
      <c r="H781" s="97">
        <v>3.137273</v>
      </c>
      <c r="I781" s="98">
        <v>616069.43628300005</v>
      </c>
      <c r="J781" s="97">
        <v>2.6586447082308489</v>
      </c>
      <c r="K781" s="98">
        <v>93988.716283000002</v>
      </c>
      <c r="L781" s="99">
        <v>0</v>
      </c>
      <c r="M781" s="98">
        <v>0</v>
      </c>
      <c r="N781" s="99">
        <v>0</v>
      </c>
      <c r="O781" s="98">
        <v>0</v>
      </c>
      <c r="P781" s="99">
        <v>196371</v>
      </c>
      <c r="Q781" s="98">
        <v>616069.43628300005</v>
      </c>
      <c r="R781" s="96" t="s">
        <v>625</v>
      </c>
      <c r="S781" s="96">
        <v>7414000005</v>
      </c>
      <c r="AA781" s="131" t="s">
        <v>551</v>
      </c>
      <c r="AB781" s="130">
        <v>2152869</v>
      </c>
      <c r="AC781" s="130">
        <v>2152869</v>
      </c>
    </row>
    <row r="782" spans="1:29" x14ac:dyDescent="0.25">
      <c r="A782" t="str">
        <f t="shared" si="13"/>
        <v xml:space="preserve">147492CASITA *            </v>
      </c>
      <c r="B782" s="96">
        <v>147492</v>
      </c>
      <c r="C782" s="96" t="s">
        <v>726</v>
      </c>
      <c r="D782" s="96" t="s">
        <v>475</v>
      </c>
      <c r="E782" s="96" t="s">
        <v>623</v>
      </c>
      <c r="F782" s="96" t="s">
        <v>624</v>
      </c>
      <c r="G782" s="99">
        <v>10703021</v>
      </c>
      <c r="H782" s="97">
        <v>3.906444</v>
      </c>
      <c r="I782" s="98">
        <v>41810752.167323999</v>
      </c>
      <c r="J782" s="97">
        <v>2.4130519775678287</v>
      </c>
      <c r="K782" s="98">
        <v>15983806.177324001</v>
      </c>
      <c r="L782" s="99">
        <v>0</v>
      </c>
      <c r="M782" s="98">
        <v>0</v>
      </c>
      <c r="N782" s="99">
        <v>0</v>
      </c>
      <c r="O782" s="98">
        <v>0</v>
      </c>
      <c r="P782" s="99">
        <v>10703021</v>
      </c>
      <c r="Q782" s="98">
        <v>41810752.167323999</v>
      </c>
      <c r="R782" s="96" t="s">
        <v>625</v>
      </c>
      <c r="S782" s="96">
        <v>7414000005</v>
      </c>
      <c r="AA782" s="131" t="s">
        <v>361</v>
      </c>
      <c r="AB782" s="130">
        <v>641550</v>
      </c>
      <c r="AC782" s="130">
        <v>641550</v>
      </c>
    </row>
    <row r="783" spans="1:29" x14ac:dyDescent="0.25">
      <c r="A783" t="str">
        <f t="shared" si="13"/>
        <v xml:space="preserve">147492STERGOB B0          </v>
      </c>
      <c r="B783" s="96">
        <v>152965</v>
      </c>
      <c r="C783" s="96" t="s">
        <v>728</v>
      </c>
      <c r="D783" s="96" t="s">
        <v>557</v>
      </c>
      <c r="E783" s="96" t="s">
        <v>623</v>
      </c>
      <c r="F783" s="96" t="s">
        <v>624</v>
      </c>
      <c r="G783" s="99">
        <v>7091577</v>
      </c>
      <c r="H783" s="97">
        <v>3.0168970000000002</v>
      </c>
      <c r="I783" s="98">
        <v>21394557.376568999</v>
      </c>
      <c r="J783" s="97">
        <v>2.9636489316833194</v>
      </c>
      <c r="K783" s="98">
        <v>377612.77656899998</v>
      </c>
      <c r="L783" s="99">
        <v>0</v>
      </c>
      <c r="M783" s="98">
        <v>0</v>
      </c>
      <c r="N783" s="99">
        <v>0</v>
      </c>
      <c r="O783" s="98">
        <v>0</v>
      </c>
      <c r="P783" s="99">
        <v>7091577</v>
      </c>
      <c r="Q783" s="98">
        <v>21394557.376568999</v>
      </c>
      <c r="R783" s="96" t="s">
        <v>625</v>
      </c>
      <c r="S783" s="96">
        <v>7414000005</v>
      </c>
      <c r="AA783" s="131" t="s">
        <v>362</v>
      </c>
      <c r="AB783" s="130">
        <v>3764491</v>
      </c>
      <c r="AC783" s="130">
        <v>3764491</v>
      </c>
    </row>
    <row r="784" spans="1:29" x14ac:dyDescent="0.25">
      <c r="A784" t="str">
        <f t="shared" si="13"/>
        <v xml:space="preserve">147492STRGOB2 B2          </v>
      </c>
      <c r="B784" s="96">
        <v>152971</v>
      </c>
      <c r="C784" s="96" t="s">
        <v>729</v>
      </c>
      <c r="D784" s="96" t="s">
        <v>470</v>
      </c>
      <c r="E784" s="96" t="s">
        <v>623</v>
      </c>
      <c r="F784" s="96" t="s">
        <v>624</v>
      </c>
      <c r="G784" s="99">
        <v>0</v>
      </c>
      <c r="H784" s="97">
        <v>0</v>
      </c>
      <c r="I784" s="98">
        <v>0</v>
      </c>
      <c r="J784" s="97">
        <v>0</v>
      </c>
      <c r="K784" s="98">
        <v>0</v>
      </c>
      <c r="L784" s="99">
        <v>0</v>
      </c>
      <c r="M784" s="98">
        <v>0</v>
      </c>
      <c r="N784" s="99">
        <v>0</v>
      </c>
      <c r="O784" s="98">
        <v>0</v>
      </c>
      <c r="P784" s="99">
        <v>0</v>
      </c>
      <c r="Q784" s="98">
        <v>0</v>
      </c>
      <c r="R784" s="96" t="s">
        <v>625</v>
      </c>
      <c r="S784" s="96">
        <v>7414000005</v>
      </c>
      <c r="AA784" s="131" t="s">
        <v>369</v>
      </c>
      <c r="AB784" s="130">
        <v>4073076</v>
      </c>
      <c r="AC784" s="130">
        <v>4073076</v>
      </c>
    </row>
    <row r="785" spans="1:29" x14ac:dyDescent="0.25">
      <c r="A785" t="str">
        <f t="shared" si="13"/>
        <v xml:space="preserve">152965STERGOB C2          </v>
      </c>
      <c r="B785" s="96">
        <v>152971</v>
      </c>
      <c r="C785" s="96" t="s">
        <v>729</v>
      </c>
      <c r="D785" s="96" t="s">
        <v>363</v>
      </c>
      <c r="E785" s="96" t="s">
        <v>623</v>
      </c>
      <c r="F785" s="96" t="s">
        <v>624</v>
      </c>
      <c r="G785" s="99">
        <v>146155</v>
      </c>
      <c r="H785" s="97">
        <v>9.4935880000000008</v>
      </c>
      <c r="I785" s="98">
        <v>1387535.35414</v>
      </c>
      <c r="J785" s="97">
        <v>8.4405498100000003</v>
      </c>
      <c r="K785" s="98">
        <v>153906.79665944999</v>
      </c>
      <c r="L785" s="99">
        <v>0</v>
      </c>
      <c r="M785" s="98">
        <v>0</v>
      </c>
      <c r="N785" s="99">
        <v>0</v>
      </c>
      <c r="O785" s="98">
        <v>0</v>
      </c>
      <c r="P785" s="99">
        <v>146155</v>
      </c>
      <c r="Q785" s="98">
        <v>1387535.35414</v>
      </c>
      <c r="R785" s="96" t="s">
        <v>625</v>
      </c>
      <c r="S785" s="96">
        <v>7414000005</v>
      </c>
      <c r="AA785" s="131" t="s">
        <v>370</v>
      </c>
      <c r="AB785" s="130">
        <v>462298</v>
      </c>
      <c r="AC785" s="130">
        <v>462298</v>
      </c>
    </row>
    <row r="786" spans="1:29" x14ac:dyDescent="0.25">
      <c r="A786" t="str">
        <f t="shared" si="13"/>
        <v xml:space="preserve">152971CETES 131017        </v>
      </c>
      <c r="B786" s="96">
        <v>152971</v>
      </c>
      <c r="C786" s="96" t="s">
        <v>729</v>
      </c>
      <c r="D786" s="96" t="s">
        <v>409</v>
      </c>
      <c r="E786" s="96" t="s">
        <v>623</v>
      </c>
      <c r="F786" s="96" t="s">
        <v>624</v>
      </c>
      <c r="G786" s="99">
        <v>199060</v>
      </c>
      <c r="H786" s="97">
        <v>9.3381629999999998</v>
      </c>
      <c r="I786" s="98">
        <v>1858854.7267799999</v>
      </c>
      <c r="J786" s="97">
        <v>8.3307969100000001</v>
      </c>
      <c r="K786" s="98">
        <v>200526.29387540001</v>
      </c>
      <c r="L786" s="99">
        <v>0</v>
      </c>
      <c r="M786" s="98">
        <v>0</v>
      </c>
      <c r="N786" s="99">
        <v>0</v>
      </c>
      <c r="O786" s="98">
        <v>0</v>
      </c>
      <c r="P786" s="99">
        <v>199060</v>
      </c>
      <c r="Q786" s="98">
        <v>1858854.7267799999</v>
      </c>
      <c r="R786" s="96" t="s">
        <v>625</v>
      </c>
      <c r="S786" s="96">
        <v>7414000005</v>
      </c>
      <c r="AA786" s="131" t="s">
        <v>372</v>
      </c>
      <c r="AB786" s="130">
        <v>1271928</v>
      </c>
      <c r="AC786" s="130">
        <v>1271928</v>
      </c>
    </row>
    <row r="787" spans="1:29" x14ac:dyDescent="0.25">
      <c r="A787" t="str">
        <f t="shared" si="13"/>
        <v xml:space="preserve">152971CETES 241003        </v>
      </c>
      <c r="B787" s="96">
        <v>152971</v>
      </c>
      <c r="C787" s="96" t="s">
        <v>729</v>
      </c>
      <c r="D787" s="96" t="s">
        <v>364</v>
      </c>
      <c r="E787" s="96" t="s">
        <v>623</v>
      </c>
      <c r="F787" s="96" t="s">
        <v>624</v>
      </c>
      <c r="G787" s="99">
        <v>249960</v>
      </c>
      <c r="H787" s="97">
        <v>9.190137</v>
      </c>
      <c r="I787" s="98">
        <v>2297166.6445200001</v>
      </c>
      <c r="J787" s="97">
        <v>8.2167929437954079</v>
      </c>
      <c r="K787" s="98">
        <v>243297.0802889</v>
      </c>
      <c r="L787" s="99">
        <v>0</v>
      </c>
      <c r="M787" s="98">
        <v>0</v>
      </c>
      <c r="N787" s="99">
        <v>0</v>
      </c>
      <c r="O787" s="98">
        <v>0</v>
      </c>
      <c r="P787" s="99">
        <v>249960</v>
      </c>
      <c r="Q787" s="98">
        <v>2297166.6445200001</v>
      </c>
      <c r="R787" s="96" t="s">
        <v>625</v>
      </c>
      <c r="S787" s="96">
        <v>7414000005</v>
      </c>
      <c r="AA787" s="131" t="s">
        <v>373</v>
      </c>
      <c r="AB787" s="130">
        <v>5434352</v>
      </c>
      <c r="AC787" s="130">
        <v>5434352</v>
      </c>
    </row>
    <row r="788" spans="1:29" x14ac:dyDescent="0.25">
      <c r="A788" t="str">
        <f t="shared" si="13"/>
        <v xml:space="preserve">152971CETES 241128        </v>
      </c>
      <c r="B788" s="96">
        <v>152971</v>
      </c>
      <c r="C788" s="96" t="s">
        <v>729</v>
      </c>
      <c r="D788" s="96" t="s">
        <v>554</v>
      </c>
      <c r="E788" s="96" t="s">
        <v>623</v>
      </c>
      <c r="F788" s="96" t="s">
        <v>624</v>
      </c>
      <c r="G788" s="99">
        <v>69270</v>
      </c>
      <c r="H788" s="97">
        <v>8.3813510000000004</v>
      </c>
      <c r="I788" s="98">
        <v>580576.18377</v>
      </c>
      <c r="J788" s="97">
        <v>8.2700011300000007</v>
      </c>
      <c r="K788" s="98">
        <v>7713.2054949000003</v>
      </c>
      <c r="L788" s="99">
        <v>0</v>
      </c>
      <c r="M788" s="98">
        <v>0</v>
      </c>
      <c r="N788" s="99">
        <v>0</v>
      </c>
      <c r="O788" s="98">
        <v>0</v>
      </c>
      <c r="P788" s="99">
        <v>69270</v>
      </c>
      <c r="Q788" s="98">
        <v>580576.18377</v>
      </c>
      <c r="R788" s="96" t="s">
        <v>625</v>
      </c>
      <c r="S788" s="96">
        <v>7414000005</v>
      </c>
      <c r="AA788" s="131" t="s">
        <v>374</v>
      </c>
      <c r="AB788" s="130">
        <v>3821204</v>
      </c>
      <c r="AC788" s="130">
        <v>3821204</v>
      </c>
    </row>
    <row r="789" spans="1:29" x14ac:dyDescent="0.25">
      <c r="A789" t="str">
        <f t="shared" si="13"/>
        <v xml:space="preserve">152971CETES 250123        </v>
      </c>
      <c r="B789" s="96">
        <v>152971</v>
      </c>
      <c r="C789" s="96" t="s">
        <v>729</v>
      </c>
      <c r="D789" s="96" t="s">
        <v>613</v>
      </c>
      <c r="E789" s="96" t="s">
        <v>623</v>
      </c>
      <c r="F789" s="96" t="s">
        <v>624</v>
      </c>
      <c r="G789" s="99">
        <v>141260</v>
      </c>
      <c r="H789" s="97">
        <v>8.2580650000000002</v>
      </c>
      <c r="I789" s="98">
        <v>1166534.2619</v>
      </c>
      <c r="J789" s="97">
        <v>8.2501711100000001</v>
      </c>
      <c r="K789" s="98">
        <v>1115.0909013999999</v>
      </c>
      <c r="L789" s="99">
        <v>0</v>
      </c>
      <c r="M789" s="98">
        <v>0</v>
      </c>
      <c r="N789" s="99">
        <v>0</v>
      </c>
      <c r="O789" s="98">
        <v>0</v>
      </c>
      <c r="P789" s="99">
        <v>141260</v>
      </c>
      <c r="Q789" s="98">
        <v>1166534.2619</v>
      </c>
      <c r="R789" s="96" t="s">
        <v>625</v>
      </c>
      <c r="S789" s="96">
        <v>7414000005</v>
      </c>
      <c r="AA789" s="131" t="s">
        <v>387</v>
      </c>
      <c r="AB789" s="130">
        <v>1037586</v>
      </c>
      <c r="AC789" s="130">
        <v>1037586</v>
      </c>
    </row>
    <row r="790" spans="1:29" x14ac:dyDescent="0.25">
      <c r="A790" t="str">
        <f t="shared" si="13"/>
        <v xml:space="preserve">152971CETES 251224        </v>
      </c>
      <c r="B790" s="96">
        <v>152971</v>
      </c>
      <c r="C790" s="96" t="s">
        <v>729</v>
      </c>
      <c r="D790" s="96" t="s">
        <v>375</v>
      </c>
      <c r="E790" s="96" t="s">
        <v>623</v>
      </c>
      <c r="F790" s="96" t="s">
        <v>624</v>
      </c>
      <c r="G790" s="99">
        <v>5490</v>
      </c>
      <c r="H790" s="97">
        <v>98.730349000000004</v>
      </c>
      <c r="I790" s="98">
        <v>542029.61601</v>
      </c>
      <c r="J790" s="97">
        <v>104.80973730295082</v>
      </c>
      <c r="K790" s="98">
        <v>-33375.841783199998</v>
      </c>
      <c r="L790" s="99">
        <v>0</v>
      </c>
      <c r="M790" s="98">
        <v>0</v>
      </c>
      <c r="N790" s="99">
        <v>0</v>
      </c>
      <c r="O790" s="98">
        <v>0</v>
      </c>
      <c r="P790" s="99">
        <v>5490</v>
      </c>
      <c r="Q790" s="98">
        <v>542029.61601</v>
      </c>
      <c r="R790" s="96" t="s">
        <v>625</v>
      </c>
      <c r="S790" s="96">
        <v>7414000005</v>
      </c>
      <c r="AA790" s="131" t="s">
        <v>419</v>
      </c>
      <c r="AB790" s="130">
        <v>0</v>
      </c>
      <c r="AC790" s="130">
        <v>0</v>
      </c>
    </row>
    <row r="791" spans="1:29" x14ac:dyDescent="0.25">
      <c r="A791" t="str">
        <f t="shared" si="13"/>
        <v xml:space="preserve">152971CETES 260219        </v>
      </c>
      <c r="B791" s="96">
        <v>152971</v>
      </c>
      <c r="C791" s="96" t="s">
        <v>729</v>
      </c>
      <c r="D791" s="96" t="s">
        <v>376</v>
      </c>
      <c r="E791" s="96" t="s">
        <v>623</v>
      </c>
      <c r="F791" s="96" t="s">
        <v>624</v>
      </c>
      <c r="G791" s="99">
        <v>9056</v>
      </c>
      <c r="H791" s="97">
        <v>99.247497999999993</v>
      </c>
      <c r="I791" s="98">
        <v>898785.34188800002</v>
      </c>
      <c r="J791" s="97">
        <v>104.57350258092093</v>
      </c>
      <c r="K791" s="98">
        <v>-48232.297484820003</v>
      </c>
      <c r="L791" s="99">
        <v>0</v>
      </c>
      <c r="M791" s="98">
        <v>0</v>
      </c>
      <c r="N791" s="99">
        <v>0</v>
      </c>
      <c r="O791" s="98">
        <v>0</v>
      </c>
      <c r="P791" s="99">
        <v>9056</v>
      </c>
      <c r="Q791" s="98">
        <v>898785.34188800002</v>
      </c>
      <c r="R791" s="96" t="s">
        <v>625</v>
      </c>
      <c r="S791" s="96">
        <v>7414000005</v>
      </c>
      <c r="AA791" s="131" t="s">
        <v>553</v>
      </c>
      <c r="AB791" s="130">
        <v>449955</v>
      </c>
      <c r="AC791" s="130">
        <v>449955</v>
      </c>
    </row>
    <row r="792" spans="1:29" x14ac:dyDescent="0.25">
      <c r="A792" t="str">
        <f t="shared" si="13"/>
        <v xml:space="preserve">152971GOBFED 240905       </v>
      </c>
      <c r="B792" s="96">
        <v>152971</v>
      </c>
      <c r="C792" s="96" t="s">
        <v>729</v>
      </c>
      <c r="D792" s="96" t="s">
        <v>377</v>
      </c>
      <c r="E792" s="96" t="s">
        <v>623</v>
      </c>
      <c r="F792" s="96" t="s">
        <v>624</v>
      </c>
      <c r="G792" s="99">
        <v>11816</v>
      </c>
      <c r="H792" s="97">
        <v>94.973146999999997</v>
      </c>
      <c r="I792" s="98">
        <v>1122202.7049519999</v>
      </c>
      <c r="J792" s="97">
        <v>90.01616612759986</v>
      </c>
      <c r="K792" s="98">
        <v>58571.685988279998</v>
      </c>
      <c r="L792" s="99">
        <v>0</v>
      </c>
      <c r="M792" s="98">
        <v>0</v>
      </c>
      <c r="N792" s="99">
        <v>0</v>
      </c>
      <c r="O792" s="98">
        <v>0</v>
      </c>
      <c r="P792" s="99">
        <v>11816</v>
      </c>
      <c r="Q792" s="98">
        <v>1122202.7049519999</v>
      </c>
      <c r="R792" s="96" t="s">
        <v>625</v>
      </c>
      <c r="S792" s="96">
        <v>7414000005</v>
      </c>
      <c r="AA792" s="131" t="s">
        <v>400</v>
      </c>
      <c r="AB792" s="130">
        <v>1390479</v>
      </c>
      <c r="AC792" s="130">
        <v>1390479</v>
      </c>
    </row>
    <row r="793" spans="1:29" x14ac:dyDescent="0.25">
      <c r="A793" t="str">
        <f t="shared" si="13"/>
        <v xml:space="preserve">152971GOBFED 241205       </v>
      </c>
      <c r="B793" s="96">
        <v>152971</v>
      </c>
      <c r="C793" s="96" t="s">
        <v>729</v>
      </c>
      <c r="D793" s="96" t="s">
        <v>378</v>
      </c>
      <c r="E793" s="96" t="s">
        <v>623</v>
      </c>
      <c r="F793" s="96" t="s">
        <v>624</v>
      </c>
      <c r="G793" s="99">
        <v>6578</v>
      </c>
      <c r="H793" s="97">
        <v>91.911821000000003</v>
      </c>
      <c r="I793" s="98">
        <v>604595.95853800001</v>
      </c>
      <c r="J793" s="97">
        <v>93.2088459</v>
      </c>
      <c r="K793" s="98">
        <v>-8531.8297922000002</v>
      </c>
      <c r="L793" s="99">
        <v>0</v>
      </c>
      <c r="M793" s="98">
        <v>0</v>
      </c>
      <c r="N793" s="99">
        <v>0</v>
      </c>
      <c r="O793" s="98">
        <v>0</v>
      </c>
      <c r="P793" s="99">
        <v>6578</v>
      </c>
      <c r="Q793" s="98">
        <v>604595.95853800001</v>
      </c>
      <c r="R793" s="96" t="s">
        <v>625</v>
      </c>
      <c r="S793" s="96">
        <v>7414000005</v>
      </c>
      <c r="AA793" s="131" t="s">
        <v>403</v>
      </c>
      <c r="AB793" s="130">
        <v>3674138</v>
      </c>
      <c r="AC793" s="130">
        <v>3674138</v>
      </c>
    </row>
    <row r="794" spans="1:29" x14ac:dyDescent="0.25">
      <c r="A794" t="str">
        <f t="shared" si="13"/>
        <v xml:space="preserve">152971GOBFED 250306       </v>
      </c>
      <c r="B794" s="96">
        <v>152971</v>
      </c>
      <c r="C794" s="96" t="s">
        <v>729</v>
      </c>
      <c r="D794" s="96" t="s">
        <v>379</v>
      </c>
      <c r="E794" s="96" t="s">
        <v>623</v>
      </c>
      <c r="F794" s="96" t="s">
        <v>624</v>
      </c>
      <c r="G794" s="99">
        <v>9566</v>
      </c>
      <c r="H794" s="97">
        <v>88.698122999999995</v>
      </c>
      <c r="I794" s="98">
        <v>848486.244618</v>
      </c>
      <c r="J794" s="97">
        <v>85.747638112803685</v>
      </c>
      <c r="K794" s="98">
        <v>28224.338430920001</v>
      </c>
      <c r="L794" s="99">
        <v>0</v>
      </c>
      <c r="M794" s="98">
        <v>0</v>
      </c>
      <c r="N794" s="99">
        <v>0</v>
      </c>
      <c r="O794" s="98">
        <v>0</v>
      </c>
      <c r="P794" s="99">
        <v>9566</v>
      </c>
      <c r="Q794" s="98">
        <v>848486.244618</v>
      </c>
      <c r="R794" s="96" t="s">
        <v>625</v>
      </c>
      <c r="S794" s="96">
        <v>7414000005</v>
      </c>
      <c r="AA794" s="131" t="s">
        <v>540</v>
      </c>
      <c r="AB794" s="130">
        <v>877976</v>
      </c>
      <c r="AC794" s="130">
        <v>877976</v>
      </c>
    </row>
    <row r="795" spans="1:29" x14ac:dyDescent="0.25">
      <c r="A795" t="str">
        <f t="shared" si="13"/>
        <v xml:space="preserve">152971GOBFED 260305       </v>
      </c>
      <c r="B795" s="96">
        <v>152971</v>
      </c>
      <c r="C795" s="96" t="s">
        <v>729</v>
      </c>
      <c r="D795" s="96" t="s">
        <v>380</v>
      </c>
      <c r="E795" s="96" t="s">
        <v>623</v>
      </c>
      <c r="F795" s="96" t="s">
        <v>624</v>
      </c>
      <c r="G795" s="99">
        <v>8296</v>
      </c>
      <c r="H795" s="97">
        <v>93.314192000000006</v>
      </c>
      <c r="I795" s="98">
        <v>774134.53683200001</v>
      </c>
      <c r="J795" s="97">
        <v>97.434902156656221</v>
      </c>
      <c r="K795" s="98">
        <v>-34185.411459620002</v>
      </c>
      <c r="L795" s="99">
        <v>0</v>
      </c>
      <c r="M795" s="98">
        <v>0</v>
      </c>
      <c r="N795" s="99">
        <v>0</v>
      </c>
      <c r="O795" s="98">
        <v>0</v>
      </c>
      <c r="P795" s="99">
        <v>8296</v>
      </c>
      <c r="Q795" s="98">
        <v>774134.53683200001</v>
      </c>
      <c r="R795" s="96" t="s">
        <v>625</v>
      </c>
      <c r="S795" s="96">
        <v>7414000005</v>
      </c>
      <c r="T795" s="23"/>
      <c r="AA795" s="131" t="s">
        <v>503</v>
      </c>
      <c r="AB795" s="130">
        <v>885331.5</v>
      </c>
      <c r="AC795" s="130">
        <v>885331.5</v>
      </c>
    </row>
    <row r="796" spans="1:29" x14ac:dyDescent="0.25">
      <c r="A796" t="str">
        <f t="shared" si="13"/>
        <v xml:space="preserve">152971GOBFED 270304       </v>
      </c>
      <c r="B796" s="96">
        <v>152971</v>
      </c>
      <c r="C796" s="96" t="s">
        <v>729</v>
      </c>
      <c r="D796" s="96" t="s">
        <v>507</v>
      </c>
      <c r="E796" s="96" t="s">
        <v>623</v>
      </c>
      <c r="F796" s="96" t="s">
        <v>624</v>
      </c>
      <c r="G796" s="99">
        <v>7200</v>
      </c>
      <c r="H796" s="97">
        <v>94.864168000000006</v>
      </c>
      <c r="I796" s="98">
        <v>683022.00959999999</v>
      </c>
      <c r="J796" s="97">
        <v>96.490125727638883</v>
      </c>
      <c r="K796" s="98">
        <v>-11706.895639</v>
      </c>
      <c r="L796" s="99">
        <v>0</v>
      </c>
      <c r="M796" s="98">
        <v>0</v>
      </c>
      <c r="N796" s="99">
        <v>0</v>
      </c>
      <c r="O796" s="98">
        <v>0</v>
      </c>
      <c r="P796" s="99">
        <v>7200</v>
      </c>
      <c r="Q796" s="98">
        <v>683022.00959999999</v>
      </c>
      <c r="R796" s="96" t="s">
        <v>625</v>
      </c>
      <c r="S796" s="96">
        <v>7414000005</v>
      </c>
      <c r="T796" s="23"/>
      <c r="AA796" s="131" t="s">
        <v>500</v>
      </c>
      <c r="AB796" s="130">
        <v>995697</v>
      </c>
      <c r="AC796" s="130">
        <v>995697</v>
      </c>
    </row>
    <row r="797" spans="1:29" x14ac:dyDescent="0.25">
      <c r="A797" t="str">
        <f t="shared" si="13"/>
        <v xml:space="preserve">152971GOBFED 270603       </v>
      </c>
      <c r="B797" s="96">
        <v>152971</v>
      </c>
      <c r="C797" s="96" t="s">
        <v>729</v>
      </c>
      <c r="D797" s="96" t="s">
        <v>381</v>
      </c>
      <c r="E797" s="96" t="s">
        <v>623</v>
      </c>
      <c r="F797" s="96" t="s">
        <v>624</v>
      </c>
      <c r="G797" s="99">
        <v>2953</v>
      </c>
      <c r="H797" s="97">
        <v>94.870157000000006</v>
      </c>
      <c r="I797" s="98">
        <v>280151.57362099999</v>
      </c>
      <c r="J797" s="97">
        <v>96.692672049999999</v>
      </c>
      <c r="K797" s="98">
        <v>-5381.8869426499996</v>
      </c>
      <c r="L797" s="99">
        <v>0</v>
      </c>
      <c r="M797" s="98">
        <v>0</v>
      </c>
      <c r="N797" s="99">
        <v>0</v>
      </c>
      <c r="O797" s="98">
        <v>0</v>
      </c>
      <c r="P797" s="99">
        <v>2953</v>
      </c>
      <c r="Q797" s="98">
        <v>280151.57362099999</v>
      </c>
      <c r="R797" s="96" t="s">
        <v>625</v>
      </c>
      <c r="S797" s="96">
        <v>7414000005</v>
      </c>
      <c r="T797" s="23"/>
      <c r="AA797" s="131" t="s">
        <v>541</v>
      </c>
      <c r="AB797" s="130">
        <v>873600</v>
      </c>
      <c r="AC797" s="130">
        <v>873600</v>
      </c>
    </row>
    <row r="798" spans="1:29" x14ac:dyDescent="0.25">
      <c r="A798" t="str">
        <f t="shared" si="13"/>
        <v xml:space="preserve">152971GOBFED 290301       </v>
      </c>
      <c r="B798" s="96">
        <v>152971</v>
      </c>
      <c r="C798" s="96" t="s">
        <v>729</v>
      </c>
      <c r="D798" s="96" t="s">
        <v>382</v>
      </c>
      <c r="E798" s="96" t="s">
        <v>623</v>
      </c>
      <c r="F798" s="96" t="s">
        <v>624</v>
      </c>
      <c r="G798" s="99">
        <v>11334</v>
      </c>
      <c r="H798" s="97">
        <v>89.489464999999996</v>
      </c>
      <c r="I798" s="98">
        <v>1014273.5963100001</v>
      </c>
      <c r="J798" s="97">
        <v>83.461092959648838</v>
      </c>
      <c r="K798" s="98">
        <v>68325.568705340003</v>
      </c>
      <c r="L798" s="99">
        <v>0</v>
      </c>
      <c r="M798" s="98">
        <v>0</v>
      </c>
      <c r="N798" s="99">
        <v>0</v>
      </c>
      <c r="O798" s="98">
        <v>0</v>
      </c>
      <c r="P798" s="99">
        <v>11334</v>
      </c>
      <c r="Q798" s="98">
        <v>1014273.5963100001</v>
      </c>
      <c r="R798" s="96" t="s">
        <v>625</v>
      </c>
      <c r="S798" s="96">
        <v>7414000005</v>
      </c>
      <c r="T798" s="23"/>
      <c r="AA798" s="131" t="s">
        <v>371</v>
      </c>
      <c r="AB798" s="130">
        <v>1255475</v>
      </c>
      <c r="AC798" s="130">
        <v>1255475</v>
      </c>
    </row>
    <row r="799" spans="1:29" x14ac:dyDescent="0.25">
      <c r="A799" t="str">
        <f t="shared" si="13"/>
        <v xml:space="preserve">152971GOBFED 290531       </v>
      </c>
      <c r="B799" s="96">
        <v>152971</v>
      </c>
      <c r="C799" s="96" t="s">
        <v>729</v>
      </c>
      <c r="D799" s="96" t="s">
        <v>383</v>
      </c>
      <c r="E799" s="96" t="s">
        <v>623</v>
      </c>
      <c r="F799" s="96" t="s">
        <v>624</v>
      </c>
      <c r="G799" s="99">
        <v>7760</v>
      </c>
      <c r="H799" s="97">
        <v>86.197128000000006</v>
      </c>
      <c r="I799" s="98">
        <v>668889.71328000003</v>
      </c>
      <c r="J799" s="97">
        <v>89.851363189716494</v>
      </c>
      <c r="K799" s="98">
        <v>-28356.865072199998</v>
      </c>
      <c r="L799" s="99">
        <v>0</v>
      </c>
      <c r="M799" s="98">
        <v>0</v>
      </c>
      <c r="N799" s="99">
        <v>0</v>
      </c>
      <c r="O799" s="98">
        <v>0</v>
      </c>
      <c r="P799" s="99">
        <v>7760</v>
      </c>
      <c r="Q799" s="98">
        <v>668889.71328000003</v>
      </c>
      <c r="R799" s="96" t="s">
        <v>625</v>
      </c>
      <c r="S799" s="96">
        <v>7414000005</v>
      </c>
      <c r="AA799" s="131" t="s">
        <v>363</v>
      </c>
      <c r="AB799" s="130">
        <v>1211695.117204</v>
      </c>
      <c r="AC799" s="130">
        <v>1211695.117204</v>
      </c>
    </row>
    <row r="800" spans="1:29" x14ac:dyDescent="0.25">
      <c r="A800" t="str">
        <f t="shared" si="13"/>
        <v xml:space="preserve">152971GOBFED 310529       </v>
      </c>
      <c r="B800" s="96">
        <v>152971</v>
      </c>
      <c r="C800" s="96" t="s">
        <v>729</v>
      </c>
      <c r="D800" s="96" t="s">
        <v>427</v>
      </c>
      <c r="E800" s="96" t="s">
        <v>623</v>
      </c>
      <c r="F800" s="96" t="s">
        <v>624</v>
      </c>
      <c r="G800" s="99">
        <v>39629</v>
      </c>
      <c r="H800" s="97">
        <v>86.469353999999996</v>
      </c>
      <c r="I800" s="98">
        <v>3426694.029666</v>
      </c>
      <c r="J800" s="97">
        <v>90.513408445430613</v>
      </c>
      <c r="K800" s="98">
        <v>-160261.83361797</v>
      </c>
      <c r="L800" s="99">
        <v>0</v>
      </c>
      <c r="M800" s="98">
        <v>0</v>
      </c>
      <c r="N800" s="99">
        <v>0</v>
      </c>
      <c r="O800" s="98">
        <v>0</v>
      </c>
      <c r="P800" s="99">
        <v>39629</v>
      </c>
      <c r="Q800" s="98">
        <v>3426694.029666</v>
      </c>
      <c r="R800" s="96" t="s">
        <v>625</v>
      </c>
      <c r="S800" s="96">
        <v>7414000005</v>
      </c>
      <c r="T800" s="23"/>
      <c r="AA800" s="131" t="s">
        <v>409</v>
      </c>
      <c r="AB800" s="130">
        <v>5947933.5846870001</v>
      </c>
      <c r="AC800" s="130">
        <v>5947933.5846870001</v>
      </c>
    </row>
    <row r="801" spans="1:29" x14ac:dyDescent="0.25">
      <c r="A801" t="str">
        <f t="shared" si="13"/>
        <v xml:space="preserve">152971GOBFED 330526       </v>
      </c>
      <c r="B801" s="96">
        <v>152971</v>
      </c>
      <c r="C801" s="96" t="s">
        <v>729</v>
      </c>
      <c r="D801" s="96" t="s">
        <v>418</v>
      </c>
      <c r="E801" s="96" t="s">
        <v>623</v>
      </c>
      <c r="F801" s="96" t="s">
        <v>624</v>
      </c>
      <c r="G801" s="99">
        <v>507</v>
      </c>
      <c r="H801" s="97">
        <v>101.45096599999999</v>
      </c>
      <c r="I801" s="98">
        <v>51435.639761999999</v>
      </c>
      <c r="J801" s="97">
        <v>114.11447106</v>
      </c>
      <c r="K801" s="98">
        <v>-6420.3970654200002</v>
      </c>
      <c r="L801" s="99">
        <v>0</v>
      </c>
      <c r="M801" s="98">
        <v>0</v>
      </c>
      <c r="N801" s="99">
        <v>0</v>
      </c>
      <c r="O801" s="98">
        <v>0</v>
      </c>
      <c r="P801" s="99">
        <v>507</v>
      </c>
      <c r="Q801" s="98">
        <v>51435.639761999999</v>
      </c>
      <c r="R801" s="96" t="s">
        <v>625</v>
      </c>
      <c r="S801" s="96">
        <v>7414000005</v>
      </c>
      <c r="AA801" s="131" t="s">
        <v>360</v>
      </c>
      <c r="AB801" s="130">
        <v>3244752</v>
      </c>
      <c r="AC801" s="130">
        <v>3244752</v>
      </c>
    </row>
    <row r="802" spans="1:29" x14ac:dyDescent="0.25">
      <c r="A802" t="str">
        <f t="shared" si="13"/>
        <v xml:space="preserve">152971GOBFED 341123       </v>
      </c>
      <c r="B802" s="96">
        <v>152971</v>
      </c>
      <c r="C802" s="96" t="s">
        <v>729</v>
      </c>
      <c r="D802" s="96" t="s">
        <v>408</v>
      </c>
      <c r="E802" s="96" t="s">
        <v>623</v>
      </c>
      <c r="F802" s="96" t="s">
        <v>624</v>
      </c>
      <c r="G802" s="99">
        <v>657</v>
      </c>
      <c r="H802" s="97">
        <v>89.643172000000007</v>
      </c>
      <c r="I802" s="98">
        <v>58895.564004</v>
      </c>
      <c r="J802" s="97">
        <v>108.47711812999999</v>
      </c>
      <c r="K802" s="98">
        <v>-12373.90260741</v>
      </c>
      <c r="L802" s="99">
        <v>0</v>
      </c>
      <c r="M802" s="98">
        <v>0</v>
      </c>
      <c r="N802" s="99">
        <v>0</v>
      </c>
      <c r="O802" s="98">
        <v>0</v>
      </c>
      <c r="P802" s="99">
        <v>657</v>
      </c>
      <c r="Q802" s="98">
        <v>58895.564004</v>
      </c>
      <c r="R802" s="96" t="s">
        <v>625</v>
      </c>
      <c r="S802" s="96">
        <v>7414000005</v>
      </c>
      <c r="AA802" s="131" t="s">
        <v>364</v>
      </c>
      <c r="AB802" s="130">
        <v>6064847.1104100002</v>
      </c>
      <c r="AC802" s="130">
        <v>6064847.1104100002</v>
      </c>
    </row>
    <row r="803" spans="1:29" x14ac:dyDescent="0.25">
      <c r="A803" t="str">
        <f t="shared" si="13"/>
        <v xml:space="preserve">152971GOBFED 361120       </v>
      </c>
      <c r="B803" s="96">
        <v>152971</v>
      </c>
      <c r="C803" s="96" t="s">
        <v>729</v>
      </c>
      <c r="D803" s="96" t="s">
        <v>384</v>
      </c>
      <c r="E803" s="96" t="s">
        <v>623</v>
      </c>
      <c r="F803" s="96" t="s">
        <v>624</v>
      </c>
      <c r="G803" s="99">
        <v>14007</v>
      </c>
      <c r="H803" s="97">
        <v>81.738860000000003</v>
      </c>
      <c r="I803" s="98">
        <v>1144916.21202</v>
      </c>
      <c r="J803" s="97">
        <v>86.459614233283361</v>
      </c>
      <c r="K803" s="98">
        <v>-66123.604545599999</v>
      </c>
      <c r="L803" s="99">
        <v>0</v>
      </c>
      <c r="M803" s="98">
        <v>0</v>
      </c>
      <c r="N803" s="99">
        <v>0</v>
      </c>
      <c r="O803" s="98">
        <v>0</v>
      </c>
      <c r="P803" s="99">
        <v>14007</v>
      </c>
      <c r="Q803" s="98">
        <v>1144916.21202</v>
      </c>
      <c r="R803" s="96" t="s">
        <v>625</v>
      </c>
      <c r="S803" s="96">
        <v>7414000005</v>
      </c>
      <c r="AA803" s="131" t="s">
        <v>570</v>
      </c>
      <c r="AB803" s="130">
        <v>48070760</v>
      </c>
      <c r="AC803" s="130">
        <v>48070760</v>
      </c>
    </row>
    <row r="804" spans="1:29" x14ac:dyDescent="0.25">
      <c r="A804" t="str">
        <f t="shared" si="13"/>
        <v xml:space="preserve">152971GOBFED 381118       </v>
      </c>
      <c r="B804" s="96">
        <v>152971</v>
      </c>
      <c r="C804" s="96" t="s">
        <v>729</v>
      </c>
      <c r="D804" s="96" t="s">
        <v>385</v>
      </c>
      <c r="E804" s="96" t="s">
        <v>623</v>
      </c>
      <c r="F804" s="96" t="s">
        <v>624</v>
      </c>
      <c r="G804" s="99">
        <v>2080</v>
      </c>
      <c r="H804" s="97">
        <v>83.200761</v>
      </c>
      <c r="I804" s="98">
        <v>173057.58288</v>
      </c>
      <c r="J804" s="97">
        <v>93.184550292500006</v>
      </c>
      <c r="K804" s="98">
        <v>-20766.281728400001</v>
      </c>
      <c r="L804" s="99">
        <v>0</v>
      </c>
      <c r="M804" s="98">
        <v>0</v>
      </c>
      <c r="N804" s="99">
        <v>0</v>
      </c>
      <c r="O804" s="98">
        <v>0</v>
      </c>
      <c r="P804" s="99">
        <v>2080</v>
      </c>
      <c r="Q804" s="98">
        <v>173057.58288</v>
      </c>
      <c r="R804" s="96" t="s">
        <v>625</v>
      </c>
      <c r="S804" s="96">
        <v>7414000005</v>
      </c>
      <c r="T804" s="23"/>
      <c r="AA804" s="131" t="s">
        <v>613</v>
      </c>
      <c r="AB804" s="130">
        <v>2869264.6842499999</v>
      </c>
      <c r="AC804" s="130">
        <v>2869264.6842499999</v>
      </c>
    </row>
    <row r="805" spans="1:29" x14ac:dyDescent="0.25">
      <c r="A805" t="str">
        <f t="shared" si="13"/>
        <v xml:space="preserve">152971GOBFED 421113       </v>
      </c>
      <c r="B805" s="96">
        <v>152971</v>
      </c>
      <c r="C805" s="96" t="s">
        <v>729</v>
      </c>
      <c r="D805" s="96" t="s">
        <v>386</v>
      </c>
      <c r="E805" s="96" t="s">
        <v>623</v>
      </c>
      <c r="F805" s="96" t="s">
        <v>624</v>
      </c>
      <c r="G805" s="99">
        <v>21201</v>
      </c>
      <c r="H805" s="97">
        <v>82.159907000000004</v>
      </c>
      <c r="I805" s="98">
        <v>1741872.1883070001</v>
      </c>
      <c r="J805" s="97">
        <v>84.233747164370556</v>
      </c>
      <c r="K805" s="98">
        <v>-43967.485324820002</v>
      </c>
      <c r="L805" s="99">
        <v>0</v>
      </c>
      <c r="M805" s="98">
        <v>0</v>
      </c>
      <c r="N805" s="99">
        <v>0</v>
      </c>
      <c r="O805" s="98">
        <v>0</v>
      </c>
      <c r="P805" s="99">
        <v>21201</v>
      </c>
      <c r="Q805" s="98">
        <v>1741872.1883070001</v>
      </c>
      <c r="R805" s="96" t="s">
        <v>625</v>
      </c>
      <c r="S805" s="96">
        <v>7414000005</v>
      </c>
      <c r="AA805" s="131" t="s">
        <v>649</v>
      </c>
      <c r="AB805" s="130">
        <v>1644823.0974399999</v>
      </c>
      <c r="AC805" s="130">
        <v>1644823.0974399999</v>
      </c>
    </row>
    <row r="806" spans="1:29" x14ac:dyDescent="0.25">
      <c r="A806" t="str">
        <f t="shared" si="13"/>
        <v xml:space="preserve">152971GOBFED 471107       </v>
      </c>
      <c r="B806" s="96">
        <v>152971</v>
      </c>
      <c r="C806" s="96" t="s">
        <v>729</v>
      </c>
      <c r="D806" s="96" t="s">
        <v>429</v>
      </c>
      <c r="E806" s="96" t="s">
        <v>623</v>
      </c>
      <c r="F806" s="96" t="s">
        <v>624</v>
      </c>
      <c r="G806" s="99">
        <v>10290</v>
      </c>
      <c r="H806" s="97">
        <v>98.007834000000003</v>
      </c>
      <c r="I806" s="98">
        <v>1008500.6118599999</v>
      </c>
      <c r="J806" s="97">
        <v>92.06780790645287</v>
      </c>
      <c r="K806" s="98">
        <v>61122.868502600002</v>
      </c>
      <c r="L806" s="99">
        <v>0</v>
      </c>
      <c r="M806" s="98">
        <v>0</v>
      </c>
      <c r="N806" s="99">
        <v>0</v>
      </c>
      <c r="O806" s="98">
        <v>0</v>
      </c>
      <c r="P806" s="99">
        <v>10290</v>
      </c>
      <c r="Q806" s="98">
        <v>1008500.6118599999</v>
      </c>
      <c r="R806" s="96" t="s">
        <v>625</v>
      </c>
      <c r="S806" s="96">
        <v>7414000005</v>
      </c>
      <c r="AA806" s="129">
        <v>2000905</v>
      </c>
      <c r="AB806" s="130">
        <v>570670743.00125206</v>
      </c>
      <c r="AC806" s="130">
        <v>570670743.00125206</v>
      </c>
    </row>
    <row r="807" spans="1:29" x14ac:dyDescent="0.25">
      <c r="A807" t="str">
        <f t="shared" si="13"/>
        <v xml:space="preserve">152971GOBFED 530731       </v>
      </c>
      <c r="B807" s="96">
        <v>152971</v>
      </c>
      <c r="C807" s="96" t="s">
        <v>729</v>
      </c>
      <c r="D807" s="96" t="s">
        <v>389</v>
      </c>
      <c r="E807" s="96" t="s">
        <v>623</v>
      </c>
      <c r="F807" s="96" t="s">
        <v>624</v>
      </c>
      <c r="G807" s="99">
        <v>2085150</v>
      </c>
      <c r="H807" s="97">
        <v>3.3967719999999999</v>
      </c>
      <c r="I807" s="98">
        <v>7082779.1358000003</v>
      </c>
      <c r="J807" s="97">
        <v>3.2974583603098098</v>
      </c>
      <c r="K807" s="98">
        <v>207083.8358</v>
      </c>
      <c r="L807" s="99">
        <v>0</v>
      </c>
      <c r="M807" s="98">
        <v>0</v>
      </c>
      <c r="N807" s="99">
        <v>0</v>
      </c>
      <c r="O807" s="98">
        <v>0</v>
      </c>
      <c r="P807" s="99">
        <v>2085150</v>
      </c>
      <c r="Q807" s="98">
        <v>7082779.1358000003</v>
      </c>
      <c r="R807" s="96" t="s">
        <v>625</v>
      </c>
      <c r="S807" s="96">
        <v>7414000005</v>
      </c>
      <c r="AA807" s="131" t="s">
        <v>389</v>
      </c>
      <c r="AB807" s="130">
        <v>570670743.00125206</v>
      </c>
      <c r="AC807" s="130">
        <v>570670743.00125206</v>
      </c>
    </row>
    <row r="808" spans="1:29" x14ac:dyDescent="0.25">
      <c r="A808" t="str">
        <f t="shared" si="13"/>
        <v xml:space="preserve">152971PEMEX 13-2          </v>
      </c>
      <c r="B808" s="96">
        <v>152971</v>
      </c>
      <c r="C808" s="96" t="s">
        <v>729</v>
      </c>
      <c r="D808" s="96" t="s">
        <v>417</v>
      </c>
      <c r="E808" s="96" t="s">
        <v>623</v>
      </c>
      <c r="F808" s="96" t="s">
        <v>624</v>
      </c>
      <c r="G808" s="99">
        <v>1858513</v>
      </c>
      <c r="H808" s="97">
        <v>3.8832339999999999</v>
      </c>
      <c r="I808" s="98">
        <v>7217040.8710420001</v>
      </c>
      <c r="J808" s="97">
        <v>2.8731066933618434</v>
      </c>
      <c r="K808" s="98">
        <v>1877334.731042</v>
      </c>
      <c r="L808" s="99">
        <v>0</v>
      </c>
      <c r="M808" s="98">
        <v>0</v>
      </c>
      <c r="N808" s="99">
        <v>0</v>
      </c>
      <c r="O808" s="98">
        <v>0</v>
      </c>
      <c r="P808" s="99">
        <v>1858513</v>
      </c>
      <c r="Q808" s="98">
        <v>7217040.8710420001</v>
      </c>
      <c r="R808" s="96" t="s">
        <v>625</v>
      </c>
      <c r="S808" s="96">
        <v>7414000005</v>
      </c>
      <c r="AA808" s="129">
        <v>2000926</v>
      </c>
      <c r="AB808" s="130">
        <v>36862014.311584003</v>
      </c>
      <c r="AC808" s="130">
        <v>36862014.311584003</v>
      </c>
    </row>
    <row r="809" spans="1:29" x14ac:dyDescent="0.25">
      <c r="A809" t="str">
        <f t="shared" si="13"/>
        <v xml:space="preserve">152971STERGOB ED          </v>
      </c>
      <c r="B809" s="96">
        <v>152971</v>
      </c>
      <c r="C809" s="96" t="s">
        <v>729</v>
      </c>
      <c r="D809" s="96" t="s">
        <v>466</v>
      </c>
      <c r="E809" s="96" t="s">
        <v>623</v>
      </c>
      <c r="F809" s="96" t="s">
        <v>624</v>
      </c>
      <c r="G809" s="99">
        <v>152</v>
      </c>
      <c r="H809" s="97">
        <v>256.05011500000001</v>
      </c>
      <c r="I809" s="98">
        <v>38919.617480000001</v>
      </c>
      <c r="J809" s="97">
        <v>487.32003911999999</v>
      </c>
      <c r="K809" s="98">
        <v>-35153.028466240001</v>
      </c>
      <c r="L809" s="99">
        <v>0</v>
      </c>
      <c r="M809" s="98">
        <v>0</v>
      </c>
      <c r="N809" s="99">
        <v>0</v>
      </c>
      <c r="O809" s="98">
        <v>0</v>
      </c>
      <c r="P809" s="99">
        <v>152</v>
      </c>
      <c r="Q809" s="98">
        <v>38919.617480000001</v>
      </c>
      <c r="R809" s="96" t="s">
        <v>625</v>
      </c>
      <c r="S809" s="96">
        <v>7414000005</v>
      </c>
      <c r="AA809" s="131" t="s">
        <v>389</v>
      </c>
      <c r="AB809" s="130">
        <v>36862014.311584003</v>
      </c>
      <c r="AC809" s="130">
        <v>36862014.311584003</v>
      </c>
    </row>
    <row r="810" spans="1:29" x14ac:dyDescent="0.25">
      <c r="A810" t="str">
        <f t="shared" si="13"/>
        <v xml:space="preserve">152971STRGOB2 ED          </v>
      </c>
      <c r="B810" s="96">
        <v>152971</v>
      </c>
      <c r="C810" s="96" t="s">
        <v>729</v>
      </c>
      <c r="D810" s="96" t="s">
        <v>449</v>
      </c>
      <c r="E810" s="96" t="s">
        <v>623</v>
      </c>
      <c r="F810" s="96" t="s">
        <v>624</v>
      </c>
      <c r="G810" s="99">
        <v>0</v>
      </c>
      <c r="H810" s="97">
        <v>0</v>
      </c>
      <c r="I810" s="98">
        <v>0</v>
      </c>
      <c r="J810" s="97">
        <v>0</v>
      </c>
      <c r="K810" s="98">
        <v>0</v>
      </c>
      <c r="L810" s="99">
        <v>0</v>
      </c>
      <c r="M810" s="98">
        <v>0</v>
      </c>
      <c r="N810" s="99">
        <v>0</v>
      </c>
      <c r="O810" s="98">
        <v>0</v>
      </c>
      <c r="P810" s="99">
        <v>0</v>
      </c>
      <c r="Q810" s="98">
        <v>0</v>
      </c>
      <c r="R810" s="96" t="s">
        <v>625</v>
      </c>
      <c r="S810" s="96">
        <v>7414000005</v>
      </c>
      <c r="AA810" s="129">
        <v>2000927</v>
      </c>
      <c r="AB810" s="130">
        <v>43142832.562044002</v>
      </c>
      <c r="AC810" s="130">
        <v>43142832.562044002</v>
      </c>
    </row>
    <row r="811" spans="1:29" x14ac:dyDescent="0.25">
      <c r="A811" t="str">
        <f t="shared" si="13"/>
        <v xml:space="preserve">152971TFOVICB 15U         </v>
      </c>
      <c r="B811" s="96">
        <v>152971</v>
      </c>
      <c r="C811" s="96" t="s">
        <v>729</v>
      </c>
      <c r="D811" s="96" t="s">
        <v>391</v>
      </c>
      <c r="E811" s="96" t="s">
        <v>623</v>
      </c>
      <c r="F811" s="96" t="s">
        <v>624</v>
      </c>
      <c r="G811" s="99">
        <v>878</v>
      </c>
      <c r="H811" s="97">
        <v>775.69178699999998</v>
      </c>
      <c r="I811" s="98">
        <v>681057.38898599998</v>
      </c>
      <c r="J811" s="97">
        <v>700.47549593253984</v>
      </c>
      <c r="K811" s="98">
        <v>66039.903557230005</v>
      </c>
      <c r="L811" s="99">
        <v>0</v>
      </c>
      <c r="M811" s="98">
        <v>0</v>
      </c>
      <c r="N811" s="99">
        <v>0</v>
      </c>
      <c r="O811" s="98">
        <v>0</v>
      </c>
      <c r="P811" s="99">
        <v>878</v>
      </c>
      <c r="Q811" s="98">
        <v>681057.38898599998</v>
      </c>
      <c r="R811" s="96" t="s">
        <v>625</v>
      </c>
      <c r="S811" s="96">
        <v>7414000005</v>
      </c>
      <c r="AA811" s="131" t="s">
        <v>389</v>
      </c>
      <c r="AB811" s="130">
        <v>43142832.562044002</v>
      </c>
      <c r="AC811" s="130">
        <v>43142832.562044002</v>
      </c>
    </row>
    <row r="812" spans="1:29" x14ac:dyDescent="0.25">
      <c r="A812" t="str">
        <f t="shared" si="13"/>
        <v xml:space="preserve">152971UDIBONO 171214      </v>
      </c>
      <c r="B812" s="96">
        <v>152971</v>
      </c>
      <c r="C812" s="96" t="s">
        <v>729</v>
      </c>
      <c r="D812" s="96" t="s">
        <v>392</v>
      </c>
      <c r="E812" s="96" t="s">
        <v>623</v>
      </c>
      <c r="F812" s="96" t="s">
        <v>624</v>
      </c>
      <c r="G812" s="99">
        <v>1360</v>
      </c>
      <c r="H812" s="97">
        <v>747.17843200000004</v>
      </c>
      <c r="I812" s="98">
        <v>1016162.66752</v>
      </c>
      <c r="J812" s="97">
        <v>709.92481254102938</v>
      </c>
      <c r="K812" s="98">
        <v>50664.922464199997</v>
      </c>
      <c r="L812" s="99">
        <v>0</v>
      </c>
      <c r="M812" s="98">
        <v>0</v>
      </c>
      <c r="N812" s="99">
        <v>0</v>
      </c>
      <c r="O812" s="98">
        <v>0</v>
      </c>
      <c r="P812" s="99">
        <v>1360</v>
      </c>
      <c r="Q812" s="98">
        <v>1016162.66752</v>
      </c>
      <c r="R812" s="96" t="s">
        <v>625</v>
      </c>
      <c r="S812" s="96">
        <v>7414000005</v>
      </c>
      <c r="AA812" s="129">
        <v>2000928</v>
      </c>
      <c r="AB812" s="130">
        <v>37093456.768576004</v>
      </c>
      <c r="AC812" s="130">
        <v>37093456.768576004</v>
      </c>
    </row>
    <row r="813" spans="1:29" x14ac:dyDescent="0.25">
      <c r="A813" t="str">
        <f t="shared" si="13"/>
        <v xml:space="preserve">152971UDIBONO 251204      </v>
      </c>
      <c r="B813" s="96">
        <v>152971</v>
      </c>
      <c r="C813" s="96" t="s">
        <v>729</v>
      </c>
      <c r="D813" s="96" t="s">
        <v>393</v>
      </c>
      <c r="E813" s="96" t="s">
        <v>623</v>
      </c>
      <c r="F813" s="96" t="s">
        <v>624</v>
      </c>
      <c r="G813" s="99">
        <v>1328</v>
      </c>
      <c r="H813" s="97">
        <v>765.92388300000005</v>
      </c>
      <c r="I813" s="98">
        <v>1017146.9166239999</v>
      </c>
      <c r="J813" s="97">
        <v>751.83943144423188</v>
      </c>
      <c r="K813" s="98">
        <v>18704.151666059999</v>
      </c>
      <c r="L813" s="99">
        <v>0</v>
      </c>
      <c r="M813" s="98">
        <v>0</v>
      </c>
      <c r="N813" s="99">
        <v>0</v>
      </c>
      <c r="O813" s="98">
        <v>0</v>
      </c>
      <c r="P813" s="99">
        <v>1328</v>
      </c>
      <c r="Q813" s="98">
        <v>1017146.9166239999</v>
      </c>
      <c r="R813" s="96" t="s">
        <v>625</v>
      </c>
      <c r="S813" s="96">
        <v>7414000005</v>
      </c>
      <c r="AA813" s="131" t="s">
        <v>389</v>
      </c>
      <c r="AB813" s="130">
        <v>37093456.768576004</v>
      </c>
      <c r="AC813" s="130">
        <v>37093456.768576004</v>
      </c>
    </row>
    <row r="814" spans="1:29" x14ac:dyDescent="0.25">
      <c r="A814" t="str">
        <f t="shared" si="13"/>
        <v xml:space="preserve">152971UDIBONO 261203      </v>
      </c>
      <c r="B814" s="96">
        <v>152971</v>
      </c>
      <c r="C814" s="96" t="s">
        <v>729</v>
      </c>
      <c r="D814" s="96" t="s">
        <v>394</v>
      </c>
      <c r="E814" s="96" t="s">
        <v>623</v>
      </c>
      <c r="F814" s="96" t="s">
        <v>624</v>
      </c>
      <c r="G814" s="99">
        <v>6375</v>
      </c>
      <c r="H814" s="97">
        <v>684.88915799999995</v>
      </c>
      <c r="I814" s="98">
        <v>4366168.3822499998</v>
      </c>
      <c r="J814" s="97">
        <v>677.1594670729412</v>
      </c>
      <c r="K814" s="98">
        <v>49276.77966</v>
      </c>
      <c r="L814" s="99">
        <v>0</v>
      </c>
      <c r="M814" s="98">
        <v>0</v>
      </c>
      <c r="N814" s="99">
        <v>0</v>
      </c>
      <c r="O814" s="98">
        <v>0</v>
      </c>
      <c r="P814" s="99">
        <v>6375</v>
      </c>
      <c r="Q814" s="98">
        <v>4366168.3822499998</v>
      </c>
      <c r="R814" s="96" t="s">
        <v>625</v>
      </c>
      <c r="S814" s="96">
        <v>7414000005</v>
      </c>
      <c r="T814" s="23"/>
      <c r="AA814" s="129">
        <v>2111039</v>
      </c>
      <c r="AB814" s="130">
        <v>6665838.084902999</v>
      </c>
      <c r="AC814" s="130">
        <v>6665838.084902999</v>
      </c>
    </row>
    <row r="815" spans="1:29" x14ac:dyDescent="0.25">
      <c r="A815" t="str">
        <f t="shared" si="13"/>
        <v xml:space="preserve">152971UDIBONO 281130      </v>
      </c>
      <c r="B815" s="96">
        <v>152971</v>
      </c>
      <c r="C815" s="96" t="s">
        <v>729</v>
      </c>
      <c r="D815" s="96" t="s">
        <v>395</v>
      </c>
      <c r="E815" s="96" t="s">
        <v>623</v>
      </c>
      <c r="F815" s="96" t="s">
        <v>624</v>
      </c>
      <c r="G815" s="99">
        <v>616</v>
      </c>
      <c r="H815" s="97">
        <v>772.926965</v>
      </c>
      <c r="I815" s="98">
        <v>476123.01043999998</v>
      </c>
      <c r="J815" s="97">
        <v>798.93664675000002</v>
      </c>
      <c r="K815" s="98">
        <v>-16021.963958</v>
      </c>
      <c r="L815" s="99">
        <v>0</v>
      </c>
      <c r="M815" s="98">
        <v>0</v>
      </c>
      <c r="N815" s="99">
        <v>0</v>
      </c>
      <c r="O815" s="98">
        <v>0</v>
      </c>
      <c r="P815" s="99">
        <v>616</v>
      </c>
      <c r="Q815" s="98">
        <v>476123.01043999998</v>
      </c>
      <c r="R815" s="96" t="s">
        <v>625</v>
      </c>
      <c r="S815" s="96">
        <v>7414000005</v>
      </c>
      <c r="AA815" s="131" t="s">
        <v>376</v>
      </c>
      <c r="AB815" s="130">
        <v>3771.4049239999999</v>
      </c>
      <c r="AC815" s="130">
        <v>3771.4049239999999</v>
      </c>
    </row>
    <row r="816" spans="1:29" x14ac:dyDescent="0.25">
      <c r="A816" t="str">
        <f t="shared" si="13"/>
        <v xml:space="preserve">152971UDIBONO 311127      </v>
      </c>
      <c r="B816" s="96">
        <v>152971</v>
      </c>
      <c r="C816" s="96" t="s">
        <v>729</v>
      </c>
      <c r="D816" s="96" t="s">
        <v>396</v>
      </c>
      <c r="E816" s="96" t="s">
        <v>623</v>
      </c>
      <c r="F816" s="96" t="s">
        <v>624</v>
      </c>
      <c r="G816" s="99">
        <v>679</v>
      </c>
      <c r="H816" s="97">
        <v>721.59464000000003</v>
      </c>
      <c r="I816" s="98">
        <v>489962.76056000002</v>
      </c>
      <c r="J816" s="97">
        <v>779.21218873468331</v>
      </c>
      <c r="K816" s="98">
        <v>-39122.315590849998</v>
      </c>
      <c r="L816" s="99">
        <v>0</v>
      </c>
      <c r="M816" s="98">
        <v>0</v>
      </c>
      <c r="N816" s="99">
        <v>0</v>
      </c>
      <c r="O816" s="98">
        <v>0</v>
      </c>
      <c r="P816" s="99">
        <v>679</v>
      </c>
      <c r="Q816" s="98">
        <v>489962.76056000002</v>
      </c>
      <c r="R816" s="96" t="s">
        <v>625</v>
      </c>
      <c r="S816" s="96">
        <v>7414000005</v>
      </c>
      <c r="AA816" s="131" t="s">
        <v>378</v>
      </c>
      <c r="AB816" s="130">
        <v>47702.235098999998</v>
      </c>
      <c r="AC816" s="130">
        <v>47702.235098999998</v>
      </c>
    </row>
    <row r="817" spans="1:29" x14ac:dyDescent="0.25">
      <c r="A817" t="str">
        <f t="shared" si="13"/>
        <v xml:space="preserve">152971UDIBONO 351122      </v>
      </c>
      <c r="B817" s="96">
        <v>152971</v>
      </c>
      <c r="C817" s="96" t="s">
        <v>729</v>
      </c>
      <c r="D817" s="96" t="s">
        <v>397</v>
      </c>
      <c r="E817" s="96" t="s">
        <v>623</v>
      </c>
      <c r="F817" s="96" t="s">
        <v>624</v>
      </c>
      <c r="G817" s="99">
        <v>638</v>
      </c>
      <c r="H817" s="97">
        <v>635.96311900000001</v>
      </c>
      <c r="I817" s="98">
        <v>405744.46992200002</v>
      </c>
      <c r="J817" s="97">
        <v>647.93802047999998</v>
      </c>
      <c r="K817" s="98">
        <v>-7639.9871442399999</v>
      </c>
      <c r="L817" s="99">
        <v>0</v>
      </c>
      <c r="M817" s="98">
        <v>0</v>
      </c>
      <c r="N817" s="99">
        <v>0</v>
      </c>
      <c r="O817" s="98">
        <v>0</v>
      </c>
      <c r="P817" s="99">
        <v>638</v>
      </c>
      <c r="Q817" s="98">
        <v>405744.46992200002</v>
      </c>
      <c r="R817" s="96" t="s">
        <v>625</v>
      </c>
      <c r="S817" s="96">
        <v>7414000005</v>
      </c>
      <c r="AA817" s="131" t="s">
        <v>380</v>
      </c>
      <c r="AB817" s="130">
        <v>43857.670239999999</v>
      </c>
      <c r="AC817" s="130">
        <v>43857.670239999999</v>
      </c>
    </row>
    <row r="818" spans="1:29" x14ac:dyDescent="0.25">
      <c r="A818" t="str">
        <f t="shared" si="13"/>
        <v xml:space="preserve">152971UDIBONO 401115      </v>
      </c>
      <c r="B818" s="96">
        <v>152971</v>
      </c>
      <c r="C818" s="96" t="s">
        <v>729</v>
      </c>
      <c r="D818" s="96" t="s">
        <v>398</v>
      </c>
      <c r="E818" s="96" t="s">
        <v>623</v>
      </c>
      <c r="F818" s="96" t="s">
        <v>624</v>
      </c>
      <c r="G818" s="99">
        <v>1046</v>
      </c>
      <c r="H818" s="97">
        <v>709.36974099999998</v>
      </c>
      <c r="I818" s="98">
        <v>742000.74908600003</v>
      </c>
      <c r="J818" s="97">
        <v>728.33197593174953</v>
      </c>
      <c r="K818" s="98">
        <v>-19834.49773861</v>
      </c>
      <c r="L818" s="99">
        <v>0</v>
      </c>
      <c r="M818" s="98">
        <v>0</v>
      </c>
      <c r="N818" s="99">
        <v>0</v>
      </c>
      <c r="O818" s="98">
        <v>0</v>
      </c>
      <c r="P818" s="99">
        <v>1046</v>
      </c>
      <c r="Q818" s="98">
        <v>742000.74908600003</v>
      </c>
      <c r="R818" s="96" t="s">
        <v>625</v>
      </c>
      <c r="S818" s="96">
        <v>7414000005</v>
      </c>
      <c r="AA818" s="131" t="s">
        <v>382</v>
      </c>
      <c r="AB818" s="130">
        <v>24430.623944999999</v>
      </c>
      <c r="AC818" s="130">
        <v>24430.623944999999</v>
      </c>
    </row>
    <row r="819" spans="1:29" x14ac:dyDescent="0.25">
      <c r="A819" t="str">
        <f t="shared" si="13"/>
        <v xml:space="preserve">152971UDIBONO 431112      </v>
      </c>
      <c r="B819" s="96">
        <v>152971</v>
      </c>
      <c r="C819" s="96" t="s">
        <v>729</v>
      </c>
      <c r="D819" s="96" t="s">
        <v>399</v>
      </c>
      <c r="E819" s="96" t="s">
        <v>623</v>
      </c>
      <c r="F819" s="96" t="s">
        <v>624</v>
      </c>
      <c r="G819" s="99">
        <v>3818</v>
      </c>
      <c r="H819" s="97">
        <v>694.41118700000004</v>
      </c>
      <c r="I819" s="98">
        <v>2651261.9119660002</v>
      </c>
      <c r="J819" s="97">
        <v>724.71258163232585</v>
      </c>
      <c r="K819" s="98">
        <v>-115690.72470622</v>
      </c>
      <c r="L819" s="99">
        <v>0</v>
      </c>
      <c r="M819" s="98">
        <v>0</v>
      </c>
      <c r="N819" s="99">
        <v>0</v>
      </c>
      <c r="O819" s="98">
        <v>0</v>
      </c>
      <c r="P819" s="99">
        <v>3818</v>
      </c>
      <c r="Q819" s="98">
        <v>2651261.9119660002</v>
      </c>
      <c r="R819" s="96" t="s">
        <v>625</v>
      </c>
      <c r="S819" s="96">
        <v>7414000005</v>
      </c>
      <c r="AA819" s="131" t="s">
        <v>427</v>
      </c>
      <c r="AB819" s="130">
        <v>163427.07905999999</v>
      </c>
      <c r="AC819" s="130">
        <v>163427.07905999999</v>
      </c>
    </row>
    <row r="820" spans="1:29" x14ac:dyDescent="0.25">
      <c r="A820" t="str">
        <f t="shared" si="13"/>
        <v xml:space="preserve">152971UDIBONO 461108      </v>
      </c>
      <c r="B820" s="96">
        <v>152974</v>
      </c>
      <c r="C820" s="96" t="s">
        <v>730</v>
      </c>
      <c r="D820" s="96" t="s">
        <v>363</v>
      </c>
      <c r="E820" s="96" t="s">
        <v>623</v>
      </c>
      <c r="F820" s="96" t="s">
        <v>624</v>
      </c>
      <c r="G820" s="99">
        <v>136379</v>
      </c>
      <c r="H820" s="97">
        <v>9.4935880000000008</v>
      </c>
      <c r="I820" s="98">
        <v>1294726.037852</v>
      </c>
      <c r="J820" s="97">
        <v>8.4405498100000003</v>
      </c>
      <c r="K820" s="98">
        <v>143612.29531401</v>
      </c>
      <c r="L820" s="99">
        <v>0</v>
      </c>
      <c r="M820" s="98">
        <v>0</v>
      </c>
      <c r="N820" s="99">
        <v>0</v>
      </c>
      <c r="O820" s="98">
        <v>0</v>
      </c>
      <c r="P820" s="99">
        <v>136379</v>
      </c>
      <c r="Q820" s="98">
        <v>1294726.037852</v>
      </c>
      <c r="R820" s="96" t="s">
        <v>625</v>
      </c>
      <c r="S820" s="96">
        <v>7414000005</v>
      </c>
      <c r="AA820" s="131" t="s">
        <v>418</v>
      </c>
      <c r="AB820" s="130">
        <v>45652.934699999998</v>
      </c>
      <c r="AC820" s="130">
        <v>45652.934699999998</v>
      </c>
    </row>
    <row r="821" spans="1:29" x14ac:dyDescent="0.25">
      <c r="A821" t="str">
        <f t="shared" si="13"/>
        <v xml:space="preserve">152971UDIBONO 501103      </v>
      </c>
      <c r="B821" s="96">
        <v>152974</v>
      </c>
      <c r="C821" s="96" t="s">
        <v>730</v>
      </c>
      <c r="D821" s="96" t="s">
        <v>409</v>
      </c>
      <c r="E821" s="96" t="s">
        <v>623</v>
      </c>
      <c r="F821" s="96" t="s">
        <v>624</v>
      </c>
      <c r="G821" s="99">
        <v>185740</v>
      </c>
      <c r="H821" s="97">
        <v>9.3381629999999998</v>
      </c>
      <c r="I821" s="98">
        <v>1734470.3956200001</v>
      </c>
      <c r="J821" s="97">
        <v>8.3307969100000001</v>
      </c>
      <c r="K821" s="98">
        <v>187108.17755660001</v>
      </c>
      <c r="L821" s="99">
        <v>0</v>
      </c>
      <c r="M821" s="98">
        <v>0</v>
      </c>
      <c r="N821" s="99">
        <v>0</v>
      </c>
      <c r="O821" s="98">
        <v>0</v>
      </c>
      <c r="P821" s="99">
        <v>185740</v>
      </c>
      <c r="Q821" s="98">
        <v>1734470.3956200001</v>
      </c>
      <c r="R821" s="96" t="s">
        <v>625</v>
      </c>
      <c r="S821" s="96">
        <v>7414000005</v>
      </c>
      <c r="AA821" s="131" t="s">
        <v>408</v>
      </c>
      <c r="AB821" s="130">
        <v>88298.524420000002</v>
      </c>
      <c r="AC821" s="130">
        <v>88298.524420000002</v>
      </c>
    </row>
    <row r="822" spans="1:29" x14ac:dyDescent="0.25">
      <c r="A822" t="str">
        <f t="shared" si="13"/>
        <v xml:space="preserve">152974CETES 241003        </v>
      </c>
      <c r="B822" s="96">
        <v>152974</v>
      </c>
      <c r="C822" s="96" t="s">
        <v>730</v>
      </c>
      <c r="D822" s="96" t="s">
        <v>364</v>
      </c>
      <c r="E822" s="96" t="s">
        <v>623</v>
      </c>
      <c r="F822" s="96" t="s">
        <v>624</v>
      </c>
      <c r="G822" s="99">
        <v>234160</v>
      </c>
      <c r="H822" s="97">
        <v>9.190137</v>
      </c>
      <c r="I822" s="98">
        <v>2151962.4799199998</v>
      </c>
      <c r="J822" s="97">
        <v>8.2167948391860275</v>
      </c>
      <c r="K822" s="98">
        <v>227917.8003762</v>
      </c>
      <c r="L822" s="99">
        <v>0</v>
      </c>
      <c r="M822" s="98">
        <v>0</v>
      </c>
      <c r="N822" s="99">
        <v>0</v>
      </c>
      <c r="O822" s="98">
        <v>0</v>
      </c>
      <c r="P822" s="99">
        <v>234160</v>
      </c>
      <c r="Q822" s="98">
        <v>2151962.4799199998</v>
      </c>
      <c r="R822" s="96" t="s">
        <v>625</v>
      </c>
      <c r="S822" s="96">
        <v>7414000005</v>
      </c>
      <c r="AA822" s="131" t="s">
        <v>384</v>
      </c>
      <c r="AB822" s="130">
        <v>85744.064140000002</v>
      </c>
      <c r="AC822" s="130">
        <v>85744.064140000002</v>
      </c>
    </row>
    <row r="823" spans="1:29" x14ac:dyDescent="0.25">
      <c r="A823" t="str">
        <f t="shared" si="13"/>
        <v xml:space="preserve">152974CETES 241128        </v>
      </c>
      <c r="B823" s="96">
        <v>152974</v>
      </c>
      <c r="C823" s="96" t="s">
        <v>730</v>
      </c>
      <c r="D823" s="96" t="s">
        <v>554</v>
      </c>
      <c r="E823" s="96" t="s">
        <v>623</v>
      </c>
      <c r="F823" s="96" t="s">
        <v>624</v>
      </c>
      <c r="G823" s="99">
        <v>64920</v>
      </c>
      <c r="H823" s="97">
        <v>8.3813510000000004</v>
      </c>
      <c r="I823" s="98">
        <v>544117.30692</v>
      </c>
      <c r="J823" s="97">
        <v>8.2700011300000007</v>
      </c>
      <c r="K823" s="98">
        <v>7228.8335604000004</v>
      </c>
      <c r="L823" s="99">
        <v>0</v>
      </c>
      <c r="M823" s="98">
        <v>0</v>
      </c>
      <c r="N823" s="99">
        <v>0</v>
      </c>
      <c r="O823" s="98">
        <v>0</v>
      </c>
      <c r="P823" s="99">
        <v>64920</v>
      </c>
      <c r="Q823" s="98">
        <v>544117.30692</v>
      </c>
      <c r="R823" s="96" t="s">
        <v>625</v>
      </c>
      <c r="S823" s="96">
        <v>7414000005</v>
      </c>
      <c r="AA823" s="131" t="s">
        <v>389</v>
      </c>
      <c r="AB823" s="130">
        <v>2070400.4694399999</v>
      </c>
      <c r="AC823" s="130">
        <v>2070400.4694399999</v>
      </c>
    </row>
    <row r="824" spans="1:29" x14ac:dyDescent="0.25">
      <c r="A824" t="str">
        <f t="shared" si="13"/>
        <v xml:space="preserve">152974CETES 250123        </v>
      </c>
      <c r="B824" s="96">
        <v>152974</v>
      </c>
      <c r="C824" s="96" t="s">
        <v>730</v>
      </c>
      <c r="D824" s="96" t="s">
        <v>613</v>
      </c>
      <c r="E824" s="96" t="s">
        <v>623</v>
      </c>
      <c r="F824" s="96" t="s">
        <v>624</v>
      </c>
      <c r="G824" s="99">
        <v>132650</v>
      </c>
      <c r="H824" s="97">
        <v>8.2580650000000002</v>
      </c>
      <c r="I824" s="98">
        <v>1095432.32225</v>
      </c>
      <c r="J824" s="97">
        <v>8.2501711100000001</v>
      </c>
      <c r="K824" s="98">
        <v>1047.1245085</v>
      </c>
      <c r="L824" s="99">
        <v>0</v>
      </c>
      <c r="M824" s="98">
        <v>0</v>
      </c>
      <c r="N824" s="99">
        <v>0</v>
      </c>
      <c r="O824" s="98">
        <v>0</v>
      </c>
      <c r="P824" s="99">
        <v>132650</v>
      </c>
      <c r="Q824" s="98">
        <v>1095432.32225</v>
      </c>
      <c r="R824" s="96" t="s">
        <v>625</v>
      </c>
      <c r="S824" s="96">
        <v>7414000005</v>
      </c>
      <c r="AA824" s="131" t="s">
        <v>395</v>
      </c>
      <c r="AB824" s="130">
        <v>5410.4887550000003</v>
      </c>
      <c r="AC824" s="130">
        <v>5410.4887550000003</v>
      </c>
    </row>
    <row r="825" spans="1:29" x14ac:dyDescent="0.25">
      <c r="A825" t="str">
        <f t="shared" si="13"/>
        <v xml:space="preserve">152974CETES 251224        </v>
      </c>
      <c r="B825" s="96">
        <v>152974</v>
      </c>
      <c r="C825" s="96" t="s">
        <v>730</v>
      </c>
      <c r="D825" s="96" t="s">
        <v>375</v>
      </c>
      <c r="E825" s="96" t="s">
        <v>623</v>
      </c>
      <c r="F825" s="96" t="s">
        <v>624</v>
      </c>
      <c r="G825" s="99">
        <v>4530</v>
      </c>
      <c r="H825" s="97">
        <v>98.730349000000004</v>
      </c>
      <c r="I825" s="98">
        <v>447248.48096999998</v>
      </c>
      <c r="J825" s="97">
        <v>104.81191507</v>
      </c>
      <c r="K825" s="98">
        <v>-27549.494297099998</v>
      </c>
      <c r="L825" s="99">
        <v>0</v>
      </c>
      <c r="M825" s="98">
        <v>0</v>
      </c>
      <c r="N825" s="99">
        <v>0</v>
      </c>
      <c r="O825" s="98">
        <v>0</v>
      </c>
      <c r="P825" s="99">
        <v>4530</v>
      </c>
      <c r="Q825" s="98">
        <v>447248.48096999998</v>
      </c>
      <c r="R825" s="96" t="s">
        <v>625</v>
      </c>
      <c r="S825" s="96">
        <v>7414000005</v>
      </c>
      <c r="AA825" s="131" t="s">
        <v>396</v>
      </c>
      <c r="AB825" s="130">
        <v>103188.03352</v>
      </c>
      <c r="AC825" s="130">
        <v>103188.03352</v>
      </c>
    </row>
    <row r="826" spans="1:29" x14ac:dyDescent="0.25">
      <c r="A826" t="str">
        <f t="shared" si="13"/>
        <v xml:space="preserve">152974CETES 260219        </v>
      </c>
      <c r="B826" s="96">
        <v>152974</v>
      </c>
      <c r="C826" s="96" t="s">
        <v>730</v>
      </c>
      <c r="D826" s="96" t="s">
        <v>376</v>
      </c>
      <c r="E826" s="96" t="s">
        <v>623</v>
      </c>
      <c r="F826" s="96" t="s">
        <v>624</v>
      </c>
      <c r="G826" s="99">
        <v>7978</v>
      </c>
      <c r="H826" s="97">
        <v>99.247497999999993</v>
      </c>
      <c r="I826" s="98">
        <v>791796.53904399998</v>
      </c>
      <c r="J826" s="97">
        <v>107.59174377659313</v>
      </c>
      <c r="K826" s="98">
        <v>-66570.392805659998</v>
      </c>
      <c r="L826" s="99">
        <v>0</v>
      </c>
      <c r="M826" s="98">
        <v>0</v>
      </c>
      <c r="N826" s="99">
        <v>0</v>
      </c>
      <c r="O826" s="98">
        <v>0</v>
      </c>
      <c r="P826" s="99">
        <v>7978</v>
      </c>
      <c r="Q826" s="98">
        <v>791796.53904399998</v>
      </c>
      <c r="R826" s="96" t="s">
        <v>625</v>
      </c>
      <c r="S826" s="96">
        <v>7414000005</v>
      </c>
      <c r="AA826" s="131" t="s">
        <v>398</v>
      </c>
      <c r="AB826" s="130">
        <v>165283.149653</v>
      </c>
      <c r="AC826" s="130">
        <v>165283.149653</v>
      </c>
    </row>
    <row r="827" spans="1:29" x14ac:dyDescent="0.25">
      <c r="A827" t="str">
        <f t="shared" si="13"/>
        <v xml:space="preserve">152974GOBFED 240905       </v>
      </c>
      <c r="B827" s="96">
        <v>152974</v>
      </c>
      <c r="C827" s="96" t="s">
        <v>730</v>
      </c>
      <c r="D827" s="96" t="s">
        <v>377</v>
      </c>
      <c r="E827" s="96" t="s">
        <v>623</v>
      </c>
      <c r="F827" s="96" t="s">
        <v>624</v>
      </c>
      <c r="G827" s="99">
        <v>11009</v>
      </c>
      <c r="H827" s="97">
        <v>94.973146999999997</v>
      </c>
      <c r="I827" s="98">
        <v>1045559.375323</v>
      </c>
      <c r="J827" s="97">
        <v>90.01635830841856</v>
      </c>
      <c r="K827" s="98">
        <v>54569.286705619998</v>
      </c>
      <c r="L827" s="99">
        <v>0</v>
      </c>
      <c r="M827" s="98">
        <v>0</v>
      </c>
      <c r="N827" s="99">
        <v>0</v>
      </c>
      <c r="O827" s="98">
        <v>0</v>
      </c>
      <c r="P827" s="99">
        <v>11009</v>
      </c>
      <c r="Q827" s="98">
        <v>1045559.375323</v>
      </c>
      <c r="R827" s="96" t="s">
        <v>625</v>
      </c>
      <c r="S827" s="96">
        <v>7414000005</v>
      </c>
      <c r="AA827" s="131" t="s">
        <v>365</v>
      </c>
      <c r="AB827" s="130">
        <v>133725.24</v>
      </c>
      <c r="AC827" s="130">
        <v>133725.24</v>
      </c>
    </row>
    <row r="828" spans="1:29" x14ac:dyDescent="0.25">
      <c r="A828" t="str">
        <f t="shared" si="13"/>
        <v xml:space="preserve">152974GOBFED 241205       </v>
      </c>
      <c r="B828" s="96">
        <v>152974</v>
      </c>
      <c r="C828" s="96" t="s">
        <v>730</v>
      </c>
      <c r="D828" s="96" t="s">
        <v>378</v>
      </c>
      <c r="E828" s="96" t="s">
        <v>623</v>
      </c>
      <c r="F828" s="96" t="s">
        <v>624</v>
      </c>
      <c r="G828" s="99">
        <v>6022</v>
      </c>
      <c r="H828" s="97">
        <v>91.911821000000003</v>
      </c>
      <c r="I828" s="98">
        <v>553492.98606200004</v>
      </c>
      <c r="J828" s="97">
        <v>93.2088459</v>
      </c>
      <c r="K828" s="98">
        <v>-7810.6839478000002</v>
      </c>
      <c r="L828" s="99">
        <v>0</v>
      </c>
      <c r="M828" s="98">
        <v>0</v>
      </c>
      <c r="N828" s="99">
        <v>0</v>
      </c>
      <c r="O828" s="98">
        <v>0</v>
      </c>
      <c r="P828" s="99">
        <v>6022</v>
      </c>
      <c r="Q828" s="98">
        <v>553492.98606200004</v>
      </c>
      <c r="R828" s="96" t="s">
        <v>625</v>
      </c>
      <c r="S828" s="96">
        <v>7414000005</v>
      </c>
      <c r="AA828" s="131" t="s">
        <v>367</v>
      </c>
      <c r="AB828" s="130">
        <v>32229.9</v>
      </c>
      <c r="AC828" s="130">
        <v>32229.9</v>
      </c>
    </row>
    <row r="829" spans="1:29" x14ac:dyDescent="0.25">
      <c r="A829" t="str">
        <f t="shared" si="13"/>
        <v xml:space="preserve">152974GOBFED 250306       </v>
      </c>
      <c r="B829" s="96">
        <v>152974</v>
      </c>
      <c r="C829" s="96" t="s">
        <v>730</v>
      </c>
      <c r="D829" s="96" t="s">
        <v>379</v>
      </c>
      <c r="E829" s="96" t="s">
        <v>623</v>
      </c>
      <c r="F829" s="96" t="s">
        <v>624</v>
      </c>
      <c r="G829" s="99">
        <v>8895</v>
      </c>
      <c r="H829" s="97">
        <v>88.698122999999995</v>
      </c>
      <c r="I829" s="98">
        <v>788969.80408499995</v>
      </c>
      <c r="J829" s="97">
        <v>85.748156218701524</v>
      </c>
      <c r="K829" s="98">
        <v>26239.95451965</v>
      </c>
      <c r="L829" s="99">
        <v>0</v>
      </c>
      <c r="M829" s="98">
        <v>0</v>
      </c>
      <c r="N829" s="99">
        <v>0</v>
      </c>
      <c r="O829" s="98">
        <v>0</v>
      </c>
      <c r="P829" s="99">
        <v>8895</v>
      </c>
      <c r="Q829" s="98">
        <v>788969.80408499995</v>
      </c>
      <c r="R829" s="96" t="s">
        <v>625</v>
      </c>
      <c r="S829" s="96">
        <v>7414000005</v>
      </c>
      <c r="AA829" s="131" t="s">
        <v>368</v>
      </c>
      <c r="AB829" s="130">
        <v>87476</v>
      </c>
      <c r="AC829" s="130">
        <v>87476</v>
      </c>
    </row>
    <row r="830" spans="1:29" x14ac:dyDescent="0.25">
      <c r="A830" t="str">
        <f t="shared" si="13"/>
        <v xml:space="preserve">152974GOBFED 260305       </v>
      </c>
      <c r="B830" s="96">
        <v>152974</v>
      </c>
      <c r="C830" s="96" t="s">
        <v>730</v>
      </c>
      <c r="D830" s="96" t="s">
        <v>380</v>
      </c>
      <c r="E830" s="96" t="s">
        <v>623</v>
      </c>
      <c r="F830" s="96" t="s">
        <v>624</v>
      </c>
      <c r="G830" s="99">
        <v>7218</v>
      </c>
      <c r="H830" s="97">
        <v>93.314192000000006</v>
      </c>
      <c r="I830" s="98">
        <v>673541.83785600006</v>
      </c>
      <c r="J830" s="97">
        <v>97.382118526663902</v>
      </c>
      <c r="K830" s="98">
        <v>-29362.293669459999</v>
      </c>
      <c r="L830" s="99">
        <v>0</v>
      </c>
      <c r="M830" s="98">
        <v>0</v>
      </c>
      <c r="N830" s="99">
        <v>0</v>
      </c>
      <c r="O830" s="98">
        <v>0</v>
      </c>
      <c r="P830" s="99">
        <v>7218</v>
      </c>
      <c r="Q830" s="98">
        <v>673541.83785600006</v>
      </c>
      <c r="R830" s="96" t="s">
        <v>625</v>
      </c>
      <c r="S830" s="96">
        <v>7414000005</v>
      </c>
      <c r="AA830" s="131" t="s">
        <v>388</v>
      </c>
      <c r="AB830" s="130">
        <v>682600</v>
      </c>
      <c r="AC830" s="130">
        <v>682600</v>
      </c>
    </row>
    <row r="831" spans="1:29" x14ac:dyDescent="0.25">
      <c r="A831" t="str">
        <f t="shared" si="13"/>
        <v xml:space="preserve">152974GOBFED 270304       </v>
      </c>
      <c r="B831" s="96">
        <v>152974</v>
      </c>
      <c r="C831" s="96" t="s">
        <v>730</v>
      </c>
      <c r="D831" s="96" t="s">
        <v>507</v>
      </c>
      <c r="E831" s="96" t="s">
        <v>623</v>
      </c>
      <c r="F831" s="96" t="s">
        <v>624</v>
      </c>
      <c r="G831" s="99">
        <v>6710</v>
      </c>
      <c r="H831" s="97">
        <v>94.864168000000006</v>
      </c>
      <c r="I831" s="98">
        <v>636538.56727999996</v>
      </c>
      <c r="J831" s="97">
        <v>96.491292991490312</v>
      </c>
      <c r="K831" s="98">
        <v>-10918.008692900001</v>
      </c>
      <c r="L831" s="99">
        <v>0</v>
      </c>
      <c r="M831" s="98">
        <v>0</v>
      </c>
      <c r="N831" s="99">
        <v>0</v>
      </c>
      <c r="O831" s="98">
        <v>0</v>
      </c>
      <c r="P831" s="99">
        <v>6710</v>
      </c>
      <c r="Q831" s="98">
        <v>636538.56727999996</v>
      </c>
      <c r="R831" s="96" t="s">
        <v>625</v>
      </c>
      <c r="S831" s="96">
        <v>7414000005</v>
      </c>
      <c r="AA831" s="131" t="s">
        <v>430</v>
      </c>
      <c r="AB831" s="130">
        <v>1334594.2464000001</v>
      </c>
      <c r="AC831" s="130">
        <v>1334594.2464000001</v>
      </c>
    </row>
    <row r="832" spans="1:29" x14ac:dyDescent="0.25">
      <c r="A832" t="str">
        <f t="shared" si="13"/>
        <v xml:space="preserve">152974GOBFED 270603       </v>
      </c>
      <c r="B832" s="96">
        <v>152974</v>
      </c>
      <c r="C832" s="96" t="s">
        <v>730</v>
      </c>
      <c r="D832" s="96" t="s">
        <v>381</v>
      </c>
      <c r="E832" s="96" t="s">
        <v>623</v>
      </c>
      <c r="F832" s="96" t="s">
        <v>624</v>
      </c>
      <c r="G832" s="99">
        <v>2625</v>
      </c>
      <c r="H832" s="97">
        <v>94.870157000000006</v>
      </c>
      <c r="I832" s="98">
        <v>249034.162125</v>
      </c>
      <c r="J832" s="97">
        <v>96.692672049999999</v>
      </c>
      <c r="K832" s="98">
        <v>-4784.1020062500002</v>
      </c>
      <c r="L832" s="99">
        <v>0</v>
      </c>
      <c r="M832" s="98">
        <v>0</v>
      </c>
      <c r="N832" s="99">
        <v>0</v>
      </c>
      <c r="O832" s="98">
        <v>0</v>
      </c>
      <c r="P832" s="99">
        <v>2625</v>
      </c>
      <c r="Q832" s="98">
        <v>249034.162125</v>
      </c>
      <c r="R832" s="96" t="s">
        <v>625</v>
      </c>
      <c r="S832" s="96">
        <v>7414000005</v>
      </c>
      <c r="AA832" s="131" t="s">
        <v>401</v>
      </c>
      <c r="AB832" s="130">
        <v>190750</v>
      </c>
      <c r="AC832" s="130">
        <v>190750</v>
      </c>
    </row>
    <row r="833" spans="1:29" x14ac:dyDescent="0.25">
      <c r="A833" t="str">
        <f t="shared" si="13"/>
        <v xml:space="preserve">152974GOBFED 290301       </v>
      </c>
      <c r="B833" s="96">
        <v>152974</v>
      </c>
      <c r="C833" s="96" t="s">
        <v>730</v>
      </c>
      <c r="D833" s="96" t="s">
        <v>382</v>
      </c>
      <c r="E833" s="96" t="s">
        <v>623</v>
      </c>
      <c r="F833" s="96" t="s">
        <v>624</v>
      </c>
      <c r="G833" s="99">
        <v>10540</v>
      </c>
      <c r="H833" s="97">
        <v>89.489464999999996</v>
      </c>
      <c r="I833" s="98">
        <v>943218.96109999996</v>
      </c>
      <c r="J833" s="97">
        <v>85.486036344345351</v>
      </c>
      <c r="K833" s="98">
        <v>42196.138030599999</v>
      </c>
      <c r="L833" s="99">
        <v>0</v>
      </c>
      <c r="M833" s="98">
        <v>0</v>
      </c>
      <c r="N833" s="99">
        <v>0</v>
      </c>
      <c r="O833" s="98">
        <v>0</v>
      </c>
      <c r="P833" s="99">
        <v>10540</v>
      </c>
      <c r="Q833" s="98">
        <v>943218.96109999996</v>
      </c>
      <c r="R833" s="96" t="s">
        <v>625</v>
      </c>
      <c r="S833" s="96">
        <v>7414000005</v>
      </c>
      <c r="AA833" s="131" t="s">
        <v>393</v>
      </c>
      <c r="AB833" s="130">
        <v>121015.973514</v>
      </c>
      <c r="AC833" s="130">
        <v>121015.973514</v>
      </c>
    </row>
    <row r="834" spans="1:29" x14ac:dyDescent="0.25">
      <c r="A834" t="str">
        <f t="shared" si="13"/>
        <v xml:space="preserve">152974GOBFED 290531       </v>
      </c>
      <c r="B834" s="96">
        <v>152974</v>
      </c>
      <c r="C834" s="96" t="s">
        <v>730</v>
      </c>
      <c r="D834" s="96" t="s">
        <v>383</v>
      </c>
      <c r="E834" s="96" t="s">
        <v>623</v>
      </c>
      <c r="F834" s="96" t="s">
        <v>624</v>
      </c>
      <c r="G834" s="99">
        <v>7270</v>
      </c>
      <c r="H834" s="97">
        <v>86.197128000000006</v>
      </c>
      <c r="I834" s="98">
        <v>626653.12055999995</v>
      </c>
      <c r="J834" s="97">
        <v>89.849078692008248</v>
      </c>
      <c r="K834" s="98">
        <v>-26549.681530900001</v>
      </c>
      <c r="L834" s="99">
        <v>0</v>
      </c>
      <c r="M834" s="98">
        <v>0</v>
      </c>
      <c r="N834" s="99">
        <v>0</v>
      </c>
      <c r="O834" s="98">
        <v>0</v>
      </c>
      <c r="P834" s="99">
        <v>7270</v>
      </c>
      <c r="Q834" s="98">
        <v>626653.12055999995</v>
      </c>
      <c r="R834" s="96" t="s">
        <v>625</v>
      </c>
      <c r="S834" s="96">
        <v>7414000005</v>
      </c>
      <c r="AA834" s="131" t="s">
        <v>375</v>
      </c>
      <c r="AB834" s="130">
        <v>70493.469186000002</v>
      </c>
      <c r="AC834" s="130">
        <v>70493.469186000002</v>
      </c>
    </row>
    <row r="835" spans="1:29" x14ac:dyDescent="0.25">
      <c r="A835" t="str">
        <f t="shared" si="13"/>
        <v xml:space="preserve">152974GOBFED 310529       </v>
      </c>
      <c r="B835" s="96">
        <v>152974</v>
      </c>
      <c r="C835" s="96" t="s">
        <v>730</v>
      </c>
      <c r="D835" s="96" t="s">
        <v>427</v>
      </c>
      <c r="E835" s="96" t="s">
        <v>623</v>
      </c>
      <c r="F835" s="96" t="s">
        <v>624</v>
      </c>
      <c r="G835" s="99">
        <v>41347</v>
      </c>
      <c r="H835" s="97">
        <v>86.469353999999996</v>
      </c>
      <c r="I835" s="98">
        <v>3575248.3798380001</v>
      </c>
      <c r="J835" s="97">
        <v>90.392895358433506</v>
      </c>
      <c r="K835" s="98">
        <v>-162226.66454714999</v>
      </c>
      <c r="L835" s="99">
        <v>0</v>
      </c>
      <c r="M835" s="98">
        <v>0</v>
      </c>
      <c r="N835" s="99">
        <v>0</v>
      </c>
      <c r="O835" s="98">
        <v>0</v>
      </c>
      <c r="P835" s="99">
        <v>41347</v>
      </c>
      <c r="Q835" s="98">
        <v>3575248.3798380001</v>
      </c>
      <c r="R835" s="96" t="s">
        <v>625</v>
      </c>
      <c r="S835" s="96">
        <v>7414000005</v>
      </c>
      <c r="AA835" s="131" t="s">
        <v>399</v>
      </c>
      <c r="AB835" s="130">
        <v>262487.428686</v>
      </c>
      <c r="AC835" s="130">
        <v>262487.428686</v>
      </c>
    </row>
    <row r="836" spans="1:29" x14ac:dyDescent="0.25">
      <c r="A836" t="str">
        <f t="shared" si="13"/>
        <v xml:space="preserve">152974GOBFED 330526       </v>
      </c>
      <c r="B836" s="96">
        <v>152974</v>
      </c>
      <c r="C836" s="96" t="s">
        <v>730</v>
      </c>
      <c r="D836" s="96" t="s">
        <v>418</v>
      </c>
      <c r="E836" s="96" t="s">
        <v>623</v>
      </c>
      <c r="F836" s="96" t="s">
        <v>624</v>
      </c>
      <c r="G836" s="99">
        <v>468</v>
      </c>
      <c r="H836" s="97">
        <v>101.45096599999999</v>
      </c>
      <c r="I836" s="98">
        <v>47479.052087999997</v>
      </c>
      <c r="J836" s="97">
        <v>114.11447106</v>
      </c>
      <c r="K836" s="98">
        <v>-5926.5203680799996</v>
      </c>
      <c r="L836" s="99">
        <v>0</v>
      </c>
      <c r="M836" s="98">
        <v>0</v>
      </c>
      <c r="N836" s="99">
        <v>0</v>
      </c>
      <c r="O836" s="98">
        <v>0</v>
      </c>
      <c r="P836" s="99">
        <v>468</v>
      </c>
      <c r="Q836" s="98">
        <v>47479.052087999997</v>
      </c>
      <c r="R836" s="96" t="s">
        <v>625</v>
      </c>
      <c r="S836" s="96">
        <v>7414000005</v>
      </c>
      <c r="AA836" s="131" t="s">
        <v>429</v>
      </c>
      <c r="AB836" s="130">
        <v>59980.794408000002</v>
      </c>
      <c r="AC836" s="130">
        <v>59980.794408000002</v>
      </c>
    </row>
    <row r="837" spans="1:29" x14ac:dyDescent="0.25">
      <c r="A837" t="str">
        <f t="shared" si="13"/>
        <v xml:space="preserve">152974GOBFED 341123       </v>
      </c>
      <c r="B837" s="96">
        <v>152974</v>
      </c>
      <c r="C837" s="96" t="s">
        <v>730</v>
      </c>
      <c r="D837" s="96" t="s">
        <v>408</v>
      </c>
      <c r="E837" s="96" t="s">
        <v>623</v>
      </c>
      <c r="F837" s="96" t="s">
        <v>624</v>
      </c>
      <c r="G837" s="99">
        <v>568</v>
      </c>
      <c r="H837" s="97">
        <v>89.643172000000007</v>
      </c>
      <c r="I837" s="98">
        <v>50917.321695999999</v>
      </c>
      <c r="J837" s="97">
        <v>108.47711812999999</v>
      </c>
      <c r="K837" s="98">
        <v>-10697.68140184</v>
      </c>
      <c r="L837" s="99">
        <v>0</v>
      </c>
      <c r="M837" s="98">
        <v>0</v>
      </c>
      <c r="N837" s="99">
        <v>0</v>
      </c>
      <c r="O837" s="98">
        <v>0</v>
      </c>
      <c r="P837" s="99">
        <v>568</v>
      </c>
      <c r="Q837" s="98">
        <v>50917.321695999999</v>
      </c>
      <c r="R837" s="96" t="s">
        <v>625</v>
      </c>
      <c r="S837" s="96">
        <v>7414000005</v>
      </c>
      <c r="AA837" s="131" t="s">
        <v>394</v>
      </c>
      <c r="AB837" s="130">
        <v>34244.457900000001</v>
      </c>
      <c r="AC837" s="130">
        <v>34244.457900000001</v>
      </c>
    </row>
    <row r="838" spans="1:29" x14ac:dyDescent="0.25">
      <c r="A838" t="str">
        <f t="shared" si="13"/>
        <v xml:space="preserve">152974GOBFED 361120       </v>
      </c>
      <c r="B838" s="96">
        <v>152974</v>
      </c>
      <c r="C838" s="96" t="s">
        <v>730</v>
      </c>
      <c r="D838" s="96" t="s">
        <v>384</v>
      </c>
      <c r="E838" s="96" t="s">
        <v>623</v>
      </c>
      <c r="F838" s="96" t="s">
        <v>624</v>
      </c>
      <c r="G838" s="99">
        <v>13071</v>
      </c>
      <c r="H838" s="97">
        <v>81.738860000000003</v>
      </c>
      <c r="I838" s="98">
        <v>1068408.63906</v>
      </c>
      <c r="J838" s="97">
        <v>86.456739232040391</v>
      </c>
      <c r="K838" s="98">
        <v>-61667.399442000002</v>
      </c>
      <c r="L838" s="99">
        <v>0</v>
      </c>
      <c r="M838" s="98">
        <v>0</v>
      </c>
      <c r="N838" s="99">
        <v>0</v>
      </c>
      <c r="O838" s="98">
        <v>0</v>
      </c>
      <c r="P838" s="99">
        <v>13071</v>
      </c>
      <c r="Q838" s="98">
        <v>1068408.63906</v>
      </c>
      <c r="R838" s="96" t="s">
        <v>625</v>
      </c>
      <c r="S838" s="96">
        <v>7414000005</v>
      </c>
      <c r="AA838" s="131" t="s">
        <v>379</v>
      </c>
      <c r="AB838" s="130">
        <v>96503.557824000003</v>
      </c>
      <c r="AC838" s="130">
        <v>96503.557824000003</v>
      </c>
    </row>
    <row r="839" spans="1:29" x14ac:dyDescent="0.25">
      <c r="A839" t="str">
        <f t="shared" ref="A839:A902" si="14">B837&amp;D837</f>
        <v xml:space="preserve">152974GOBFED 381118       </v>
      </c>
      <c r="B839" s="96">
        <v>152974</v>
      </c>
      <c r="C839" s="96" t="s">
        <v>730</v>
      </c>
      <c r="D839" s="96" t="s">
        <v>385</v>
      </c>
      <c r="E839" s="96" t="s">
        <v>623</v>
      </c>
      <c r="F839" s="96" t="s">
        <v>624</v>
      </c>
      <c r="G839" s="99">
        <v>1883</v>
      </c>
      <c r="H839" s="97">
        <v>83.200761</v>
      </c>
      <c r="I839" s="98">
        <v>156667.03296300001</v>
      </c>
      <c r="J839" s="97">
        <v>93.079391513313865</v>
      </c>
      <c r="K839" s="98">
        <v>-18601.461256570001</v>
      </c>
      <c r="L839" s="99">
        <v>0</v>
      </c>
      <c r="M839" s="98">
        <v>0</v>
      </c>
      <c r="N839" s="99">
        <v>0</v>
      </c>
      <c r="O839" s="98">
        <v>0</v>
      </c>
      <c r="P839" s="99">
        <v>1883</v>
      </c>
      <c r="Q839" s="98">
        <v>156667.03296300001</v>
      </c>
      <c r="R839" s="96" t="s">
        <v>625</v>
      </c>
      <c r="S839" s="96">
        <v>7414000005</v>
      </c>
      <c r="AA839" s="131" t="s">
        <v>377</v>
      </c>
      <c r="AB839" s="130">
        <v>23743.286749999999</v>
      </c>
      <c r="AC839" s="130">
        <v>23743.286749999999</v>
      </c>
    </row>
    <row r="840" spans="1:29" x14ac:dyDescent="0.25">
      <c r="A840" t="str">
        <f t="shared" si="14"/>
        <v xml:space="preserve">152974GOBFED 421113       </v>
      </c>
      <c r="B840" s="96">
        <v>152974</v>
      </c>
      <c r="C840" s="96" t="s">
        <v>730</v>
      </c>
      <c r="D840" s="96" t="s">
        <v>386</v>
      </c>
      <c r="E840" s="96" t="s">
        <v>623</v>
      </c>
      <c r="F840" s="96" t="s">
        <v>624</v>
      </c>
      <c r="G840" s="99">
        <v>19880</v>
      </c>
      <c r="H840" s="97">
        <v>82.159907000000004</v>
      </c>
      <c r="I840" s="98">
        <v>1633338.9511599999</v>
      </c>
      <c r="J840" s="97">
        <v>84.23074479732395</v>
      </c>
      <c r="K840" s="98">
        <v>-41168.255410799997</v>
      </c>
      <c r="L840" s="99">
        <v>0</v>
      </c>
      <c r="M840" s="98">
        <v>0</v>
      </c>
      <c r="N840" s="99">
        <v>0</v>
      </c>
      <c r="O840" s="98">
        <v>0</v>
      </c>
      <c r="P840" s="99">
        <v>19880</v>
      </c>
      <c r="Q840" s="98">
        <v>1633338.9511599999</v>
      </c>
      <c r="R840" s="96" t="s">
        <v>625</v>
      </c>
      <c r="S840" s="96">
        <v>7414000005</v>
      </c>
      <c r="AA840" s="131" t="s">
        <v>422</v>
      </c>
      <c r="AB840" s="130">
        <v>26757.311354000001</v>
      </c>
      <c r="AC840" s="130">
        <v>26757.311354000001</v>
      </c>
    </row>
    <row r="841" spans="1:29" x14ac:dyDescent="0.25">
      <c r="A841" t="str">
        <f t="shared" si="14"/>
        <v xml:space="preserve">152974GOBFED 471107       </v>
      </c>
      <c r="B841" s="96">
        <v>152974</v>
      </c>
      <c r="C841" s="96" t="s">
        <v>730</v>
      </c>
      <c r="D841" s="96" t="s">
        <v>429</v>
      </c>
      <c r="E841" s="96" t="s">
        <v>623</v>
      </c>
      <c r="F841" s="96" t="s">
        <v>624</v>
      </c>
      <c r="G841" s="99">
        <v>8710</v>
      </c>
      <c r="H841" s="97">
        <v>98.007834000000003</v>
      </c>
      <c r="I841" s="98">
        <v>853648.23413999996</v>
      </c>
      <c r="J841" s="97">
        <v>92.067783631481049</v>
      </c>
      <c r="K841" s="98">
        <v>51737.838709800002</v>
      </c>
      <c r="L841" s="99">
        <v>0</v>
      </c>
      <c r="M841" s="98">
        <v>0</v>
      </c>
      <c r="N841" s="99">
        <v>0</v>
      </c>
      <c r="O841" s="98">
        <v>0</v>
      </c>
      <c r="P841" s="99">
        <v>8710</v>
      </c>
      <c r="Q841" s="98">
        <v>853648.23413999996</v>
      </c>
      <c r="R841" s="96" t="s">
        <v>625</v>
      </c>
      <c r="S841" s="96">
        <v>7414000005</v>
      </c>
      <c r="AA841" s="131" t="s">
        <v>392</v>
      </c>
      <c r="AB841" s="130">
        <v>23162.531392000001</v>
      </c>
      <c r="AC841" s="130">
        <v>23162.531392000001</v>
      </c>
    </row>
    <row r="842" spans="1:29" x14ac:dyDescent="0.25">
      <c r="A842" t="str">
        <f t="shared" si="14"/>
        <v xml:space="preserve">152974GOBFED 530731       </v>
      </c>
      <c r="B842" s="96">
        <v>152974</v>
      </c>
      <c r="C842" s="96" t="s">
        <v>730</v>
      </c>
      <c r="D842" s="96" t="s">
        <v>389</v>
      </c>
      <c r="E842" s="96" t="s">
        <v>623</v>
      </c>
      <c r="F842" s="96" t="s">
        <v>624</v>
      </c>
      <c r="G842" s="99">
        <v>2175395</v>
      </c>
      <c r="H842" s="97">
        <v>3.3967719999999999</v>
      </c>
      <c r="I842" s="98">
        <v>7389320.8249399997</v>
      </c>
      <c r="J842" s="97">
        <v>3.2960309093291102</v>
      </c>
      <c r="K842" s="98">
        <v>219151.66493999999</v>
      </c>
      <c r="L842" s="99">
        <v>0</v>
      </c>
      <c r="M842" s="98">
        <v>0</v>
      </c>
      <c r="N842" s="99">
        <v>0</v>
      </c>
      <c r="O842" s="98">
        <v>0</v>
      </c>
      <c r="P842" s="99">
        <v>2175395</v>
      </c>
      <c r="Q842" s="98">
        <v>7389320.8249399997</v>
      </c>
      <c r="R842" s="96" t="s">
        <v>625</v>
      </c>
      <c r="S842" s="96">
        <v>7414000005</v>
      </c>
      <c r="AA842" s="131" t="s">
        <v>386</v>
      </c>
      <c r="AB842" s="130">
        <v>134413.60785199999</v>
      </c>
      <c r="AC842" s="130">
        <v>134413.60785199999</v>
      </c>
    </row>
    <row r="843" spans="1:29" x14ac:dyDescent="0.25">
      <c r="A843" t="str">
        <f t="shared" si="14"/>
        <v xml:space="preserve">152974PEMEX 13-2          </v>
      </c>
      <c r="B843" s="96">
        <v>152974</v>
      </c>
      <c r="C843" s="96" t="s">
        <v>730</v>
      </c>
      <c r="D843" s="96" t="s">
        <v>417</v>
      </c>
      <c r="E843" s="96" t="s">
        <v>623</v>
      </c>
      <c r="F843" s="96" t="s">
        <v>624</v>
      </c>
      <c r="G843" s="99">
        <v>1618546</v>
      </c>
      <c r="H843" s="97">
        <v>3.8832339999999999</v>
      </c>
      <c r="I843" s="98">
        <v>6285192.8577640001</v>
      </c>
      <c r="J843" s="97">
        <v>2.873509853905913</v>
      </c>
      <c r="K843" s="98">
        <v>1634284.977764</v>
      </c>
      <c r="L843" s="99">
        <v>0</v>
      </c>
      <c r="M843" s="98">
        <v>0</v>
      </c>
      <c r="N843" s="99">
        <v>0</v>
      </c>
      <c r="O843" s="98">
        <v>0</v>
      </c>
      <c r="P843" s="99">
        <v>1618546</v>
      </c>
      <c r="Q843" s="98">
        <v>6285192.8577640001</v>
      </c>
      <c r="R843" s="96" t="s">
        <v>625</v>
      </c>
      <c r="S843" s="96">
        <v>7414000005</v>
      </c>
      <c r="AA843" s="131" t="s">
        <v>383</v>
      </c>
      <c r="AB843" s="130">
        <v>50942.502648000001</v>
      </c>
      <c r="AC843" s="130">
        <v>50942.502648000001</v>
      </c>
    </row>
    <row r="844" spans="1:29" x14ac:dyDescent="0.25">
      <c r="A844" t="str">
        <f t="shared" si="14"/>
        <v xml:space="preserve">152974STERGOB ED          </v>
      </c>
      <c r="B844" s="96">
        <v>152974</v>
      </c>
      <c r="C844" s="96" t="s">
        <v>730</v>
      </c>
      <c r="D844" s="96" t="s">
        <v>466</v>
      </c>
      <c r="E844" s="96" t="s">
        <v>623</v>
      </c>
      <c r="F844" s="96" t="s">
        <v>624</v>
      </c>
      <c r="G844" s="99">
        <v>120</v>
      </c>
      <c r="H844" s="97">
        <v>256.05011500000001</v>
      </c>
      <c r="I844" s="98">
        <v>30726.013800000001</v>
      </c>
      <c r="J844" s="97">
        <v>487.32003911999999</v>
      </c>
      <c r="K844" s="98">
        <v>-27752.3908944</v>
      </c>
      <c r="L844" s="99">
        <v>0</v>
      </c>
      <c r="M844" s="98">
        <v>0</v>
      </c>
      <c r="N844" s="99">
        <v>0</v>
      </c>
      <c r="O844" s="98">
        <v>0</v>
      </c>
      <c r="P844" s="99">
        <v>120</v>
      </c>
      <c r="Q844" s="98">
        <v>30726.013800000001</v>
      </c>
      <c r="R844" s="96" t="s">
        <v>625</v>
      </c>
      <c r="S844" s="96">
        <v>7414000005</v>
      </c>
      <c r="AA844" s="131" t="s">
        <v>397</v>
      </c>
      <c r="AB844" s="130">
        <v>48969.160163</v>
      </c>
      <c r="AC844" s="130">
        <v>48969.160163</v>
      </c>
    </row>
    <row r="845" spans="1:29" x14ac:dyDescent="0.25">
      <c r="A845" t="str">
        <f t="shared" si="14"/>
        <v xml:space="preserve">152974STRGOB2 ED          </v>
      </c>
      <c r="B845" s="96">
        <v>152974</v>
      </c>
      <c r="C845" s="96" t="s">
        <v>730</v>
      </c>
      <c r="D845" s="96" t="s">
        <v>449</v>
      </c>
      <c r="E845" s="96" t="s">
        <v>623</v>
      </c>
      <c r="F845" s="96" t="s">
        <v>624</v>
      </c>
      <c r="G845" s="99">
        <v>0</v>
      </c>
      <c r="H845" s="97">
        <v>0</v>
      </c>
      <c r="I845" s="98">
        <v>0</v>
      </c>
      <c r="J845" s="97">
        <v>0</v>
      </c>
      <c r="K845" s="98">
        <v>0</v>
      </c>
      <c r="L845" s="99">
        <v>0</v>
      </c>
      <c r="M845" s="98">
        <v>0</v>
      </c>
      <c r="N845" s="99">
        <v>0</v>
      </c>
      <c r="O845" s="98">
        <v>0</v>
      </c>
      <c r="P845" s="99">
        <v>0</v>
      </c>
      <c r="Q845" s="98">
        <v>0</v>
      </c>
      <c r="R845" s="96" t="s">
        <v>625</v>
      </c>
      <c r="S845" s="96">
        <v>7414000005</v>
      </c>
      <c r="AA845" s="131" t="s">
        <v>499</v>
      </c>
      <c r="AB845" s="130">
        <v>39970.436289999998</v>
      </c>
      <c r="AC845" s="130">
        <v>39970.436289999998</v>
      </c>
    </row>
    <row r="846" spans="1:29" x14ac:dyDescent="0.25">
      <c r="A846" t="str">
        <f t="shared" si="14"/>
        <v xml:space="preserve">152974TFOVICB 15U         </v>
      </c>
      <c r="B846" s="96">
        <v>152974</v>
      </c>
      <c r="C846" s="96" t="s">
        <v>730</v>
      </c>
      <c r="D846" s="96" t="s">
        <v>391</v>
      </c>
      <c r="E846" s="96" t="s">
        <v>623</v>
      </c>
      <c r="F846" s="96" t="s">
        <v>624</v>
      </c>
      <c r="G846" s="99">
        <v>820</v>
      </c>
      <c r="H846" s="97">
        <v>775.69178699999998</v>
      </c>
      <c r="I846" s="98">
        <v>636067.26534000004</v>
      </c>
      <c r="J846" s="97">
        <v>697.68063177139027</v>
      </c>
      <c r="K846" s="98">
        <v>63969.14728746</v>
      </c>
      <c r="L846" s="99">
        <v>0</v>
      </c>
      <c r="M846" s="98">
        <v>0</v>
      </c>
      <c r="N846" s="99">
        <v>0</v>
      </c>
      <c r="O846" s="98">
        <v>0</v>
      </c>
      <c r="P846" s="99">
        <v>820</v>
      </c>
      <c r="Q846" s="98">
        <v>636067.26534000004</v>
      </c>
      <c r="R846" s="96" t="s">
        <v>625</v>
      </c>
      <c r="S846" s="96">
        <v>7414000005</v>
      </c>
      <c r="AA846" s="131" t="s">
        <v>501</v>
      </c>
      <c r="AB846" s="130">
        <v>176780.45</v>
      </c>
      <c r="AC846" s="130">
        <v>176780.45</v>
      </c>
    </row>
    <row r="847" spans="1:29" x14ac:dyDescent="0.25">
      <c r="A847" t="str">
        <f t="shared" si="14"/>
        <v xml:space="preserve">152974UDIBONO 171214      </v>
      </c>
      <c r="B847" s="96">
        <v>152974</v>
      </c>
      <c r="C847" s="96" t="s">
        <v>730</v>
      </c>
      <c r="D847" s="96" t="s">
        <v>392</v>
      </c>
      <c r="E847" s="96" t="s">
        <v>623</v>
      </c>
      <c r="F847" s="96" t="s">
        <v>624</v>
      </c>
      <c r="G847" s="99">
        <v>1260</v>
      </c>
      <c r="H847" s="97">
        <v>747.17843200000004</v>
      </c>
      <c r="I847" s="98">
        <v>941444.82432000001</v>
      </c>
      <c r="J847" s="97">
        <v>709.92084864119045</v>
      </c>
      <c r="K847" s="98">
        <v>46944.555032099997</v>
      </c>
      <c r="L847" s="99">
        <v>0</v>
      </c>
      <c r="M847" s="98">
        <v>0</v>
      </c>
      <c r="N847" s="99">
        <v>0</v>
      </c>
      <c r="O847" s="98">
        <v>0</v>
      </c>
      <c r="P847" s="99">
        <v>1260</v>
      </c>
      <c r="Q847" s="98">
        <v>941444.82432000001</v>
      </c>
      <c r="R847" s="96" t="s">
        <v>625</v>
      </c>
      <c r="S847" s="96">
        <v>7414000005</v>
      </c>
      <c r="AA847" s="131" t="s">
        <v>507</v>
      </c>
      <c r="AB847" s="130">
        <v>187831.05264000001</v>
      </c>
      <c r="AC847" s="130">
        <v>187831.05264000001</v>
      </c>
    </row>
    <row r="848" spans="1:29" x14ac:dyDescent="0.25">
      <c r="A848" t="str">
        <f t="shared" si="14"/>
        <v xml:space="preserve">152974UDIBONO 251204      </v>
      </c>
      <c r="B848" s="96">
        <v>152974</v>
      </c>
      <c r="C848" s="96" t="s">
        <v>730</v>
      </c>
      <c r="D848" s="96" t="s">
        <v>393</v>
      </c>
      <c r="E848" s="96" t="s">
        <v>623</v>
      </c>
      <c r="F848" s="96" t="s">
        <v>624</v>
      </c>
      <c r="G848" s="99">
        <v>1156</v>
      </c>
      <c r="H848" s="97">
        <v>765.92388300000005</v>
      </c>
      <c r="I848" s="98">
        <v>885408.00874800002</v>
      </c>
      <c r="J848" s="97">
        <v>752.68846912662627</v>
      </c>
      <c r="K848" s="98">
        <v>15300.13843762</v>
      </c>
      <c r="L848" s="99">
        <v>0</v>
      </c>
      <c r="M848" s="98">
        <v>0</v>
      </c>
      <c r="N848" s="99">
        <v>0</v>
      </c>
      <c r="O848" s="98">
        <v>0</v>
      </c>
      <c r="P848" s="99">
        <v>1156</v>
      </c>
      <c r="Q848" s="98">
        <v>885408.00874800002</v>
      </c>
      <c r="R848" s="96" t="s">
        <v>625</v>
      </c>
      <c r="S848" s="96">
        <v>7414000005</v>
      </c>
      <c r="AA848" s="129">
        <v>2111047</v>
      </c>
      <c r="AB848" s="130">
        <v>260590489.55682492</v>
      </c>
      <c r="AC848" s="130">
        <v>260590489.55682492</v>
      </c>
    </row>
    <row r="849" spans="1:29" x14ac:dyDescent="0.25">
      <c r="A849" t="str">
        <f t="shared" si="14"/>
        <v xml:space="preserve">152974UDIBONO 261203      </v>
      </c>
      <c r="B849" s="96">
        <v>152974</v>
      </c>
      <c r="C849" s="96" t="s">
        <v>730</v>
      </c>
      <c r="D849" s="96" t="s">
        <v>394</v>
      </c>
      <c r="E849" s="96" t="s">
        <v>623</v>
      </c>
      <c r="F849" s="96" t="s">
        <v>624</v>
      </c>
      <c r="G849" s="99">
        <v>5956</v>
      </c>
      <c r="H849" s="97">
        <v>684.88915799999995</v>
      </c>
      <c r="I849" s="98">
        <v>4079199.8250480001</v>
      </c>
      <c r="J849" s="97">
        <v>677.14832988530895</v>
      </c>
      <c r="K849" s="98">
        <v>46104.372251100001</v>
      </c>
      <c r="L849" s="99">
        <v>0</v>
      </c>
      <c r="M849" s="98">
        <v>0</v>
      </c>
      <c r="N849" s="99">
        <v>0</v>
      </c>
      <c r="O849" s="98">
        <v>0</v>
      </c>
      <c r="P849" s="99">
        <v>5956</v>
      </c>
      <c r="Q849" s="98">
        <v>4079199.8250480001</v>
      </c>
      <c r="R849" s="96" t="s">
        <v>625</v>
      </c>
      <c r="S849" s="96">
        <v>7414000005</v>
      </c>
      <c r="AA849" s="131" t="s">
        <v>376</v>
      </c>
      <c r="AB849" s="130">
        <v>6075237.0950739998</v>
      </c>
      <c r="AC849" s="130">
        <v>6075237.0950739998</v>
      </c>
    </row>
    <row r="850" spans="1:29" x14ac:dyDescent="0.25">
      <c r="A850" t="str">
        <f t="shared" si="14"/>
        <v xml:space="preserve">152974UDIBONO 281130      </v>
      </c>
      <c r="B850" s="96">
        <v>152974</v>
      </c>
      <c r="C850" s="96" t="s">
        <v>730</v>
      </c>
      <c r="D850" s="96" t="s">
        <v>395</v>
      </c>
      <c r="E850" s="96" t="s">
        <v>623</v>
      </c>
      <c r="F850" s="96" t="s">
        <v>624</v>
      </c>
      <c r="G850" s="99">
        <v>554</v>
      </c>
      <c r="H850" s="97">
        <v>772.926965</v>
      </c>
      <c r="I850" s="98">
        <v>428201.53860999999</v>
      </c>
      <c r="J850" s="97">
        <v>798.93664675000002</v>
      </c>
      <c r="K850" s="98">
        <v>-14409.3636895</v>
      </c>
      <c r="L850" s="99">
        <v>0</v>
      </c>
      <c r="M850" s="98">
        <v>0</v>
      </c>
      <c r="N850" s="99">
        <v>0</v>
      </c>
      <c r="O850" s="98">
        <v>0</v>
      </c>
      <c r="P850" s="99">
        <v>554</v>
      </c>
      <c r="Q850" s="98">
        <v>428201.53860999999</v>
      </c>
      <c r="R850" s="96" t="s">
        <v>625</v>
      </c>
      <c r="S850" s="96">
        <v>7414000005</v>
      </c>
      <c r="AA850" s="131" t="s">
        <v>378</v>
      </c>
      <c r="AB850" s="130">
        <v>7530427.4063510001</v>
      </c>
      <c r="AC850" s="130">
        <v>7530427.4063510001</v>
      </c>
    </row>
    <row r="851" spans="1:29" x14ac:dyDescent="0.25">
      <c r="A851" t="str">
        <f t="shared" si="14"/>
        <v xml:space="preserve">152974UDIBONO 311127      </v>
      </c>
      <c r="B851" s="96">
        <v>152974</v>
      </c>
      <c r="C851" s="96" t="s">
        <v>730</v>
      </c>
      <c r="D851" s="96" t="s">
        <v>396</v>
      </c>
      <c r="E851" s="96" t="s">
        <v>623</v>
      </c>
      <c r="F851" s="96" t="s">
        <v>624</v>
      </c>
      <c r="G851" s="99">
        <v>575</v>
      </c>
      <c r="H851" s="97">
        <v>721.59464000000003</v>
      </c>
      <c r="I851" s="98">
        <v>414916.91800000001</v>
      </c>
      <c r="J851" s="97">
        <v>782.17544843860867</v>
      </c>
      <c r="K851" s="98">
        <v>-34833.964852199999</v>
      </c>
      <c r="L851" s="99">
        <v>0</v>
      </c>
      <c r="M851" s="98">
        <v>0</v>
      </c>
      <c r="N851" s="99">
        <v>0</v>
      </c>
      <c r="O851" s="98">
        <v>0</v>
      </c>
      <c r="P851" s="99">
        <v>575</v>
      </c>
      <c r="Q851" s="98">
        <v>414916.91800000001</v>
      </c>
      <c r="R851" s="96" t="s">
        <v>625</v>
      </c>
      <c r="S851" s="96">
        <v>7414000005</v>
      </c>
      <c r="AA851" s="131" t="s">
        <v>380</v>
      </c>
      <c r="AB851" s="130">
        <v>6607577.9355199998</v>
      </c>
      <c r="AC851" s="130">
        <v>6607577.9355199998</v>
      </c>
    </row>
    <row r="852" spans="1:29" x14ac:dyDescent="0.25">
      <c r="A852" t="str">
        <f t="shared" si="14"/>
        <v xml:space="preserve">152974UDIBONO 351122      </v>
      </c>
      <c r="B852" s="96">
        <v>152974</v>
      </c>
      <c r="C852" s="96" t="s">
        <v>730</v>
      </c>
      <c r="D852" s="96" t="s">
        <v>397</v>
      </c>
      <c r="E852" s="96" t="s">
        <v>623</v>
      </c>
      <c r="F852" s="96" t="s">
        <v>624</v>
      </c>
      <c r="G852" s="99">
        <v>598</v>
      </c>
      <c r="H852" s="97">
        <v>635.96311900000001</v>
      </c>
      <c r="I852" s="98">
        <v>380305.94516200002</v>
      </c>
      <c r="J852" s="97">
        <v>647.93802047999998</v>
      </c>
      <c r="K852" s="98">
        <v>-7160.9910850400001</v>
      </c>
      <c r="L852" s="99">
        <v>0</v>
      </c>
      <c r="M852" s="98">
        <v>0</v>
      </c>
      <c r="N852" s="99">
        <v>0</v>
      </c>
      <c r="O852" s="98">
        <v>0</v>
      </c>
      <c r="P852" s="99">
        <v>598</v>
      </c>
      <c r="Q852" s="98">
        <v>380305.94516200002</v>
      </c>
      <c r="R852" s="96" t="s">
        <v>625</v>
      </c>
      <c r="S852" s="96">
        <v>7414000005</v>
      </c>
      <c r="AA852" s="131" t="s">
        <v>382</v>
      </c>
      <c r="AB852" s="130">
        <v>5155577.5681149997</v>
      </c>
      <c r="AC852" s="130">
        <v>5155577.5681149997</v>
      </c>
    </row>
    <row r="853" spans="1:29" x14ac:dyDescent="0.25">
      <c r="A853" t="str">
        <f t="shared" si="14"/>
        <v xml:space="preserve">152974UDIBONO 401115      </v>
      </c>
      <c r="B853" s="96">
        <v>152974</v>
      </c>
      <c r="C853" s="96" t="s">
        <v>730</v>
      </c>
      <c r="D853" s="96" t="s">
        <v>398</v>
      </c>
      <c r="E853" s="96" t="s">
        <v>623</v>
      </c>
      <c r="F853" s="96" t="s">
        <v>624</v>
      </c>
      <c r="G853" s="99">
        <v>909</v>
      </c>
      <c r="H853" s="97">
        <v>709.36974099999998</v>
      </c>
      <c r="I853" s="98">
        <v>644817.09456899995</v>
      </c>
      <c r="J853" s="97">
        <v>729.918912239615</v>
      </c>
      <c r="K853" s="98">
        <v>-18679.19665681</v>
      </c>
      <c r="L853" s="99">
        <v>0</v>
      </c>
      <c r="M853" s="98">
        <v>0</v>
      </c>
      <c r="N853" s="99">
        <v>0</v>
      </c>
      <c r="O853" s="98">
        <v>0</v>
      </c>
      <c r="P853" s="99">
        <v>909</v>
      </c>
      <c r="Q853" s="98">
        <v>644817.09456899995</v>
      </c>
      <c r="R853" s="96" t="s">
        <v>625</v>
      </c>
      <c r="S853" s="96">
        <v>7414000005</v>
      </c>
      <c r="AA853" s="131" t="s">
        <v>427</v>
      </c>
      <c r="AB853" s="130">
        <v>7038432.4768920001</v>
      </c>
      <c r="AC853" s="130">
        <v>7038432.4768920001</v>
      </c>
    </row>
    <row r="854" spans="1:29" x14ac:dyDescent="0.25">
      <c r="A854" t="str">
        <f t="shared" si="14"/>
        <v xml:space="preserve">152974UDIBONO 431112      </v>
      </c>
      <c r="B854" s="96">
        <v>152974</v>
      </c>
      <c r="C854" s="96" t="s">
        <v>730</v>
      </c>
      <c r="D854" s="96" t="s">
        <v>399</v>
      </c>
      <c r="E854" s="96" t="s">
        <v>623</v>
      </c>
      <c r="F854" s="96" t="s">
        <v>624</v>
      </c>
      <c r="G854" s="99">
        <v>3577</v>
      </c>
      <c r="H854" s="97">
        <v>694.41118700000004</v>
      </c>
      <c r="I854" s="98">
        <v>2483908.815899</v>
      </c>
      <c r="J854" s="97">
        <v>724.58526712771322</v>
      </c>
      <c r="K854" s="98">
        <v>-107932.68461683</v>
      </c>
      <c r="L854" s="99">
        <v>0</v>
      </c>
      <c r="M854" s="98">
        <v>0</v>
      </c>
      <c r="N854" s="99">
        <v>0</v>
      </c>
      <c r="O854" s="98">
        <v>0</v>
      </c>
      <c r="P854" s="99">
        <v>3577</v>
      </c>
      <c r="Q854" s="98">
        <v>2483908.815899</v>
      </c>
      <c r="R854" s="96" t="s">
        <v>625</v>
      </c>
      <c r="S854" s="96">
        <v>7414000005</v>
      </c>
      <c r="AA854" s="131" t="s">
        <v>418</v>
      </c>
      <c r="AB854" s="130">
        <v>630822.10658799997</v>
      </c>
      <c r="AC854" s="130">
        <v>630822.10658799997</v>
      </c>
    </row>
    <row r="855" spans="1:29" x14ac:dyDescent="0.25">
      <c r="A855" t="str">
        <f t="shared" si="14"/>
        <v xml:space="preserve">152974UDIBONO 461108      </v>
      </c>
      <c r="B855" s="96">
        <v>152976</v>
      </c>
      <c r="C855" s="96" t="s">
        <v>731</v>
      </c>
      <c r="D855" s="96" t="s">
        <v>419</v>
      </c>
      <c r="E855" s="96" t="s">
        <v>623</v>
      </c>
      <c r="F855" s="96" t="s">
        <v>624</v>
      </c>
      <c r="G855" s="99">
        <v>0</v>
      </c>
      <c r="H855" s="97">
        <v>0</v>
      </c>
      <c r="I855" s="98">
        <v>0</v>
      </c>
      <c r="J855" s="97">
        <v>0</v>
      </c>
      <c r="K855" s="98">
        <v>0</v>
      </c>
      <c r="L855" s="99">
        <v>0</v>
      </c>
      <c r="M855" s="98">
        <v>0</v>
      </c>
      <c r="N855" s="99">
        <v>0</v>
      </c>
      <c r="O855" s="98">
        <v>0</v>
      </c>
      <c r="P855" s="99">
        <v>0</v>
      </c>
      <c r="Q855" s="98">
        <v>0</v>
      </c>
      <c r="R855" s="96" t="s">
        <v>625</v>
      </c>
      <c r="S855" s="96">
        <v>7414000005</v>
      </c>
      <c r="AA855" s="131" t="s">
        <v>408</v>
      </c>
      <c r="AB855" s="130">
        <v>797913.87397199997</v>
      </c>
      <c r="AC855" s="130">
        <v>797913.87397199997</v>
      </c>
    </row>
    <row r="856" spans="1:29" x14ac:dyDescent="0.25">
      <c r="A856" t="str">
        <f t="shared" si="14"/>
        <v xml:space="preserve">152974UDIBONO 501103      </v>
      </c>
      <c r="B856" s="96">
        <v>152976</v>
      </c>
      <c r="C856" s="96" t="s">
        <v>731</v>
      </c>
      <c r="D856" s="96" t="s">
        <v>459</v>
      </c>
      <c r="E856" s="96" t="s">
        <v>623</v>
      </c>
      <c r="F856" s="96" t="s">
        <v>624</v>
      </c>
      <c r="G856" s="99">
        <v>2930000</v>
      </c>
      <c r="H856" s="97">
        <v>4.5848760000000004</v>
      </c>
      <c r="I856" s="98">
        <v>13433686.68</v>
      </c>
      <c r="J856" s="97">
        <v>4.1918016689419799</v>
      </c>
      <c r="K856" s="98">
        <v>1151707.79</v>
      </c>
      <c r="L856" s="99">
        <v>0</v>
      </c>
      <c r="M856" s="98">
        <v>0</v>
      </c>
      <c r="N856" s="99">
        <v>0</v>
      </c>
      <c r="O856" s="98">
        <v>0</v>
      </c>
      <c r="P856" s="99">
        <v>2930000</v>
      </c>
      <c r="Q856" s="98">
        <v>13433686.68</v>
      </c>
      <c r="R856" s="96" t="s">
        <v>625</v>
      </c>
      <c r="S856" s="96">
        <v>7414000005</v>
      </c>
      <c r="AA856" s="131" t="s">
        <v>384</v>
      </c>
      <c r="AB856" s="130">
        <v>3660593.1062400001</v>
      </c>
      <c r="AC856" s="130">
        <v>3660593.1062400001</v>
      </c>
    </row>
    <row r="857" spans="1:29" x14ac:dyDescent="0.25">
      <c r="A857" t="str">
        <f t="shared" si="14"/>
        <v xml:space="preserve">152976IENOVA *            </v>
      </c>
      <c r="B857" s="96">
        <v>152976</v>
      </c>
      <c r="C857" s="96" t="s">
        <v>731</v>
      </c>
      <c r="D857" s="96" t="s">
        <v>389</v>
      </c>
      <c r="E857" s="96" t="s">
        <v>623</v>
      </c>
      <c r="F857" s="96" t="s">
        <v>624</v>
      </c>
      <c r="G857" s="99">
        <v>158340</v>
      </c>
      <c r="H857" s="97">
        <v>3.3967719999999999</v>
      </c>
      <c r="I857" s="98">
        <v>537844.87847999996</v>
      </c>
      <c r="J857" s="97">
        <v>3.3379458759631175</v>
      </c>
      <c r="K857" s="98">
        <v>9314.5284800000009</v>
      </c>
      <c r="L857" s="99">
        <v>0</v>
      </c>
      <c r="M857" s="98">
        <v>0</v>
      </c>
      <c r="N857" s="99">
        <v>0</v>
      </c>
      <c r="O857" s="98">
        <v>0</v>
      </c>
      <c r="P857" s="99">
        <v>158340</v>
      </c>
      <c r="Q857" s="98">
        <v>537844.87847999996</v>
      </c>
      <c r="R857" s="96" t="s">
        <v>625</v>
      </c>
      <c r="S857" s="96">
        <v>7414000005</v>
      </c>
      <c r="AA857" s="131" t="s">
        <v>389</v>
      </c>
      <c r="AB857" s="130">
        <v>1726443.33672</v>
      </c>
      <c r="AC857" s="130">
        <v>1726443.33672</v>
      </c>
    </row>
    <row r="858" spans="1:29" x14ac:dyDescent="0.25">
      <c r="A858" t="str">
        <f t="shared" si="14"/>
        <v xml:space="preserve">152976STER-OP ED          </v>
      </c>
      <c r="B858" s="96">
        <v>152979</v>
      </c>
      <c r="C858" s="96" t="s">
        <v>732</v>
      </c>
      <c r="D858" s="96" t="s">
        <v>419</v>
      </c>
      <c r="E858" s="96" t="s">
        <v>623</v>
      </c>
      <c r="F858" s="96" t="s">
        <v>624</v>
      </c>
      <c r="G858" s="99">
        <v>0</v>
      </c>
      <c r="H858" s="97">
        <v>0</v>
      </c>
      <c r="I858" s="98">
        <v>0</v>
      </c>
      <c r="J858" s="97">
        <v>0</v>
      </c>
      <c r="K858" s="98">
        <v>0</v>
      </c>
      <c r="L858" s="99">
        <v>0</v>
      </c>
      <c r="M858" s="98">
        <v>0</v>
      </c>
      <c r="N858" s="99">
        <v>0</v>
      </c>
      <c r="O858" s="98">
        <v>0</v>
      </c>
      <c r="P858" s="99">
        <v>0</v>
      </c>
      <c r="Q858" s="98">
        <v>0</v>
      </c>
      <c r="R858" s="96" t="s">
        <v>625</v>
      </c>
      <c r="S858" s="96">
        <v>7414000005</v>
      </c>
      <c r="AA858" s="131" t="s">
        <v>391</v>
      </c>
      <c r="AB858" s="130">
        <v>5355376.0974479998</v>
      </c>
      <c r="AC858" s="130">
        <v>5355376.0974479998</v>
      </c>
    </row>
    <row r="859" spans="1:29" x14ac:dyDescent="0.25">
      <c r="A859" t="str">
        <f t="shared" si="14"/>
        <v xml:space="preserve">152976STERGOB ED          </v>
      </c>
      <c r="B859" s="96">
        <v>152979</v>
      </c>
      <c r="C859" s="96" t="s">
        <v>732</v>
      </c>
      <c r="D859" s="96" t="s">
        <v>459</v>
      </c>
      <c r="E859" s="96" t="s">
        <v>623</v>
      </c>
      <c r="F859" s="96" t="s">
        <v>624</v>
      </c>
      <c r="G859" s="99">
        <v>2977000</v>
      </c>
      <c r="H859" s="97">
        <v>4.5848760000000004</v>
      </c>
      <c r="I859" s="98">
        <v>13649175.852</v>
      </c>
      <c r="J859" s="97">
        <v>4.1910542895532412</v>
      </c>
      <c r="K859" s="98">
        <v>1172407.2320000001</v>
      </c>
      <c r="L859" s="99">
        <v>0</v>
      </c>
      <c r="M859" s="98">
        <v>0</v>
      </c>
      <c r="N859" s="99">
        <v>0</v>
      </c>
      <c r="O859" s="98">
        <v>0</v>
      </c>
      <c r="P859" s="99">
        <v>2977000</v>
      </c>
      <c r="Q859" s="98">
        <v>13649175.852</v>
      </c>
      <c r="R859" s="96" t="s">
        <v>625</v>
      </c>
      <c r="S859" s="96">
        <v>7414000005</v>
      </c>
      <c r="AA859" s="131" t="s">
        <v>395</v>
      </c>
      <c r="AB859" s="130">
        <v>2954126.8602300002</v>
      </c>
      <c r="AC859" s="130">
        <v>2954126.8602300002</v>
      </c>
    </row>
    <row r="860" spans="1:29" x14ac:dyDescent="0.25">
      <c r="A860" t="str">
        <f t="shared" si="14"/>
        <v xml:space="preserve">152979IENOVA *            </v>
      </c>
      <c r="B860" s="96">
        <v>152979</v>
      </c>
      <c r="C860" s="96" t="s">
        <v>732</v>
      </c>
      <c r="D860" s="96" t="s">
        <v>389</v>
      </c>
      <c r="E860" s="96" t="s">
        <v>623</v>
      </c>
      <c r="F860" s="96" t="s">
        <v>624</v>
      </c>
      <c r="G860" s="99">
        <v>170295</v>
      </c>
      <c r="H860" s="97">
        <v>3.3967719999999999</v>
      </c>
      <c r="I860" s="98">
        <v>578453.28774000006</v>
      </c>
      <c r="J860" s="97">
        <v>3.3266897442673007</v>
      </c>
      <c r="K860" s="98">
        <v>11934.657740000001</v>
      </c>
      <c r="L860" s="99">
        <v>0</v>
      </c>
      <c r="M860" s="98">
        <v>0</v>
      </c>
      <c r="N860" s="99">
        <v>0</v>
      </c>
      <c r="O860" s="98">
        <v>0</v>
      </c>
      <c r="P860" s="99">
        <v>170295</v>
      </c>
      <c r="Q860" s="98">
        <v>578453.28774000006</v>
      </c>
      <c r="R860" s="96" t="s">
        <v>625</v>
      </c>
      <c r="S860" s="96">
        <v>7414000005</v>
      </c>
      <c r="AA860" s="131" t="s">
        <v>396</v>
      </c>
      <c r="AB860" s="130">
        <v>6791648.7516799998</v>
      </c>
      <c r="AC860" s="130">
        <v>6791648.7516799998</v>
      </c>
    </row>
    <row r="861" spans="1:29" x14ac:dyDescent="0.25">
      <c r="A861" t="str">
        <f t="shared" si="14"/>
        <v xml:space="preserve">152979STER-OP ED          </v>
      </c>
      <c r="B861" s="96">
        <v>152981</v>
      </c>
      <c r="C861" s="96" t="s">
        <v>733</v>
      </c>
      <c r="D861" s="96" t="s">
        <v>470</v>
      </c>
      <c r="E861" s="96" t="s">
        <v>623</v>
      </c>
      <c r="F861" s="96" t="s">
        <v>624</v>
      </c>
      <c r="G861" s="99">
        <v>0</v>
      </c>
      <c r="H861" s="97">
        <v>0</v>
      </c>
      <c r="I861" s="98">
        <v>0</v>
      </c>
      <c r="J861" s="97">
        <v>0</v>
      </c>
      <c r="K861" s="98">
        <v>0</v>
      </c>
      <c r="L861" s="99">
        <v>0</v>
      </c>
      <c r="M861" s="98">
        <v>0</v>
      </c>
      <c r="N861" s="99">
        <v>0</v>
      </c>
      <c r="O861" s="98">
        <v>0</v>
      </c>
      <c r="P861" s="99">
        <v>0</v>
      </c>
      <c r="Q861" s="98">
        <v>0</v>
      </c>
      <c r="R861" s="96" t="s">
        <v>625</v>
      </c>
      <c r="S861" s="96">
        <v>7414000005</v>
      </c>
      <c r="AA861" s="95" t="s">
        <v>398</v>
      </c>
      <c r="AB861" s="134">
        <v>6923448.6721599996</v>
      </c>
      <c r="AC861" s="134">
        <v>6923448.6721599996</v>
      </c>
    </row>
    <row r="862" spans="1:29" x14ac:dyDescent="0.25">
      <c r="A862" t="str">
        <f t="shared" si="14"/>
        <v xml:space="preserve">152979STERGOB ED          </v>
      </c>
      <c r="B862" s="96">
        <v>152981</v>
      </c>
      <c r="C862" s="96" t="s">
        <v>733</v>
      </c>
      <c r="D862" s="96" t="s">
        <v>363</v>
      </c>
      <c r="E862" s="96" t="s">
        <v>623</v>
      </c>
      <c r="F862" s="96" t="s">
        <v>624</v>
      </c>
      <c r="G862" s="99">
        <v>14681</v>
      </c>
      <c r="H862" s="97">
        <v>9.4935880000000008</v>
      </c>
      <c r="I862" s="98">
        <v>139375.36542799999</v>
      </c>
      <c r="J862" s="97">
        <v>8.4405498100000003</v>
      </c>
      <c r="K862" s="98">
        <v>15459.653667389999</v>
      </c>
      <c r="L862" s="99">
        <v>0</v>
      </c>
      <c r="M862" s="98">
        <v>0</v>
      </c>
      <c r="N862" s="99">
        <v>0</v>
      </c>
      <c r="O862" s="98">
        <v>0</v>
      </c>
      <c r="P862" s="99">
        <v>14681</v>
      </c>
      <c r="Q862" s="98">
        <v>139375.36542799999</v>
      </c>
      <c r="R862" s="96" t="s">
        <v>625</v>
      </c>
      <c r="S862" s="96">
        <v>7414000005</v>
      </c>
      <c r="AA862" s="95" t="s">
        <v>357</v>
      </c>
      <c r="AB862" s="134">
        <v>1180480</v>
      </c>
      <c r="AC862" s="134">
        <v>1180480</v>
      </c>
    </row>
    <row r="863" spans="1:29" x14ac:dyDescent="0.25">
      <c r="A863" t="str">
        <f t="shared" si="14"/>
        <v xml:space="preserve">152981CETES 131017        </v>
      </c>
      <c r="B863" s="96">
        <v>152981</v>
      </c>
      <c r="C863" s="96" t="s">
        <v>733</v>
      </c>
      <c r="D863" s="96" t="s">
        <v>409</v>
      </c>
      <c r="E863" s="96" t="s">
        <v>623</v>
      </c>
      <c r="F863" s="96" t="s">
        <v>624</v>
      </c>
      <c r="G863" s="99">
        <v>20030</v>
      </c>
      <c r="H863" s="97">
        <v>9.3381629999999998</v>
      </c>
      <c r="I863" s="98">
        <v>187043.40489000001</v>
      </c>
      <c r="J863" s="97">
        <v>8.3307969100000001</v>
      </c>
      <c r="K863" s="98">
        <v>20177.542782699998</v>
      </c>
      <c r="L863" s="99">
        <v>0</v>
      </c>
      <c r="M863" s="98">
        <v>0</v>
      </c>
      <c r="N863" s="99">
        <v>0</v>
      </c>
      <c r="O863" s="98">
        <v>0</v>
      </c>
      <c r="P863" s="99">
        <v>20030</v>
      </c>
      <c r="Q863" s="98">
        <v>187043.40489000001</v>
      </c>
      <c r="R863" s="96" t="s">
        <v>625</v>
      </c>
      <c r="S863" s="96">
        <v>7414000005</v>
      </c>
      <c r="AA863" s="131" t="s">
        <v>617</v>
      </c>
      <c r="AB863" s="130">
        <v>260920</v>
      </c>
      <c r="AC863" s="130">
        <v>260920</v>
      </c>
    </row>
    <row r="864" spans="1:29" x14ac:dyDescent="0.25">
      <c r="A864" t="str">
        <f t="shared" si="14"/>
        <v xml:space="preserve">152981CETES 241003        </v>
      </c>
      <c r="B864" s="96">
        <v>152981</v>
      </c>
      <c r="C864" s="96" t="s">
        <v>733</v>
      </c>
      <c r="D864" s="96" t="s">
        <v>364</v>
      </c>
      <c r="E864" s="96" t="s">
        <v>623</v>
      </c>
      <c r="F864" s="96" t="s">
        <v>624</v>
      </c>
      <c r="G864" s="99">
        <v>24750</v>
      </c>
      <c r="H864" s="97">
        <v>9.190137</v>
      </c>
      <c r="I864" s="98">
        <v>227455.89074999999</v>
      </c>
      <c r="J864" s="97">
        <v>8.216786129329293</v>
      </c>
      <c r="K864" s="98">
        <v>24090.4340491</v>
      </c>
      <c r="L864" s="99">
        <v>0</v>
      </c>
      <c r="M864" s="98">
        <v>0</v>
      </c>
      <c r="N864" s="99">
        <v>0</v>
      </c>
      <c r="O864" s="98">
        <v>0</v>
      </c>
      <c r="P864" s="99">
        <v>24750</v>
      </c>
      <c r="Q864" s="98">
        <v>227455.89074999999</v>
      </c>
      <c r="R864" s="96" t="s">
        <v>625</v>
      </c>
      <c r="S864" s="96">
        <v>7414000005</v>
      </c>
      <c r="AA864" s="131" t="s">
        <v>359</v>
      </c>
      <c r="AB864" s="130">
        <v>1416041</v>
      </c>
      <c r="AC864" s="130">
        <v>1416041</v>
      </c>
    </row>
    <row r="865" spans="1:29" x14ac:dyDescent="0.25">
      <c r="A865" t="str">
        <f t="shared" si="14"/>
        <v xml:space="preserve">152981CETES 241128        </v>
      </c>
      <c r="B865" s="96">
        <v>152981</v>
      </c>
      <c r="C865" s="96" t="s">
        <v>733</v>
      </c>
      <c r="D865" s="96" t="s">
        <v>554</v>
      </c>
      <c r="E865" s="96" t="s">
        <v>623</v>
      </c>
      <c r="F865" s="96" t="s">
        <v>624</v>
      </c>
      <c r="G865" s="99">
        <v>6270</v>
      </c>
      <c r="H865" s="97">
        <v>8.3813510000000004</v>
      </c>
      <c r="I865" s="98">
        <v>52551.070769999998</v>
      </c>
      <c r="J865" s="97">
        <v>8.2700011300000007</v>
      </c>
      <c r="K865" s="98">
        <v>698.16368490000002</v>
      </c>
      <c r="L865" s="99">
        <v>0</v>
      </c>
      <c r="M865" s="98">
        <v>0</v>
      </c>
      <c r="N865" s="99">
        <v>0</v>
      </c>
      <c r="O865" s="98">
        <v>0</v>
      </c>
      <c r="P865" s="99">
        <v>6270</v>
      </c>
      <c r="Q865" s="98">
        <v>52551.070769999998</v>
      </c>
      <c r="R865" s="96" t="s">
        <v>625</v>
      </c>
      <c r="S865" s="96">
        <v>7414000005</v>
      </c>
      <c r="AA865" s="131" t="s">
        <v>551</v>
      </c>
      <c r="AB865" s="130">
        <v>2887995</v>
      </c>
      <c r="AC865" s="130">
        <v>2887995</v>
      </c>
    </row>
    <row r="866" spans="1:29" x14ac:dyDescent="0.25">
      <c r="A866" t="str">
        <f t="shared" si="14"/>
        <v xml:space="preserve">152981CETES 250123        </v>
      </c>
      <c r="B866" s="96">
        <v>152981</v>
      </c>
      <c r="C866" s="96" t="s">
        <v>733</v>
      </c>
      <c r="D866" s="96" t="s">
        <v>613</v>
      </c>
      <c r="E866" s="96" t="s">
        <v>623</v>
      </c>
      <c r="F866" s="96" t="s">
        <v>624</v>
      </c>
      <c r="G866" s="99">
        <v>12680</v>
      </c>
      <c r="H866" s="97">
        <v>8.2580650000000002</v>
      </c>
      <c r="I866" s="98">
        <v>104712.26420000001</v>
      </c>
      <c r="J866" s="97">
        <v>8.2501711100000001</v>
      </c>
      <c r="K866" s="98">
        <v>100.09452520000001</v>
      </c>
      <c r="L866" s="99">
        <v>0</v>
      </c>
      <c r="M866" s="98">
        <v>0</v>
      </c>
      <c r="N866" s="99">
        <v>0</v>
      </c>
      <c r="O866" s="98">
        <v>0</v>
      </c>
      <c r="P866" s="99">
        <v>12680</v>
      </c>
      <c r="Q866" s="98">
        <v>104712.26420000001</v>
      </c>
      <c r="R866" s="96" t="s">
        <v>625</v>
      </c>
      <c r="S866" s="96">
        <v>7414000005</v>
      </c>
      <c r="AA866" s="131" t="s">
        <v>361</v>
      </c>
      <c r="AB866" s="130">
        <v>873600</v>
      </c>
      <c r="AC866" s="130">
        <v>873600</v>
      </c>
    </row>
    <row r="867" spans="1:29" x14ac:dyDescent="0.25">
      <c r="A867" t="str">
        <f t="shared" si="14"/>
        <v xml:space="preserve">152981CETES 251224        </v>
      </c>
      <c r="B867" s="96">
        <v>152981</v>
      </c>
      <c r="C867" s="96" t="s">
        <v>733</v>
      </c>
      <c r="D867" s="96" t="s">
        <v>375</v>
      </c>
      <c r="E867" s="96" t="s">
        <v>623</v>
      </c>
      <c r="F867" s="96" t="s">
        <v>624</v>
      </c>
      <c r="G867" s="99">
        <v>900</v>
      </c>
      <c r="H867" s="97">
        <v>98.730349000000004</v>
      </c>
      <c r="I867" s="98">
        <v>88857.314100000003</v>
      </c>
      <c r="J867" s="97">
        <v>104.78091818566666</v>
      </c>
      <c r="K867" s="98">
        <v>-5445.5122670999999</v>
      </c>
      <c r="L867" s="99">
        <v>0</v>
      </c>
      <c r="M867" s="98">
        <v>0</v>
      </c>
      <c r="N867" s="99">
        <v>0</v>
      </c>
      <c r="O867" s="98">
        <v>0</v>
      </c>
      <c r="P867" s="99">
        <v>900</v>
      </c>
      <c r="Q867" s="98">
        <v>88857.314100000003</v>
      </c>
      <c r="R867" s="96" t="s">
        <v>625</v>
      </c>
      <c r="S867" s="96">
        <v>7414000005</v>
      </c>
      <c r="AA867" s="131" t="s">
        <v>362</v>
      </c>
      <c r="AB867" s="130">
        <v>5141604</v>
      </c>
      <c r="AC867" s="130">
        <v>5141604</v>
      </c>
    </row>
    <row r="868" spans="1:29" x14ac:dyDescent="0.25">
      <c r="A868" t="str">
        <f t="shared" si="14"/>
        <v xml:space="preserve">152981CETES 260219        </v>
      </c>
      <c r="B868" s="96">
        <v>152981</v>
      </c>
      <c r="C868" s="96" t="s">
        <v>733</v>
      </c>
      <c r="D868" s="96" t="s">
        <v>376</v>
      </c>
      <c r="E868" s="96" t="s">
        <v>623</v>
      </c>
      <c r="F868" s="96" t="s">
        <v>624</v>
      </c>
      <c r="G868" s="99">
        <v>800</v>
      </c>
      <c r="H868" s="97">
        <v>99.247497999999993</v>
      </c>
      <c r="I868" s="98">
        <v>79397.998399999997</v>
      </c>
      <c r="J868" s="97">
        <v>75.524746840999995</v>
      </c>
      <c r="K868" s="98">
        <v>18978.2009272</v>
      </c>
      <c r="L868" s="99">
        <v>0</v>
      </c>
      <c r="M868" s="98">
        <v>0</v>
      </c>
      <c r="N868" s="99">
        <v>0</v>
      </c>
      <c r="O868" s="98">
        <v>0</v>
      </c>
      <c r="P868" s="99">
        <v>800</v>
      </c>
      <c r="Q868" s="98">
        <v>79397.998399999997</v>
      </c>
      <c r="R868" s="96" t="s">
        <v>625</v>
      </c>
      <c r="S868" s="96">
        <v>7414000005</v>
      </c>
      <c r="AA868" s="131" t="s">
        <v>369</v>
      </c>
      <c r="AB868" s="130">
        <v>5548527</v>
      </c>
      <c r="AC868" s="130">
        <v>5548527</v>
      </c>
    </row>
    <row r="869" spans="1:29" x14ac:dyDescent="0.25">
      <c r="A869" t="str">
        <f t="shared" si="14"/>
        <v xml:space="preserve">152981GOBFED 240905       </v>
      </c>
      <c r="B869" s="96">
        <v>152981</v>
      </c>
      <c r="C869" s="96" t="s">
        <v>733</v>
      </c>
      <c r="D869" s="96" t="s">
        <v>377</v>
      </c>
      <c r="E869" s="96" t="s">
        <v>623</v>
      </c>
      <c r="F869" s="96" t="s">
        <v>624</v>
      </c>
      <c r="G869" s="99">
        <v>1251</v>
      </c>
      <c r="H869" s="97">
        <v>94.973146999999997</v>
      </c>
      <c r="I869" s="98">
        <v>118811.40689699999</v>
      </c>
      <c r="J869" s="97">
        <v>90.007245033109513</v>
      </c>
      <c r="K869" s="98">
        <v>6212.3433605800001</v>
      </c>
      <c r="L869" s="99">
        <v>0</v>
      </c>
      <c r="M869" s="98">
        <v>0</v>
      </c>
      <c r="N869" s="99">
        <v>0</v>
      </c>
      <c r="O869" s="98">
        <v>0</v>
      </c>
      <c r="P869" s="99">
        <v>1251</v>
      </c>
      <c r="Q869" s="98">
        <v>118811.40689699999</v>
      </c>
      <c r="R869" s="96" t="s">
        <v>625</v>
      </c>
      <c r="S869" s="96">
        <v>7414000005</v>
      </c>
      <c r="AA869" s="131" t="s">
        <v>370</v>
      </c>
      <c r="AB869" s="130">
        <v>761432</v>
      </c>
      <c r="AC869" s="130">
        <v>761432</v>
      </c>
    </row>
    <row r="870" spans="1:29" x14ac:dyDescent="0.25">
      <c r="A870" t="str">
        <f t="shared" si="14"/>
        <v xml:space="preserve">152981GOBFED 241205       </v>
      </c>
      <c r="B870" s="96">
        <v>152981</v>
      </c>
      <c r="C870" s="96" t="s">
        <v>733</v>
      </c>
      <c r="D870" s="96" t="s">
        <v>378</v>
      </c>
      <c r="E870" s="96" t="s">
        <v>623</v>
      </c>
      <c r="F870" s="96" t="s">
        <v>624</v>
      </c>
      <c r="G870" s="99">
        <v>785</v>
      </c>
      <c r="H870" s="97">
        <v>91.911821000000003</v>
      </c>
      <c r="I870" s="98">
        <v>72150.779485000006</v>
      </c>
      <c r="J870" s="97">
        <v>93.2088459</v>
      </c>
      <c r="K870" s="98">
        <v>-1018.1645465</v>
      </c>
      <c r="L870" s="99">
        <v>0</v>
      </c>
      <c r="M870" s="98">
        <v>0</v>
      </c>
      <c r="N870" s="99">
        <v>0</v>
      </c>
      <c r="O870" s="98">
        <v>0</v>
      </c>
      <c r="P870" s="99">
        <v>785</v>
      </c>
      <c r="Q870" s="98">
        <v>72150.779485000006</v>
      </c>
      <c r="R870" s="96" t="s">
        <v>625</v>
      </c>
      <c r="S870" s="96">
        <v>7414000005</v>
      </c>
      <c r="AA870" s="131" t="s">
        <v>372</v>
      </c>
      <c r="AB870" s="130">
        <v>1898400</v>
      </c>
      <c r="AC870" s="130">
        <v>1898400</v>
      </c>
    </row>
    <row r="871" spans="1:29" x14ac:dyDescent="0.25">
      <c r="A871" t="str">
        <f t="shared" si="14"/>
        <v xml:space="preserve">152981GOBFED 250306       </v>
      </c>
      <c r="B871" s="96">
        <v>152981</v>
      </c>
      <c r="C871" s="96" t="s">
        <v>733</v>
      </c>
      <c r="D871" s="96" t="s">
        <v>379</v>
      </c>
      <c r="E871" s="96" t="s">
        <v>623</v>
      </c>
      <c r="F871" s="96" t="s">
        <v>624</v>
      </c>
      <c r="G871" s="99">
        <v>1027</v>
      </c>
      <c r="H871" s="97">
        <v>88.698122999999995</v>
      </c>
      <c r="I871" s="98">
        <v>91092.972320999994</v>
      </c>
      <c r="J871" s="97">
        <v>85.754787778880228</v>
      </c>
      <c r="K871" s="98">
        <v>3022.80527209</v>
      </c>
      <c r="L871" s="99">
        <v>0</v>
      </c>
      <c r="M871" s="98">
        <v>0</v>
      </c>
      <c r="N871" s="99">
        <v>0</v>
      </c>
      <c r="O871" s="98">
        <v>0</v>
      </c>
      <c r="P871" s="99">
        <v>1027</v>
      </c>
      <c r="Q871" s="98">
        <v>91092.972320999994</v>
      </c>
      <c r="R871" s="96" t="s">
        <v>625</v>
      </c>
      <c r="S871" s="96">
        <v>7414000005</v>
      </c>
      <c r="AA871" s="131" t="s">
        <v>373</v>
      </c>
      <c r="AB871" s="130">
        <v>7410480</v>
      </c>
      <c r="AC871" s="130">
        <v>7410480</v>
      </c>
    </row>
    <row r="872" spans="1:29" x14ac:dyDescent="0.25">
      <c r="A872" t="str">
        <f t="shared" si="14"/>
        <v xml:space="preserve">152981GOBFED 260305       </v>
      </c>
      <c r="B872" s="96">
        <v>152981</v>
      </c>
      <c r="C872" s="96" t="s">
        <v>733</v>
      </c>
      <c r="D872" s="96" t="s">
        <v>380</v>
      </c>
      <c r="E872" s="96" t="s">
        <v>623</v>
      </c>
      <c r="F872" s="96" t="s">
        <v>624</v>
      </c>
      <c r="G872" s="99">
        <v>1099</v>
      </c>
      <c r="H872" s="97">
        <v>93.314192000000006</v>
      </c>
      <c r="I872" s="98">
        <v>102552.29700799999</v>
      </c>
      <c r="J872" s="97">
        <v>98.662556702893539</v>
      </c>
      <c r="K872" s="98">
        <v>-5877.85280848</v>
      </c>
      <c r="L872" s="99">
        <v>0</v>
      </c>
      <c r="M872" s="98">
        <v>0</v>
      </c>
      <c r="N872" s="99">
        <v>0</v>
      </c>
      <c r="O872" s="98">
        <v>0</v>
      </c>
      <c r="P872" s="99">
        <v>1099</v>
      </c>
      <c r="Q872" s="98">
        <v>102552.29700799999</v>
      </c>
      <c r="R872" s="96" t="s">
        <v>625</v>
      </c>
      <c r="S872" s="96">
        <v>7414000005</v>
      </c>
      <c r="AA872" s="131" t="s">
        <v>589</v>
      </c>
      <c r="AB872" s="130">
        <v>0</v>
      </c>
      <c r="AC872" s="130">
        <v>0</v>
      </c>
    </row>
    <row r="873" spans="1:29" x14ac:dyDescent="0.25">
      <c r="A873" t="str">
        <f t="shared" si="14"/>
        <v xml:space="preserve">152981GOBFED 270304       </v>
      </c>
      <c r="B873" s="96">
        <v>152981</v>
      </c>
      <c r="C873" s="96" t="s">
        <v>733</v>
      </c>
      <c r="D873" s="96" t="s">
        <v>507</v>
      </c>
      <c r="E873" s="96" t="s">
        <v>623</v>
      </c>
      <c r="F873" s="96" t="s">
        <v>624</v>
      </c>
      <c r="G873" s="99">
        <v>730</v>
      </c>
      <c r="H873" s="97">
        <v>94.864168000000006</v>
      </c>
      <c r="I873" s="98">
        <v>69250.842640000003</v>
      </c>
      <c r="J873" s="97">
        <v>96.464159712876707</v>
      </c>
      <c r="K873" s="98">
        <v>-1167.9939503999999</v>
      </c>
      <c r="L873" s="99">
        <v>0</v>
      </c>
      <c r="M873" s="98">
        <v>0</v>
      </c>
      <c r="N873" s="99">
        <v>0</v>
      </c>
      <c r="O873" s="98">
        <v>0</v>
      </c>
      <c r="P873" s="99">
        <v>730</v>
      </c>
      <c r="Q873" s="98">
        <v>69250.842640000003</v>
      </c>
      <c r="R873" s="96" t="s">
        <v>625</v>
      </c>
      <c r="S873" s="96">
        <v>7414000005</v>
      </c>
      <c r="AA873" s="131" t="s">
        <v>374</v>
      </c>
      <c r="AB873" s="130">
        <v>5570420</v>
      </c>
      <c r="AC873" s="130">
        <v>5570420</v>
      </c>
    </row>
    <row r="874" spans="1:29" x14ac:dyDescent="0.25">
      <c r="A874" t="str">
        <f t="shared" si="14"/>
        <v xml:space="preserve">152981GOBFED 270603       </v>
      </c>
      <c r="B874" s="96">
        <v>152981</v>
      </c>
      <c r="C874" s="96" t="s">
        <v>733</v>
      </c>
      <c r="D874" s="96" t="s">
        <v>381</v>
      </c>
      <c r="E874" s="96" t="s">
        <v>623</v>
      </c>
      <c r="F874" s="96" t="s">
        <v>624</v>
      </c>
      <c r="G874" s="99">
        <v>491</v>
      </c>
      <c r="H874" s="97">
        <v>94.870157000000006</v>
      </c>
      <c r="I874" s="98">
        <v>46581.247087000003</v>
      </c>
      <c r="J874" s="97">
        <v>96.692672049999999</v>
      </c>
      <c r="K874" s="98">
        <v>-894.85488955000005</v>
      </c>
      <c r="L874" s="99">
        <v>0</v>
      </c>
      <c r="M874" s="98">
        <v>0</v>
      </c>
      <c r="N874" s="99">
        <v>0</v>
      </c>
      <c r="O874" s="98">
        <v>0</v>
      </c>
      <c r="P874" s="99">
        <v>491</v>
      </c>
      <c r="Q874" s="98">
        <v>46581.247087000003</v>
      </c>
      <c r="R874" s="96" t="s">
        <v>625</v>
      </c>
      <c r="S874" s="96">
        <v>7414000005</v>
      </c>
      <c r="AA874" s="131" t="s">
        <v>387</v>
      </c>
      <c r="AB874" s="130">
        <v>1446332</v>
      </c>
      <c r="AC874" s="130">
        <v>1446332</v>
      </c>
    </row>
    <row r="875" spans="1:29" x14ac:dyDescent="0.25">
      <c r="A875" t="str">
        <f t="shared" si="14"/>
        <v xml:space="preserve">152981GOBFED 290301       </v>
      </c>
      <c r="B875" s="96">
        <v>152981</v>
      </c>
      <c r="C875" s="96" t="s">
        <v>733</v>
      </c>
      <c r="D875" s="96" t="s">
        <v>382</v>
      </c>
      <c r="E875" s="96" t="s">
        <v>623</v>
      </c>
      <c r="F875" s="96" t="s">
        <v>624</v>
      </c>
      <c r="G875" s="99">
        <v>1151</v>
      </c>
      <c r="H875" s="97">
        <v>89.489464999999996</v>
      </c>
      <c r="I875" s="98">
        <v>103002.374215</v>
      </c>
      <c r="J875" s="97">
        <v>71.001864074074717</v>
      </c>
      <c r="K875" s="98">
        <v>21279.22866574</v>
      </c>
      <c r="L875" s="99">
        <v>0</v>
      </c>
      <c r="M875" s="98">
        <v>0</v>
      </c>
      <c r="N875" s="99">
        <v>0</v>
      </c>
      <c r="O875" s="98">
        <v>0</v>
      </c>
      <c r="P875" s="99">
        <v>1151</v>
      </c>
      <c r="Q875" s="98">
        <v>103002.374215</v>
      </c>
      <c r="R875" s="96" t="s">
        <v>625</v>
      </c>
      <c r="S875" s="96">
        <v>7414000005</v>
      </c>
      <c r="AA875" s="131" t="s">
        <v>419</v>
      </c>
      <c r="AB875" s="130">
        <v>0</v>
      </c>
      <c r="AC875" s="130">
        <v>0</v>
      </c>
    </row>
    <row r="876" spans="1:29" x14ac:dyDescent="0.25">
      <c r="A876" t="str">
        <f t="shared" si="14"/>
        <v xml:space="preserve">152981GOBFED 290531       </v>
      </c>
      <c r="B876" s="96">
        <v>152981</v>
      </c>
      <c r="C876" s="96" t="s">
        <v>733</v>
      </c>
      <c r="D876" s="96" t="s">
        <v>383</v>
      </c>
      <c r="E876" s="96" t="s">
        <v>623</v>
      </c>
      <c r="F876" s="96" t="s">
        <v>624</v>
      </c>
      <c r="G876" s="99">
        <v>740</v>
      </c>
      <c r="H876" s="97">
        <v>86.197128000000006</v>
      </c>
      <c r="I876" s="98">
        <v>63785.87472</v>
      </c>
      <c r="J876" s="97">
        <v>89.908939955135139</v>
      </c>
      <c r="K876" s="98">
        <v>-2746.7408467999999</v>
      </c>
      <c r="L876" s="99">
        <v>0</v>
      </c>
      <c r="M876" s="98">
        <v>0</v>
      </c>
      <c r="N876" s="99">
        <v>0</v>
      </c>
      <c r="O876" s="98">
        <v>0</v>
      </c>
      <c r="P876" s="99">
        <v>740</v>
      </c>
      <c r="Q876" s="98">
        <v>63785.87472</v>
      </c>
      <c r="R876" s="96" t="s">
        <v>625</v>
      </c>
      <c r="S876" s="96">
        <v>7414000005</v>
      </c>
      <c r="AA876" s="131" t="s">
        <v>553</v>
      </c>
      <c r="AB876" s="130">
        <v>627210</v>
      </c>
      <c r="AC876" s="130">
        <v>627210</v>
      </c>
    </row>
    <row r="877" spans="1:29" x14ac:dyDescent="0.25">
      <c r="A877" t="str">
        <f t="shared" si="14"/>
        <v xml:space="preserve">152981GOBFED 310529       </v>
      </c>
      <c r="B877" s="96">
        <v>152981</v>
      </c>
      <c r="C877" s="96" t="s">
        <v>733</v>
      </c>
      <c r="D877" s="96" t="s">
        <v>427</v>
      </c>
      <c r="E877" s="96" t="s">
        <v>623</v>
      </c>
      <c r="F877" s="96" t="s">
        <v>624</v>
      </c>
      <c r="G877" s="99">
        <v>857</v>
      </c>
      <c r="H877" s="97">
        <v>86.469353999999996</v>
      </c>
      <c r="I877" s="98">
        <v>74104.236378000001</v>
      </c>
      <c r="J877" s="97">
        <v>94.74053355987165</v>
      </c>
      <c r="K877" s="98">
        <v>-7088.4008828100004</v>
      </c>
      <c r="L877" s="99">
        <v>0</v>
      </c>
      <c r="M877" s="98">
        <v>0</v>
      </c>
      <c r="N877" s="99">
        <v>0</v>
      </c>
      <c r="O877" s="98">
        <v>0</v>
      </c>
      <c r="P877" s="99">
        <v>857</v>
      </c>
      <c r="Q877" s="98">
        <v>74104.236378000001</v>
      </c>
      <c r="R877" s="96" t="s">
        <v>625</v>
      </c>
      <c r="S877" s="96">
        <v>7414000005</v>
      </c>
      <c r="AA877" s="131" t="s">
        <v>400</v>
      </c>
      <c r="AB877" s="130">
        <v>2053450</v>
      </c>
      <c r="AC877" s="130">
        <v>2053450</v>
      </c>
    </row>
    <row r="878" spans="1:29" x14ac:dyDescent="0.25">
      <c r="A878" t="str">
        <f t="shared" si="14"/>
        <v xml:space="preserve">152981GOBFED 330526       </v>
      </c>
      <c r="B878" s="96">
        <v>152981</v>
      </c>
      <c r="C878" s="96" t="s">
        <v>733</v>
      </c>
      <c r="D878" s="96" t="s">
        <v>418</v>
      </c>
      <c r="E878" s="96" t="s">
        <v>623</v>
      </c>
      <c r="F878" s="96" t="s">
        <v>624</v>
      </c>
      <c r="G878" s="99">
        <v>51</v>
      </c>
      <c r="H878" s="97">
        <v>101.45096599999999</v>
      </c>
      <c r="I878" s="98">
        <v>5173.9992659999998</v>
      </c>
      <c r="J878" s="97">
        <v>114.11447106</v>
      </c>
      <c r="K878" s="98">
        <v>-645.83875806000003</v>
      </c>
      <c r="L878" s="99">
        <v>0</v>
      </c>
      <c r="M878" s="98">
        <v>0</v>
      </c>
      <c r="N878" s="99">
        <v>0</v>
      </c>
      <c r="O878" s="98">
        <v>0</v>
      </c>
      <c r="P878" s="99">
        <v>51</v>
      </c>
      <c r="Q878" s="98">
        <v>5173.9992659999998</v>
      </c>
      <c r="R878" s="96" t="s">
        <v>625</v>
      </c>
      <c r="S878" s="96">
        <v>7414000005</v>
      </c>
      <c r="AA878" s="131" t="s">
        <v>403</v>
      </c>
      <c r="AB878" s="130">
        <v>5038072</v>
      </c>
      <c r="AC878" s="130">
        <v>5038072</v>
      </c>
    </row>
    <row r="879" spans="1:29" x14ac:dyDescent="0.25">
      <c r="A879" t="str">
        <f t="shared" si="14"/>
        <v xml:space="preserve">152981GOBFED 341123       </v>
      </c>
      <c r="B879" s="96">
        <v>152981</v>
      </c>
      <c r="C879" s="96" t="s">
        <v>733</v>
      </c>
      <c r="D879" s="96" t="s">
        <v>408</v>
      </c>
      <c r="E879" s="96" t="s">
        <v>623</v>
      </c>
      <c r="F879" s="96" t="s">
        <v>624</v>
      </c>
      <c r="G879" s="99">
        <v>61</v>
      </c>
      <c r="H879" s="97">
        <v>89.643172000000007</v>
      </c>
      <c r="I879" s="98">
        <v>5468.2334920000003</v>
      </c>
      <c r="J879" s="97">
        <v>117.68286983</v>
      </c>
      <c r="K879" s="98">
        <v>-1710.42156763</v>
      </c>
      <c r="L879" s="99">
        <v>0</v>
      </c>
      <c r="M879" s="98">
        <v>0</v>
      </c>
      <c r="N879" s="99">
        <v>0</v>
      </c>
      <c r="O879" s="98">
        <v>0</v>
      </c>
      <c r="P879" s="99">
        <v>61</v>
      </c>
      <c r="Q879" s="98">
        <v>5468.2334920000003</v>
      </c>
      <c r="R879" s="96" t="s">
        <v>625</v>
      </c>
      <c r="S879" s="96">
        <v>7414000005</v>
      </c>
      <c r="AA879" s="131" t="s">
        <v>365</v>
      </c>
      <c r="AB879" s="130">
        <v>5335502</v>
      </c>
      <c r="AC879" s="130">
        <v>5335502</v>
      </c>
    </row>
    <row r="880" spans="1:29" x14ac:dyDescent="0.25">
      <c r="A880" t="str">
        <f t="shared" si="14"/>
        <v xml:space="preserve">152981GOBFED 361120       </v>
      </c>
      <c r="B880" s="96">
        <v>152981</v>
      </c>
      <c r="C880" s="96" t="s">
        <v>733</v>
      </c>
      <c r="D880" s="96" t="s">
        <v>384</v>
      </c>
      <c r="E880" s="96" t="s">
        <v>623</v>
      </c>
      <c r="F880" s="96" t="s">
        <v>624</v>
      </c>
      <c r="G880" s="99">
        <v>1304</v>
      </c>
      <c r="H880" s="97">
        <v>81.738860000000003</v>
      </c>
      <c r="I880" s="98">
        <v>106587.47344</v>
      </c>
      <c r="J880" s="97">
        <v>86.479330660506136</v>
      </c>
      <c r="K880" s="98">
        <v>-6181.5737412999997</v>
      </c>
      <c r="L880" s="99">
        <v>0</v>
      </c>
      <c r="M880" s="98">
        <v>0</v>
      </c>
      <c r="N880" s="99">
        <v>0</v>
      </c>
      <c r="O880" s="98">
        <v>0</v>
      </c>
      <c r="P880" s="99">
        <v>1304</v>
      </c>
      <c r="Q880" s="98">
        <v>106587.47344</v>
      </c>
      <c r="R880" s="96" t="s">
        <v>625</v>
      </c>
      <c r="S880" s="96">
        <v>7414000005</v>
      </c>
      <c r="AA880" s="131" t="s">
        <v>367</v>
      </c>
      <c r="AB880" s="130">
        <v>1289196</v>
      </c>
      <c r="AC880" s="130">
        <v>1289196</v>
      </c>
    </row>
    <row r="881" spans="1:29" x14ac:dyDescent="0.25">
      <c r="A881" t="str">
        <f t="shared" si="14"/>
        <v xml:space="preserve">152981GOBFED 381118       </v>
      </c>
      <c r="B881" s="96">
        <v>152981</v>
      </c>
      <c r="C881" s="96" t="s">
        <v>733</v>
      </c>
      <c r="D881" s="96" t="s">
        <v>385</v>
      </c>
      <c r="E881" s="96" t="s">
        <v>623</v>
      </c>
      <c r="F881" s="96" t="s">
        <v>624</v>
      </c>
      <c r="G881" s="99">
        <v>344</v>
      </c>
      <c r="H881" s="97">
        <v>83.200761</v>
      </c>
      <c r="I881" s="98">
        <v>28621.061784000001</v>
      </c>
      <c r="J881" s="97">
        <v>94.370822079534889</v>
      </c>
      <c r="K881" s="98">
        <v>-3842.5010113600001</v>
      </c>
      <c r="L881" s="99">
        <v>0</v>
      </c>
      <c r="M881" s="98">
        <v>0</v>
      </c>
      <c r="N881" s="99">
        <v>0</v>
      </c>
      <c r="O881" s="98">
        <v>0</v>
      </c>
      <c r="P881" s="99">
        <v>344</v>
      </c>
      <c r="Q881" s="98">
        <v>28621.061784000001</v>
      </c>
      <c r="R881" s="96" t="s">
        <v>625</v>
      </c>
      <c r="S881" s="96">
        <v>7414000005</v>
      </c>
      <c r="AA881" s="131" t="s">
        <v>368</v>
      </c>
      <c r="AB881" s="130">
        <v>3729240</v>
      </c>
      <c r="AC881" s="130">
        <v>3729240</v>
      </c>
    </row>
    <row r="882" spans="1:29" x14ac:dyDescent="0.25">
      <c r="A882" t="str">
        <f t="shared" si="14"/>
        <v xml:space="preserve">152981GOBFED 421113       </v>
      </c>
      <c r="B882" s="96">
        <v>152981</v>
      </c>
      <c r="C882" s="96" t="s">
        <v>733</v>
      </c>
      <c r="D882" s="96" t="s">
        <v>386</v>
      </c>
      <c r="E882" s="96" t="s">
        <v>623</v>
      </c>
      <c r="F882" s="96" t="s">
        <v>624</v>
      </c>
      <c r="G882" s="99">
        <v>1952</v>
      </c>
      <c r="H882" s="97">
        <v>82.159907000000004</v>
      </c>
      <c r="I882" s="98">
        <v>160376.13846399999</v>
      </c>
      <c r="J882" s="97">
        <v>84.305724856834019</v>
      </c>
      <c r="K882" s="98">
        <v>-4188.6364565399999</v>
      </c>
      <c r="L882" s="99">
        <v>0</v>
      </c>
      <c r="M882" s="98">
        <v>0</v>
      </c>
      <c r="N882" s="99">
        <v>0</v>
      </c>
      <c r="O882" s="98">
        <v>0</v>
      </c>
      <c r="P882" s="99">
        <v>1952</v>
      </c>
      <c r="Q882" s="98">
        <v>160376.13846399999</v>
      </c>
      <c r="R882" s="96" t="s">
        <v>625</v>
      </c>
      <c r="S882" s="96">
        <v>7414000005</v>
      </c>
      <c r="AA882" s="131" t="s">
        <v>381</v>
      </c>
      <c r="AB882" s="130">
        <v>11675765.092147</v>
      </c>
      <c r="AC882" s="130">
        <v>11675765.092147</v>
      </c>
    </row>
    <row r="883" spans="1:29" x14ac:dyDescent="0.25">
      <c r="A883" t="str">
        <f t="shared" si="14"/>
        <v xml:space="preserve">152981GOBFED 471107       </v>
      </c>
      <c r="B883" s="96">
        <v>152981</v>
      </c>
      <c r="C883" s="96" t="s">
        <v>733</v>
      </c>
      <c r="D883" s="96" t="s">
        <v>429</v>
      </c>
      <c r="E883" s="96" t="s">
        <v>623</v>
      </c>
      <c r="F883" s="96" t="s">
        <v>624</v>
      </c>
      <c r="G883" s="99">
        <v>1440</v>
      </c>
      <c r="H883" s="97">
        <v>98.007834000000003</v>
      </c>
      <c r="I883" s="98">
        <v>141131.28096</v>
      </c>
      <c r="J883" s="97">
        <v>92.068008551250003</v>
      </c>
      <c r="K883" s="98">
        <v>8553.3486462000001</v>
      </c>
      <c r="L883" s="99">
        <v>0</v>
      </c>
      <c r="M883" s="98">
        <v>0</v>
      </c>
      <c r="N883" s="99">
        <v>0</v>
      </c>
      <c r="O883" s="98">
        <v>0</v>
      </c>
      <c r="P883" s="99">
        <v>1440</v>
      </c>
      <c r="Q883" s="98">
        <v>141131.28096</v>
      </c>
      <c r="R883" s="96" t="s">
        <v>625</v>
      </c>
      <c r="S883" s="96">
        <v>7414000005</v>
      </c>
      <c r="AA883" s="131" t="s">
        <v>388</v>
      </c>
      <c r="AB883" s="130">
        <v>28413225</v>
      </c>
      <c r="AC883" s="130">
        <v>28413225</v>
      </c>
    </row>
    <row r="884" spans="1:29" x14ac:dyDescent="0.25">
      <c r="A884" t="str">
        <f t="shared" si="14"/>
        <v xml:space="preserve">152981GOBFED 530731       </v>
      </c>
      <c r="B884" s="96">
        <v>152981</v>
      </c>
      <c r="C884" s="96" t="s">
        <v>733</v>
      </c>
      <c r="D884" s="96" t="s">
        <v>389</v>
      </c>
      <c r="E884" s="96" t="s">
        <v>623</v>
      </c>
      <c r="F884" s="96" t="s">
        <v>624</v>
      </c>
      <c r="G884" s="99">
        <v>211039</v>
      </c>
      <c r="H884" s="97">
        <v>3.3967719999999999</v>
      </c>
      <c r="I884" s="98">
        <v>716851.36610800005</v>
      </c>
      <c r="J884" s="97">
        <v>3.2828755822383542</v>
      </c>
      <c r="K884" s="98">
        <v>24036.586108</v>
      </c>
      <c r="L884" s="99">
        <v>0</v>
      </c>
      <c r="M884" s="98">
        <v>0</v>
      </c>
      <c r="N884" s="99">
        <v>0</v>
      </c>
      <c r="O884" s="98">
        <v>0</v>
      </c>
      <c r="P884" s="99">
        <v>211039</v>
      </c>
      <c r="Q884" s="98">
        <v>716851.36610800005</v>
      </c>
      <c r="R884" s="96" t="s">
        <v>625</v>
      </c>
      <c r="S884" s="96">
        <v>7414000005</v>
      </c>
      <c r="AA884" s="131" t="s">
        <v>401</v>
      </c>
      <c r="AB884" s="130">
        <v>7521000</v>
      </c>
      <c r="AC884" s="130">
        <v>7521000</v>
      </c>
    </row>
    <row r="885" spans="1:29" x14ac:dyDescent="0.25">
      <c r="A885" t="str">
        <f t="shared" si="14"/>
        <v xml:space="preserve">152981PEMEX 13-2          </v>
      </c>
      <c r="B885" s="96">
        <v>152981</v>
      </c>
      <c r="C885" s="96" t="s">
        <v>733</v>
      </c>
      <c r="D885" s="96" t="s">
        <v>417</v>
      </c>
      <c r="E885" s="96" t="s">
        <v>623</v>
      </c>
      <c r="F885" s="96" t="s">
        <v>624</v>
      </c>
      <c r="G885" s="99">
        <v>80994</v>
      </c>
      <c r="H885" s="97">
        <v>3.8832339999999999</v>
      </c>
      <c r="I885" s="98">
        <v>314518.65459599998</v>
      </c>
      <c r="J885" s="97">
        <v>2.9842845149023383</v>
      </c>
      <c r="K885" s="98">
        <v>72809.514595999994</v>
      </c>
      <c r="L885" s="99">
        <v>0</v>
      </c>
      <c r="M885" s="98">
        <v>0</v>
      </c>
      <c r="N885" s="99">
        <v>0</v>
      </c>
      <c r="O885" s="98">
        <v>0</v>
      </c>
      <c r="P885" s="99">
        <v>80994</v>
      </c>
      <c r="Q885" s="98">
        <v>314518.65459599998</v>
      </c>
      <c r="R885" s="96" t="s">
        <v>625</v>
      </c>
      <c r="S885" s="96">
        <v>7414000005</v>
      </c>
      <c r="AA885" s="131" t="s">
        <v>540</v>
      </c>
      <c r="AB885" s="130">
        <v>1197240</v>
      </c>
      <c r="AC885" s="130">
        <v>1197240</v>
      </c>
    </row>
    <row r="886" spans="1:29" x14ac:dyDescent="0.25">
      <c r="A886" t="str">
        <f t="shared" si="14"/>
        <v xml:space="preserve">152981STERGOB ED          </v>
      </c>
      <c r="B886" s="96">
        <v>152981</v>
      </c>
      <c r="C886" s="96" t="s">
        <v>733</v>
      </c>
      <c r="D886" s="96" t="s">
        <v>466</v>
      </c>
      <c r="E886" s="96" t="s">
        <v>623</v>
      </c>
      <c r="F886" s="96" t="s">
        <v>624</v>
      </c>
      <c r="G886" s="99">
        <v>38</v>
      </c>
      <c r="H886" s="97">
        <v>256.05011500000001</v>
      </c>
      <c r="I886" s="98">
        <v>9729.9043700000002</v>
      </c>
      <c r="J886" s="97">
        <v>487.32003911999999</v>
      </c>
      <c r="K886" s="98">
        <v>-8788.2571165600002</v>
      </c>
      <c r="L886" s="99">
        <v>0</v>
      </c>
      <c r="M886" s="98">
        <v>0</v>
      </c>
      <c r="N886" s="99">
        <v>0</v>
      </c>
      <c r="O886" s="98">
        <v>0</v>
      </c>
      <c r="P886" s="99">
        <v>38</v>
      </c>
      <c r="Q886" s="98">
        <v>9729.9043700000002</v>
      </c>
      <c r="R886" s="96" t="s">
        <v>625</v>
      </c>
      <c r="S886" s="96">
        <v>7414000005</v>
      </c>
      <c r="AA886" s="131" t="s">
        <v>587</v>
      </c>
      <c r="AB886" s="130">
        <v>0</v>
      </c>
      <c r="AC886" s="130">
        <v>0</v>
      </c>
    </row>
    <row r="887" spans="1:29" x14ac:dyDescent="0.25">
      <c r="A887" t="str">
        <f t="shared" si="14"/>
        <v xml:space="preserve">152981STRGOB2 ED          </v>
      </c>
      <c r="B887" s="96">
        <v>152981</v>
      </c>
      <c r="C887" s="96" t="s">
        <v>733</v>
      </c>
      <c r="D887" s="96" t="s">
        <v>449</v>
      </c>
      <c r="E887" s="96" t="s">
        <v>623</v>
      </c>
      <c r="F887" s="96" t="s">
        <v>624</v>
      </c>
      <c r="G887" s="99">
        <v>0</v>
      </c>
      <c r="H887" s="97">
        <v>0</v>
      </c>
      <c r="I887" s="98">
        <v>0</v>
      </c>
      <c r="J887" s="97">
        <v>0</v>
      </c>
      <c r="K887" s="98">
        <v>0</v>
      </c>
      <c r="L887" s="99">
        <v>0</v>
      </c>
      <c r="M887" s="98">
        <v>0</v>
      </c>
      <c r="N887" s="99">
        <v>0</v>
      </c>
      <c r="O887" s="98">
        <v>0</v>
      </c>
      <c r="P887" s="99">
        <v>0</v>
      </c>
      <c r="Q887" s="98">
        <v>0</v>
      </c>
      <c r="R887" s="96" t="s">
        <v>625</v>
      </c>
      <c r="S887" s="96">
        <v>7414000005</v>
      </c>
      <c r="AA887" s="131" t="s">
        <v>588</v>
      </c>
      <c r="AB887" s="130">
        <v>754</v>
      </c>
      <c r="AC887" s="130">
        <v>754</v>
      </c>
    </row>
    <row r="888" spans="1:29" x14ac:dyDescent="0.25">
      <c r="A888" t="str">
        <f t="shared" si="14"/>
        <v xml:space="preserve">152981TFOVICB 15U         </v>
      </c>
      <c r="B888" s="96">
        <v>152981</v>
      </c>
      <c r="C888" s="96" t="s">
        <v>733</v>
      </c>
      <c r="D888" s="96" t="s">
        <v>391</v>
      </c>
      <c r="E888" s="96" t="s">
        <v>623</v>
      </c>
      <c r="F888" s="96" t="s">
        <v>624</v>
      </c>
      <c r="G888" s="99">
        <v>97</v>
      </c>
      <c r="H888" s="97">
        <v>775.69178699999998</v>
      </c>
      <c r="I888" s="98">
        <v>75242.103338999994</v>
      </c>
      <c r="J888" s="97">
        <v>696.9165580026804</v>
      </c>
      <c r="K888" s="98">
        <v>7641.1972127400004</v>
      </c>
      <c r="L888" s="99">
        <v>0</v>
      </c>
      <c r="M888" s="98">
        <v>0</v>
      </c>
      <c r="N888" s="99">
        <v>0</v>
      </c>
      <c r="O888" s="98">
        <v>0</v>
      </c>
      <c r="P888" s="99">
        <v>97</v>
      </c>
      <c r="Q888" s="98">
        <v>75242.103338999994</v>
      </c>
      <c r="R888" s="96" t="s">
        <v>625</v>
      </c>
      <c r="S888" s="96">
        <v>7414000005</v>
      </c>
      <c r="AA888" s="131" t="s">
        <v>590</v>
      </c>
      <c r="AB888" s="130">
        <v>0</v>
      </c>
      <c r="AC888" s="130">
        <v>0</v>
      </c>
    </row>
    <row r="889" spans="1:29" x14ac:dyDescent="0.25">
      <c r="A889" t="str">
        <f t="shared" si="14"/>
        <v xml:space="preserve">152981UDIBONO 171214      </v>
      </c>
      <c r="B889" s="96">
        <v>152981</v>
      </c>
      <c r="C889" s="96" t="s">
        <v>733</v>
      </c>
      <c r="D889" s="96" t="s">
        <v>392</v>
      </c>
      <c r="E889" s="96" t="s">
        <v>623</v>
      </c>
      <c r="F889" s="96" t="s">
        <v>624</v>
      </c>
      <c r="G889" s="99">
        <v>150</v>
      </c>
      <c r="H889" s="97">
        <v>747.17843200000004</v>
      </c>
      <c r="I889" s="98">
        <v>112076.7648</v>
      </c>
      <c r="J889" s="97">
        <v>709.73996555799999</v>
      </c>
      <c r="K889" s="98">
        <v>5615.7699663000003</v>
      </c>
      <c r="L889" s="99">
        <v>0</v>
      </c>
      <c r="M889" s="98">
        <v>0</v>
      </c>
      <c r="N889" s="99">
        <v>0</v>
      </c>
      <c r="O889" s="98">
        <v>0</v>
      </c>
      <c r="P889" s="99">
        <v>150</v>
      </c>
      <c r="Q889" s="98">
        <v>112076.7648</v>
      </c>
      <c r="R889" s="96" t="s">
        <v>625</v>
      </c>
      <c r="S889" s="96">
        <v>7414000005</v>
      </c>
      <c r="AA889" s="131" t="s">
        <v>393</v>
      </c>
      <c r="AB889" s="130">
        <v>5446484.7320130002</v>
      </c>
      <c r="AC889" s="130">
        <v>5446484.7320130002</v>
      </c>
    </row>
    <row r="890" spans="1:29" x14ac:dyDescent="0.25">
      <c r="A890" t="str">
        <f t="shared" si="14"/>
        <v xml:space="preserve">152981UDIBONO 251204      </v>
      </c>
      <c r="B890" s="96">
        <v>152981</v>
      </c>
      <c r="C890" s="96" t="s">
        <v>733</v>
      </c>
      <c r="D890" s="96" t="s">
        <v>393</v>
      </c>
      <c r="E890" s="96" t="s">
        <v>623</v>
      </c>
      <c r="F890" s="96" t="s">
        <v>624</v>
      </c>
      <c r="G890" s="99">
        <v>168</v>
      </c>
      <c r="H890" s="97">
        <v>765.92388300000005</v>
      </c>
      <c r="I890" s="98">
        <v>128675.212344</v>
      </c>
      <c r="J890" s="97">
        <v>748.03498777940479</v>
      </c>
      <c r="K890" s="98">
        <v>3005.3343970599999</v>
      </c>
      <c r="L890" s="99">
        <v>0</v>
      </c>
      <c r="M890" s="98">
        <v>0</v>
      </c>
      <c r="N890" s="99">
        <v>0</v>
      </c>
      <c r="O890" s="98">
        <v>0</v>
      </c>
      <c r="P890" s="99">
        <v>168</v>
      </c>
      <c r="Q890" s="98">
        <v>128675.212344</v>
      </c>
      <c r="R890" s="96" t="s">
        <v>625</v>
      </c>
      <c r="S890" s="96">
        <v>7414000005</v>
      </c>
      <c r="AA890" s="131" t="s">
        <v>503</v>
      </c>
      <c r="AB890" s="130">
        <v>1346195</v>
      </c>
      <c r="AC890" s="130">
        <v>1346195</v>
      </c>
    </row>
    <row r="891" spans="1:29" x14ac:dyDescent="0.25">
      <c r="A891" t="str">
        <f t="shared" si="14"/>
        <v xml:space="preserve">152981UDIBONO 261203      </v>
      </c>
      <c r="B891" s="96">
        <v>152981</v>
      </c>
      <c r="C891" s="96" t="s">
        <v>733</v>
      </c>
      <c r="D891" s="96" t="s">
        <v>394</v>
      </c>
      <c r="E891" s="96" t="s">
        <v>623</v>
      </c>
      <c r="F891" s="96" t="s">
        <v>624</v>
      </c>
      <c r="G891" s="99">
        <v>584</v>
      </c>
      <c r="H891" s="97">
        <v>684.88915799999995</v>
      </c>
      <c r="I891" s="98">
        <v>399975.26827200002</v>
      </c>
      <c r="J891" s="97">
        <v>677.06021272962323</v>
      </c>
      <c r="K891" s="98">
        <v>4572.1040378999996</v>
      </c>
      <c r="L891" s="99">
        <v>0</v>
      </c>
      <c r="M891" s="98">
        <v>0</v>
      </c>
      <c r="N891" s="99">
        <v>0</v>
      </c>
      <c r="O891" s="98">
        <v>0</v>
      </c>
      <c r="P891" s="99">
        <v>584</v>
      </c>
      <c r="Q891" s="98">
        <v>399975.26827200002</v>
      </c>
      <c r="R891" s="96" t="s">
        <v>625</v>
      </c>
      <c r="S891" s="96">
        <v>7414000005</v>
      </c>
      <c r="AA891" s="131" t="s">
        <v>385</v>
      </c>
      <c r="AB891" s="130">
        <v>2092998.343716</v>
      </c>
      <c r="AC891" s="130">
        <v>2092998.343716</v>
      </c>
    </row>
    <row r="892" spans="1:29" x14ac:dyDescent="0.25">
      <c r="A892" t="str">
        <f t="shared" si="14"/>
        <v xml:space="preserve">152981UDIBONO 281130      </v>
      </c>
      <c r="B892" s="96">
        <v>152981</v>
      </c>
      <c r="C892" s="96" t="s">
        <v>733</v>
      </c>
      <c r="D892" s="96" t="s">
        <v>395</v>
      </c>
      <c r="E892" s="96" t="s">
        <v>623</v>
      </c>
      <c r="F892" s="96" t="s">
        <v>624</v>
      </c>
      <c r="G892" s="99">
        <v>67</v>
      </c>
      <c r="H892" s="97">
        <v>772.926965</v>
      </c>
      <c r="I892" s="98">
        <v>51786.106655000003</v>
      </c>
      <c r="J892" s="97">
        <v>798.93664675000002</v>
      </c>
      <c r="K892" s="98">
        <v>-1742.64867725</v>
      </c>
      <c r="L892" s="99">
        <v>0</v>
      </c>
      <c r="M892" s="98">
        <v>0</v>
      </c>
      <c r="N892" s="99">
        <v>0</v>
      </c>
      <c r="O892" s="98">
        <v>0</v>
      </c>
      <c r="P892" s="99">
        <v>67</v>
      </c>
      <c r="Q892" s="98">
        <v>51786.106655000003</v>
      </c>
      <c r="R892" s="96" t="s">
        <v>625</v>
      </c>
      <c r="S892" s="96">
        <v>7414000005</v>
      </c>
      <c r="AA892" s="131" t="s">
        <v>500</v>
      </c>
      <c r="AB892" s="130">
        <v>1382040</v>
      </c>
      <c r="AC892" s="130">
        <v>1382040</v>
      </c>
    </row>
    <row r="893" spans="1:29" x14ac:dyDescent="0.25">
      <c r="A893" t="str">
        <f t="shared" si="14"/>
        <v xml:space="preserve">152981UDIBONO 311127      </v>
      </c>
      <c r="B893" s="96">
        <v>152981</v>
      </c>
      <c r="C893" s="96" t="s">
        <v>733</v>
      </c>
      <c r="D893" s="96" t="s">
        <v>396</v>
      </c>
      <c r="E893" s="96" t="s">
        <v>623</v>
      </c>
      <c r="F893" s="96" t="s">
        <v>624</v>
      </c>
      <c r="G893" s="99">
        <v>90</v>
      </c>
      <c r="H893" s="97">
        <v>721.59464000000003</v>
      </c>
      <c r="I893" s="98">
        <v>64943.517599999999</v>
      </c>
      <c r="J893" s="97">
        <v>546.01161723200005</v>
      </c>
      <c r="K893" s="98">
        <v>15802.472049120001</v>
      </c>
      <c r="L893" s="99">
        <v>0</v>
      </c>
      <c r="M893" s="98">
        <v>0</v>
      </c>
      <c r="N893" s="99">
        <v>0</v>
      </c>
      <c r="O893" s="98">
        <v>0</v>
      </c>
      <c r="P893" s="99">
        <v>90</v>
      </c>
      <c r="Q893" s="98">
        <v>64943.517599999999</v>
      </c>
      <c r="R893" s="96" t="s">
        <v>625</v>
      </c>
      <c r="S893" s="96">
        <v>7414000005</v>
      </c>
      <c r="AA893" s="131" t="s">
        <v>541</v>
      </c>
      <c r="AB893" s="130">
        <v>1669200</v>
      </c>
      <c r="AC893" s="130">
        <v>1669200</v>
      </c>
    </row>
    <row r="894" spans="1:29" x14ac:dyDescent="0.25">
      <c r="A894" t="str">
        <f t="shared" si="14"/>
        <v xml:space="preserve">152981UDIBONO 351122      </v>
      </c>
      <c r="B894" s="96">
        <v>152981</v>
      </c>
      <c r="C894" s="96" t="s">
        <v>733</v>
      </c>
      <c r="D894" s="96" t="s">
        <v>397</v>
      </c>
      <c r="E894" s="96" t="s">
        <v>623</v>
      </c>
      <c r="F894" s="96" t="s">
        <v>624</v>
      </c>
      <c r="G894" s="99">
        <v>57</v>
      </c>
      <c r="H894" s="97">
        <v>635.96311900000001</v>
      </c>
      <c r="I894" s="98">
        <v>36249.897783</v>
      </c>
      <c r="J894" s="97">
        <v>647.93802047999998</v>
      </c>
      <c r="K894" s="98">
        <v>-682.56938435999996</v>
      </c>
      <c r="L894" s="99">
        <v>0</v>
      </c>
      <c r="M894" s="98">
        <v>0</v>
      </c>
      <c r="N894" s="99">
        <v>0</v>
      </c>
      <c r="O894" s="98">
        <v>0</v>
      </c>
      <c r="P894" s="99">
        <v>57</v>
      </c>
      <c r="Q894" s="98">
        <v>36249.897783</v>
      </c>
      <c r="R894" s="96" t="s">
        <v>625</v>
      </c>
      <c r="S894" s="96">
        <v>7414000005</v>
      </c>
      <c r="AA894" s="131" t="s">
        <v>371</v>
      </c>
      <c r="AB894" s="130">
        <v>1931500</v>
      </c>
      <c r="AC894" s="130">
        <v>1931500</v>
      </c>
    </row>
    <row r="895" spans="1:29" x14ac:dyDescent="0.25">
      <c r="A895" t="str">
        <f t="shared" si="14"/>
        <v xml:space="preserve">152981UDIBONO 401115      </v>
      </c>
      <c r="B895" s="96">
        <v>152981</v>
      </c>
      <c r="C895" s="96" t="s">
        <v>733</v>
      </c>
      <c r="D895" s="96" t="s">
        <v>398</v>
      </c>
      <c r="E895" s="96" t="s">
        <v>623</v>
      </c>
      <c r="F895" s="96" t="s">
        <v>624</v>
      </c>
      <c r="G895" s="99">
        <v>110</v>
      </c>
      <c r="H895" s="97">
        <v>709.36974099999998</v>
      </c>
      <c r="I895" s="98">
        <v>78030.67151</v>
      </c>
      <c r="J895" s="97">
        <v>738.40352028590905</v>
      </c>
      <c r="K895" s="98">
        <v>-3193.7157214499998</v>
      </c>
      <c r="L895" s="99">
        <v>0</v>
      </c>
      <c r="M895" s="98">
        <v>0</v>
      </c>
      <c r="N895" s="99">
        <v>0</v>
      </c>
      <c r="O895" s="98">
        <v>0</v>
      </c>
      <c r="P895" s="99">
        <v>110</v>
      </c>
      <c r="Q895" s="98">
        <v>78030.67151</v>
      </c>
      <c r="R895" s="96" t="s">
        <v>625</v>
      </c>
      <c r="S895" s="96">
        <v>7414000005</v>
      </c>
      <c r="AA895" s="131" t="s">
        <v>375</v>
      </c>
      <c r="AB895" s="130">
        <v>1665580.9876300001</v>
      </c>
      <c r="AC895" s="130">
        <v>1665580.9876300001</v>
      </c>
    </row>
    <row r="896" spans="1:29" x14ac:dyDescent="0.25">
      <c r="A896" t="str">
        <f t="shared" si="14"/>
        <v xml:space="preserve">152981UDIBONO 431112      </v>
      </c>
      <c r="B896" s="96">
        <v>152981</v>
      </c>
      <c r="C896" s="96" t="s">
        <v>733</v>
      </c>
      <c r="D896" s="96" t="s">
        <v>399</v>
      </c>
      <c r="E896" s="96" t="s">
        <v>623</v>
      </c>
      <c r="F896" s="96" t="s">
        <v>624</v>
      </c>
      <c r="G896" s="99">
        <v>366</v>
      </c>
      <c r="H896" s="97">
        <v>694.41118700000004</v>
      </c>
      <c r="I896" s="98">
        <v>254154.494442</v>
      </c>
      <c r="J896" s="97">
        <v>723.22520642745906</v>
      </c>
      <c r="K896" s="98">
        <v>-10545.931110449999</v>
      </c>
      <c r="L896" s="99">
        <v>0</v>
      </c>
      <c r="M896" s="98">
        <v>0</v>
      </c>
      <c r="N896" s="99">
        <v>0</v>
      </c>
      <c r="O896" s="98">
        <v>0</v>
      </c>
      <c r="P896" s="99">
        <v>366</v>
      </c>
      <c r="Q896" s="98">
        <v>254154.494442</v>
      </c>
      <c r="R896" s="96" t="s">
        <v>625</v>
      </c>
      <c r="S896" s="96">
        <v>7414000005</v>
      </c>
      <c r="AA896" s="131" t="s">
        <v>399</v>
      </c>
      <c r="AB896" s="130">
        <v>8023226.8545979997</v>
      </c>
      <c r="AC896" s="130">
        <v>8023226.8545979997</v>
      </c>
    </row>
    <row r="897" spans="1:29" x14ac:dyDescent="0.25">
      <c r="A897" t="str">
        <f t="shared" si="14"/>
        <v xml:space="preserve">152981UDIBONO 461108      </v>
      </c>
      <c r="B897" s="96">
        <v>152983</v>
      </c>
      <c r="C897" s="96" t="s">
        <v>734</v>
      </c>
      <c r="D897" s="96" t="s">
        <v>419</v>
      </c>
      <c r="E897" s="96" t="s">
        <v>623</v>
      </c>
      <c r="F897" s="96" t="s">
        <v>624</v>
      </c>
      <c r="G897" s="99">
        <v>0</v>
      </c>
      <c r="H897" s="97">
        <v>0</v>
      </c>
      <c r="I897" s="98">
        <v>0</v>
      </c>
      <c r="J897" s="97">
        <v>0</v>
      </c>
      <c r="K897" s="98">
        <v>0</v>
      </c>
      <c r="L897" s="99">
        <v>0</v>
      </c>
      <c r="M897" s="98">
        <v>0</v>
      </c>
      <c r="N897" s="99">
        <v>0</v>
      </c>
      <c r="O897" s="98">
        <v>0</v>
      </c>
      <c r="P897" s="99">
        <v>0</v>
      </c>
      <c r="Q897" s="98">
        <v>0</v>
      </c>
      <c r="R897" s="96" t="s">
        <v>625</v>
      </c>
      <c r="S897" s="96">
        <v>7414000005</v>
      </c>
      <c r="AA897" s="131" t="s">
        <v>429</v>
      </c>
      <c r="AB897" s="130">
        <v>11622553.018392</v>
      </c>
      <c r="AC897" s="130">
        <v>11622553.018392</v>
      </c>
    </row>
    <row r="898" spans="1:29" x14ac:dyDescent="0.25">
      <c r="A898" t="str">
        <f t="shared" si="14"/>
        <v xml:space="preserve">152981UDIBONO 501103      </v>
      </c>
      <c r="B898" s="96">
        <v>152983</v>
      </c>
      <c r="C898" s="96" t="s">
        <v>734</v>
      </c>
      <c r="D898" s="96" t="s">
        <v>459</v>
      </c>
      <c r="E898" s="96" t="s">
        <v>623</v>
      </c>
      <c r="F898" s="96" t="s">
        <v>624</v>
      </c>
      <c r="G898" s="99">
        <v>191000</v>
      </c>
      <c r="H898" s="97">
        <v>4.5848760000000004</v>
      </c>
      <c r="I898" s="98">
        <v>875711.31599999999</v>
      </c>
      <c r="J898" s="97">
        <v>4.1814367539267012</v>
      </c>
      <c r="K898" s="98">
        <v>77056.895999999993</v>
      </c>
      <c r="L898" s="99">
        <v>0</v>
      </c>
      <c r="M898" s="98">
        <v>0</v>
      </c>
      <c r="N898" s="99">
        <v>0</v>
      </c>
      <c r="O898" s="98">
        <v>0</v>
      </c>
      <c r="P898" s="99">
        <v>191000</v>
      </c>
      <c r="Q898" s="98">
        <v>875711.31599999999</v>
      </c>
      <c r="R898" s="96" t="s">
        <v>625</v>
      </c>
      <c r="S898" s="96">
        <v>7414000005</v>
      </c>
      <c r="AA898" s="131" t="s">
        <v>394</v>
      </c>
      <c r="AB898" s="130">
        <v>6385221.6200339999</v>
      </c>
      <c r="AC898" s="130">
        <v>6385221.6200339999</v>
      </c>
    </row>
    <row r="899" spans="1:29" x14ac:dyDescent="0.25">
      <c r="A899" t="str">
        <f t="shared" si="14"/>
        <v xml:space="preserve">152983IENOVA *            </v>
      </c>
      <c r="B899" s="96">
        <v>152983</v>
      </c>
      <c r="C899" s="96" t="s">
        <v>734</v>
      </c>
      <c r="D899" s="96" t="s">
        <v>389</v>
      </c>
      <c r="E899" s="96" t="s">
        <v>623</v>
      </c>
      <c r="F899" s="96" t="s">
        <v>624</v>
      </c>
      <c r="G899" s="99">
        <v>6844</v>
      </c>
      <c r="H899" s="97">
        <v>3.3967719999999999</v>
      </c>
      <c r="I899" s="98">
        <v>23247.507568000001</v>
      </c>
      <c r="J899" s="97">
        <v>3.2979456458211573</v>
      </c>
      <c r="K899" s="98">
        <v>676.36756800000001</v>
      </c>
      <c r="L899" s="99">
        <v>0</v>
      </c>
      <c r="M899" s="98">
        <v>0</v>
      </c>
      <c r="N899" s="99">
        <v>0</v>
      </c>
      <c r="O899" s="98">
        <v>0</v>
      </c>
      <c r="P899" s="99">
        <v>6844</v>
      </c>
      <c r="Q899" s="98">
        <v>23247.507568000001</v>
      </c>
      <c r="R899" s="96" t="s">
        <v>625</v>
      </c>
      <c r="S899" s="96">
        <v>7414000005</v>
      </c>
      <c r="AA899" s="131" t="s">
        <v>379</v>
      </c>
      <c r="AB899" s="130">
        <v>2957638.9114350001</v>
      </c>
      <c r="AC899" s="130">
        <v>2957638.9114350001</v>
      </c>
    </row>
    <row r="900" spans="1:29" x14ac:dyDescent="0.25">
      <c r="A900" t="str">
        <f t="shared" si="14"/>
        <v xml:space="preserve">152983STER-OP ED          </v>
      </c>
      <c r="B900" s="96">
        <v>153030</v>
      </c>
      <c r="C900" s="96" t="s">
        <v>735</v>
      </c>
      <c r="D900" s="96" t="s">
        <v>476</v>
      </c>
      <c r="E900" s="96" t="s">
        <v>623</v>
      </c>
      <c r="F900" s="96" t="s">
        <v>624</v>
      </c>
      <c r="G900" s="99">
        <v>0</v>
      </c>
      <c r="H900" s="97">
        <v>0</v>
      </c>
      <c r="I900" s="98">
        <v>0</v>
      </c>
      <c r="J900" s="97">
        <v>0</v>
      </c>
      <c r="K900" s="98">
        <v>0</v>
      </c>
      <c r="L900" s="99">
        <v>0</v>
      </c>
      <c r="M900" s="98">
        <v>0</v>
      </c>
      <c r="N900" s="99">
        <v>0</v>
      </c>
      <c r="O900" s="98">
        <v>0</v>
      </c>
      <c r="P900" s="99">
        <v>0</v>
      </c>
      <c r="Q900" s="98">
        <v>0</v>
      </c>
      <c r="R900" s="96" t="s">
        <v>625</v>
      </c>
      <c r="S900" s="96">
        <v>7414000005</v>
      </c>
      <c r="AA900" s="131" t="s">
        <v>377</v>
      </c>
      <c r="AB900" s="130">
        <v>1510073.0373</v>
      </c>
      <c r="AC900" s="130">
        <v>1510073.0373</v>
      </c>
    </row>
    <row r="901" spans="1:29" x14ac:dyDescent="0.25">
      <c r="A901" t="str">
        <f t="shared" si="14"/>
        <v xml:space="preserve">152983STERGOB ED          </v>
      </c>
      <c r="B901" s="96">
        <v>156622</v>
      </c>
      <c r="C901" s="96" t="s">
        <v>736</v>
      </c>
      <c r="D901" s="96" t="s">
        <v>473</v>
      </c>
      <c r="E901" s="96" t="s">
        <v>623</v>
      </c>
      <c r="F901" s="96" t="s">
        <v>624</v>
      </c>
      <c r="G901" s="99">
        <v>57088534</v>
      </c>
      <c r="H901" s="97">
        <v>3.568238</v>
      </c>
      <c r="I901" s="98">
        <v>203705476.38309199</v>
      </c>
      <c r="J901" s="97">
        <v>3.5122432497565974</v>
      </c>
      <c r="K901" s="98">
        <v>3196658.203092</v>
      </c>
      <c r="L901" s="99">
        <v>0</v>
      </c>
      <c r="M901" s="98">
        <v>0</v>
      </c>
      <c r="N901" s="99">
        <v>0</v>
      </c>
      <c r="O901" s="98">
        <v>0</v>
      </c>
      <c r="P901" s="99">
        <v>57088534</v>
      </c>
      <c r="Q901" s="98">
        <v>203705476.38309199</v>
      </c>
      <c r="R901" s="96" t="s">
        <v>625</v>
      </c>
      <c r="S901" s="96">
        <v>7414000005</v>
      </c>
      <c r="AA901" s="131" t="s">
        <v>422</v>
      </c>
      <c r="AB901" s="130">
        <v>404679.92062400002</v>
      </c>
      <c r="AC901" s="130">
        <v>404679.92062400002</v>
      </c>
    </row>
    <row r="902" spans="1:29" x14ac:dyDescent="0.25">
      <c r="A902" t="str">
        <f t="shared" si="14"/>
        <v xml:space="preserve">153030CETES 160107        </v>
      </c>
      <c r="B902" s="96">
        <v>159246</v>
      </c>
      <c r="C902" s="96" t="s">
        <v>737</v>
      </c>
      <c r="D902" s="96" t="s">
        <v>412</v>
      </c>
      <c r="E902" s="96" t="s">
        <v>623</v>
      </c>
      <c r="F902" s="96" t="s">
        <v>624</v>
      </c>
      <c r="G902" s="99">
        <v>56295</v>
      </c>
      <c r="H902" s="97">
        <v>3.137273</v>
      </c>
      <c r="I902" s="98">
        <v>176612.783535</v>
      </c>
      <c r="J902" s="97">
        <v>3.1100650146549427</v>
      </c>
      <c r="K902" s="98">
        <v>1531.6735349999999</v>
      </c>
      <c r="L902" s="99">
        <v>0</v>
      </c>
      <c r="M902" s="98">
        <v>0</v>
      </c>
      <c r="N902" s="99">
        <v>0</v>
      </c>
      <c r="O902" s="98">
        <v>0</v>
      </c>
      <c r="P902" s="99">
        <v>56295</v>
      </c>
      <c r="Q902" s="98">
        <v>176612.783535</v>
      </c>
      <c r="R902" s="96" t="s">
        <v>625</v>
      </c>
      <c r="S902" s="96">
        <v>7414000005</v>
      </c>
      <c r="AA902" s="131" t="s">
        <v>392</v>
      </c>
      <c r="AB902" s="130">
        <v>13964017.715647999</v>
      </c>
      <c r="AC902" s="130">
        <v>13964017.715647999</v>
      </c>
    </row>
    <row r="903" spans="1:29" x14ac:dyDescent="0.25">
      <c r="A903" t="str">
        <f t="shared" ref="A903:A966" si="15">B901&amp;D901</f>
        <v xml:space="preserve">156622STERGOB B3          </v>
      </c>
      <c r="B903" s="96">
        <v>159246</v>
      </c>
      <c r="C903" s="96" t="s">
        <v>737</v>
      </c>
      <c r="D903" s="96" t="s">
        <v>478</v>
      </c>
      <c r="E903" s="96" t="s">
        <v>623</v>
      </c>
      <c r="F903" s="96" t="s">
        <v>624</v>
      </c>
      <c r="G903" s="99">
        <v>3734855</v>
      </c>
      <c r="H903" s="97">
        <v>3.6141489999999998</v>
      </c>
      <c r="I903" s="98">
        <v>13498322.463395</v>
      </c>
      <c r="J903" s="97">
        <v>2.0109453994867272</v>
      </c>
      <c r="K903" s="98">
        <v>5987732.983395</v>
      </c>
      <c r="L903" s="99">
        <v>0</v>
      </c>
      <c r="M903" s="98">
        <v>0</v>
      </c>
      <c r="N903" s="99">
        <v>0</v>
      </c>
      <c r="O903" s="98">
        <v>0</v>
      </c>
      <c r="P903" s="99">
        <v>3734855</v>
      </c>
      <c r="Q903" s="98">
        <v>13498322.463395</v>
      </c>
      <c r="R903" s="96" t="s">
        <v>625</v>
      </c>
      <c r="S903" s="96">
        <v>7414000005</v>
      </c>
      <c r="AA903" s="131" t="s">
        <v>386</v>
      </c>
      <c r="AB903" s="130">
        <v>7502760.5473330002</v>
      </c>
      <c r="AC903" s="130">
        <v>7502760.5473330002</v>
      </c>
    </row>
    <row r="904" spans="1:29" x14ac:dyDescent="0.25">
      <c r="A904" t="str">
        <f t="shared" si="15"/>
        <v xml:space="preserve">159246STERGOB B0          </v>
      </c>
      <c r="B904" s="96">
        <v>3373</v>
      </c>
      <c r="C904" s="96" t="s">
        <v>738</v>
      </c>
      <c r="D904" s="96" t="s">
        <v>468</v>
      </c>
      <c r="E904" s="96" t="s">
        <v>623</v>
      </c>
      <c r="F904" s="96" t="s">
        <v>624</v>
      </c>
      <c r="G904" s="99">
        <v>0</v>
      </c>
      <c r="H904" s="97">
        <v>0</v>
      </c>
      <c r="I904" s="98">
        <v>0</v>
      </c>
      <c r="J904" s="97">
        <v>0</v>
      </c>
      <c r="K904" s="98">
        <v>0</v>
      </c>
      <c r="L904" s="99">
        <v>0</v>
      </c>
      <c r="M904" s="98">
        <v>0</v>
      </c>
      <c r="N904" s="99">
        <v>0</v>
      </c>
      <c r="O904" s="98">
        <v>0</v>
      </c>
      <c r="P904" s="99">
        <v>0</v>
      </c>
      <c r="Q904" s="98">
        <v>0</v>
      </c>
      <c r="R904" s="96" t="s">
        <v>625</v>
      </c>
      <c r="S904" s="96">
        <v>7414000005</v>
      </c>
      <c r="AA904" s="131" t="s">
        <v>363</v>
      </c>
      <c r="AB904" s="130">
        <v>4712009.4935680004</v>
      </c>
      <c r="AC904" s="130">
        <v>4712009.4935680004</v>
      </c>
    </row>
    <row r="905" spans="1:29" x14ac:dyDescent="0.25">
      <c r="A905" t="str">
        <f t="shared" si="15"/>
        <v xml:space="preserve">159246SVIVE35 C3          </v>
      </c>
      <c r="B905" s="96">
        <v>3373</v>
      </c>
      <c r="C905" s="96" t="s">
        <v>738</v>
      </c>
      <c r="D905" s="96" t="s">
        <v>469</v>
      </c>
      <c r="E905" s="96" t="s">
        <v>623</v>
      </c>
      <c r="F905" s="96" t="s">
        <v>624</v>
      </c>
      <c r="G905" s="99">
        <v>0</v>
      </c>
      <c r="H905" s="97">
        <v>0</v>
      </c>
      <c r="I905" s="98">
        <v>0</v>
      </c>
      <c r="J905" s="97">
        <v>0</v>
      </c>
      <c r="K905" s="98">
        <v>0</v>
      </c>
      <c r="L905" s="99">
        <v>0</v>
      </c>
      <c r="M905" s="98">
        <v>0</v>
      </c>
      <c r="N905" s="99">
        <v>0</v>
      </c>
      <c r="O905" s="98">
        <v>0</v>
      </c>
      <c r="P905" s="99">
        <v>0</v>
      </c>
      <c r="Q905" s="98">
        <v>0</v>
      </c>
      <c r="R905" s="96" t="s">
        <v>625</v>
      </c>
      <c r="S905" s="96">
        <v>7414000005</v>
      </c>
      <c r="AA905" s="131" t="s">
        <v>383</v>
      </c>
      <c r="AB905" s="130">
        <v>8754869.8967039995</v>
      </c>
      <c r="AC905" s="130">
        <v>8754869.8967039995</v>
      </c>
    </row>
    <row r="906" spans="1:29" x14ac:dyDescent="0.25">
      <c r="A906" t="str">
        <f t="shared" si="15"/>
        <v xml:space="preserve">3373BPA182 130919       </v>
      </c>
      <c r="B906" s="96">
        <v>65500498081</v>
      </c>
      <c r="C906" s="96" t="s">
        <v>739</v>
      </c>
      <c r="D906" s="96" t="s">
        <v>389</v>
      </c>
      <c r="E906" s="96" t="s">
        <v>623</v>
      </c>
      <c r="F906" s="96" t="s">
        <v>624</v>
      </c>
      <c r="G906" s="99">
        <v>1743597</v>
      </c>
      <c r="H906" s="97">
        <v>3.3967719999999999</v>
      </c>
      <c r="I906" s="98">
        <v>5922601.4688839996</v>
      </c>
      <c r="J906" s="97">
        <v>3.2865207556562668</v>
      </c>
      <c r="K906" s="98">
        <v>192233.73888399999</v>
      </c>
      <c r="L906" s="99">
        <v>0</v>
      </c>
      <c r="M906" s="98">
        <v>0</v>
      </c>
      <c r="N906" s="99">
        <v>0</v>
      </c>
      <c r="O906" s="98">
        <v>0</v>
      </c>
      <c r="P906" s="99">
        <v>1743597</v>
      </c>
      <c r="Q906" s="98">
        <v>5922601.4688839996</v>
      </c>
      <c r="R906" s="96" t="s">
        <v>625</v>
      </c>
      <c r="S906" s="96">
        <v>7414000005</v>
      </c>
      <c r="AA906" s="131" t="s">
        <v>360</v>
      </c>
      <c r="AB906" s="130">
        <v>4460400</v>
      </c>
      <c r="AC906" s="130">
        <v>4460400</v>
      </c>
    </row>
    <row r="907" spans="1:29" x14ac:dyDescent="0.25">
      <c r="A907" t="str">
        <f t="shared" si="15"/>
        <v xml:space="preserve">3373BPA182 140327       </v>
      </c>
      <c r="B907" s="96">
        <v>65500498081</v>
      </c>
      <c r="C907" s="96" t="s">
        <v>739</v>
      </c>
      <c r="D907" s="96" t="s">
        <v>420</v>
      </c>
      <c r="E907" s="96" t="s">
        <v>623</v>
      </c>
      <c r="F907" s="96" t="s">
        <v>624</v>
      </c>
      <c r="G907" s="99">
        <v>84040000</v>
      </c>
      <c r="H907" s="97">
        <v>2.106938</v>
      </c>
      <c r="I907" s="98">
        <v>177067069.52000001</v>
      </c>
      <c r="J907" s="97">
        <v>1.543948766777725</v>
      </c>
      <c r="K907" s="98">
        <v>49546969.439999998</v>
      </c>
      <c r="L907" s="99">
        <v>1060000</v>
      </c>
      <c r="M907" s="98">
        <v>2233354.2799999998</v>
      </c>
      <c r="N907" s="99">
        <v>0</v>
      </c>
      <c r="O907" s="98">
        <v>0</v>
      </c>
      <c r="P907" s="99">
        <v>85100000</v>
      </c>
      <c r="Q907" s="98">
        <v>179300423.80000001</v>
      </c>
      <c r="R907" s="96" t="s">
        <v>625</v>
      </c>
      <c r="S907" s="96">
        <v>7414000005</v>
      </c>
      <c r="AA907" s="131" t="s">
        <v>397</v>
      </c>
      <c r="AB907" s="130">
        <v>1982297.041923</v>
      </c>
      <c r="AC907" s="130">
        <v>1982297.041923</v>
      </c>
    </row>
    <row r="908" spans="1:29" x14ac:dyDescent="0.25">
      <c r="A908" t="str">
        <f t="shared" si="15"/>
        <v xml:space="preserve">65500498081STERGOB ED          </v>
      </c>
      <c r="B908" s="96">
        <v>65501285111</v>
      </c>
      <c r="C908" s="96" t="s">
        <v>740</v>
      </c>
      <c r="D908" s="96" t="s">
        <v>389</v>
      </c>
      <c r="E908" s="96" t="s">
        <v>623</v>
      </c>
      <c r="F908" s="96" t="s">
        <v>624</v>
      </c>
      <c r="G908" s="99">
        <v>6007055</v>
      </c>
      <c r="H908" s="97">
        <v>3.3967719999999999</v>
      </c>
      <c r="I908" s="98">
        <v>20404596.226459999</v>
      </c>
      <c r="J908" s="97">
        <v>2.9504198779601651</v>
      </c>
      <c r="K908" s="98">
        <v>2681261.7464600001</v>
      </c>
      <c r="L908" s="99">
        <v>0</v>
      </c>
      <c r="M908" s="98">
        <v>0</v>
      </c>
      <c r="N908" s="99">
        <v>0</v>
      </c>
      <c r="O908" s="98">
        <v>0</v>
      </c>
      <c r="P908" s="99">
        <v>6007055</v>
      </c>
      <c r="Q908" s="98">
        <v>20404596.226459999</v>
      </c>
      <c r="R908" s="96" t="s">
        <v>625</v>
      </c>
      <c r="S908" s="96">
        <v>7414000005</v>
      </c>
      <c r="AA908" s="131" t="s">
        <v>499</v>
      </c>
      <c r="AB908" s="130">
        <v>2575769.27813</v>
      </c>
      <c r="AC908" s="130">
        <v>2575769.27813</v>
      </c>
    </row>
    <row r="909" spans="1:29" x14ac:dyDescent="0.25">
      <c r="A909" t="str">
        <f t="shared" si="15"/>
        <v xml:space="preserve">65500498081SVIVE50 C3          </v>
      </c>
      <c r="B909" s="96">
        <v>65501285111</v>
      </c>
      <c r="C909" s="96" t="s">
        <v>740</v>
      </c>
      <c r="D909" s="96" t="s">
        <v>417</v>
      </c>
      <c r="E909" s="96" t="s">
        <v>623</v>
      </c>
      <c r="F909" s="96" t="s">
        <v>624</v>
      </c>
      <c r="G909" s="99">
        <v>1003693</v>
      </c>
      <c r="H909" s="97">
        <v>3.8832339999999999</v>
      </c>
      <c r="I909" s="98">
        <v>3897574.7831620001</v>
      </c>
      <c r="J909" s="97">
        <v>2.8271847168407072</v>
      </c>
      <c r="K909" s="98">
        <v>1059949.2731620001</v>
      </c>
      <c r="L909" s="99">
        <v>0</v>
      </c>
      <c r="M909" s="98">
        <v>0</v>
      </c>
      <c r="N909" s="99">
        <v>0</v>
      </c>
      <c r="O909" s="98">
        <v>0</v>
      </c>
      <c r="P909" s="99">
        <v>1003693</v>
      </c>
      <c r="Q909" s="98">
        <v>3897574.7831620001</v>
      </c>
      <c r="R909" s="96" t="s">
        <v>625</v>
      </c>
      <c r="S909" s="96">
        <v>7414000005</v>
      </c>
      <c r="AA909" s="131" t="s">
        <v>501</v>
      </c>
      <c r="AB909" s="130">
        <v>6231681.5</v>
      </c>
      <c r="AC909" s="130">
        <v>6231681.5</v>
      </c>
    </row>
    <row r="910" spans="1:29" x14ac:dyDescent="0.25">
      <c r="A910" t="str">
        <f t="shared" si="15"/>
        <v xml:space="preserve">65501285111STERGOB ED          </v>
      </c>
      <c r="B910" s="96">
        <v>65501285111</v>
      </c>
      <c r="C910" s="96" t="s">
        <v>740</v>
      </c>
      <c r="D910" s="96" t="s">
        <v>407</v>
      </c>
      <c r="E910" s="96" t="s">
        <v>623</v>
      </c>
      <c r="F910" s="96" t="s">
        <v>624</v>
      </c>
      <c r="G910" s="99">
        <v>3046859</v>
      </c>
      <c r="H910" s="97">
        <v>2.7668819999999998</v>
      </c>
      <c r="I910" s="98">
        <v>8430299.3236379996</v>
      </c>
      <c r="J910" s="97">
        <v>2.3501809995145821</v>
      </c>
      <c r="K910" s="98">
        <v>1269629.1936379999</v>
      </c>
      <c r="L910" s="99">
        <v>0</v>
      </c>
      <c r="M910" s="98">
        <v>0</v>
      </c>
      <c r="N910" s="99">
        <v>0</v>
      </c>
      <c r="O910" s="98">
        <v>0</v>
      </c>
      <c r="P910" s="99">
        <v>3046859</v>
      </c>
      <c r="Q910" s="98">
        <v>8430299.3236379996</v>
      </c>
      <c r="R910" s="96" t="s">
        <v>625</v>
      </c>
      <c r="S910" s="96">
        <v>7414000005</v>
      </c>
      <c r="AA910" s="131" t="s">
        <v>507</v>
      </c>
      <c r="AB910" s="130">
        <v>1444781.2786399999</v>
      </c>
      <c r="AC910" s="130">
        <v>1444781.2786399999</v>
      </c>
    </row>
    <row r="911" spans="1:29" x14ac:dyDescent="0.25">
      <c r="A911" t="str">
        <f t="shared" si="15"/>
        <v xml:space="preserve">65501285111STRGOB2 ED          </v>
      </c>
      <c r="B911" s="96">
        <v>65501372909</v>
      </c>
      <c r="C911" s="96" t="s">
        <v>741</v>
      </c>
      <c r="D911" s="96" t="s">
        <v>411</v>
      </c>
      <c r="E911" s="96" t="s">
        <v>623</v>
      </c>
      <c r="F911" s="96" t="s">
        <v>624</v>
      </c>
      <c r="G911" s="99">
        <v>8733529</v>
      </c>
      <c r="H911" s="97">
        <v>3.4985729999999999</v>
      </c>
      <c r="I911" s="98">
        <v>30554888.754117001</v>
      </c>
      <c r="J911" s="97">
        <v>3.4433976906700603</v>
      </c>
      <c r="K911" s="98">
        <v>481875.16411700001</v>
      </c>
      <c r="L911" s="99">
        <v>0</v>
      </c>
      <c r="M911" s="98">
        <v>0</v>
      </c>
      <c r="N911" s="99">
        <v>0</v>
      </c>
      <c r="O911" s="98">
        <v>0</v>
      </c>
      <c r="P911" s="99">
        <v>8733529</v>
      </c>
      <c r="Q911" s="98">
        <v>30554888.754117001</v>
      </c>
      <c r="R911" s="96" t="s">
        <v>625</v>
      </c>
      <c r="S911" s="96">
        <v>7414000005</v>
      </c>
      <c r="AA911" s="129">
        <v>2141256</v>
      </c>
      <c r="AB911" s="130">
        <v>190160.83861200002</v>
      </c>
      <c r="AC911" s="130">
        <v>190160.83861200002</v>
      </c>
    </row>
    <row r="912" spans="1:29" x14ac:dyDescent="0.25">
      <c r="A912" t="str">
        <f t="shared" si="15"/>
        <v xml:space="preserve">65501285111SVIVE60 ED          </v>
      </c>
      <c r="B912" s="96">
        <v>65501387259</v>
      </c>
      <c r="C912" s="96" t="s">
        <v>742</v>
      </c>
      <c r="D912" s="96" t="s">
        <v>480</v>
      </c>
      <c r="E912" s="96" t="s">
        <v>623</v>
      </c>
      <c r="F912" s="96" t="s">
        <v>624</v>
      </c>
      <c r="G912" s="99">
        <v>31744931</v>
      </c>
      <c r="H912" s="97">
        <v>3.612981</v>
      </c>
      <c r="I912" s="98">
        <v>114693832.549311</v>
      </c>
      <c r="J912" s="97">
        <v>3.5377382593775364</v>
      </c>
      <c r="K912" s="98">
        <v>2388575.609311</v>
      </c>
      <c r="L912" s="99">
        <v>0</v>
      </c>
      <c r="M912" s="98">
        <v>0</v>
      </c>
      <c r="N912" s="99">
        <v>0</v>
      </c>
      <c r="O912" s="98">
        <v>0</v>
      </c>
      <c r="P912" s="99">
        <v>31744931</v>
      </c>
      <c r="Q912" s="98">
        <v>114693832.549311</v>
      </c>
      <c r="R912" s="96" t="s">
        <v>625</v>
      </c>
      <c r="S912" s="96">
        <v>7414000005</v>
      </c>
      <c r="AA912" s="131" t="s">
        <v>389</v>
      </c>
      <c r="AB912" s="130">
        <v>116302.076508</v>
      </c>
      <c r="AC912" s="130">
        <v>116302.076508</v>
      </c>
    </row>
    <row r="913" spans="1:29" x14ac:dyDescent="0.25">
      <c r="A913" t="str">
        <f t="shared" si="15"/>
        <v xml:space="preserve">65501372909STERGOB B2          </v>
      </c>
      <c r="B913" s="96">
        <v>65501902345</v>
      </c>
      <c r="C913" s="96" t="s">
        <v>743</v>
      </c>
      <c r="D913" s="96" t="s">
        <v>431</v>
      </c>
      <c r="E913" s="96" t="s">
        <v>623</v>
      </c>
      <c r="F913" s="96" t="s">
        <v>624</v>
      </c>
      <c r="G913" s="99">
        <v>8590349</v>
      </c>
      <c r="H913" s="97">
        <v>3.4005040000000002</v>
      </c>
      <c r="I913" s="98">
        <v>29211516.135896001</v>
      </c>
      <c r="J913" s="97">
        <v>3.3522186281372268</v>
      </c>
      <c r="K913" s="98">
        <v>414788.19589600002</v>
      </c>
      <c r="L913" s="99">
        <v>0</v>
      </c>
      <c r="M913" s="98">
        <v>0</v>
      </c>
      <c r="N913" s="99">
        <v>0</v>
      </c>
      <c r="O913" s="98">
        <v>0</v>
      </c>
      <c r="P913" s="99">
        <v>8590349</v>
      </c>
      <c r="Q913" s="98">
        <v>29211516.135896001</v>
      </c>
      <c r="R913" s="96" t="s">
        <v>625</v>
      </c>
      <c r="S913" s="96">
        <v>7414000005</v>
      </c>
      <c r="AA913" s="131" t="s">
        <v>358</v>
      </c>
      <c r="AB913" s="130">
        <v>35730</v>
      </c>
      <c r="AC913" s="130">
        <v>35730</v>
      </c>
    </row>
    <row r="914" spans="1:29" x14ac:dyDescent="0.25">
      <c r="A914" t="str">
        <f t="shared" si="15"/>
        <v xml:space="preserve">65501387259STERGOB B4          </v>
      </c>
      <c r="B914" s="96">
        <v>65502128155</v>
      </c>
      <c r="C914" s="96" t="s">
        <v>744</v>
      </c>
      <c r="D914" s="96" t="s">
        <v>479</v>
      </c>
      <c r="E914" s="96" t="s">
        <v>623</v>
      </c>
      <c r="F914" s="96" t="s">
        <v>624</v>
      </c>
      <c r="G914" s="99">
        <v>41156258</v>
      </c>
      <c r="H914" s="97">
        <v>3.4588809999999999</v>
      </c>
      <c r="I914" s="98">
        <v>142354598.82729799</v>
      </c>
      <c r="J914" s="97">
        <v>3.3872863533900484</v>
      </c>
      <c r="K914" s="98">
        <v>2946567.7472979999</v>
      </c>
      <c r="L914" s="99">
        <v>0</v>
      </c>
      <c r="M914" s="98">
        <v>0</v>
      </c>
      <c r="N914" s="99">
        <v>0</v>
      </c>
      <c r="O914" s="98">
        <v>0</v>
      </c>
      <c r="P914" s="99">
        <v>41156258</v>
      </c>
      <c r="Q914" s="98">
        <v>142354598.82729799</v>
      </c>
      <c r="R914" s="96" t="s">
        <v>625</v>
      </c>
      <c r="S914" s="96">
        <v>7414000005</v>
      </c>
      <c r="AA914" s="131" t="s">
        <v>430</v>
      </c>
      <c r="AB914" s="130">
        <v>35785.055999999997</v>
      </c>
      <c r="AC914" s="130">
        <v>35785.055999999997</v>
      </c>
    </row>
    <row r="915" spans="1:29" x14ac:dyDescent="0.25">
      <c r="A915" t="str">
        <f t="shared" si="15"/>
        <v xml:space="preserve">65501902345STERGOB B1          </v>
      </c>
      <c r="B915" s="96">
        <v>65502262917</v>
      </c>
      <c r="C915" s="96" t="s">
        <v>745</v>
      </c>
      <c r="D915" s="96" t="s">
        <v>389</v>
      </c>
      <c r="E915" s="96" t="s">
        <v>623</v>
      </c>
      <c r="F915" s="96" t="s">
        <v>624</v>
      </c>
      <c r="G915" s="99">
        <v>7566899</v>
      </c>
      <c r="H915" s="97">
        <v>3.3967719999999999</v>
      </c>
      <c r="I915" s="98">
        <v>25703030.650028002</v>
      </c>
      <c r="J915" s="97">
        <v>3.0195272647355278</v>
      </c>
      <c r="K915" s="98">
        <v>2854572.8100279998</v>
      </c>
      <c r="L915" s="99">
        <v>0</v>
      </c>
      <c r="M915" s="98">
        <v>0</v>
      </c>
      <c r="N915" s="99">
        <v>0</v>
      </c>
      <c r="O915" s="98">
        <v>0</v>
      </c>
      <c r="P915" s="99">
        <v>7566899</v>
      </c>
      <c r="Q915" s="98">
        <v>25703030.650028002</v>
      </c>
      <c r="R915" s="96" t="s">
        <v>625</v>
      </c>
      <c r="S915" s="96">
        <v>7414000005</v>
      </c>
      <c r="AA915" s="131" t="s">
        <v>422</v>
      </c>
      <c r="AB915" s="130">
        <v>2343.7061039999999</v>
      </c>
      <c r="AC915" s="130">
        <v>2343.7061039999999</v>
      </c>
    </row>
    <row r="916" spans="1:29" x14ac:dyDescent="0.25">
      <c r="A916" t="str">
        <f t="shared" si="15"/>
        <v xml:space="preserve">65502128155STERGOB B5          </v>
      </c>
      <c r="B916" s="96">
        <v>65502313952</v>
      </c>
      <c r="C916" s="96" t="s">
        <v>746</v>
      </c>
      <c r="D916" s="96" t="s">
        <v>479</v>
      </c>
      <c r="E916" s="96" t="s">
        <v>623</v>
      </c>
      <c r="F916" s="96" t="s">
        <v>624</v>
      </c>
      <c r="G916" s="99">
        <v>482045523</v>
      </c>
      <c r="H916" s="97">
        <v>3.4588809999999999</v>
      </c>
      <c r="I916" s="98">
        <v>1667338100.6397631</v>
      </c>
      <c r="J916" s="97">
        <v>2.5021924553586197</v>
      </c>
      <c r="K916" s="98">
        <v>461167429.84976298</v>
      </c>
      <c r="L916" s="99">
        <v>0</v>
      </c>
      <c r="M916" s="98">
        <v>0</v>
      </c>
      <c r="N916" s="99">
        <v>0</v>
      </c>
      <c r="O916" s="98">
        <v>0</v>
      </c>
      <c r="P916" s="99">
        <v>482045523</v>
      </c>
      <c r="Q916" s="98">
        <v>1667338100.6397631</v>
      </c>
      <c r="R916" s="96" t="s">
        <v>625</v>
      </c>
      <c r="S916" s="96">
        <v>7414000005</v>
      </c>
      <c r="AA916" s="129">
        <v>2141264</v>
      </c>
      <c r="AB916" s="130">
        <v>173770677.50929102</v>
      </c>
      <c r="AC916" s="130">
        <v>173770677.50929102</v>
      </c>
    </row>
    <row r="917" spans="1:29" x14ac:dyDescent="0.25">
      <c r="A917" t="str">
        <f t="shared" si="15"/>
        <v xml:space="preserve">65502262917STERGOB ED          </v>
      </c>
      <c r="B917" s="96">
        <v>65502334887</v>
      </c>
      <c r="C917" s="96" t="s">
        <v>747</v>
      </c>
      <c r="D917" s="96" t="s">
        <v>434</v>
      </c>
      <c r="E917" s="96" t="s">
        <v>623</v>
      </c>
      <c r="F917" s="96" t="s">
        <v>624</v>
      </c>
      <c r="G917" s="99">
        <v>79330</v>
      </c>
      <c r="H917" s="97">
        <v>99.629997000000003</v>
      </c>
      <c r="I917" s="98">
        <v>7903647.6620100001</v>
      </c>
      <c r="J917" s="97">
        <v>99.126983839999994</v>
      </c>
      <c r="K917" s="98">
        <v>39904.0339828</v>
      </c>
      <c r="L917" s="99">
        <v>0</v>
      </c>
      <c r="M917" s="98">
        <v>0</v>
      </c>
      <c r="N917" s="99">
        <v>0</v>
      </c>
      <c r="O917" s="98">
        <v>0</v>
      </c>
      <c r="P917" s="99">
        <v>79330</v>
      </c>
      <c r="Q917" s="98">
        <v>7903647.6620100001</v>
      </c>
      <c r="R917" s="96" t="s">
        <v>625</v>
      </c>
      <c r="S917" s="96">
        <v>7414000005</v>
      </c>
      <c r="AA917" s="131" t="s">
        <v>376</v>
      </c>
      <c r="AB917" s="130">
        <v>2701715.3905560002</v>
      </c>
      <c r="AC917" s="130">
        <v>2701715.3905560002</v>
      </c>
    </row>
    <row r="918" spans="1:29" x14ac:dyDescent="0.25">
      <c r="A918" t="str">
        <f t="shared" si="15"/>
        <v xml:space="preserve">65502313952STERGOB B5          </v>
      </c>
      <c r="B918" s="96">
        <v>65502334887</v>
      </c>
      <c r="C918" s="96" t="s">
        <v>747</v>
      </c>
      <c r="D918" s="96" t="s">
        <v>375</v>
      </c>
      <c r="E918" s="96" t="s">
        <v>623</v>
      </c>
      <c r="F918" s="96" t="s">
        <v>624</v>
      </c>
      <c r="G918" s="99">
        <v>101210</v>
      </c>
      <c r="H918" s="97">
        <v>98.730349000000004</v>
      </c>
      <c r="I918" s="98">
        <v>9992498.6222900003</v>
      </c>
      <c r="J918" s="97">
        <v>103.92405345210058</v>
      </c>
      <c r="K918" s="98">
        <v>-525654.82759710005</v>
      </c>
      <c r="L918" s="99">
        <v>0</v>
      </c>
      <c r="M918" s="98">
        <v>0</v>
      </c>
      <c r="N918" s="99">
        <v>0</v>
      </c>
      <c r="O918" s="98">
        <v>0</v>
      </c>
      <c r="P918" s="99">
        <v>101210</v>
      </c>
      <c r="Q918" s="98">
        <v>9992498.6222900003</v>
      </c>
      <c r="R918" s="96" t="s">
        <v>625</v>
      </c>
      <c r="S918" s="96">
        <v>7414000005</v>
      </c>
      <c r="AA918" s="131" t="s">
        <v>378</v>
      </c>
      <c r="AB918" s="130">
        <v>2671784.724649</v>
      </c>
      <c r="AC918" s="130">
        <v>2671784.724649</v>
      </c>
    </row>
    <row r="919" spans="1:29" x14ac:dyDescent="0.25">
      <c r="A919" t="str">
        <f t="shared" si="15"/>
        <v xml:space="preserve">65502334887BPA182 270121       </v>
      </c>
      <c r="B919" s="96">
        <v>65502334887</v>
      </c>
      <c r="C919" s="96" t="s">
        <v>747</v>
      </c>
      <c r="D919" s="96" t="s">
        <v>376</v>
      </c>
      <c r="E919" s="96" t="s">
        <v>623</v>
      </c>
      <c r="F919" s="96" t="s">
        <v>624</v>
      </c>
      <c r="G919" s="99">
        <v>87888</v>
      </c>
      <c r="H919" s="97">
        <v>99.247497999999993</v>
      </c>
      <c r="I919" s="98">
        <v>8722664.1042240001</v>
      </c>
      <c r="J919" s="97">
        <v>109.95921347146482</v>
      </c>
      <c r="K919" s="98">
        <v>-941431.24935609999</v>
      </c>
      <c r="L919" s="99">
        <v>0</v>
      </c>
      <c r="M919" s="98">
        <v>0</v>
      </c>
      <c r="N919" s="99">
        <v>0</v>
      </c>
      <c r="O919" s="98">
        <v>0</v>
      </c>
      <c r="P919" s="99">
        <v>87888</v>
      </c>
      <c r="Q919" s="98">
        <v>8722664.1042240001</v>
      </c>
      <c r="R919" s="96" t="s">
        <v>625</v>
      </c>
      <c r="S919" s="96">
        <v>7414000005</v>
      </c>
      <c r="AA919" s="131" t="s">
        <v>380</v>
      </c>
      <c r="AB919" s="130">
        <v>2873143.97168</v>
      </c>
      <c r="AC919" s="130">
        <v>2873143.97168</v>
      </c>
    </row>
    <row r="920" spans="1:29" x14ac:dyDescent="0.25">
      <c r="A920" t="str">
        <f t="shared" si="15"/>
        <v xml:space="preserve">65502334887GOBFED 240905       </v>
      </c>
      <c r="B920" s="96">
        <v>65502334887</v>
      </c>
      <c r="C920" s="96" t="s">
        <v>747</v>
      </c>
      <c r="D920" s="96" t="s">
        <v>378</v>
      </c>
      <c r="E920" s="96" t="s">
        <v>623</v>
      </c>
      <c r="F920" s="96" t="s">
        <v>624</v>
      </c>
      <c r="G920" s="99">
        <v>39705</v>
      </c>
      <c r="H920" s="97">
        <v>91.911821000000003</v>
      </c>
      <c r="I920" s="98">
        <v>3649358.8528049998</v>
      </c>
      <c r="J920" s="97">
        <v>88.555839661137142</v>
      </c>
      <c r="K920" s="98">
        <v>133249.23905954999</v>
      </c>
      <c r="L920" s="99">
        <v>0</v>
      </c>
      <c r="M920" s="98">
        <v>0</v>
      </c>
      <c r="N920" s="99">
        <v>0</v>
      </c>
      <c r="O920" s="98">
        <v>0</v>
      </c>
      <c r="P920" s="99">
        <v>39705</v>
      </c>
      <c r="Q920" s="98">
        <v>3649358.8528049998</v>
      </c>
      <c r="R920" s="96" t="s">
        <v>625</v>
      </c>
      <c r="S920" s="96">
        <v>7414000005</v>
      </c>
      <c r="AA920" s="131" t="s">
        <v>382</v>
      </c>
      <c r="AB920" s="130">
        <v>3366325.204905</v>
      </c>
      <c r="AC920" s="130">
        <v>3366325.204905</v>
      </c>
    </row>
    <row r="921" spans="1:29" x14ac:dyDescent="0.25">
      <c r="A921" t="str">
        <f t="shared" si="15"/>
        <v xml:space="preserve">65502334887GOBFED 241205       </v>
      </c>
      <c r="B921" s="96">
        <v>65502334887</v>
      </c>
      <c r="C921" s="96" t="s">
        <v>747</v>
      </c>
      <c r="D921" s="96" t="s">
        <v>380</v>
      </c>
      <c r="E921" s="96" t="s">
        <v>623</v>
      </c>
      <c r="F921" s="96" t="s">
        <v>624</v>
      </c>
      <c r="G921" s="99">
        <v>82833</v>
      </c>
      <c r="H921" s="97">
        <v>93.314192000000006</v>
      </c>
      <c r="I921" s="98">
        <v>7729494.4659360005</v>
      </c>
      <c r="J921" s="97">
        <v>98.419059661250103</v>
      </c>
      <c r="K921" s="98">
        <v>-422851.50298433</v>
      </c>
      <c r="L921" s="99">
        <v>0</v>
      </c>
      <c r="M921" s="98">
        <v>0</v>
      </c>
      <c r="N921" s="99">
        <v>0</v>
      </c>
      <c r="O921" s="98">
        <v>0</v>
      </c>
      <c r="P921" s="99">
        <v>82833</v>
      </c>
      <c r="Q921" s="98">
        <v>7729494.4659360005</v>
      </c>
      <c r="R921" s="96" t="s">
        <v>625</v>
      </c>
      <c r="S921" s="96">
        <v>7414000005</v>
      </c>
      <c r="AA921" s="131" t="s">
        <v>427</v>
      </c>
      <c r="AB921" s="130">
        <v>4720534.9735679999</v>
      </c>
      <c r="AC921" s="130">
        <v>4720534.9735679999</v>
      </c>
    </row>
    <row r="922" spans="1:29" x14ac:dyDescent="0.25">
      <c r="A922" t="str">
        <f t="shared" si="15"/>
        <v xml:space="preserve">65502334887GOBFED 260305       </v>
      </c>
      <c r="B922" s="96">
        <v>65502334887</v>
      </c>
      <c r="C922" s="96" t="s">
        <v>747</v>
      </c>
      <c r="D922" s="96" t="s">
        <v>381</v>
      </c>
      <c r="E922" s="96" t="s">
        <v>623</v>
      </c>
      <c r="F922" s="96" t="s">
        <v>624</v>
      </c>
      <c r="G922" s="99">
        <v>251593</v>
      </c>
      <c r="H922" s="97">
        <v>94.870157000000006</v>
      </c>
      <c r="I922" s="98">
        <v>23868667.410101</v>
      </c>
      <c r="J922" s="97">
        <v>103.66754044143859</v>
      </c>
      <c r="K922" s="98">
        <v>-2213360.09218186</v>
      </c>
      <c r="L922" s="99">
        <v>0</v>
      </c>
      <c r="M922" s="98">
        <v>0</v>
      </c>
      <c r="N922" s="99">
        <v>0</v>
      </c>
      <c r="O922" s="98">
        <v>0</v>
      </c>
      <c r="P922" s="99">
        <v>251593</v>
      </c>
      <c r="Q922" s="98">
        <v>23868667.410101</v>
      </c>
      <c r="R922" s="96" t="s">
        <v>625</v>
      </c>
      <c r="S922" s="96">
        <v>7414000005</v>
      </c>
      <c r="AA922" s="131" t="s">
        <v>418</v>
      </c>
      <c r="AB922" s="130">
        <v>241859.10294400001</v>
      </c>
      <c r="AC922" s="130">
        <v>241859.10294400001</v>
      </c>
    </row>
    <row r="923" spans="1:29" x14ac:dyDescent="0.25">
      <c r="A923" t="str">
        <f t="shared" si="15"/>
        <v xml:space="preserve">65502334887GOBFED 270603       </v>
      </c>
      <c r="B923" s="96">
        <v>65502334887</v>
      </c>
      <c r="C923" s="96" t="s">
        <v>747</v>
      </c>
      <c r="D923" s="96" t="s">
        <v>382</v>
      </c>
      <c r="E923" s="96" t="s">
        <v>623</v>
      </c>
      <c r="F923" s="96" t="s">
        <v>624</v>
      </c>
      <c r="G923" s="99">
        <v>1396890</v>
      </c>
      <c r="H923" s="97">
        <v>89.489464999999996</v>
      </c>
      <c r="I923" s="98">
        <v>125006938.76385</v>
      </c>
      <c r="J923" s="97">
        <v>94.429479527766901</v>
      </c>
      <c r="K923" s="98">
        <v>-6900656.8936922997</v>
      </c>
      <c r="L923" s="99">
        <v>0</v>
      </c>
      <c r="M923" s="98">
        <v>0</v>
      </c>
      <c r="N923" s="99">
        <v>0</v>
      </c>
      <c r="O923" s="98">
        <v>0</v>
      </c>
      <c r="P923" s="99">
        <v>1396890</v>
      </c>
      <c r="Q923" s="98">
        <v>125006938.76385</v>
      </c>
      <c r="R923" s="96" t="s">
        <v>625</v>
      </c>
      <c r="S923" s="96">
        <v>7414000005</v>
      </c>
      <c r="AA923" s="131" t="s">
        <v>408</v>
      </c>
      <c r="AB923" s="130">
        <v>202772.855064</v>
      </c>
      <c r="AC923" s="130">
        <v>202772.855064</v>
      </c>
    </row>
    <row r="924" spans="1:29" x14ac:dyDescent="0.25">
      <c r="A924" t="str">
        <f t="shared" si="15"/>
        <v xml:space="preserve">65502334887GOBFED 290531       </v>
      </c>
      <c r="B924" s="96">
        <v>65502334887</v>
      </c>
      <c r="C924" s="96" t="s">
        <v>747</v>
      </c>
      <c r="D924" s="96" t="s">
        <v>383</v>
      </c>
      <c r="E924" s="96" t="s">
        <v>623</v>
      </c>
      <c r="F924" s="96" t="s">
        <v>624</v>
      </c>
      <c r="G924" s="99">
        <v>1215270</v>
      </c>
      <c r="H924" s="97">
        <v>86.197128000000006</v>
      </c>
      <c r="I924" s="98">
        <v>104752783.74456</v>
      </c>
      <c r="J924" s="97">
        <v>91.512189790675734</v>
      </c>
      <c r="K924" s="98">
        <v>-6459235.1423544995</v>
      </c>
      <c r="L924" s="99">
        <v>0</v>
      </c>
      <c r="M924" s="98">
        <v>0</v>
      </c>
      <c r="N924" s="99">
        <v>0</v>
      </c>
      <c r="O924" s="98">
        <v>0</v>
      </c>
      <c r="P924" s="99">
        <v>1215270</v>
      </c>
      <c r="Q924" s="98">
        <v>104752783.74456</v>
      </c>
      <c r="R924" s="96" t="s">
        <v>625</v>
      </c>
      <c r="S924" s="96">
        <v>7414000005</v>
      </c>
      <c r="AA924" s="131" t="s">
        <v>384</v>
      </c>
      <c r="AB924" s="130">
        <v>4675217.5754199997</v>
      </c>
      <c r="AC924" s="130">
        <v>4675217.5754199997</v>
      </c>
    </row>
    <row r="925" spans="1:29" x14ac:dyDescent="0.25">
      <c r="A925" t="str">
        <f t="shared" si="15"/>
        <v xml:space="preserve">65502334887GOBFED 310529       </v>
      </c>
      <c r="B925" s="96">
        <v>65502334887</v>
      </c>
      <c r="C925" s="96" t="s">
        <v>747</v>
      </c>
      <c r="D925" s="96" t="s">
        <v>427</v>
      </c>
      <c r="E925" s="96" t="s">
        <v>623</v>
      </c>
      <c r="F925" s="96" t="s">
        <v>624</v>
      </c>
      <c r="G925" s="99">
        <v>201516</v>
      </c>
      <c r="H925" s="97">
        <v>86.469353999999996</v>
      </c>
      <c r="I925" s="98">
        <v>17424958.340663999</v>
      </c>
      <c r="J925" s="97">
        <v>96.442378827576775</v>
      </c>
      <c r="K925" s="98">
        <v>-2009724.07115396</v>
      </c>
      <c r="L925" s="99">
        <v>0</v>
      </c>
      <c r="M925" s="98">
        <v>0</v>
      </c>
      <c r="N925" s="99">
        <v>0</v>
      </c>
      <c r="O925" s="98">
        <v>0</v>
      </c>
      <c r="P925" s="99">
        <v>201516</v>
      </c>
      <c r="Q925" s="98">
        <v>17424958.340663999</v>
      </c>
      <c r="R925" s="96" t="s">
        <v>625</v>
      </c>
      <c r="S925" s="96">
        <v>7414000005</v>
      </c>
      <c r="AA925" s="131" t="s">
        <v>389</v>
      </c>
      <c r="AB925" s="130">
        <v>8176240.8038640004</v>
      </c>
      <c r="AC925" s="130">
        <v>8176240.8038640004</v>
      </c>
    </row>
    <row r="926" spans="1:29" x14ac:dyDescent="0.25">
      <c r="A926" t="str">
        <f t="shared" si="15"/>
        <v xml:space="preserve">65502334887GOBFED 330526       </v>
      </c>
      <c r="B926" s="96">
        <v>65502334887</v>
      </c>
      <c r="C926" s="96" t="s">
        <v>747</v>
      </c>
      <c r="D926" s="96" t="s">
        <v>418</v>
      </c>
      <c r="E926" s="96" t="s">
        <v>623</v>
      </c>
      <c r="F926" s="96" t="s">
        <v>624</v>
      </c>
      <c r="G926" s="99">
        <v>37130</v>
      </c>
      <c r="H926" s="97">
        <v>101.45096599999999</v>
      </c>
      <c r="I926" s="98">
        <v>3766874.3675799998</v>
      </c>
      <c r="J926" s="97">
        <v>113.80792308148936</v>
      </c>
      <c r="K926" s="98">
        <v>-458813.81643569999</v>
      </c>
      <c r="L926" s="99">
        <v>0</v>
      </c>
      <c r="M926" s="98">
        <v>0</v>
      </c>
      <c r="N926" s="99">
        <v>0</v>
      </c>
      <c r="O926" s="98">
        <v>0</v>
      </c>
      <c r="P926" s="99">
        <v>37130</v>
      </c>
      <c r="Q926" s="98">
        <v>3766874.3675799998</v>
      </c>
      <c r="R926" s="96" t="s">
        <v>625</v>
      </c>
      <c r="S926" s="96">
        <v>7414000005</v>
      </c>
      <c r="AA926" s="131" t="s">
        <v>391</v>
      </c>
      <c r="AB926" s="130">
        <v>3901729.6886100001</v>
      </c>
      <c r="AC926" s="130">
        <v>3901729.6886100001</v>
      </c>
    </row>
    <row r="927" spans="1:29" x14ac:dyDescent="0.25">
      <c r="A927" t="str">
        <f t="shared" si="15"/>
        <v xml:space="preserve">65502334887GOBFED 341123       </v>
      </c>
      <c r="B927" s="96">
        <v>65502334887</v>
      </c>
      <c r="C927" s="96" t="s">
        <v>747</v>
      </c>
      <c r="D927" s="96" t="s">
        <v>408</v>
      </c>
      <c r="E927" s="96" t="s">
        <v>623</v>
      </c>
      <c r="F927" s="96" t="s">
        <v>624</v>
      </c>
      <c r="G927" s="99">
        <v>109154</v>
      </c>
      <c r="H927" s="97">
        <v>89.643172000000007</v>
      </c>
      <c r="I927" s="98">
        <v>9784910.7964880001</v>
      </c>
      <c r="J927" s="97">
        <v>106.3161803750087</v>
      </c>
      <c r="K927" s="98">
        <v>-1819925.5561657001</v>
      </c>
      <c r="L927" s="99">
        <v>0</v>
      </c>
      <c r="M927" s="98">
        <v>0</v>
      </c>
      <c r="N927" s="99">
        <v>0</v>
      </c>
      <c r="O927" s="98">
        <v>0</v>
      </c>
      <c r="P927" s="99">
        <v>109154</v>
      </c>
      <c r="Q927" s="98">
        <v>9784910.7964880001</v>
      </c>
      <c r="R927" s="96" t="s">
        <v>625</v>
      </c>
      <c r="S927" s="96">
        <v>7414000005</v>
      </c>
      <c r="AA927" s="131" t="s">
        <v>395</v>
      </c>
      <c r="AB927" s="130">
        <v>2569982.1586250002</v>
      </c>
      <c r="AC927" s="130">
        <v>2569982.1586250002</v>
      </c>
    </row>
    <row r="928" spans="1:29" x14ac:dyDescent="0.25">
      <c r="A928" t="str">
        <f t="shared" si="15"/>
        <v xml:space="preserve">65502334887GOBFED 361120       </v>
      </c>
      <c r="B928" s="96">
        <v>65502334887</v>
      </c>
      <c r="C928" s="96" t="s">
        <v>747</v>
      </c>
      <c r="D928" s="96" t="s">
        <v>459</v>
      </c>
      <c r="E928" s="96" t="s">
        <v>623</v>
      </c>
      <c r="F928" s="96" t="s">
        <v>624</v>
      </c>
      <c r="G928" s="99">
        <v>14461203</v>
      </c>
      <c r="H928" s="97">
        <v>4.5848760000000004</v>
      </c>
      <c r="I928" s="98">
        <v>66302822.565828003</v>
      </c>
      <c r="J928" s="97">
        <v>4.0227219996842587</v>
      </c>
      <c r="K928" s="98">
        <v>8129423.115828</v>
      </c>
      <c r="L928" s="99">
        <v>0</v>
      </c>
      <c r="M928" s="98">
        <v>0</v>
      </c>
      <c r="N928" s="99">
        <v>0</v>
      </c>
      <c r="O928" s="98">
        <v>0</v>
      </c>
      <c r="P928" s="99">
        <v>14461203</v>
      </c>
      <c r="Q928" s="98">
        <v>66302822.565828003</v>
      </c>
      <c r="R928" s="96" t="s">
        <v>625</v>
      </c>
      <c r="S928" s="96">
        <v>7414000005</v>
      </c>
      <c r="AA928" s="131" t="s">
        <v>396</v>
      </c>
      <c r="AB928" s="130">
        <v>2789684.87824</v>
      </c>
      <c r="AC928" s="130">
        <v>2789684.87824</v>
      </c>
    </row>
    <row r="929" spans="1:29" x14ac:dyDescent="0.25">
      <c r="A929" t="str">
        <f t="shared" si="15"/>
        <v xml:space="preserve">65502334887GOBFED 381118       </v>
      </c>
      <c r="B929" s="96">
        <v>65502334887</v>
      </c>
      <c r="C929" s="96" t="s">
        <v>747</v>
      </c>
      <c r="D929" s="96" t="s">
        <v>389</v>
      </c>
      <c r="E929" s="96" t="s">
        <v>623</v>
      </c>
      <c r="F929" s="96" t="s">
        <v>624</v>
      </c>
      <c r="G929" s="99">
        <v>3464902</v>
      </c>
      <c r="H929" s="97">
        <v>3.3967719999999999</v>
      </c>
      <c r="I929" s="98">
        <v>11769482.096344</v>
      </c>
      <c r="J929" s="97">
        <v>3.3772509987295458</v>
      </c>
      <c r="K929" s="98">
        <v>67638.356344</v>
      </c>
      <c r="L929" s="99">
        <v>0</v>
      </c>
      <c r="M929" s="98">
        <v>0</v>
      </c>
      <c r="N929" s="99">
        <v>0</v>
      </c>
      <c r="O929" s="98">
        <v>0</v>
      </c>
      <c r="P929" s="99">
        <v>3464902</v>
      </c>
      <c r="Q929" s="98">
        <v>11769482.096344</v>
      </c>
      <c r="R929" s="96" t="s">
        <v>625</v>
      </c>
      <c r="S929" s="96">
        <v>7414000005</v>
      </c>
      <c r="AA929" s="131" t="s">
        <v>398</v>
      </c>
      <c r="AB929" s="130">
        <v>3150311.019781</v>
      </c>
      <c r="AC929" s="130">
        <v>3150311.019781</v>
      </c>
    </row>
    <row r="930" spans="1:29" x14ac:dyDescent="0.25">
      <c r="A930" t="str">
        <f t="shared" si="15"/>
        <v xml:space="preserve">65502334887STER-OP ED          </v>
      </c>
      <c r="B930" s="96">
        <v>65502334887</v>
      </c>
      <c r="C930" s="96" t="s">
        <v>747</v>
      </c>
      <c r="D930" s="96" t="s">
        <v>417</v>
      </c>
      <c r="E930" s="96" t="s">
        <v>623</v>
      </c>
      <c r="F930" s="96" t="s">
        <v>624</v>
      </c>
      <c r="G930" s="99">
        <v>27598227</v>
      </c>
      <c r="H930" s="97">
        <v>3.8832339999999999</v>
      </c>
      <c r="I930" s="98">
        <v>107170373.426118</v>
      </c>
      <c r="J930" s="97">
        <v>3.7159555314912076</v>
      </c>
      <c r="K930" s="98">
        <v>4616589.1461180001</v>
      </c>
      <c r="L930" s="99">
        <v>0</v>
      </c>
      <c r="M930" s="98">
        <v>0</v>
      </c>
      <c r="N930" s="99">
        <v>0</v>
      </c>
      <c r="O930" s="98">
        <v>0</v>
      </c>
      <c r="P930" s="99">
        <v>27598227</v>
      </c>
      <c r="Q930" s="98">
        <v>107170373.426118</v>
      </c>
      <c r="R930" s="96" t="s">
        <v>625</v>
      </c>
      <c r="S930" s="96">
        <v>7414000005</v>
      </c>
      <c r="AA930" s="131" t="s">
        <v>357</v>
      </c>
      <c r="AB930" s="130">
        <v>792608</v>
      </c>
      <c r="AC930" s="130">
        <v>792608</v>
      </c>
    </row>
    <row r="931" spans="1:29" x14ac:dyDescent="0.25">
      <c r="A931" t="str">
        <f t="shared" si="15"/>
        <v xml:space="preserve">65502334887STERGOB ED          </v>
      </c>
      <c r="B931" s="96">
        <v>65502334887</v>
      </c>
      <c r="C931" s="96" t="s">
        <v>747</v>
      </c>
      <c r="D931" s="96" t="s">
        <v>391</v>
      </c>
      <c r="E931" s="96" t="s">
        <v>623</v>
      </c>
      <c r="F931" s="96" t="s">
        <v>624</v>
      </c>
      <c r="G931" s="99">
        <v>27623</v>
      </c>
      <c r="H931" s="97">
        <v>775.69178699999998</v>
      </c>
      <c r="I931" s="98">
        <v>21426934.232301001</v>
      </c>
      <c r="J931" s="97">
        <v>648.12360268982366</v>
      </c>
      <c r="K931" s="98">
        <v>3523815.9552000002</v>
      </c>
      <c r="L931" s="99">
        <v>0</v>
      </c>
      <c r="M931" s="98">
        <v>0</v>
      </c>
      <c r="N931" s="99">
        <v>0</v>
      </c>
      <c r="O931" s="98">
        <v>0</v>
      </c>
      <c r="P931" s="99">
        <v>27623</v>
      </c>
      <c r="Q931" s="98">
        <v>21426934.232301001</v>
      </c>
      <c r="R931" s="96" t="s">
        <v>625</v>
      </c>
      <c r="S931" s="96">
        <v>7414000005</v>
      </c>
      <c r="AA931" s="131" t="s">
        <v>617</v>
      </c>
      <c r="AB931" s="130">
        <v>176714</v>
      </c>
      <c r="AC931" s="130">
        <v>176714</v>
      </c>
    </row>
    <row r="932" spans="1:29" x14ac:dyDescent="0.25">
      <c r="A932" t="str">
        <f t="shared" si="15"/>
        <v xml:space="preserve">65502334887STRGOB2 ED          </v>
      </c>
      <c r="B932" s="96">
        <v>65502334887</v>
      </c>
      <c r="C932" s="96" t="s">
        <v>747</v>
      </c>
      <c r="D932" s="96" t="s">
        <v>392</v>
      </c>
      <c r="E932" s="96" t="s">
        <v>623</v>
      </c>
      <c r="F932" s="96" t="s">
        <v>624</v>
      </c>
      <c r="G932" s="99">
        <v>27534</v>
      </c>
      <c r="H932" s="97">
        <v>747.17843200000004</v>
      </c>
      <c r="I932" s="98">
        <v>20572810.946688</v>
      </c>
      <c r="J932" s="97">
        <v>722.20220892999998</v>
      </c>
      <c r="K932" s="98">
        <v>687695.32600938005</v>
      </c>
      <c r="L932" s="99">
        <v>0</v>
      </c>
      <c r="M932" s="98">
        <v>0</v>
      </c>
      <c r="N932" s="99">
        <v>0</v>
      </c>
      <c r="O932" s="98">
        <v>0</v>
      </c>
      <c r="P932" s="99">
        <v>27534</v>
      </c>
      <c r="Q932" s="98">
        <v>20572810.946688</v>
      </c>
      <c r="R932" s="96" t="s">
        <v>625</v>
      </c>
      <c r="S932" s="96">
        <v>7414000005</v>
      </c>
      <c r="AA932" s="131" t="s">
        <v>359</v>
      </c>
      <c r="AB932" s="130">
        <v>968484</v>
      </c>
      <c r="AC932" s="130">
        <v>968484</v>
      </c>
    </row>
    <row r="933" spans="1:29" x14ac:dyDescent="0.25">
      <c r="A933" t="str">
        <f t="shared" si="15"/>
        <v xml:space="preserve">65502334887UDIBONO 251204      </v>
      </c>
      <c r="B933" s="96">
        <v>65502334887</v>
      </c>
      <c r="C933" s="96" t="s">
        <v>747</v>
      </c>
      <c r="D933" s="96" t="s">
        <v>393</v>
      </c>
      <c r="E933" s="96" t="s">
        <v>623</v>
      </c>
      <c r="F933" s="96" t="s">
        <v>624</v>
      </c>
      <c r="G933" s="99">
        <v>24410</v>
      </c>
      <c r="H933" s="97">
        <v>765.92388300000005</v>
      </c>
      <c r="I933" s="98">
        <v>18696201.984030001</v>
      </c>
      <c r="J933" s="97">
        <v>647.13705560405731</v>
      </c>
      <c r="K933" s="98">
        <v>2899586.45673496</v>
      </c>
      <c r="L933" s="99">
        <v>0</v>
      </c>
      <c r="M933" s="98">
        <v>0</v>
      </c>
      <c r="N933" s="99">
        <v>0</v>
      </c>
      <c r="O933" s="98">
        <v>0</v>
      </c>
      <c r="P933" s="99">
        <v>24410</v>
      </c>
      <c r="Q933" s="98">
        <v>18696201.984030001</v>
      </c>
      <c r="R933" s="96" t="s">
        <v>625</v>
      </c>
      <c r="S933" s="96">
        <v>7414000005</v>
      </c>
      <c r="AA933" s="131" t="s">
        <v>551</v>
      </c>
      <c r="AB933" s="130">
        <v>1890324</v>
      </c>
      <c r="AC933" s="130">
        <v>1890324</v>
      </c>
    </row>
    <row r="934" spans="1:29" x14ac:dyDescent="0.25">
      <c r="A934" t="str">
        <f t="shared" si="15"/>
        <v xml:space="preserve">65502334887UDIBONO 261203      </v>
      </c>
      <c r="B934" s="96">
        <v>65502334887</v>
      </c>
      <c r="C934" s="96" t="s">
        <v>747</v>
      </c>
      <c r="D934" s="96" t="s">
        <v>394</v>
      </c>
      <c r="E934" s="96" t="s">
        <v>623</v>
      </c>
      <c r="F934" s="96" t="s">
        <v>624</v>
      </c>
      <c r="G934" s="99">
        <v>80570</v>
      </c>
      <c r="H934" s="97">
        <v>684.88915799999995</v>
      </c>
      <c r="I934" s="98">
        <v>55181519.46006</v>
      </c>
      <c r="J934" s="97">
        <v>685.12663329600343</v>
      </c>
      <c r="K934" s="98">
        <v>-19133.384599000001</v>
      </c>
      <c r="L934" s="99">
        <v>0</v>
      </c>
      <c r="M934" s="98">
        <v>0</v>
      </c>
      <c r="N934" s="99">
        <v>0</v>
      </c>
      <c r="O934" s="98">
        <v>0</v>
      </c>
      <c r="P934" s="99">
        <v>80570</v>
      </c>
      <c r="Q934" s="98">
        <v>55181519.46006</v>
      </c>
      <c r="R934" s="96" t="s">
        <v>625</v>
      </c>
      <c r="S934" s="96">
        <v>7414000005</v>
      </c>
      <c r="AA934" s="131" t="s">
        <v>361</v>
      </c>
      <c r="AB934" s="130">
        <v>580125</v>
      </c>
      <c r="AC934" s="130">
        <v>580125</v>
      </c>
    </row>
    <row r="935" spans="1:29" x14ac:dyDescent="0.25">
      <c r="A935" t="str">
        <f t="shared" si="15"/>
        <v xml:space="preserve">65502334887UDIBONO 281130      </v>
      </c>
      <c r="B935" s="96">
        <v>65502334887</v>
      </c>
      <c r="C935" s="96" t="s">
        <v>747</v>
      </c>
      <c r="D935" s="96" t="s">
        <v>395</v>
      </c>
      <c r="E935" s="96" t="s">
        <v>623</v>
      </c>
      <c r="F935" s="96" t="s">
        <v>624</v>
      </c>
      <c r="G935" s="99">
        <v>15354</v>
      </c>
      <c r="H935" s="97">
        <v>772.926965</v>
      </c>
      <c r="I935" s="98">
        <v>11867520.620610001</v>
      </c>
      <c r="J935" s="97">
        <v>673.78221765191608</v>
      </c>
      <c r="K935" s="98">
        <v>1522268.45078248</v>
      </c>
      <c r="L935" s="99">
        <v>0</v>
      </c>
      <c r="M935" s="98">
        <v>0</v>
      </c>
      <c r="N935" s="99">
        <v>0</v>
      </c>
      <c r="O935" s="98">
        <v>0</v>
      </c>
      <c r="P935" s="99">
        <v>15354</v>
      </c>
      <c r="Q935" s="98">
        <v>11867520.620610001</v>
      </c>
      <c r="R935" s="96" t="s">
        <v>625</v>
      </c>
      <c r="S935" s="96">
        <v>7414000005</v>
      </c>
      <c r="AA935" s="131" t="s">
        <v>362</v>
      </c>
      <c r="AB935" s="130">
        <v>3417705</v>
      </c>
      <c r="AC935" s="130">
        <v>3417705</v>
      </c>
    </row>
    <row r="936" spans="1:29" x14ac:dyDescent="0.25">
      <c r="A936" t="str">
        <f t="shared" si="15"/>
        <v xml:space="preserve">65502334887UDIBONO 311127      </v>
      </c>
      <c r="B936" s="96">
        <v>65502334887</v>
      </c>
      <c r="C936" s="96" t="s">
        <v>747</v>
      </c>
      <c r="D936" s="96" t="s">
        <v>396</v>
      </c>
      <c r="E936" s="96" t="s">
        <v>623</v>
      </c>
      <c r="F936" s="96" t="s">
        <v>624</v>
      </c>
      <c r="G936" s="99">
        <v>34797</v>
      </c>
      <c r="H936" s="97">
        <v>721.59464000000003</v>
      </c>
      <c r="I936" s="98">
        <v>25109328.688080002</v>
      </c>
      <c r="J936" s="97">
        <v>620.34572042494301</v>
      </c>
      <c r="K936" s="98">
        <v>3523158.6544532599</v>
      </c>
      <c r="L936" s="99">
        <v>0</v>
      </c>
      <c r="M936" s="98">
        <v>0</v>
      </c>
      <c r="N936" s="99">
        <v>0</v>
      </c>
      <c r="O936" s="98">
        <v>0</v>
      </c>
      <c r="P936" s="99">
        <v>34797</v>
      </c>
      <c r="Q936" s="98">
        <v>25109328.688080002</v>
      </c>
      <c r="R936" s="96" t="s">
        <v>625</v>
      </c>
      <c r="S936" s="96">
        <v>7414000005</v>
      </c>
      <c r="AA936" s="131" t="s">
        <v>369</v>
      </c>
      <c r="AB936" s="130">
        <v>3699018</v>
      </c>
      <c r="AC936" s="130">
        <v>3699018</v>
      </c>
    </row>
    <row r="937" spans="1:29" x14ac:dyDescent="0.25">
      <c r="A937" t="str">
        <f t="shared" si="15"/>
        <v xml:space="preserve">65502334887UDIBONO 351122      </v>
      </c>
      <c r="B937" s="96">
        <v>65502334887</v>
      </c>
      <c r="C937" s="96" t="s">
        <v>747</v>
      </c>
      <c r="D937" s="96" t="s">
        <v>398</v>
      </c>
      <c r="E937" s="96" t="s">
        <v>623</v>
      </c>
      <c r="F937" s="96" t="s">
        <v>624</v>
      </c>
      <c r="G937" s="99">
        <v>9908</v>
      </c>
      <c r="H937" s="97">
        <v>709.36974099999998</v>
      </c>
      <c r="I937" s="98">
        <v>7028435.3938279999</v>
      </c>
      <c r="J937" s="97">
        <v>665.8216117667622</v>
      </c>
      <c r="K937" s="98">
        <v>431474.86444292002</v>
      </c>
      <c r="L937" s="99">
        <v>0</v>
      </c>
      <c r="M937" s="98">
        <v>0</v>
      </c>
      <c r="N937" s="99">
        <v>0</v>
      </c>
      <c r="O937" s="98">
        <v>0</v>
      </c>
      <c r="P937" s="99">
        <v>9908</v>
      </c>
      <c r="Q937" s="98">
        <v>7028435.3938279999</v>
      </c>
      <c r="R937" s="96" t="s">
        <v>625</v>
      </c>
      <c r="S937" s="96">
        <v>7414000005</v>
      </c>
      <c r="AA937" s="131" t="s">
        <v>370</v>
      </c>
      <c r="AB937" s="130">
        <v>516686</v>
      </c>
      <c r="AC937" s="130">
        <v>516686</v>
      </c>
    </row>
    <row r="938" spans="1:29" x14ac:dyDescent="0.25">
      <c r="A938" t="str">
        <f t="shared" si="15"/>
        <v xml:space="preserve">65502334887UDIBONO 401115      </v>
      </c>
      <c r="B938" s="96">
        <v>65502334887</v>
      </c>
      <c r="C938" s="96" t="s">
        <v>747</v>
      </c>
      <c r="D938" s="96" t="s">
        <v>399</v>
      </c>
      <c r="E938" s="96" t="s">
        <v>623</v>
      </c>
      <c r="F938" s="96" t="s">
        <v>624</v>
      </c>
      <c r="G938" s="99">
        <v>26173</v>
      </c>
      <c r="H938" s="97">
        <v>694.41118700000004</v>
      </c>
      <c r="I938" s="98">
        <v>18174823.997350998</v>
      </c>
      <c r="J938" s="97">
        <v>730.29799159825086</v>
      </c>
      <c r="K938" s="98">
        <v>-939265.33675002004</v>
      </c>
      <c r="L938" s="99">
        <v>0</v>
      </c>
      <c r="M938" s="98">
        <v>0</v>
      </c>
      <c r="N938" s="99">
        <v>0</v>
      </c>
      <c r="O938" s="98">
        <v>0</v>
      </c>
      <c r="P938" s="99">
        <v>26173</v>
      </c>
      <c r="Q938" s="98">
        <v>18174823.997350998</v>
      </c>
      <c r="R938" s="96" t="s">
        <v>625</v>
      </c>
      <c r="S938" s="96">
        <v>7414000005</v>
      </c>
      <c r="AA938" s="131" t="s">
        <v>372</v>
      </c>
      <c r="AB938" s="130">
        <v>1220400</v>
      </c>
      <c r="AC938" s="130">
        <v>1220400</v>
      </c>
    </row>
    <row r="939" spans="1:29" x14ac:dyDescent="0.25">
      <c r="A939" t="str">
        <f t="shared" si="15"/>
        <v xml:space="preserve">65502334887UDIBONO 461108      </v>
      </c>
      <c r="B939" s="96">
        <v>65502397418</v>
      </c>
      <c r="C939" s="96" t="s">
        <v>748</v>
      </c>
      <c r="D939" s="96" t="s">
        <v>389</v>
      </c>
      <c r="E939" s="96" t="s">
        <v>623</v>
      </c>
      <c r="F939" s="96" t="s">
        <v>624</v>
      </c>
      <c r="G939" s="99">
        <v>2655745</v>
      </c>
      <c r="H939" s="97">
        <v>3.3967719999999999</v>
      </c>
      <c r="I939" s="98">
        <v>9020960.2551399991</v>
      </c>
      <c r="J939" s="97">
        <v>2.8641049648968555</v>
      </c>
      <c r="K939" s="98">
        <v>1414627.8151400001</v>
      </c>
      <c r="L939" s="99">
        <v>0</v>
      </c>
      <c r="M939" s="98">
        <v>0</v>
      </c>
      <c r="N939" s="99">
        <v>0</v>
      </c>
      <c r="O939" s="98">
        <v>0</v>
      </c>
      <c r="P939" s="99">
        <v>2655745</v>
      </c>
      <c r="Q939" s="98">
        <v>9020960.2551399991</v>
      </c>
      <c r="R939" s="96" t="s">
        <v>625</v>
      </c>
      <c r="S939" s="96">
        <v>7414000005</v>
      </c>
      <c r="AA939" s="131" t="s">
        <v>373</v>
      </c>
      <c r="AB939" s="130">
        <v>4957964</v>
      </c>
      <c r="AC939" s="130">
        <v>4957964</v>
      </c>
    </row>
    <row r="940" spans="1:29" x14ac:dyDescent="0.25">
      <c r="A940" t="str">
        <f t="shared" si="15"/>
        <v xml:space="preserve">65502334887UDIBONO 501103      </v>
      </c>
      <c r="B940" s="96">
        <v>65502397418</v>
      </c>
      <c r="C940" s="96" t="s">
        <v>748</v>
      </c>
      <c r="D940" s="96" t="s">
        <v>417</v>
      </c>
      <c r="E940" s="96" t="s">
        <v>623</v>
      </c>
      <c r="F940" s="96" t="s">
        <v>624</v>
      </c>
      <c r="G940" s="99">
        <v>1056796</v>
      </c>
      <c r="H940" s="97">
        <v>3.8832339999999999</v>
      </c>
      <c r="I940" s="98">
        <v>4103786.158264</v>
      </c>
      <c r="J940" s="97">
        <v>2.7845099527250294</v>
      </c>
      <c r="K940" s="98">
        <v>1161127.178264</v>
      </c>
      <c r="L940" s="99">
        <v>0</v>
      </c>
      <c r="M940" s="98">
        <v>0</v>
      </c>
      <c r="N940" s="99">
        <v>0</v>
      </c>
      <c r="O940" s="98">
        <v>0</v>
      </c>
      <c r="P940" s="99">
        <v>1056796</v>
      </c>
      <c r="Q940" s="98">
        <v>4103786.158264</v>
      </c>
      <c r="R940" s="96" t="s">
        <v>625</v>
      </c>
      <c r="S940" s="96">
        <v>7414000005</v>
      </c>
      <c r="AA940" s="131" t="s">
        <v>374</v>
      </c>
      <c r="AB940" s="130">
        <v>3706672</v>
      </c>
      <c r="AC940" s="130">
        <v>3706672</v>
      </c>
    </row>
    <row r="941" spans="1:29" x14ac:dyDescent="0.25">
      <c r="A941" t="str">
        <f t="shared" si="15"/>
        <v xml:space="preserve">65502397418STERGOB ED          </v>
      </c>
      <c r="B941" s="96">
        <v>65502397418</v>
      </c>
      <c r="C941" s="96" t="s">
        <v>748</v>
      </c>
      <c r="D941" s="96" t="s">
        <v>407</v>
      </c>
      <c r="E941" s="96" t="s">
        <v>623</v>
      </c>
      <c r="F941" s="96" t="s">
        <v>624</v>
      </c>
      <c r="G941" s="99">
        <v>3111042</v>
      </c>
      <c r="H941" s="97">
        <v>2.7668819999999998</v>
      </c>
      <c r="I941" s="98">
        <v>8607886.1110440008</v>
      </c>
      <c r="J941" s="97">
        <v>2.3501810004493673</v>
      </c>
      <c r="K941" s="98">
        <v>1296374.3110440001</v>
      </c>
      <c r="L941" s="99">
        <v>0</v>
      </c>
      <c r="M941" s="98">
        <v>0</v>
      </c>
      <c r="N941" s="99">
        <v>0</v>
      </c>
      <c r="O941" s="98">
        <v>0</v>
      </c>
      <c r="P941" s="99">
        <v>3111042</v>
      </c>
      <c r="Q941" s="98">
        <v>8607886.1110440008</v>
      </c>
      <c r="R941" s="96" t="s">
        <v>625</v>
      </c>
      <c r="S941" s="96">
        <v>7414000005</v>
      </c>
      <c r="AA941" s="131" t="s">
        <v>387</v>
      </c>
      <c r="AB941" s="130">
        <v>943260</v>
      </c>
      <c r="AC941" s="130">
        <v>943260</v>
      </c>
    </row>
    <row r="942" spans="1:29" x14ac:dyDescent="0.25">
      <c r="A942" t="str">
        <f t="shared" si="15"/>
        <v xml:space="preserve">65502397418STRGOB2 ED          </v>
      </c>
      <c r="B942" s="96">
        <v>65502425394</v>
      </c>
      <c r="C942" s="96" t="s">
        <v>749</v>
      </c>
      <c r="D942" s="96" t="s">
        <v>480</v>
      </c>
      <c r="E942" s="96" t="s">
        <v>623</v>
      </c>
      <c r="F942" s="96" t="s">
        <v>624</v>
      </c>
      <c r="G942" s="99">
        <v>29051667</v>
      </c>
      <c r="H942" s="97">
        <v>3.612981</v>
      </c>
      <c r="I942" s="98">
        <v>104963120.889327</v>
      </c>
      <c r="J942" s="97">
        <v>3.5375360677237557</v>
      </c>
      <c r="K942" s="98">
        <v>2191801.049327</v>
      </c>
      <c r="L942" s="99">
        <v>0</v>
      </c>
      <c r="M942" s="98">
        <v>0</v>
      </c>
      <c r="N942" s="99">
        <v>0</v>
      </c>
      <c r="O942" s="98">
        <v>0</v>
      </c>
      <c r="P942" s="99">
        <v>29051667</v>
      </c>
      <c r="Q942" s="98">
        <v>104963120.889327</v>
      </c>
      <c r="R942" s="96" t="s">
        <v>625</v>
      </c>
      <c r="S942" s="96">
        <v>7414000005</v>
      </c>
      <c r="AA942" s="131" t="s">
        <v>419</v>
      </c>
      <c r="AB942" s="130">
        <v>0</v>
      </c>
      <c r="AC942" s="130">
        <v>0</v>
      </c>
    </row>
    <row r="943" spans="1:29" x14ac:dyDescent="0.25">
      <c r="A943" t="str">
        <f t="shared" si="15"/>
        <v xml:space="preserve">65502397418SVIVE60 ED          </v>
      </c>
      <c r="B943" s="96">
        <v>65502898380</v>
      </c>
      <c r="C943" s="96" t="s">
        <v>750</v>
      </c>
      <c r="D943" s="96" t="s">
        <v>366</v>
      </c>
      <c r="E943" s="96" t="s">
        <v>623</v>
      </c>
      <c r="F943" s="96" t="s">
        <v>624</v>
      </c>
      <c r="G943" s="99">
        <v>0</v>
      </c>
      <c r="H943" s="97">
        <v>0</v>
      </c>
      <c r="I943" s="98">
        <v>10978925.859999999</v>
      </c>
      <c r="J943" s="97">
        <v>0</v>
      </c>
      <c r="K943" s="98">
        <v>0</v>
      </c>
      <c r="L943" s="99">
        <v>0</v>
      </c>
      <c r="M943" s="98">
        <v>0</v>
      </c>
      <c r="N943" s="99">
        <v>0</v>
      </c>
      <c r="O943" s="98">
        <v>0</v>
      </c>
      <c r="P943" s="99">
        <v>0</v>
      </c>
      <c r="Q943" s="98">
        <v>10978925.859999999</v>
      </c>
      <c r="R943" s="96" t="s">
        <v>625</v>
      </c>
      <c r="S943" s="96">
        <v>7414000005</v>
      </c>
      <c r="AA943" s="131" t="s">
        <v>553</v>
      </c>
      <c r="AB943" s="130">
        <v>395415</v>
      </c>
      <c r="AC943" s="130">
        <v>395415</v>
      </c>
    </row>
    <row r="944" spans="1:29" x14ac:dyDescent="0.25">
      <c r="A944" t="str">
        <f t="shared" si="15"/>
        <v xml:space="preserve">65502425394STERGOB B4          </v>
      </c>
      <c r="B944" s="96">
        <v>65502898380</v>
      </c>
      <c r="C944" s="96" t="s">
        <v>750</v>
      </c>
      <c r="D944" s="96" t="s">
        <v>429</v>
      </c>
      <c r="E944" s="96" t="s">
        <v>623</v>
      </c>
      <c r="F944" s="96" t="s">
        <v>624</v>
      </c>
      <c r="G944" s="99">
        <v>51099</v>
      </c>
      <c r="H944" s="97">
        <v>98.007834000000003</v>
      </c>
      <c r="I944" s="98">
        <v>5008102.3095659995</v>
      </c>
      <c r="J944" s="97">
        <v>92.780336949152428</v>
      </c>
      <c r="K944" s="98">
        <v>267119.87180125999</v>
      </c>
      <c r="L944" s="99">
        <v>0</v>
      </c>
      <c r="M944" s="98">
        <v>0</v>
      </c>
      <c r="N944" s="99">
        <v>0</v>
      </c>
      <c r="O944" s="98">
        <v>0</v>
      </c>
      <c r="P944" s="99">
        <v>51099</v>
      </c>
      <c r="Q944" s="98">
        <v>5008102.3095659995</v>
      </c>
      <c r="R944" s="96" t="s">
        <v>625</v>
      </c>
      <c r="S944" s="96">
        <v>7414000005</v>
      </c>
      <c r="AA944" s="131" t="s">
        <v>400</v>
      </c>
      <c r="AB944" s="130">
        <v>1290740</v>
      </c>
      <c r="AC944" s="130">
        <v>1290740</v>
      </c>
    </row>
    <row r="945" spans="1:29" x14ac:dyDescent="0.25">
      <c r="A945" t="str">
        <f t="shared" si="15"/>
        <v>65502898380EFECTIVO</v>
      </c>
      <c r="B945" s="96">
        <v>65502898437</v>
      </c>
      <c r="C945" s="96" t="s">
        <v>751</v>
      </c>
      <c r="D945" s="96" t="s">
        <v>393</v>
      </c>
      <c r="E945" s="96" t="s">
        <v>623</v>
      </c>
      <c r="F945" s="96" t="s">
        <v>624</v>
      </c>
      <c r="G945" s="99">
        <v>0</v>
      </c>
      <c r="H945" s="97">
        <v>0</v>
      </c>
      <c r="I945" s="98">
        <v>0</v>
      </c>
      <c r="J945" s="97">
        <v>0</v>
      </c>
      <c r="K945" s="98">
        <v>0</v>
      </c>
      <c r="L945" s="99">
        <v>0</v>
      </c>
      <c r="M945" s="98">
        <v>0</v>
      </c>
      <c r="N945" s="99">
        <v>0</v>
      </c>
      <c r="O945" s="98">
        <v>0</v>
      </c>
      <c r="P945" s="99">
        <v>0</v>
      </c>
      <c r="Q945" s="98">
        <v>0</v>
      </c>
      <c r="R945" s="96" t="s">
        <v>625</v>
      </c>
      <c r="S945" s="96">
        <v>7414000005</v>
      </c>
      <c r="AA945" s="131" t="s">
        <v>403</v>
      </c>
      <c r="AB945" s="130">
        <v>3360890</v>
      </c>
      <c r="AC945" s="130">
        <v>3360890</v>
      </c>
    </row>
    <row r="946" spans="1:29" x14ac:dyDescent="0.25">
      <c r="A946" t="str">
        <f t="shared" si="15"/>
        <v xml:space="preserve">65502898380PEMEX 13-2          </v>
      </c>
      <c r="B946" s="96">
        <v>65502898437</v>
      </c>
      <c r="C946" s="96" t="s">
        <v>751</v>
      </c>
      <c r="D946" s="96" t="s">
        <v>394</v>
      </c>
      <c r="E946" s="96" t="s">
        <v>623</v>
      </c>
      <c r="F946" s="96" t="s">
        <v>624</v>
      </c>
      <c r="G946" s="99">
        <v>0</v>
      </c>
      <c r="H946" s="97">
        <v>0</v>
      </c>
      <c r="I946" s="98">
        <v>0</v>
      </c>
      <c r="J946" s="97">
        <v>0</v>
      </c>
      <c r="K946" s="98">
        <v>0</v>
      </c>
      <c r="L946" s="99">
        <v>0</v>
      </c>
      <c r="M946" s="98">
        <v>0</v>
      </c>
      <c r="N946" s="99">
        <v>0</v>
      </c>
      <c r="O946" s="98">
        <v>0</v>
      </c>
      <c r="P946" s="99">
        <v>0</v>
      </c>
      <c r="Q946" s="98">
        <v>0</v>
      </c>
      <c r="R946" s="96" t="s">
        <v>625</v>
      </c>
      <c r="S946" s="96">
        <v>7414000005</v>
      </c>
      <c r="AA946" s="131" t="s">
        <v>358</v>
      </c>
      <c r="AB946" s="130">
        <v>8074980</v>
      </c>
      <c r="AC946" s="130">
        <v>8074980</v>
      </c>
    </row>
    <row r="947" spans="1:29" x14ac:dyDescent="0.25">
      <c r="A947" t="str">
        <f t="shared" si="15"/>
        <v xml:space="preserve">65502898437UDIBONO 281130      </v>
      </c>
      <c r="B947" s="96">
        <v>65503040718</v>
      </c>
      <c r="C947" s="96" t="s">
        <v>752</v>
      </c>
      <c r="D947" s="96" t="s">
        <v>389</v>
      </c>
      <c r="E947" s="96" t="s">
        <v>623</v>
      </c>
      <c r="F947" s="96" t="s">
        <v>624</v>
      </c>
      <c r="G947" s="99">
        <v>52715089</v>
      </c>
      <c r="H947" s="97">
        <v>3.3967719999999999</v>
      </c>
      <c r="I947" s="98">
        <v>179061138.29270801</v>
      </c>
      <c r="J947" s="97">
        <v>2.7071831934116624</v>
      </c>
      <c r="K947" s="98">
        <v>36351735.312707998</v>
      </c>
      <c r="L947" s="99">
        <v>0</v>
      </c>
      <c r="M947" s="98">
        <v>0</v>
      </c>
      <c r="N947" s="99">
        <v>0</v>
      </c>
      <c r="O947" s="98">
        <v>0</v>
      </c>
      <c r="P947" s="99">
        <v>52715089</v>
      </c>
      <c r="Q947" s="98">
        <v>179061138.29270801</v>
      </c>
      <c r="R947" s="96" t="s">
        <v>625</v>
      </c>
      <c r="S947" s="96">
        <v>7414000005</v>
      </c>
      <c r="AA947" s="131" t="s">
        <v>365</v>
      </c>
      <c r="AB947" s="130">
        <v>2701520</v>
      </c>
      <c r="AC947" s="130">
        <v>2701520</v>
      </c>
    </row>
    <row r="948" spans="1:29" x14ac:dyDescent="0.25">
      <c r="A948" t="str">
        <f t="shared" si="15"/>
        <v xml:space="preserve">65502898437UDIBONO 311127      </v>
      </c>
      <c r="B948" s="96">
        <v>65503071575</v>
      </c>
      <c r="C948" s="96" t="s">
        <v>753</v>
      </c>
      <c r="D948" s="96" t="s">
        <v>480</v>
      </c>
      <c r="E948" s="96" t="s">
        <v>623</v>
      </c>
      <c r="F948" s="96" t="s">
        <v>624</v>
      </c>
      <c r="G948" s="99">
        <v>58014462</v>
      </c>
      <c r="H948" s="97">
        <v>3.612981</v>
      </c>
      <c r="I948" s="98">
        <v>209605148.93122199</v>
      </c>
      <c r="J948" s="97">
        <v>2.2814275197449905</v>
      </c>
      <c r="K948" s="98">
        <v>77249358.781222001</v>
      </c>
      <c r="L948" s="99">
        <v>0</v>
      </c>
      <c r="M948" s="98">
        <v>0</v>
      </c>
      <c r="N948" s="99">
        <v>0</v>
      </c>
      <c r="O948" s="98">
        <v>0</v>
      </c>
      <c r="P948" s="99">
        <v>58014462</v>
      </c>
      <c r="Q948" s="98">
        <v>209605148.93122199</v>
      </c>
      <c r="R948" s="96" t="s">
        <v>625</v>
      </c>
      <c r="S948" s="96">
        <v>7414000005</v>
      </c>
      <c r="AA948" s="131" t="s">
        <v>367</v>
      </c>
      <c r="AB948" s="130">
        <v>623578.5</v>
      </c>
      <c r="AC948" s="130">
        <v>623578.5</v>
      </c>
    </row>
    <row r="949" spans="1:29" x14ac:dyDescent="0.25">
      <c r="A949" t="str">
        <f t="shared" si="15"/>
        <v xml:space="preserve">65503040718STERGOB ED          </v>
      </c>
      <c r="B949" s="96">
        <v>65503523505</v>
      </c>
      <c r="C949" s="96" t="s">
        <v>754</v>
      </c>
      <c r="D949" s="96" t="s">
        <v>412</v>
      </c>
      <c r="E949" s="96" t="s">
        <v>623</v>
      </c>
      <c r="F949" s="96" t="s">
        <v>624</v>
      </c>
      <c r="G949" s="99">
        <v>1503</v>
      </c>
      <c r="H949" s="97">
        <v>3.137273</v>
      </c>
      <c r="I949" s="98">
        <v>4715.3213189999997</v>
      </c>
      <c r="J949" s="97">
        <v>1.9571390552228876</v>
      </c>
      <c r="K949" s="98">
        <v>1773.741319</v>
      </c>
      <c r="L949" s="99">
        <v>0</v>
      </c>
      <c r="M949" s="98">
        <v>0</v>
      </c>
      <c r="N949" s="99">
        <v>0</v>
      </c>
      <c r="O949" s="98">
        <v>0</v>
      </c>
      <c r="P949" s="99">
        <v>1503</v>
      </c>
      <c r="Q949" s="98">
        <v>4715.3213189999997</v>
      </c>
      <c r="R949" s="96" t="s">
        <v>625</v>
      </c>
      <c r="S949" s="96">
        <v>7414000005</v>
      </c>
      <c r="AA949" s="131" t="s">
        <v>368</v>
      </c>
      <c r="AB949" s="130">
        <v>1979720</v>
      </c>
      <c r="AC949" s="130">
        <v>1979720</v>
      </c>
    </row>
    <row r="950" spans="1:29" x14ac:dyDescent="0.25">
      <c r="A950" t="str">
        <f t="shared" si="15"/>
        <v xml:space="preserve">65503071575STERGOB B4          </v>
      </c>
      <c r="B950" s="96">
        <v>65503525966</v>
      </c>
      <c r="C950" s="96" t="s">
        <v>755</v>
      </c>
      <c r="D950" s="96" t="s">
        <v>389</v>
      </c>
      <c r="E950" s="96" t="s">
        <v>623</v>
      </c>
      <c r="F950" s="96" t="s">
        <v>624</v>
      </c>
      <c r="G950" s="99">
        <v>167258</v>
      </c>
      <c r="H950" s="97">
        <v>3.3967719999999999</v>
      </c>
      <c r="I950" s="98">
        <v>568137.29117600003</v>
      </c>
      <c r="J950" s="97">
        <v>2.9511611402743068</v>
      </c>
      <c r="K950" s="98">
        <v>74531.981176000001</v>
      </c>
      <c r="L950" s="99">
        <v>0</v>
      </c>
      <c r="M950" s="98">
        <v>0</v>
      </c>
      <c r="N950" s="99">
        <v>0</v>
      </c>
      <c r="O950" s="98">
        <v>0</v>
      </c>
      <c r="P950" s="99">
        <v>167258</v>
      </c>
      <c r="Q950" s="98">
        <v>568137.29117600003</v>
      </c>
      <c r="R950" s="96" t="s">
        <v>625</v>
      </c>
      <c r="S950" s="96">
        <v>7414000005</v>
      </c>
      <c r="AA950" s="131" t="s">
        <v>381</v>
      </c>
      <c r="AB950" s="130">
        <v>7086136.6368009998</v>
      </c>
      <c r="AC950" s="130">
        <v>7086136.6368009998</v>
      </c>
    </row>
    <row r="951" spans="1:29" x14ac:dyDescent="0.25">
      <c r="A951" t="str">
        <f t="shared" si="15"/>
        <v xml:space="preserve">65503523505STERGOB B0          </v>
      </c>
      <c r="B951" s="96">
        <v>65503525966</v>
      </c>
      <c r="C951" s="96" t="s">
        <v>755</v>
      </c>
      <c r="D951" s="96" t="s">
        <v>481</v>
      </c>
      <c r="E951" s="96" t="s">
        <v>623</v>
      </c>
      <c r="F951" s="96" t="s">
        <v>624</v>
      </c>
      <c r="G951" s="99">
        <v>1098</v>
      </c>
      <c r="H951" s="97">
        <v>2.6243750000000001</v>
      </c>
      <c r="I951" s="98">
        <v>2881.5637499999998</v>
      </c>
      <c r="J951" s="97">
        <v>1.635255009107468</v>
      </c>
      <c r="K951" s="98">
        <v>1086.05375</v>
      </c>
      <c r="L951" s="99">
        <v>0</v>
      </c>
      <c r="M951" s="98">
        <v>0</v>
      </c>
      <c r="N951" s="99">
        <v>0</v>
      </c>
      <c r="O951" s="98">
        <v>0</v>
      </c>
      <c r="P951" s="99">
        <v>1098</v>
      </c>
      <c r="Q951" s="98">
        <v>2881.5637499999998</v>
      </c>
      <c r="R951" s="96" t="s">
        <v>625</v>
      </c>
      <c r="S951" s="96">
        <v>7414000005</v>
      </c>
      <c r="AA951" s="131" t="s">
        <v>388</v>
      </c>
      <c r="AB951" s="130">
        <v>13225375</v>
      </c>
      <c r="AC951" s="130">
        <v>13225375</v>
      </c>
    </row>
    <row r="952" spans="1:29" x14ac:dyDescent="0.25">
      <c r="A952" t="str">
        <f t="shared" si="15"/>
        <v xml:space="preserve">65503525966STERGOB ED          </v>
      </c>
      <c r="B952" s="96">
        <v>65503691935</v>
      </c>
      <c r="C952" s="96" t="s">
        <v>756</v>
      </c>
      <c r="D952" s="96" t="s">
        <v>431</v>
      </c>
      <c r="E952" s="96" t="s">
        <v>623</v>
      </c>
      <c r="F952" s="96" t="s">
        <v>624</v>
      </c>
      <c r="G952" s="99">
        <v>4312941</v>
      </c>
      <c r="H952" s="97">
        <v>3.4005040000000002</v>
      </c>
      <c r="I952" s="98">
        <v>14666173.122264</v>
      </c>
      <c r="J952" s="97">
        <v>3.3541308680086281</v>
      </c>
      <c r="K952" s="98">
        <v>200004.582264</v>
      </c>
      <c r="L952" s="99">
        <v>0</v>
      </c>
      <c r="M952" s="98">
        <v>0</v>
      </c>
      <c r="N952" s="99">
        <v>0</v>
      </c>
      <c r="O952" s="98">
        <v>0</v>
      </c>
      <c r="P952" s="99">
        <v>4312941</v>
      </c>
      <c r="Q952" s="98">
        <v>14666173.122264</v>
      </c>
      <c r="R952" s="96" t="s">
        <v>625</v>
      </c>
      <c r="S952" s="96">
        <v>7414000005</v>
      </c>
      <c r="AA952" s="131" t="s">
        <v>401</v>
      </c>
      <c r="AB952" s="130">
        <v>3749600</v>
      </c>
      <c r="AC952" s="130">
        <v>3749600</v>
      </c>
    </row>
    <row r="953" spans="1:29" x14ac:dyDescent="0.25">
      <c r="A953" t="str">
        <f t="shared" si="15"/>
        <v xml:space="preserve">65503525966SVIVE60 C1          </v>
      </c>
      <c r="B953" s="96">
        <v>65503867094</v>
      </c>
      <c r="C953" s="96" t="s">
        <v>757</v>
      </c>
      <c r="D953" s="96" t="s">
        <v>480</v>
      </c>
      <c r="E953" s="96" t="s">
        <v>623</v>
      </c>
      <c r="F953" s="96" t="s">
        <v>624</v>
      </c>
      <c r="G953" s="99">
        <v>25603</v>
      </c>
      <c r="H953" s="97">
        <v>3.612981</v>
      </c>
      <c r="I953" s="98">
        <v>92503.152543000004</v>
      </c>
      <c r="J953" s="97">
        <v>3.5483490215990314</v>
      </c>
      <c r="K953" s="98">
        <v>1654.772543</v>
      </c>
      <c r="L953" s="99">
        <v>0</v>
      </c>
      <c r="M953" s="98">
        <v>0</v>
      </c>
      <c r="N953" s="99">
        <v>0</v>
      </c>
      <c r="O953" s="98">
        <v>0</v>
      </c>
      <c r="P953" s="99">
        <v>25603</v>
      </c>
      <c r="Q953" s="98">
        <v>92503.152543000004</v>
      </c>
      <c r="R953" s="96" t="s">
        <v>625</v>
      </c>
      <c r="S953" s="96">
        <v>7414000005</v>
      </c>
      <c r="AA953" s="131" t="s">
        <v>540</v>
      </c>
      <c r="AB953" s="130">
        <v>798160</v>
      </c>
      <c r="AC953" s="130">
        <v>798160</v>
      </c>
    </row>
    <row r="954" spans="1:29" x14ac:dyDescent="0.25">
      <c r="A954" t="str">
        <f t="shared" si="15"/>
        <v xml:space="preserve">65503691935STERGOB B1          </v>
      </c>
      <c r="B954" s="96">
        <v>65504832250</v>
      </c>
      <c r="C954" s="96" t="s">
        <v>758</v>
      </c>
      <c r="D954" s="96" t="s">
        <v>419</v>
      </c>
      <c r="E954" s="96" t="s">
        <v>623</v>
      </c>
      <c r="F954" s="96" t="s">
        <v>624</v>
      </c>
      <c r="G954" s="99">
        <v>0</v>
      </c>
      <c r="H954" s="97">
        <v>0</v>
      </c>
      <c r="I954" s="98">
        <v>0</v>
      </c>
      <c r="J954" s="97">
        <v>0</v>
      </c>
      <c r="K954" s="98">
        <v>0</v>
      </c>
      <c r="L954" s="99">
        <v>0</v>
      </c>
      <c r="M954" s="98">
        <v>0</v>
      </c>
      <c r="N954" s="99">
        <v>0</v>
      </c>
      <c r="O954" s="98">
        <v>0</v>
      </c>
      <c r="P954" s="99">
        <v>0</v>
      </c>
      <c r="Q954" s="98">
        <v>0</v>
      </c>
      <c r="R954" s="96" t="s">
        <v>625</v>
      </c>
      <c r="S954" s="96">
        <v>7414000005</v>
      </c>
      <c r="AA954" s="131" t="s">
        <v>393</v>
      </c>
      <c r="AB954" s="130">
        <v>1456787.2254659999</v>
      </c>
      <c r="AC954" s="130">
        <v>1456787.2254659999</v>
      </c>
    </row>
    <row r="955" spans="1:29" x14ac:dyDescent="0.25">
      <c r="A955" t="str">
        <f t="shared" si="15"/>
        <v xml:space="preserve">65503867094STERGOB B4          </v>
      </c>
      <c r="B955" s="96">
        <v>65505285253</v>
      </c>
      <c r="C955" s="96" t="s">
        <v>759</v>
      </c>
      <c r="D955" s="96" t="s">
        <v>431</v>
      </c>
      <c r="E955" s="96" t="s">
        <v>623</v>
      </c>
      <c r="F955" s="96" t="s">
        <v>624</v>
      </c>
      <c r="G955" s="99">
        <v>75762</v>
      </c>
      <c r="H955" s="97">
        <v>3.4005040000000002</v>
      </c>
      <c r="I955" s="98">
        <v>257628.98404800001</v>
      </c>
      <c r="J955" s="97">
        <v>3.3420464084897441</v>
      </c>
      <c r="K955" s="98">
        <v>4428.8640480000004</v>
      </c>
      <c r="L955" s="99">
        <v>0</v>
      </c>
      <c r="M955" s="98">
        <v>0</v>
      </c>
      <c r="N955" s="99">
        <v>0</v>
      </c>
      <c r="O955" s="98">
        <v>0</v>
      </c>
      <c r="P955" s="99">
        <v>75762</v>
      </c>
      <c r="Q955" s="98">
        <v>257628.98404800001</v>
      </c>
      <c r="R955" s="96" t="s">
        <v>625</v>
      </c>
      <c r="S955" s="96">
        <v>7414000005</v>
      </c>
      <c r="AA955" s="131" t="s">
        <v>503</v>
      </c>
      <c r="AB955" s="130">
        <v>798070</v>
      </c>
      <c r="AC955" s="130">
        <v>798070</v>
      </c>
    </row>
    <row r="956" spans="1:29" x14ac:dyDescent="0.25">
      <c r="A956" t="str">
        <f t="shared" si="15"/>
        <v xml:space="preserve">65504832250IENOVA *            </v>
      </c>
      <c r="B956" s="96">
        <v>65505597846</v>
      </c>
      <c r="C956" s="96" t="s">
        <v>760</v>
      </c>
      <c r="D956" s="96" t="s">
        <v>389</v>
      </c>
      <c r="E956" s="96" t="s">
        <v>623</v>
      </c>
      <c r="F956" s="96" t="s">
        <v>624</v>
      </c>
      <c r="G956" s="99">
        <v>905405</v>
      </c>
      <c r="H956" s="97">
        <v>3.3967719999999999</v>
      </c>
      <c r="I956" s="98">
        <v>3075454.3526599999</v>
      </c>
      <c r="J956" s="97">
        <v>2.5825996763879147</v>
      </c>
      <c r="K956" s="98">
        <v>737155.69265999994</v>
      </c>
      <c r="L956" s="99">
        <v>0</v>
      </c>
      <c r="M956" s="98">
        <v>0</v>
      </c>
      <c r="N956" s="99">
        <v>0</v>
      </c>
      <c r="O956" s="98">
        <v>0</v>
      </c>
      <c r="P956" s="99">
        <v>905405</v>
      </c>
      <c r="Q956" s="98">
        <v>3075454.3526599999</v>
      </c>
      <c r="R956" s="96" t="s">
        <v>625</v>
      </c>
      <c r="S956" s="96">
        <v>7414000005</v>
      </c>
      <c r="AA956" s="131" t="s">
        <v>385</v>
      </c>
      <c r="AB956" s="130">
        <v>612440.801721</v>
      </c>
      <c r="AC956" s="130">
        <v>612440.801721</v>
      </c>
    </row>
    <row r="957" spans="1:29" x14ac:dyDescent="0.25">
      <c r="A957" t="str">
        <f t="shared" si="15"/>
        <v xml:space="preserve">65505285253STERGOB B1          </v>
      </c>
      <c r="B957" s="96">
        <v>65505597846</v>
      </c>
      <c r="C957" s="96" t="s">
        <v>760</v>
      </c>
      <c r="D957" s="96" t="s">
        <v>420</v>
      </c>
      <c r="E957" s="96" t="s">
        <v>623</v>
      </c>
      <c r="F957" s="96" t="s">
        <v>624</v>
      </c>
      <c r="G957" s="99">
        <v>46557518</v>
      </c>
      <c r="H957" s="97">
        <v>2.106938</v>
      </c>
      <c r="I957" s="98">
        <v>98093803.859883994</v>
      </c>
      <c r="J957" s="97">
        <v>1.4363535904126161</v>
      </c>
      <c r="K957" s="98">
        <v>31220745.719884001</v>
      </c>
      <c r="L957" s="99">
        <v>0</v>
      </c>
      <c r="M957" s="98">
        <v>0</v>
      </c>
      <c r="N957" s="99">
        <v>0</v>
      </c>
      <c r="O957" s="98">
        <v>0</v>
      </c>
      <c r="P957" s="99">
        <v>46557518</v>
      </c>
      <c r="Q957" s="98">
        <v>98093803.859883994</v>
      </c>
      <c r="R957" s="96" t="s">
        <v>625</v>
      </c>
      <c r="S957" s="96">
        <v>7414000005</v>
      </c>
      <c r="AA957" s="131" t="s">
        <v>500</v>
      </c>
      <c r="AB957" s="130">
        <v>879480</v>
      </c>
      <c r="AC957" s="130">
        <v>879480</v>
      </c>
    </row>
    <row r="958" spans="1:29" x14ac:dyDescent="0.25">
      <c r="A958" t="str">
        <f t="shared" si="15"/>
        <v xml:space="preserve">65505597846STERGOB ED          </v>
      </c>
      <c r="B958" s="96">
        <v>65505597846</v>
      </c>
      <c r="C958" s="96" t="s">
        <v>760</v>
      </c>
      <c r="D958" s="96" t="s">
        <v>482</v>
      </c>
      <c r="E958" s="96" t="s">
        <v>623</v>
      </c>
      <c r="F958" s="96" t="s">
        <v>624</v>
      </c>
      <c r="G958" s="99">
        <v>36294819</v>
      </c>
      <c r="H958" s="97">
        <v>2.7842250000000002</v>
      </c>
      <c r="I958" s="98">
        <v>101052942.43027499</v>
      </c>
      <c r="J958" s="97">
        <v>1.8498402339463382</v>
      </c>
      <c r="K958" s="98">
        <v>33913325.960275002</v>
      </c>
      <c r="L958" s="99">
        <v>0</v>
      </c>
      <c r="M958" s="98">
        <v>0</v>
      </c>
      <c r="N958" s="99">
        <v>0</v>
      </c>
      <c r="O958" s="98">
        <v>0</v>
      </c>
      <c r="P958" s="99">
        <v>36294819</v>
      </c>
      <c r="Q958" s="98">
        <v>101052942.43027499</v>
      </c>
      <c r="R958" s="96" t="s">
        <v>625</v>
      </c>
      <c r="S958" s="96">
        <v>7414000005</v>
      </c>
      <c r="AA958" s="131" t="s">
        <v>541</v>
      </c>
      <c r="AB958" s="130">
        <v>1060800</v>
      </c>
      <c r="AC958" s="130">
        <v>1060800</v>
      </c>
    </row>
    <row r="959" spans="1:29" x14ac:dyDescent="0.25">
      <c r="A959" t="str">
        <f t="shared" si="15"/>
        <v xml:space="preserve">65505597846SVIVE50 C3          </v>
      </c>
      <c r="B959" s="96">
        <v>65506131264</v>
      </c>
      <c r="C959" s="96" t="s">
        <v>761</v>
      </c>
      <c r="D959" s="96" t="s">
        <v>366</v>
      </c>
      <c r="E959" s="96" t="s">
        <v>623</v>
      </c>
      <c r="F959" s="96" t="s">
        <v>624</v>
      </c>
      <c r="G959" s="99">
        <v>0</v>
      </c>
      <c r="H959" s="97">
        <v>0</v>
      </c>
      <c r="I959" s="98">
        <v>-4494.99</v>
      </c>
      <c r="J959" s="97">
        <v>0</v>
      </c>
      <c r="K959" s="98">
        <v>0</v>
      </c>
      <c r="L959" s="99">
        <v>0</v>
      </c>
      <c r="M959" s="98">
        <v>0</v>
      </c>
      <c r="N959" s="99">
        <v>0</v>
      </c>
      <c r="O959" s="98">
        <v>0</v>
      </c>
      <c r="P959" s="99">
        <v>0</v>
      </c>
      <c r="Q959" s="98">
        <v>-4494.99</v>
      </c>
      <c r="R959" s="96" t="s">
        <v>625</v>
      </c>
      <c r="S959" s="96">
        <v>7414000005</v>
      </c>
      <c r="AA959" s="131" t="s">
        <v>371</v>
      </c>
      <c r="AB959" s="130">
        <v>1158900</v>
      </c>
      <c r="AC959" s="130">
        <v>1158900</v>
      </c>
    </row>
    <row r="960" spans="1:29" x14ac:dyDescent="0.25">
      <c r="A960" t="str">
        <f t="shared" si="15"/>
        <v xml:space="preserve">65505597846SVIVE60 C3          </v>
      </c>
      <c r="B960" s="96">
        <v>65506131264</v>
      </c>
      <c r="C960" s="96" t="s">
        <v>761</v>
      </c>
      <c r="D960" s="96" t="s">
        <v>389</v>
      </c>
      <c r="E960" s="96" t="s">
        <v>623</v>
      </c>
      <c r="F960" s="96" t="s">
        <v>624</v>
      </c>
      <c r="G960" s="99">
        <v>13163</v>
      </c>
      <c r="H960" s="97">
        <v>3.3967719999999999</v>
      </c>
      <c r="I960" s="98">
        <v>44711.709836000002</v>
      </c>
      <c r="J960" s="97">
        <v>3.3926832788877914</v>
      </c>
      <c r="K960" s="98">
        <v>53.819836000000002</v>
      </c>
      <c r="L960" s="99">
        <v>0</v>
      </c>
      <c r="M960" s="98">
        <v>0</v>
      </c>
      <c r="N960" s="99">
        <v>0</v>
      </c>
      <c r="O960" s="98">
        <v>0</v>
      </c>
      <c r="P960" s="99">
        <v>13163</v>
      </c>
      <c r="Q960" s="98">
        <v>44711.709836000002</v>
      </c>
      <c r="R960" s="96" t="s">
        <v>625</v>
      </c>
      <c r="S960" s="96">
        <v>7414000005</v>
      </c>
      <c r="AA960" s="131" t="s">
        <v>375</v>
      </c>
      <c r="AB960" s="130">
        <v>2353731.5201599998</v>
      </c>
      <c r="AC960" s="130">
        <v>2353731.5201599998</v>
      </c>
    </row>
    <row r="961" spans="1:29" x14ac:dyDescent="0.25">
      <c r="A961" t="str">
        <f t="shared" si="15"/>
        <v>65506131264EFECTIVO</v>
      </c>
      <c r="B961" s="96">
        <v>65506131264</v>
      </c>
      <c r="C961" s="96" t="s">
        <v>761</v>
      </c>
      <c r="D961" s="96" t="s">
        <v>404</v>
      </c>
      <c r="E961" s="96" t="s">
        <v>623</v>
      </c>
      <c r="F961" s="96" t="s">
        <v>624</v>
      </c>
      <c r="G961" s="99">
        <v>14492</v>
      </c>
      <c r="H961" s="97">
        <v>137.94899000000001</v>
      </c>
      <c r="I961" s="98">
        <v>1999156.7630799999</v>
      </c>
      <c r="J961" s="97">
        <v>115.64243306651946</v>
      </c>
      <c r="K961" s="98">
        <v>323266.62307999999</v>
      </c>
      <c r="L961" s="99">
        <v>0</v>
      </c>
      <c r="M961" s="98">
        <v>0</v>
      </c>
      <c r="N961" s="99">
        <v>0</v>
      </c>
      <c r="O961" s="98">
        <v>0</v>
      </c>
      <c r="P961" s="99">
        <v>14492</v>
      </c>
      <c r="Q961" s="98">
        <v>1999156.7630799999</v>
      </c>
      <c r="R961" s="96" t="s">
        <v>625</v>
      </c>
      <c r="S961" s="96">
        <v>7414000005</v>
      </c>
      <c r="AA961" s="131" t="s">
        <v>399</v>
      </c>
      <c r="AB961" s="130">
        <v>5306690.2910540001</v>
      </c>
      <c r="AC961" s="130">
        <v>5306690.2910540001</v>
      </c>
    </row>
    <row r="962" spans="1:29" x14ac:dyDescent="0.25">
      <c r="A962" t="str">
        <f t="shared" si="15"/>
        <v xml:space="preserve">65506131264STERGOB ED          </v>
      </c>
      <c r="B962" s="96">
        <v>65506131264</v>
      </c>
      <c r="C962" s="96" t="s">
        <v>761</v>
      </c>
      <c r="D962" s="96" t="s">
        <v>405</v>
      </c>
      <c r="E962" s="96" t="s">
        <v>623</v>
      </c>
      <c r="F962" s="96" t="s">
        <v>624</v>
      </c>
      <c r="G962" s="99">
        <v>7411197</v>
      </c>
      <c r="H962" s="97">
        <v>3.6096119999999998</v>
      </c>
      <c r="I962" s="98">
        <v>26751545.625564002</v>
      </c>
      <c r="J962" s="97">
        <v>3.0108941470588353</v>
      </c>
      <c r="K962" s="98">
        <v>4437215.9555639997</v>
      </c>
      <c r="L962" s="99">
        <v>0</v>
      </c>
      <c r="M962" s="98">
        <v>0</v>
      </c>
      <c r="N962" s="99">
        <v>0</v>
      </c>
      <c r="O962" s="98">
        <v>0</v>
      </c>
      <c r="P962" s="99">
        <v>7411197</v>
      </c>
      <c r="Q962" s="98">
        <v>26751545.625564002</v>
      </c>
      <c r="R962" s="96" t="s">
        <v>625</v>
      </c>
      <c r="S962" s="96">
        <v>7414000005</v>
      </c>
      <c r="AA962" s="131" t="s">
        <v>429</v>
      </c>
      <c r="AB962" s="130">
        <v>6199877.571006</v>
      </c>
      <c r="AC962" s="130">
        <v>6199877.571006</v>
      </c>
    </row>
    <row r="963" spans="1:29" x14ac:dyDescent="0.25">
      <c r="A963" t="str">
        <f t="shared" si="15"/>
        <v xml:space="preserve">65506131264SVIVE20 ED          </v>
      </c>
      <c r="B963" s="96">
        <v>65506131264</v>
      </c>
      <c r="C963" s="96" t="s">
        <v>761</v>
      </c>
      <c r="D963" s="96" t="s">
        <v>406</v>
      </c>
      <c r="E963" s="96" t="s">
        <v>623</v>
      </c>
      <c r="F963" s="96" t="s">
        <v>624</v>
      </c>
      <c r="G963" s="99">
        <v>3975555</v>
      </c>
      <c r="H963" s="97">
        <v>2.1897980000000001</v>
      </c>
      <c r="I963" s="98">
        <v>8705662.3878899999</v>
      </c>
      <c r="J963" s="97">
        <v>1.973393018081752</v>
      </c>
      <c r="K963" s="98">
        <v>860329.90789000003</v>
      </c>
      <c r="L963" s="99">
        <v>0</v>
      </c>
      <c r="M963" s="98">
        <v>0</v>
      </c>
      <c r="N963" s="99">
        <v>0</v>
      </c>
      <c r="O963" s="98">
        <v>0</v>
      </c>
      <c r="P963" s="99">
        <v>3975555</v>
      </c>
      <c r="Q963" s="98">
        <v>8705662.3878899999</v>
      </c>
      <c r="R963" s="96" t="s">
        <v>625</v>
      </c>
      <c r="S963" s="96">
        <v>7414000005</v>
      </c>
      <c r="AA963" s="131" t="s">
        <v>394</v>
      </c>
      <c r="AB963" s="130">
        <v>3873733.0776479999</v>
      </c>
      <c r="AC963" s="130">
        <v>3873733.0776479999</v>
      </c>
    </row>
    <row r="964" spans="1:29" x14ac:dyDescent="0.25">
      <c r="A964" t="str">
        <f t="shared" si="15"/>
        <v xml:space="preserve">65506131264SVIVE35 ED          </v>
      </c>
      <c r="B964" s="96">
        <v>65506131264</v>
      </c>
      <c r="C964" s="96" t="s">
        <v>761</v>
      </c>
      <c r="D964" s="96" t="s">
        <v>407</v>
      </c>
      <c r="E964" s="96" t="s">
        <v>623</v>
      </c>
      <c r="F964" s="96" t="s">
        <v>624</v>
      </c>
      <c r="G964" s="99">
        <v>53678</v>
      </c>
      <c r="H964" s="97">
        <v>2.7668819999999998</v>
      </c>
      <c r="I964" s="98">
        <v>148520.69199600001</v>
      </c>
      <c r="J964" s="97">
        <v>2.390523305637319</v>
      </c>
      <c r="K964" s="98">
        <v>20202.181995999999</v>
      </c>
      <c r="L964" s="99">
        <v>0</v>
      </c>
      <c r="M964" s="98">
        <v>0</v>
      </c>
      <c r="N964" s="99">
        <v>0</v>
      </c>
      <c r="O964" s="98">
        <v>0</v>
      </c>
      <c r="P964" s="99">
        <v>53678</v>
      </c>
      <c r="Q964" s="98">
        <v>148520.69199600001</v>
      </c>
      <c r="R964" s="96" t="s">
        <v>625</v>
      </c>
      <c r="S964" s="96">
        <v>7414000005</v>
      </c>
      <c r="AA964" s="131" t="s">
        <v>379</v>
      </c>
      <c r="AB964" s="130">
        <v>1305458.974314</v>
      </c>
      <c r="AC964" s="130">
        <v>1305458.974314</v>
      </c>
    </row>
    <row r="965" spans="1:29" x14ac:dyDescent="0.25">
      <c r="A965" t="str">
        <f t="shared" si="15"/>
        <v xml:space="preserve">65506131264SVIVE50 ED          </v>
      </c>
      <c r="B965" s="96">
        <v>65507052215</v>
      </c>
      <c r="C965" s="96" t="s">
        <v>760</v>
      </c>
      <c r="D965" s="96" t="s">
        <v>431</v>
      </c>
      <c r="E965" s="96" t="s">
        <v>623</v>
      </c>
      <c r="F965" s="96" t="s">
        <v>624</v>
      </c>
      <c r="G965" s="99">
        <v>2326612</v>
      </c>
      <c r="H965" s="97">
        <v>3.4005040000000002</v>
      </c>
      <c r="I965" s="98">
        <v>7911653.4124480002</v>
      </c>
      <c r="J965" s="97">
        <v>3.3321816056996183</v>
      </c>
      <c r="K965" s="98">
        <v>158959.702448</v>
      </c>
      <c r="L965" s="99">
        <v>0</v>
      </c>
      <c r="M965" s="98">
        <v>0</v>
      </c>
      <c r="N965" s="99">
        <v>0</v>
      </c>
      <c r="O965" s="98">
        <v>0</v>
      </c>
      <c r="P965" s="99">
        <v>2326612</v>
      </c>
      <c r="Q965" s="98">
        <v>7911653.4124480002</v>
      </c>
      <c r="R965" s="96" t="s">
        <v>625</v>
      </c>
      <c r="S965" s="96">
        <v>7414000005</v>
      </c>
      <c r="AA965" s="131" t="s">
        <v>377</v>
      </c>
      <c r="AB965" s="130">
        <v>806322.01803000004</v>
      </c>
      <c r="AC965" s="130">
        <v>806322.01803000004</v>
      </c>
    </row>
    <row r="966" spans="1:29" x14ac:dyDescent="0.25">
      <c r="A966" t="str">
        <f t="shared" si="15"/>
        <v xml:space="preserve">65506131264SVIVE60 ED          </v>
      </c>
      <c r="B966" s="96">
        <v>65507052277</v>
      </c>
      <c r="C966" s="96" t="s">
        <v>760</v>
      </c>
      <c r="D966" s="96" t="s">
        <v>412</v>
      </c>
      <c r="E966" s="96" t="s">
        <v>623</v>
      </c>
      <c r="F966" s="96" t="s">
        <v>624</v>
      </c>
      <c r="G966" s="99">
        <v>1617553</v>
      </c>
      <c r="H966" s="97">
        <v>3.137273</v>
      </c>
      <c r="I966" s="98">
        <v>5074705.3529690001</v>
      </c>
      <c r="J966" s="97">
        <v>3.0779545647035986</v>
      </c>
      <c r="K966" s="98">
        <v>95950.712969</v>
      </c>
      <c r="L966" s="99">
        <v>0</v>
      </c>
      <c r="M966" s="98">
        <v>0</v>
      </c>
      <c r="N966" s="99">
        <v>0</v>
      </c>
      <c r="O966" s="98">
        <v>0</v>
      </c>
      <c r="P966" s="99">
        <v>1617553</v>
      </c>
      <c r="Q966" s="98">
        <v>5074705.3529690001</v>
      </c>
      <c r="R966" s="96" t="s">
        <v>625</v>
      </c>
      <c r="S966" s="96">
        <v>7414000005</v>
      </c>
      <c r="AA966" s="131" t="s">
        <v>422</v>
      </c>
      <c r="AB966" s="130">
        <v>165231.28033199999</v>
      </c>
      <c r="AC966" s="130">
        <v>165231.28033199999</v>
      </c>
    </row>
    <row r="967" spans="1:29" x14ac:dyDescent="0.25">
      <c r="A967" t="str">
        <f t="shared" ref="A967:A1030" si="16">B965&amp;D965</f>
        <v xml:space="preserve">65507052215STERGOB B1          </v>
      </c>
      <c r="B967" s="96">
        <v>65507052294</v>
      </c>
      <c r="C967" s="96" t="s">
        <v>760</v>
      </c>
      <c r="D967" s="96" t="s">
        <v>431</v>
      </c>
      <c r="E967" s="96" t="s">
        <v>623</v>
      </c>
      <c r="F967" s="96" t="s">
        <v>624</v>
      </c>
      <c r="G967" s="99">
        <v>2272024</v>
      </c>
      <c r="H967" s="97">
        <v>3.4005040000000002</v>
      </c>
      <c r="I967" s="98">
        <v>7726026.700096</v>
      </c>
      <c r="J967" s="97">
        <v>3.3321820676190042</v>
      </c>
      <c r="K967" s="98">
        <v>155229.07009600001</v>
      </c>
      <c r="L967" s="99">
        <v>0</v>
      </c>
      <c r="M967" s="98">
        <v>0</v>
      </c>
      <c r="N967" s="99">
        <v>0</v>
      </c>
      <c r="O967" s="98">
        <v>0</v>
      </c>
      <c r="P967" s="99">
        <v>2272024</v>
      </c>
      <c r="Q967" s="98">
        <v>7726026.700096</v>
      </c>
      <c r="R967" s="96" t="s">
        <v>625</v>
      </c>
      <c r="S967" s="96">
        <v>7414000005</v>
      </c>
      <c r="AA967" s="131" t="s">
        <v>392</v>
      </c>
      <c r="AB967" s="130">
        <v>7495694.0298239999</v>
      </c>
      <c r="AC967" s="130">
        <v>7495694.0298239999</v>
      </c>
    </row>
    <row r="968" spans="1:29" x14ac:dyDescent="0.25">
      <c r="A968" t="str">
        <f t="shared" si="16"/>
        <v xml:space="preserve">65507052277STERGOB B0          </v>
      </c>
      <c r="B968" s="96">
        <v>65507142173</v>
      </c>
      <c r="C968" s="96" t="s">
        <v>762</v>
      </c>
      <c r="D968" s="96" t="s">
        <v>412</v>
      </c>
      <c r="E968" s="96" t="s">
        <v>623</v>
      </c>
      <c r="F968" s="96" t="s">
        <v>624</v>
      </c>
      <c r="G968" s="99">
        <v>235705</v>
      </c>
      <c r="H968" s="97">
        <v>3.137273</v>
      </c>
      <c r="I968" s="98">
        <v>739470.93246499996</v>
      </c>
      <c r="J968" s="97">
        <v>3.0779630894550389</v>
      </c>
      <c r="K968" s="98">
        <v>13979.642465000001</v>
      </c>
      <c r="L968" s="99">
        <v>0</v>
      </c>
      <c r="M968" s="98">
        <v>0</v>
      </c>
      <c r="N968" s="99">
        <v>0</v>
      </c>
      <c r="O968" s="98">
        <v>0</v>
      </c>
      <c r="P968" s="99">
        <v>235705</v>
      </c>
      <c r="Q968" s="98">
        <v>739470.93246499996</v>
      </c>
      <c r="R968" s="96" t="s">
        <v>625</v>
      </c>
      <c r="S968" s="96">
        <v>7414000005</v>
      </c>
      <c r="AA968" s="131" t="s">
        <v>386</v>
      </c>
      <c r="AB968" s="130">
        <v>5492964.902299</v>
      </c>
      <c r="AC968" s="130">
        <v>5492964.902299</v>
      </c>
    </row>
    <row r="969" spans="1:29" x14ac:dyDescent="0.25">
      <c r="A969" t="str">
        <f t="shared" si="16"/>
        <v xml:space="preserve">65507052294STERGOB B1          </v>
      </c>
      <c r="B969" s="96">
        <v>65507143699</v>
      </c>
      <c r="C969" s="96" t="s">
        <v>762</v>
      </c>
      <c r="D969" s="96" t="s">
        <v>412</v>
      </c>
      <c r="E969" s="96" t="s">
        <v>623</v>
      </c>
      <c r="F969" s="96" t="s">
        <v>624</v>
      </c>
      <c r="G969" s="99">
        <v>149673</v>
      </c>
      <c r="H969" s="97">
        <v>3.137273</v>
      </c>
      <c r="I969" s="98">
        <v>469565.06172900001</v>
      </c>
      <c r="J969" s="97">
        <v>3.0779635605620252</v>
      </c>
      <c r="K969" s="98">
        <v>8877.0217290000001</v>
      </c>
      <c r="L969" s="99">
        <v>0</v>
      </c>
      <c r="M969" s="98">
        <v>0</v>
      </c>
      <c r="N969" s="99">
        <v>0</v>
      </c>
      <c r="O969" s="98">
        <v>0</v>
      </c>
      <c r="P969" s="99">
        <v>149673</v>
      </c>
      <c r="Q969" s="98">
        <v>469565.06172900001</v>
      </c>
      <c r="R969" s="96" t="s">
        <v>625</v>
      </c>
      <c r="S969" s="96">
        <v>7414000005</v>
      </c>
      <c r="AA969" s="131" t="s">
        <v>363</v>
      </c>
      <c r="AB969" s="130">
        <v>3416751.8147880002</v>
      </c>
      <c r="AC969" s="130">
        <v>3416751.8147880002</v>
      </c>
    </row>
    <row r="970" spans="1:29" x14ac:dyDescent="0.25">
      <c r="A970" t="str">
        <f t="shared" si="16"/>
        <v xml:space="preserve">65507142173STERGOB B0          </v>
      </c>
      <c r="B970" s="96">
        <v>65507143745</v>
      </c>
      <c r="C970" s="96" t="s">
        <v>762</v>
      </c>
      <c r="D970" s="96" t="s">
        <v>412</v>
      </c>
      <c r="E970" s="96" t="s">
        <v>623</v>
      </c>
      <c r="F970" s="96" t="s">
        <v>624</v>
      </c>
      <c r="G970" s="99">
        <v>94563</v>
      </c>
      <c r="H970" s="97">
        <v>3.137273</v>
      </c>
      <c r="I970" s="98">
        <v>296669.94669900002</v>
      </c>
      <c r="J970" s="97">
        <v>3.0779480346435708</v>
      </c>
      <c r="K970" s="98">
        <v>5609.9466990000001</v>
      </c>
      <c r="L970" s="99">
        <v>0</v>
      </c>
      <c r="M970" s="98">
        <v>0</v>
      </c>
      <c r="N970" s="99">
        <v>0</v>
      </c>
      <c r="O970" s="98">
        <v>0</v>
      </c>
      <c r="P970" s="99">
        <v>94563</v>
      </c>
      <c r="Q970" s="98">
        <v>296669.94669900002</v>
      </c>
      <c r="R970" s="96" t="s">
        <v>625</v>
      </c>
      <c r="S970" s="96">
        <v>7414000005</v>
      </c>
      <c r="AA970" s="131" t="s">
        <v>409</v>
      </c>
      <c r="AB970" s="130">
        <v>4576913.8311900003</v>
      </c>
      <c r="AC970" s="130">
        <v>4576913.8311900003</v>
      </c>
    </row>
    <row r="971" spans="1:29" x14ac:dyDescent="0.25">
      <c r="A971" t="str">
        <f t="shared" si="16"/>
        <v xml:space="preserve">65507143699STERGOB B0          </v>
      </c>
      <c r="B971" s="96">
        <v>65507298252</v>
      </c>
      <c r="C971" s="96" t="s">
        <v>763</v>
      </c>
      <c r="D971" s="96" t="s">
        <v>483</v>
      </c>
      <c r="E971" s="96" t="s">
        <v>623</v>
      </c>
      <c r="F971" s="96" t="s">
        <v>624</v>
      </c>
      <c r="G971" s="99">
        <v>498833</v>
      </c>
      <c r="H971" s="97">
        <v>91.663769000000002</v>
      </c>
      <c r="I971" s="98">
        <v>45724912.881577</v>
      </c>
      <c r="J971" s="97">
        <v>100.08954932813187</v>
      </c>
      <c r="K971" s="98">
        <v>-4203057.2784230001</v>
      </c>
      <c r="L971" s="99">
        <v>0</v>
      </c>
      <c r="M971" s="98">
        <v>0</v>
      </c>
      <c r="N971" s="99">
        <v>0</v>
      </c>
      <c r="O971" s="98">
        <v>0</v>
      </c>
      <c r="P971" s="99">
        <v>498833</v>
      </c>
      <c r="Q971" s="98">
        <v>45724912.881577</v>
      </c>
      <c r="R971" s="96" t="s">
        <v>625</v>
      </c>
      <c r="S971" s="96">
        <v>7414000005</v>
      </c>
      <c r="AA971" s="131" t="s">
        <v>383</v>
      </c>
      <c r="AB971" s="130">
        <v>6344281.0150560001</v>
      </c>
      <c r="AC971" s="130">
        <v>6344281.0150560001</v>
      </c>
    </row>
    <row r="972" spans="1:29" x14ac:dyDescent="0.25">
      <c r="A972" t="str">
        <f t="shared" si="16"/>
        <v xml:space="preserve">65507143745STERGOB B0          </v>
      </c>
      <c r="B972" s="96">
        <v>65507298252</v>
      </c>
      <c r="C972" s="96" t="s">
        <v>763</v>
      </c>
      <c r="D972" s="96" t="s">
        <v>358</v>
      </c>
      <c r="E972" s="96" t="s">
        <v>623</v>
      </c>
      <c r="F972" s="96" t="s">
        <v>624</v>
      </c>
      <c r="G972" s="99">
        <v>0</v>
      </c>
      <c r="H972" s="97">
        <v>0</v>
      </c>
      <c r="I972" s="98">
        <v>0</v>
      </c>
      <c r="J972" s="97">
        <v>0</v>
      </c>
      <c r="K972" s="98">
        <v>0</v>
      </c>
      <c r="L972" s="99">
        <v>0</v>
      </c>
      <c r="M972" s="98">
        <v>0</v>
      </c>
      <c r="N972" s="99">
        <v>0</v>
      </c>
      <c r="O972" s="98">
        <v>0</v>
      </c>
      <c r="P972" s="99">
        <v>0</v>
      </c>
      <c r="Q972" s="98">
        <v>0</v>
      </c>
      <c r="R972" s="96" t="s">
        <v>625</v>
      </c>
      <c r="S972" s="96">
        <v>7414000005</v>
      </c>
      <c r="AA972" s="131" t="s">
        <v>360</v>
      </c>
      <c r="AB972" s="130">
        <v>2978640</v>
      </c>
      <c r="AC972" s="130">
        <v>2978640</v>
      </c>
    </row>
    <row r="973" spans="1:29" x14ac:dyDescent="0.25">
      <c r="A973" t="str">
        <f t="shared" si="16"/>
        <v xml:space="preserve">65507298252ACBE 17             </v>
      </c>
      <c r="B973" s="96">
        <v>65507298252</v>
      </c>
      <c r="C973" s="96" t="s">
        <v>763</v>
      </c>
      <c r="D973" s="96" t="s">
        <v>484</v>
      </c>
      <c r="E973" s="96" t="s">
        <v>623</v>
      </c>
      <c r="F973" s="96" t="s">
        <v>624</v>
      </c>
      <c r="G973" s="99">
        <v>216884</v>
      </c>
      <c r="H973" s="97">
        <v>90.182721000000001</v>
      </c>
      <c r="I973" s="98">
        <v>19559189.261364002</v>
      </c>
      <c r="J973" s="97">
        <v>100</v>
      </c>
      <c r="K973" s="98">
        <v>-2129210.7386360001</v>
      </c>
      <c r="L973" s="99">
        <v>0</v>
      </c>
      <c r="M973" s="98">
        <v>0</v>
      </c>
      <c r="N973" s="99">
        <v>0</v>
      </c>
      <c r="O973" s="98">
        <v>0</v>
      </c>
      <c r="P973" s="99">
        <v>216884</v>
      </c>
      <c r="Q973" s="98">
        <v>19559189.261364002</v>
      </c>
      <c r="R973" s="96" t="s">
        <v>625</v>
      </c>
      <c r="S973" s="96">
        <v>7414000005</v>
      </c>
      <c r="AA973" s="131" t="s">
        <v>397</v>
      </c>
      <c r="AB973" s="130">
        <v>1204514.147386</v>
      </c>
      <c r="AC973" s="130">
        <v>1204514.147386</v>
      </c>
    </row>
    <row r="974" spans="1:29" x14ac:dyDescent="0.25">
      <c r="A974" t="str">
        <f t="shared" si="16"/>
        <v xml:space="preserve">65507298252ACWI *              </v>
      </c>
      <c r="B974" s="96">
        <v>65507298252</v>
      </c>
      <c r="C974" s="96" t="s">
        <v>763</v>
      </c>
      <c r="D974" s="96" t="s">
        <v>502</v>
      </c>
      <c r="E974" s="96" t="s">
        <v>623</v>
      </c>
      <c r="F974" s="96" t="s">
        <v>624</v>
      </c>
      <c r="G974" s="99">
        <v>1251</v>
      </c>
      <c r="H974" s="97">
        <v>9469.6491050000004</v>
      </c>
      <c r="I974" s="98">
        <v>11846531.030355001</v>
      </c>
      <c r="J974" s="97">
        <v>9977.4</v>
      </c>
      <c r="K974" s="98">
        <v>-635196.36964499997</v>
      </c>
      <c r="L974" s="99">
        <v>0</v>
      </c>
      <c r="M974" s="98">
        <v>0</v>
      </c>
      <c r="N974" s="99">
        <v>0</v>
      </c>
      <c r="O974" s="98">
        <v>0</v>
      </c>
      <c r="P974" s="99">
        <v>1251</v>
      </c>
      <c r="Q974" s="98">
        <v>11846531.030355001</v>
      </c>
      <c r="R974" s="96" t="s">
        <v>625</v>
      </c>
      <c r="S974" s="96">
        <v>7414000005</v>
      </c>
      <c r="AA974" s="131" t="s">
        <v>499</v>
      </c>
      <c r="AB974" s="130">
        <v>1376656.18943</v>
      </c>
      <c r="AC974" s="130">
        <v>1376656.18943</v>
      </c>
    </row>
    <row r="975" spans="1:29" x14ac:dyDescent="0.25">
      <c r="A975" t="str">
        <f t="shared" si="16"/>
        <v xml:space="preserve">65507298252ALSEA 17-2          </v>
      </c>
      <c r="B975" s="96">
        <v>65507298252</v>
      </c>
      <c r="C975" s="96" t="s">
        <v>763</v>
      </c>
      <c r="D975" s="96" t="s">
        <v>485</v>
      </c>
      <c r="E975" s="96" t="s">
        <v>623</v>
      </c>
      <c r="F975" s="96" t="s">
        <v>624</v>
      </c>
      <c r="G975" s="99">
        <v>361643</v>
      </c>
      <c r="H975" s="97">
        <v>98.348472000000001</v>
      </c>
      <c r="I975" s="98">
        <v>35567036.459495999</v>
      </c>
      <c r="J975" s="97">
        <v>99.379753789999995</v>
      </c>
      <c r="K975" s="98">
        <v>-372955.84038096998</v>
      </c>
      <c r="L975" s="99">
        <v>0</v>
      </c>
      <c r="M975" s="98">
        <v>0</v>
      </c>
      <c r="N975" s="99">
        <v>0</v>
      </c>
      <c r="O975" s="98">
        <v>0</v>
      </c>
      <c r="P975" s="99">
        <v>361643</v>
      </c>
      <c r="Q975" s="98">
        <v>35567036.459495999</v>
      </c>
      <c r="R975" s="96" t="s">
        <v>625</v>
      </c>
      <c r="S975" s="96">
        <v>7414000005</v>
      </c>
      <c r="AA975" s="131" t="s">
        <v>501</v>
      </c>
      <c r="AB975" s="130">
        <v>4227714.7</v>
      </c>
      <c r="AC975" s="130">
        <v>4227714.7</v>
      </c>
    </row>
    <row r="976" spans="1:29" x14ac:dyDescent="0.25">
      <c r="A976" t="str">
        <f t="shared" si="16"/>
        <v xml:space="preserve">65507298252AMX 0131X           </v>
      </c>
      <c r="B976" s="96">
        <v>65507298252</v>
      </c>
      <c r="C976" s="96" t="s">
        <v>763</v>
      </c>
      <c r="D976" s="96" t="s">
        <v>471</v>
      </c>
      <c r="E976" s="96" t="s">
        <v>623</v>
      </c>
      <c r="F976" s="96" t="s">
        <v>624</v>
      </c>
      <c r="G976" s="99">
        <v>0</v>
      </c>
      <c r="H976" s="97">
        <v>0</v>
      </c>
      <c r="I976" s="98">
        <v>0</v>
      </c>
      <c r="J976" s="97">
        <v>0</v>
      </c>
      <c r="K976" s="98">
        <v>0</v>
      </c>
      <c r="L976" s="99">
        <v>0</v>
      </c>
      <c r="M976" s="98">
        <v>0</v>
      </c>
      <c r="N976" s="99">
        <v>0</v>
      </c>
      <c r="O976" s="98">
        <v>0</v>
      </c>
      <c r="P976" s="99">
        <v>0</v>
      </c>
      <c r="Q976" s="98">
        <v>0</v>
      </c>
      <c r="R976" s="96" t="s">
        <v>625</v>
      </c>
      <c r="S976" s="96">
        <v>7414000005</v>
      </c>
      <c r="AA976" s="131" t="s">
        <v>507</v>
      </c>
      <c r="AB976" s="130">
        <v>2481646.6348799998</v>
      </c>
      <c r="AC976" s="130">
        <v>2481646.6348799998</v>
      </c>
    </row>
    <row r="977" spans="1:29" x14ac:dyDescent="0.25">
      <c r="A977" t="str">
        <f t="shared" si="16"/>
        <v xml:space="preserve">65507298252BINBUR 14-7         </v>
      </c>
      <c r="B977" s="96">
        <v>65507298252</v>
      </c>
      <c r="C977" s="96" t="s">
        <v>763</v>
      </c>
      <c r="D977" s="96" t="s">
        <v>363</v>
      </c>
      <c r="E977" s="96" t="s">
        <v>623</v>
      </c>
      <c r="F977" s="96" t="s">
        <v>624</v>
      </c>
      <c r="G977" s="99">
        <v>415371</v>
      </c>
      <c r="H977" s="97">
        <v>9.4935880000000008</v>
      </c>
      <c r="I977" s="98">
        <v>3943361.141148</v>
      </c>
      <c r="J977" s="97">
        <v>8.2405490399999994</v>
      </c>
      <c r="K977" s="98">
        <v>520476.04585415998</v>
      </c>
      <c r="L977" s="99">
        <v>0</v>
      </c>
      <c r="M977" s="98">
        <v>0</v>
      </c>
      <c r="N977" s="99">
        <v>0</v>
      </c>
      <c r="O977" s="98">
        <v>0</v>
      </c>
      <c r="P977" s="99">
        <v>415371</v>
      </c>
      <c r="Q977" s="98">
        <v>3943361.141148</v>
      </c>
      <c r="R977" s="96" t="s">
        <v>625</v>
      </c>
      <c r="S977" s="96">
        <v>7414000005</v>
      </c>
      <c r="AA977" s="129">
        <v>420310</v>
      </c>
      <c r="AB977" s="130">
        <v>29724897.091780998</v>
      </c>
      <c r="AC977" s="130">
        <v>30183384.691780999</v>
      </c>
    </row>
    <row r="978" spans="1:29" x14ac:dyDescent="0.25">
      <c r="A978" t="str">
        <f t="shared" si="16"/>
        <v xml:space="preserve">65507298252CETES 230601        </v>
      </c>
      <c r="B978" s="96">
        <v>65507298252</v>
      </c>
      <c r="C978" s="96" t="s">
        <v>763</v>
      </c>
      <c r="D978" s="96" t="s">
        <v>364</v>
      </c>
      <c r="E978" s="96" t="s">
        <v>623</v>
      </c>
      <c r="F978" s="96" t="s">
        <v>624</v>
      </c>
      <c r="G978" s="99">
        <v>15133840</v>
      </c>
      <c r="H978" s="97">
        <v>9.190137</v>
      </c>
      <c r="I978" s="98">
        <v>139082062.93608001</v>
      </c>
      <c r="J978" s="97">
        <v>8.1978244938435321</v>
      </c>
      <c r="K978" s="98">
        <v>15017498.698171001</v>
      </c>
      <c r="L978" s="99">
        <v>0</v>
      </c>
      <c r="M978" s="98">
        <v>0</v>
      </c>
      <c r="N978" s="99">
        <v>0</v>
      </c>
      <c r="O978" s="98">
        <v>0</v>
      </c>
      <c r="P978" s="99">
        <v>15133840</v>
      </c>
      <c r="Q978" s="98">
        <v>139082062.93608001</v>
      </c>
      <c r="R978" s="96" t="s">
        <v>625</v>
      </c>
      <c r="S978" s="96">
        <v>7414000005</v>
      </c>
      <c r="AA978" s="131" t="s">
        <v>389</v>
      </c>
      <c r="AB978" s="130">
        <v>12065174.495716</v>
      </c>
      <c r="AC978" s="130">
        <v>12065174.495716</v>
      </c>
    </row>
    <row r="979" spans="1:29" x14ac:dyDescent="0.25">
      <c r="A979" t="str">
        <f t="shared" si="16"/>
        <v xml:space="preserve">65507298252CETES 241003        </v>
      </c>
      <c r="B979" s="96">
        <v>65507298252</v>
      </c>
      <c r="C979" s="96" t="s">
        <v>763</v>
      </c>
      <c r="D979" s="96" t="s">
        <v>615</v>
      </c>
      <c r="E979" s="96" t="s">
        <v>623</v>
      </c>
      <c r="F979" s="96" t="s">
        <v>624</v>
      </c>
      <c r="G979" s="99">
        <v>2500000</v>
      </c>
      <c r="H979" s="97">
        <v>9.0839700000000008</v>
      </c>
      <c r="I979" s="98">
        <v>22709925</v>
      </c>
      <c r="J979" s="97">
        <v>8.9878796600000008</v>
      </c>
      <c r="K979" s="98">
        <v>240225.85</v>
      </c>
      <c r="L979" s="99">
        <v>0</v>
      </c>
      <c r="M979" s="98">
        <v>0</v>
      </c>
      <c r="N979" s="99">
        <v>0</v>
      </c>
      <c r="O979" s="98">
        <v>0</v>
      </c>
      <c r="P979" s="99">
        <v>2500000</v>
      </c>
      <c r="Q979" s="98">
        <v>22709925</v>
      </c>
      <c r="R979" s="96" t="s">
        <v>625</v>
      </c>
      <c r="S979" s="96">
        <v>7414000005</v>
      </c>
      <c r="AA979" s="131" t="s">
        <v>419</v>
      </c>
      <c r="AB979" s="130">
        <v>0</v>
      </c>
      <c r="AC979" s="130">
        <v>0</v>
      </c>
    </row>
    <row r="980" spans="1:29" x14ac:dyDescent="0.25">
      <c r="A980" t="str">
        <f t="shared" si="16"/>
        <v xml:space="preserve">65507298252CETES 250123        </v>
      </c>
      <c r="B980" s="96">
        <v>65507298252</v>
      </c>
      <c r="C980" s="96" t="s">
        <v>763</v>
      </c>
      <c r="D980" s="96" t="s">
        <v>554</v>
      </c>
      <c r="E980" s="96" t="s">
        <v>623</v>
      </c>
      <c r="F980" s="96" t="s">
        <v>624</v>
      </c>
      <c r="G980" s="99">
        <v>2829590</v>
      </c>
      <c r="H980" s="97">
        <v>8.3813510000000004</v>
      </c>
      <c r="I980" s="98">
        <v>23715786.976089999</v>
      </c>
      <c r="J980" s="97">
        <v>8.2842867899999995</v>
      </c>
      <c r="K980" s="98">
        <v>274651.91797389998</v>
      </c>
      <c r="L980" s="99">
        <v>0</v>
      </c>
      <c r="M980" s="98">
        <v>0</v>
      </c>
      <c r="N980" s="99">
        <v>0</v>
      </c>
      <c r="O980" s="98">
        <v>0</v>
      </c>
      <c r="P980" s="99">
        <v>2829590</v>
      </c>
      <c r="Q980" s="98">
        <v>23715786.976089999</v>
      </c>
      <c r="R980" s="96" t="s">
        <v>625</v>
      </c>
      <c r="S980" s="96">
        <v>7414000005</v>
      </c>
      <c r="AA980" s="131" t="s">
        <v>459</v>
      </c>
      <c r="AB980" s="130">
        <v>8848810.6799999997</v>
      </c>
      <c r="AC980" s="130">
        <v>9307298.2799999993</v>
      </c>
    </row>
    <row r="981" spans="1:29" x14ac:dyDescent="0.25">
      <c r="A981" t="str">
        <f t="shared" si="16"/>
        <v xml:space="preserve">65507298252CETES 250306        </v>
      </c>
      <c r="B981" s="96">
        <v>65507298252</v>
      </c>
      <c r="C981" s="96" t="s">
        <v>763</v>
      </c>
      <c r="D981" s="96" t="s">
        <v>424</v>
      </c>
      <c r="E981" s="96" t="s">
        <v>623</v>
      </c>
      <c r="F981" s="96" t="s">
        <v>624</v>
      </c>
      <c r="G981" s="99">
        <v>332340</v>
      </c>
      <c r="H981" s="97">
        <v>93.248425999999995</v>
      </c>
      <c r="I981" s="98">
        <v>30990181.896839999</v>
      </c>
      <c r="J981" s="97">
        <v>96.771887774684956</v>
      </c>
      <c r="K981" s="98">
        <v>-1170987.2861988</v>
      </c>
      <c r="L981" s="99">
        <v>0</v>
      </c>
      <c r="M981" s="98">
        <v>0</v>
      </c>
      <c r="N981" s="99">
        <v>0</v>
      </c>
      <c r="O981" s="98">
        <v>0</v>
      </c>
      <c r="P981" s="99">
        <v>332340</v>
      </c>
      <c r="Q981" s="98">
        <v>30990181.896839999</v>
      </c>
      <c r="R981" s="96" t="s">
        <v>625</v>
      </c>
      <c r="S981" s="96">
        <v>7414000005</v>
      </c>
      <c r="AA981" s="131" t="s">
        <v>363</v>
      </c>
      <c r="AB981" s="130">
        <v>297984.74014399998</v>
      </c>
      <c r="AC981" s="130">
        <v>297984.74014399998</v>
      </c>
    </row>
    <row r="982" spans="1:29" x14ac:dyDescent="0.25">
      <c r="A982" t="str">
        <f t="shared" si="16"/>
        <v xml:space="preserve">65507298252CETES 251224        </v>
      </c>
      <c r="B982" s="96">
        <v>65507298252</v>
      </c>
      <c r="C982" s="96" t="s">
        <v>763</v>
      </c>
      <c r="D982" s="96" t="s">
        <v>486</v>
      </c>
      <c r="E982" s="96" t="s">
        <v>623</v>
      </c>
      <c r="F982" s="96" t="s">
        <v>624</v>
      </c>
      <c r="G982" s="99">
        <v>289179</v>
      </c>
      <c r="H982" s="97">
        <v>89.923210999999995</v>
      </c>
      <c r="I982" s="98">
        <v>26003904.233769</v>
      </c>
      <c r="J982" s="97">
        <v>100.39498338</v>
      </c>
      <c r="K982" s="98">
        <v>-3028216.6650760202</v>
      </c>
      <c r="L982" s="99">
        <v>0</v>
      </c>
      <c r="M982" s="98">
        <v>0</v>
      </c>
      <c r="N982" s="99">
        <v>0</v>
      </c>
      <c r="O982" s="98">
        <v>0</v>
      </c>
      <c r="P982" s="99">
        <v>289179</v>
      </c>
      <c r="Q982" s="98">
        <v>26003904.233769</v>
      </c>
      <c r="R982" s="96" t="s">
        <v>625</v>
      </c>
      <c r="S982" s="96">
        <v>7414000005</v>
      </c>
      <c r="AA982" s="131" t="s">
        <v>409</v>
      </c>
      <c r="AB982" s="130">
        <v>1425722.7123509999</v>
      </c>
      <c r="AC982" s="130">
        <v>1425722.7123509999</v>
      </c>
    </row>
    <row r="983" spans="1:29" x14ac:dyDescent="0.25">
      <c r="A983" t="str">
        <f t="shared" si="16"/>
        <v xml:space="preserve">65507298252CFE 14-2            </v>
      </c>
      <c r="B983" s="96">
        <v>65507298252</v>
      </c>
      <c r="C983" s="96" t="s">
        <v>763</v>
      </c>
      <c r="D983" s="96" t="s">
        <v>487</v>
      </c>
      <c r="E983" s="96" t="s">
        <v>623</v>
      </c>
      <c r="F983" s="96" t="s">
        <v>624</v>
      </c>
      <c r="G983" s="99">
        <v>88561</v>
      </c>
      <c r="H983" s="97">
        <v>91.196223000000003</v>
      </c>
      <c r="I983" s="98">
        <v>8076428.7051029997</v>
      </c>
      <c r="J983" s="97">
        <v>103.24206287</v>
      </c>
      <c r="K983" s="98">
        <v>-1066791.6247270701</v>
      </c>
      <c r="L983" s="99">
        <v>0</v>
      </c>
      <c r="M983" s="98">
        <v>0</v>
      </c>
      <c r="N983" s="99">
        <v>0</v>
      </c>
      <c r="O983" s="98">
        <v>0</v>
      </c>
      <c r="P983" s="99">
        <v>88561</v>
      </c>
      <c r="Q983" s="98">
        <v>8076428.7051029997</v>
      </c>
      <c r="R983" s="96" t="s">
        <v>625</v>
      </c>
      <c r="S983" s="96">
        <v>7414000005</v>
      </c>
      <c r="AA983" s="131" t="s">
        <v>364</v>
      </c>
      <c r="AB983" s="130">
        <v>1442392.0021500001</v>
      </c>
      <c r="AC983" s="130">
        <v>1442392.0021500001</v>
      </c>
    </row>
    <row r="984" spans="1:29" x14ac:dyDescent="0.25">
      <c r="A984" t="str">
        <f t="shared" si="16"/>
        <v xml:space="preserve">65507298252CFE 17              </v>
      </c>
      <c r="B984" s="96">
        <v>65507298252</v>
      </c>
      <c r="C984" s="96" t="s">
        <v>763</v>
      </c>
      <c r="D984" s="96" t="s">
        <v>366</v>
      </c>
      <c r="E984" s="96" t="s">
        <v>623</v>
      </c>
      <c r="F984" s="96" t="s">
        <v>624</v>
      </c>
      <c r="G984" s="99">
        <v>0</v>
      </c>
      <c r="H984" s="97">
        <v>0</v>
      </c>
      <c r="I984" s="98">
        <v>70548482.469999999</v>
      </c>
      <c r="J984" s="97">
        <v>0</v>
      </c>
      <c r="K984" s="98">
        <v>0</v>
      </c>
      <c r="L984" s="99">
        <v>0</v>
      </c>
      <c r="M984" s="98">
        <v>0</v>
      </c>
      <c r="N984" s="99">
        <v>0</v>
      </c>
      <c r="O984" s="98">
        <v>0</v>
      </c>
      <c r="P984" s="99">
        <v>0</v>
      </c>
      <c r="Q984" s="98">
        <v>70548482.469999999</v>
      </c>
      <c r="R984" s="96" t="s">
        <v>625</v>
      </c>
      <c r="S984" s="96">
        <v>7414000005</v>
      </c>
      <c r="AA984" s="131" t="s">
        <v>570</v>
      </c>
      <c r="AB984" s="130">
        <v>4807076</v>
      </c>
      <c r="AC984" s="130">
        <v>4807076</v>
      </c>
    </row>
    <row r="985" spans="1:29" x14ac:dyDescent="0.25">
      <c r="A985" t="str">
        <f t="shared" si="16"/>
        <v xml:space="preserve">65507298252DANHOS 17           </v>
      </c>
      <c r="B985" s="96">
        <v>65507298252</v>
      </c>
      <c r="C985" s="96" t="s">
        <v>763</v>
      </c>
      <c r="D985" s="96" t="s">
        <v>488</v>
      </c>
      <c r="E985" s="96" t="s">
        <v>623</v>
      </c>
      <c r="F985" s="96" t="s">
        <v>624</v>
      </c>
      <c r="G985" s="99">
        <v>451511</v>
      </c>
      <c r="H985" s="97">
        <v>92.468708000000007</v>
      </c>
      <c r="I985" s="98">
        <v>41750638.817787997</v>
      </c>
      <c r="J985" s="97">
        <v>98.484768880000004</v>
      </c>
      <c r="K985" s="98">
        <v>-2716317.6639896799</v>
      </c>
      <c r="L985" s="99">
        <v>0</v>
      </c>
      <c r="M985" s="98">
        <v>0</v>
      </c>
      <c r="N985" s="99">
        <v>0</v>
      </c>
      <c r="O985" s="98">
        <v>0</v>
      </c>
      <c r="P985" s="99">
        <v>451511</v>
      </c>
      <c r="Q985" s="98">
        <v>41750638.817787997</v>
      </c>
      <c r="R985" s="96" t="s">
        <v>625</v>
      </c>
      <c r="S985" s="96">
        <v>7414000005</v>
      </c>
      <c r="AA985" s="131" t="s">
        <v>613</v>
      </c>
      <c r="AB985" s="130">
        <v>530993.57949999999</v>
      </c>
      <c r="AC985" s="130">
        <v>530993.57949999999</v>
      </c>
    </row>
    <row r="986" spans="1:29" x14ac:dyDescent="0.25">
      <c r="A986" t="str">
        <f t="shared" si="16"/>
        <v>65507298252EFECTIVO</v>
      </c>
      <c r="B986" s="96">
        <v>65507298252</v>
      </c>
      <c r="C986" s="96" t="s">
        <v>763</v>
      </c>
      <c r="D986" s="96" t="s">
        <v>489</v>
      </c>
      <c r="E986" s="96" t="s">
        <v>623</v>
      </c>
      <c r="F986" s="96" t="s">
        <v>624</v>
      </c>
      <c r="G986" s="99">
        <v>413372</v>
      </c>
      <c r="H986" s="97">
        <v>91.505291999999997</v>
      </c>
      <c r="I986" s="98">
        <v>37825725.564623997</v>
      </c>
      <c r="J986" s="97">
        <v>100.00000423</v>
      </c>
      <c r="K986" s="98">
        <v>-3511476.1839395599</v>
      </c>
      <c r="L986" s="99">
        <v>0</v>
      </c>
      <c r="M986" s="98">
        <v>0</v>
      </c>
      <c r="N986" s="99">
        <v>0</v>
      </c>
      <c r="O986" s="98">
        <v>0</v>
      </c>
      <c r="P986" s="99">
        <v>413372</v>
      </c>
      <c r="Q986" s="98">
        <v>37825725.564623997</v>
      </c>
      <c r="R986" s="96" t="s">
        <v>625</v>
      </c>
      <c r="S986" s="96">
        <v>7414000005</v>
      </c>
      <c r="AA986" s="131" t="s">
        <v>649</v>
      </c>
      <c r="AB986" s="130">
        <v>306742.88192000001</v>
      </c>
      <c r="AC986" s="130">
        <v>306742.88192000001</v>
      </c>
    </row>
    <row r="987" spans="1:29" x14ac:dyDescent="0.25">
      <c r="A987" t="str">
        <f t="shared" si="16"/>
        <v xml:space="preserve">65507298252FUNO 17             </v>
      </c>
      <c r="B987" s="96">
        <v>65507298252</v>
      </c>
      <c r="C987" s="96" t="s">
        <v>763</v>
      </c>
      <c r="D987" s="96" t="s">
        <v>380</v>
      </c>
      <c r="E987" s="96" t="s">
        <v>623</v>
      </c>
      <c r="F987" s="96" t="s">
        <v>624</v>
      </c>
      <c r="G987" s="99">
        <v>608050</v>
      </c>
      <c r="H987" s="97">
        <v>93.314192000000006</v>
      </c>
      <c r="I987" s="98">
        <v>56739694.445600003</v>
      </c>
      <c r="J987" s="97">
        <v>110.16760435222153</v>
      </c>
      <c r="K987" s="98">
        <v>-10247717.380768299</v>
      </c>
      <c r="L987" s="99">
        <v>0</v>
      </c>
      <c r="M987" s="98">
        <v>0</v>
      </c>
      <c r="N987" s="99">
        <v>0</v>
      </c>
      <c r="O987" s="98">
        <v>0</v>
      </c>
      <c r="P987" s="99">
        <v>608050</v>
      </c>
      <c r="Q987" s="98">
        <v>56739694.445600003</v>
      </c>
      <c r="R987" s="96" t="s">
        <v>625</v>
      </c>
      <c r="S987" s="96">
        <v>7414000005</v>
      </c>
      <c r="AA987" s="129">
        <v>536741</v>
      </c>
      <c r="AB987" s="130">
        <v>12707620.423643999</v>
      </c>
      <c r="AC987" s="130">
        <v>12707620.423643999</v>
      </c>
    </row>
    <row r="988" spans="1:29" x14ac:dyDescent="0.25">
      <c r="A988" t="str">
        <f t="shared" si="16"/>
        <v xml:space="preserve">65507298252GMXT 17             </v>
      </c>
      <c r="B988" s="96">
        <v>65507298252</v>
      </c>
      <c r="C988" s="96" t="s">
        <v>763</v>
      </c>
      <c r="D988" s="96" t="s">
        <v>381</v>
      </c>
      <c r="E988" s="96" t="s">
        <v>623</v>
      </c>
      <c r="F988" s="96" t="s">
        <v>624</v>
      </c>
      <c r="G988" s="99">
        <v>3359452</v>
      </c>
      <c r="H988" s="97">
        <v>94.870157000000006</v>
      </c>
      <c r="I988" s="98">
        <v>318711738.67396402</v>
      </c>
      <c r="J988" s="97">
        <v>98.254289750684009</v>
      </c>
      <c r="K988" s="98">
        <v>-11368831.53755088</v>
      </c>
      <c r="L988" s="99">
        <v>0</v>
      </c>
      <c r="M988" s="98">
        <v>0</v>
      </c>
      <c r="N988" s="99">
        <v>0</v>
      </c>
      <c r="O988" s="98">
        <v>0</v>
      </c>
      <c r="P988" s="99">
        <v>3359452</v>
      </c>
      <c r="Q988" s="98">
        <v>318711738.67396402</v>
      </c>
      <c r="R988" s="96" t="s">
        <v>625</v>
      </c>
      <c r="S988" s="96">
        <v>7414000005</v>
      </c>
      <c r="AA988" s="131" t="s">
        <v>412</v>
      </c>
      <c r="AB988" s="130">
        <v>485882.01860200003</v>
      </c>
      <c r="AC988" s="130">
        <v>485882.01860200003</v>
      </c>
    </row>
    <row r="989" spans="1:29" x14ac:dyDescent="0.25">
      <c r="A989" t="str">
        <f t="shared" si="16"/>
        <v xml:space="preserve">65507298252GOBFED 270603       </v>
      </c>
      <c r="B989" s="96">
        <v>65507298252</v>
      </c>
      <c r="C989" s="96" t="s">
        <v>763</v>
      </c>
      <c r="D989" s="96" t="s">
        <v>382</v>
      </c>
      <c r="E989" s="96" t="s">
        <v>623</v>
      </c>
      <c r="F989" s="96" t="s">
        <v>624</v>
      </c>
      <c r="G989" s="99">
        <v>3987641</v>
      </c>
      <c r="H989" s="97">
        <v>89.489464999999996</v>
      </c>
      <c r="I989" s="98">
        <v>356851859.70206499</v>
      </c>
      <c r="J989" s="97">
        <v>91.739808376252356</v>
      </c>
      <c r="K989" s="98">
        <v>-8973561.5112223402</v>
      </c>
      <c r="L989" s="99">
        <v>0</v>
      </c>
      <c r="M989" s="98">
        <v>0</v>
      </c>
      <c r="N989" s="99">
        <v>0</v>
      </c>
      <c r="O989" s="98">
        <v>0</v>
      </c>
      <c r="P989" s="99">
        <v>3987641</v>
      </c>
      <c r="Q989" s="98">
        <v>356851859.70206499</v>
      </c>
      <c r="R989" s="96" t="s">
        <v>625</v>
      </c>
      <c r="S989" s="96">
        <v>7414000005</v>
      </c>
      <c r="AA989" s="131" t="s">
        <v>591</v>
      </c>
      <c r="AB989" s="130">
        <v>4.0000000000000001E-3</v>
      </c>
      <c r="AC989" s="130">
        <v>4.0000000000000001E-3</v>
      </c>
    </row>
    <row r="990" spans="1:29" x14ac:dyDescent="0.25">
      <c r="A990" t="str">
        <f t="shared" si="16"/>
        <v xml:space="preserve">65507298252GOBFED 290531       </v>
      </c>
      <c r="B990" s="96">
        <v>65507298252</v>
      </c>
      <c r="C990" s="96" t="s">
        <v>763</v>
      </c>
      <c r="D990" s="96" t="s">
        <v>383</v>
      </c>
      <c r="E990" s="96" t="s">
        <v>623</v>
      </c>
      <c r="F990" s="96" t="s">
        <v>624</v>
      </c>
      <c r="G990" s="99">
        <v>2950940</v>
      </c>
      <c r="H990" s="97">
        <v>86.197128000000006</v>
      </c>
      <c r="I990" s="98">
        <v>254362552.90031999</v>
      </c>
      <c r="J990" s="97">
        <v>90.365245438784896</v>
      </c>
      <c r="K990" s="98">
        <v>-12299864.474807899</v>
      </c>
      <c r="L990" s="99">
        <v>0</v>
      </c>
      <c r="M990" s="98">
        <v>0</v>
      </c>
      <c r="N990" s="99">
        <v>0</v>
      </c>
      <c r="O990" s="98">
        <v>0</v>
      </c>
      <c r="P990" s="99">
        <v>2950940</v>
      </c>
      <c r="Q990" s="98">
        <v>254362552.90031999</v>
      </c>
      <c r="R990" s="96" t="s">
        <v>625</v>
      </c>
      <c r="S990" s="96">
        <v>7414000005</v>
      </c>
      <c r="AA990" s="131" t="s">
        <v>592</v>
      </c>
      <c r="AB990" s="130">
        <v>3698.4</v>
      </c>
      <c r="AC990" s="130">
        <v>3698.4</v>
      </c>
    </row>
    <row r="991" spans="1:29" x14ac:dyDescent="0.25">
      <c r="A991" t="str">
        <f t="shared" si="16"/>
        <v xml:space="preserve">65507298252GOBFED 310529       </v>
      </c>
      <c r="B991" s="96">
        <v>65507298252</v>
      </c>
      <c r="C991" s="96" t="s">
        <v>763</v>
      </c>
      <c r="D991" s="96" t="s">
        <v>427</v>
      </c>
      <c r="E991" s="96" t="s">
        <v>623</v>
      </c>
      <c r="F991" s="96" t="s">
        <v>624</v>
      </c>
      <c r="G991" s="99">
        <v>455830</v>
      </c>
      <c r="H991" s="97">
        <v>86.469353999999996</v>
      </c>
      <c r="I991" s="98">
        <v>39415325.633819997</v>
      </c>
      <c r="J991" s="97">
        <v>89.838096089999993</v>
      </c>
      <c r="K991" s="98">
        <v>-1535573.7068847001</v>
      </c>
      <c r="L991" s="99">
        <v>0</v>
      </c>
      <c r="M991" s="98">
        <v>0</v>
      </c>
      <c r="N991" s="99">
        <v>0</v>
      </c>
      <c r="O991" s="98">
        <v>0</v>
      </c>
      <c r="P991" s="99">
        <v>455830</v>
      </c>
      <c r="Q991" s="98">
        <v>39415325.633819997</v>
      </c>
      <c r="R991" s="96" t="s">
        <v>625</v>
      </c>
      <c r="S991" s="96">
        <v>7414000005</v>
      </c>
      <c r="AA991" s="131" t="s">
        <v>593</v>
      </c>
      <c r="AB991" s="130">
        <v>12218040</v>
      </c>
      <c r="AC991" s="130">
        <v>12218040</v>
      </c>
    </row>
    <row r="992" spans="1:29" x14ac:dyDescent="0.25">
      <c r="A992" t="str">
        <f t="shared" si="16"/>
        <v xml:space="preserve">65507298252GOBFED 330526       </v>
      </c>
      <c r="B992" s="96">
        <v>65507298252</v>
      </c>
      <c r="C992" s="96" t="s">
        <v>763</v>
      </c>
      <c r="D992" s="96" t="s">
        <v>490</v>
      </c>
      <c r="E992" s="96" t="s">
        <v>623</v>
      </c>
      <c r="F992" s="96" t="s">
        <v>624</v>
      </c>
      <c r="G992" s="99">
        <v>372066</v>
      </c>
      <c r="H992" s="97">
        <v>93.083737999999997</v>
      </c>
      <c r="I992" s="98">
        <v>34633294.062707998</v>
      </c>
      <c r="J992" s="97">
        <v>100</v>
      </c>
      <c r="K992" s="98">
        <v>-2573305.9372919998</v>
      </c>
      <c r="L992" s="99">
        <v>0</v>
      </c>
      <c r="M992" s="98">
        <v>0</v>
      </c>
      <c r="N992" s="99">
        <v>0</v>
      </c>
      <c r="O992" s="98">
        <v>0</v>
      </c>
      <c r="P992" s="99">
        <v>372066</v>
      </c>
      <c r="Q992" s="98">
        <v>34633294.062707998</v>
      </c>
      <c r="R992" s="96" t="s">
        <v>625</v>
      </c>
      <c r="S992" s="96">
        <v>7414000005</v>
      </c>
      <c r="AA992" s="131" t="s">
        <v>594</v>
      </c>
      <c r="AB992" s="130">
        <v>1.042E-3</v>
      </c>
      <c r="AC992" s="130">
        <v>1.042E-3</v>
      </c>
    </row>
    <row r="993" spans="1:29" x14ac:dyDescent="0.25">
      <c r="A993" t="str">
        <f t="shared" si="16"/>
        <v xml:space="preserve">65507298252GOBFED 341123       </v>
      </c>
      <c r="B993" s="96">
        <v>65507298252</v>
      </c>
      <c r="C993" s="96" t="s">
        <v>763</v>
      </c>
      <c r="D993" s="96" t="s">
        <v>491</v>
      </c>
      <c r="E993" s="96" t="s">
        <v>623</v>
      </c>
      <c r="F993" s="96" t="s">
        <v>624</v>
      </c>
      <c r="G993" s="99">
        <v>186033</v>
      </c>
      <c r="H993" s="97">
        <v>92.321154000000007</v>
      </c>
      <c r="I993" s="98">
        <v>17174781.242082</v>
      </c>
      <c r="J993" s="97">
        <v>100</v>
      </c>
      <c r="K993" s="98">
        <v>-1428518.757918</v>
      </c>
      <c r="L993" s="99">
        <v>0</v>
      </c>
      <c r="M993" s="98">
        <v>0</v>
      </c>
      <c r="N993" s="99">
        <v>0</v>
      </c>
      <c r="O993" s="98">
        <v>0</v>
      </c>
      <c r="P993" s="99">
        <v>186033</v>
      </c>
      <c r="Q993" s="98">
        <v>17174781.242082</v>
      </c>
      <c r="R993" s="96" t="s">
        <v>625</v>
      </c>
      <c r="S993" s="96">
        <v>7414000005</v>
      </c>
      <c r="AA993" s="129">
        <v>541079</v>
      </c>
      <c r="AB993" s="130">
        <v>365894.79542500008</v>
      </c>
      <c r="AC993" s="130">
        <v>365894.79542500008</v>
      </c>
    </row>
    <row r="994" spans="1:29" x14ac:dyDescent="0.25">
      <c r="A994" t="str">
        <f t="shared" si="16"/>
        <v xml:space="preserve">65507298252HSBC 17-2           </v>
      </c>
      <c r="B994" s="96">
        <v>65507298252</v>
      </c>
      <c r="C994" s="96" t="s">
        <v>763</v>
      </c>
      <c r="D994" s="96" t="s">
        <v>429</v>
      </c>
      <c r="E994" s="96" t="s">
        <v>623</v>
      </c>
      <c r="F994" s="96" t="s">
        <v>624</v>
      </c>
      <c r="G994" s="99">
        <v>957110</v>
      </c>
      <c r="H994" s="97">
        <v>98.007834000000003</v>
      </c>
      <c r="I994" s="98">
        <v>93804277.999740005</v>
      </c>
      <c r="J994" s="97">
        <v>92.201123724699144</v>
      </c>
      <c r="K994" s="98">
        <v>5557660.4715932002</v>
      </c>
      <c r="L994" s="99">
        <v>0</v>
      </c>
      <c r="M994" s="98">
        <v>0</v>
      </c>
      <c r="N994" s="99">
        <v>0</v>
      </c>
      <c r="O994" s="98">
        <v>0</v>
      </c>
      <c r="P994" s="99">
        <v>957110</v>
      </c>
      <c r="Q994" s="98">
        <v>93804277.999740005</v>
      </c>
      <c r="R994" s="96" t="s">
        <v>625</v>
      </c>
      <c r="S994" s="96">
        <v>7414000005</v>
      </c>
      <c r="AA994" s="131" t="s">
        <v>357</v>
      </c>
      <c r="AB994" s="130">
        <v>1686.4</v>
      </c>
      <c r="AC994" s="130">
        <v>1686.4</v>
      </c>
    </row>
    <row r="995" spans="1:29" x14ac:dyDescent="0.25">
      <c r="A995" t="str">
        <f t="shared" si="16"/>
        <v xml:space="preserve">65507298252LALA 18             </v>
      </c>
      <c r="B995" s="96">
        <v>65507298252</v>
      </c>
      <c r="C995" s="96" t="s">
        <v>763</v>
      </c>
      <c r="D995" s="96" t="s">
        <v>492</v>
      </c>
      <c r="E995" s="96" t="s">
        <v>623</v>
      </c>
      <c r="F995" s="96" t="s">
        <v>624</v>
      </c>
      <c r="G995" s="99">
        <v>161365</v>
      </c>
      <c r="H995" s="97">
        <v>80.194873000000001</v>
      </c>
      <c r="I995" s="98">
        <v>12940645.681645</v>
      </c>
      <c r="J995" s="97">
        <v>97.241272269999996</v>
      </c>
      <c r="K995" s="98">
        <v>-2750692.2182035502</v>
      </c>
      <c r="L995" s="99">
        <v>0</v>
      </c>
      <c r="M995" s="98">
        <v>0</v>
      </c>
      <c r="N995" s="99">
        <v>0</v>
      </c>
      <c r="O995" s="98">
        <v>0</v>
      </c>
      <c r="P995" s="99">
        <v>161365</v>
      </c>
      <c r="Q995" s="98">
        <v>12940645.681645</v>
      </c>
      <c r="R995" s="96" t="s">
        <v>625</v>
      </c>
      <c r="S995" s="96">
        <v>7414000005</v>
      </c>
      <c r="AA995" s="131" t="s">
        <v>617</v>
      </c>
      <c r="AB995" s="130">
        <v>367.66</v>
      </c>
      <c r="AC995" s="130">
        <v>367.66</v>
      </c>
    </row>
    <row r="996" spans="1:29" x14ac:dyDescent="0.25">
      <c r="A996" t="str">
        <f t="shared" si="16"/>
        <v xml:space="preserve">65507298252PEMEX 13-2          </v>
      </c>
      <c r="B996" s="96">
        <v>65507298252</v>
      </c>
      <c r="C996" s="96" t="s">
        <v>763</v>
      </c>
      <c r="D996" s="96" t="s">
        <v>391</v>
      </c>
      <c r="E996" s="96" t="s">
        <v>623</v>
      </c>
      <c r="F996" s="96" t="s">
        <v>624</v>
      </c>
      <c r="G996" s="99">
        <v>96866</v>
      </c>
      <c r="H996" s="97">
        <v>775.69178699999998</v>
      </c>
      <c r="I996" s="98">
        <v>75138160.639541999</v>
      </c>
      <c r="J996" s="97">
        <v>700.92797722962575</v>
      </c>
      <c r="K996" s="98">
        <v>7242071.1972170696</v>
      </c>
      <c r="L996" s="99">
        <v>0</v>
      </c>
      <c r="M996" s="98">
        <v>0</v>
      </c>
      <c r="N996" s="99">
        <v>0</v>
      </c>
      <c r="O996" s="98">
        <v>0</v>
      </c>
      <c r="P996" s="99">
        <v>96866</v>
      </c>
      <c r="Q996" s="98">
        <v>75138160.639541999</v>
      </c>
      <c r="R996" s="96" t="s">
        <v>625</v>
      </c>
      <c r="S996" s="96">
        <v>7414000005</v>
      </c>
      <c r="AA996" s="131" t="s">
        <v>359</v>
      </c>
      <c r="AB996" s="130">
        <v>1980.99</v>
      </c>
      <c r="AC996" s="130">
        <v>1980.99</v>
      </c>
    </row>
    <row r="997" spans="1:29" x14ac:dyDescent="0.25">
      <c r="A997" t="str">
        <f t="shared" si="16"/>
        <v xml:space="preserve">65507298252TELMEX 07           </v>
      </c>
      <c r="B997" s="96">
        <v>65507298252</v>
      </c>
      <c r="C997" s="96" t="s">
        <v>763</v>
      </c>
      <c r="D997" s="96" t="s">
        <v>393</v>
      </c>
      <c r="E997" s="96" t="s">
        <v>623</v>
      </c>
      <c r="F997" s="96" t="s">
        <v>624</v>
      </c>
      <c r="G997" s="99">
        <v>315757</v>
      </c>
      <c r="H997" s="97">
        <v>765.92388300000005</v>
      </c>
      <c r="I997" s="98">
        <v>241845827.52443099</v>
      </c>
      <c r="J997" s="97">
        <v>720.84939207989862</v>
      </c>
      <c r="K997" s="98">
        <v>14232586.029458441</v>
      </c>
      <c r="L997" s="99">
        <v>0</v>
      </c>
      <c r="M997" s="98">
        <v>0</v>
      </c>
      <c r="N997" s="99">
        <v>0</v>
      </c>
      <c r="O997" s="98">
        <v>0</v>
      </c>
      <c r="P997" s="99">
        <v>315757</v>
      </c>
      <c r="Q997" s="98">
        <v>241845827.52443099</v>
      </c>
      <c r="R997" s="96" t="s">
        <v>625</v>
      </c>
      <c r="S997" s="96">
        <v>7414000005</v>
      </c>
      <c r="AA997" s="131" t="s">
        <v>551</v>
      </c>
      <c r="AB997" s="130">
        <v>4200.72</v>
      </c>
      <c r="AC997" s="130">
        <v>4200.72</v>
      </c>
    </row>
    <row r="998" spans="1:29" x14ac:dyDescent="0.25">
      <c r="A998" t="str">
        <f t="shared" si="16"/>
        <v xml:space="preserve">65507298252UDIBONO 251204      </v>
      </c>
      <c r="B998" s="96">
        <v>65507298252</v>
      </c>
      <c r="C998" s="96" t="s">
        <v>763</v>
      </c>
      <c r="D998" s="96" t="s">
        <v>394</v>
      </c>
      <c r="E998" s="96" t="s">
        <v>623</v>
      </c>
      <c r="F998" s="96" t="s">
        <v>624</v>
      </c>
      <c r="G998" s="99">
        <v>1303272</v>
      </c>
      <c r="H998" s="97">
        <v>684.88915799999995</v>
      </c>
      <c r="I998" s="98">
        <v>892596862.72497594</v>
      </c>
      <c r="J998" s="97">
        <v>680.37312381453808</v>
      </c>
      <c r="K998" s="98">
        <v>5885620.9049553601</v>
      </c>
      <c r="L998" s="99">
        <v>0</v>
      </c>
      <c r="M998" s="98">
        <v>0</v>
      </c>
      <c r="N998" s="99">
        <v>0</v>
      </c>
      <c r="O998" s="98">
        <v>0</v>
      </c>
      <c r="P998" s="99">
        <v>1303272</v>
      </c>
      <c r="Q998" s="98">
        <v>892596862.72497594</v>
      </c>
      <c r="R998" s="96" t="s">
        <v>625</v>
      </c>
      <c r="S998" s="96">
        <v>7414000005</v>
      </c>
      <c r="AA998" s="131" t="s">
        <v>361</v>
      </c>
      <c r="AB998" s="130">
        <v>1228.5</v>
      </c>
      <c r="AC998" s="130">
        <v>1228.5</v>
      </c>
    </row>
    <row r="999" spans="1:29" x14ac:dyDescent="0.25">
      <c r="A999" t="str">
        <f t="shared" si="16"/>
        <v xml:space="preserve">65507298252UDIBONO 281130      </v>
      </c>
      <c r="B999" s="96">
        <v>65507430562</v>
      </c>
      <c r="C999" s="96" t="s">
        <v>764</v>
      </c>
      <c r="D999" s="96" t="s">
        <v>389</v>
      </c>
      <c r="E999" s="96" t="s">
        <v>623</v>
      </c>
      <c r="F999" s="96" t="s">
        <v>624</v>
      </c>
      <c r="G999" s="99">
        <v>64582159</v>
      </c>
      <c r="H999" s="97">
        <v>3.3967719999999999</v>
      </c>
      <c r="I999" s="98">
        <v>219370869.39074799</v>
      </c>
      <c r="J999" s="97">
        <v>3.3099701106307085</v>
      </c>
      <c r="K999" s="98">
        <v>5605853.420748</v>
      </c>
      <c r="L999" s="99">
        <v>0</v>
      </c>
      <c r="M999" s="98">
        <v>0</v>
      </c>
      <c r="N999" s="99">
        <v>0</v>
      </c>
      <c r="O999" s="98">
        <v>0</v>
      </c>
      <c r="P999" s="99">
        <v>64582159</v>
      </c>
      <c r="Q999" s="98">
        <v>219370869.39074799</v>
      </c>
      <c r="R999" s="96" t="s">
        <v>625</v>
      </c>
      <c r="S999" s="96">
        <v>7414000005</v>
      </c>
      <c r="AA999" s="131" t="s">
        <v>362</v>
      </c>
      <c r="AB999" s="130">
        <v>7064.69</v>
      </c>
      <c r="AC999" s="130">
        <v>7064.69</v>
      </c>
    </row>
    <row r="1000" spans="1:29" x14ac:dyDescent="0.25">
      <c r="A1000" t="str">
        <f t="shared" si="16"/>
        <v xml:space="preserve">65507298252UDIBONO 311127      </v>
      </c>
      <c r="B1000" s="96">
        <v>65507504761</v>
      </c>
      <c r="C1000" s="96" t="s">
        <v>760</v>
      </c>
      <c r="D1000" s="96" t="s">
        <v>493</v>
      </c>
      <c r="E1000" s="96" t="s">
        <v>623</v>
      </c>
      <c r="F1000" s="96" t="s">
        <v>624</v>
      </c>
      <c r="G1000" s="99">
        <v>130000</v>
      </c>
      <c r="H1000" s="97">
        <v>2.9440539999999999</v>
      </c>
      <c r="I1000" s="98">
        <v>382727.02</v>
      </c>
      <c r="J1000" s="97">
        <v>3.0539399999999999</v>
      </c>
      <c r="K1000" s="98">
        <v>-14285.18</v>
      </c>
      <c r="L1000" s="99">
        <v>0</v>
      </c>
      <c r="M1000" s="98">
        <v>0</v>
      </c>
      <c r="N1000" s="99">
        <v>0</v>
      </c>
      <c r="O1000" s="98">
        <v>0</v>
      </c>
      <c r="P1000" s="99">
        <v>130000</v>
      </c>
      <c r="Q1000" s="98">
        <v>382727.02</v>
      </c>
      <c r="R1000" s="96" t="s">
        <v>625</v>
      </c>
      <c r="S1000" s="96">
        <v>7414000005</v>
      </c>
      <c r="AA1000" s="131" t="s">
        <v>369</v>
      </c>
      <c r="AB1000" s="130">
        <v>7688.97</v>
      </c>
      <c r="AC1000" s="130">
        <v>7688.97</v>
      </c>
    </row>
    <row r="1001" spans="1:29" x14ac:dyDescent="0.25">
      <c r="A1001" t="str">
        <f t="shared" si="16"/>
        <v xml:space="preserve">65507430562STERGOB ED          </v>
      </c>
      <c r="B1001" s="96">
        <v>65507504761</v>
      </c>
      <c r="C1001" s="96" t="s">
        <v>760</v>
      </c>
      <c r="D1001" s="96" t="s">
        <v>459</v>
      </c>
      <c r="E1001" s="96" t="s">
        <v>623</v>
      </c>
      <c r="F1001" s="96" t="s">
        <v>624</v>
      </c>
      <c r="G1001" s="99">
        <v>532955</v>
      </c>
      <c r="H1001" s="97">
        <v>4.5848760000000004</v>
      </c>
      <c r="I1001" s="98">
        <v>2443532.5885800002</v>
      </c>
      <c r="J1001" s="97">
        <v>4.5043092193524785</v>
      </c>
      <c r="K1001" s="98">
        <v>42938.468580000001</v>
      </c>
      <c r="L1001" s="99">
        <v>0</v>
      </c>
      <c r="M1001" s="98">
        <v>0</v>
      </c>
      <c r="N1001" s="99">
        <v>0</v>
      </c>
      <c r="O1001" s="98">
        <v>0</v>
      </c>
      <c r="P1001" s="99">
        <v>532955</v>
      </c>
      <c r="Q1001" s="98">
        <v>2443532.5885800002</v>
      </c>
      <c r="R1001" s="96" t="s">
        <v>625</v>
      </c>
      <c r="S1001" s="96">
        <v>7414000005</v>
      </c>
      <c r="AA1001" s="131" t="s">
        <v>370</v>
      </c>
      <c r="AB1001" s="130">
        <v>1087.76</v>
      </c>
      <c r="AC1001" s="130">
        <v>1087.76</v>
      </c>
    </row>
    <row r="1002" spans="1:29" x14ac:dyDescent="0.25">
      <c r="A1002" t="str">
        <f t="shared" si="16"/>
        <v xml:space="preserve">65507504761METROCB 07          </v>
      </c>
      <c r="B1002" s="96">
        <v>65507504761</v>
      </c>
      <c r="C1002" s="96" t="s">
        <v>760</v>
      </c>
      <c r="D1002" s="96" t="s">
        <v>389</v>
      </c>
      <c r="E1002" s="96" t="s">
        <v>623</v>
      </c>
      <c r="F1002" s="96" t="s">
        <v>624</v>
      </c>
      <c r="G1002" s="99">
        <v>1432577</v>
      </c>
      <c r="H1002" s="97">
        <v>3.3967719999999999</v>
      </c>
      <c r="I1002" s="98">
        <v>4866137.4414440002</v>
      </c>
      <c r="J1002" s="97">
        <v>3.3318918634042012</v>
      </c>
      <c r="K1002" s="98">
        <v>92945.791444000002</v>
      </c>
      <c r="L1002" s="99">
        <v>0</v>
      </c>
      <c r="M1002" s="98">
        <v>0</v>
      </c>
      <c r="N1002" s="99">
        <v>0</v>
      </c>
      <c r="O1002" s="98">
        <v>0</v>
      </c>
      <c r="P1002" s="99">
        <v>1432577</v>
      </c>
      <c r="Q1002" s="98">
        <v>4866137.4414440002</v>
      </c>
      <c r="R1002" s="96" t="s">
        <v>625</v>
      </c>
      <c r="S1002" s="96">
        <v>7414000005</v>
      </c>
      <c r="AA1002" s="131" t="s">
        <v>372</v>
      </c>
      <c r="AB1002" s="130">
        <v>2467.92</v>
      </c>
      <c r="AC1002" s="130">
        <v>2467.92</v>
      </c>
    </row>
    <row r="1003" spans="1:29" x14ac:dyDescent="0.25">
      <c r="A1003" t="str">
        <f t="shared" si="16"/>
        <v xml:space="preserve">65507504761STER-OP ED          </v>
      </c>
      <c r="B1003" s="96">
        <v>65507504761</v>
      </c>
      <c r="C1003" s="96" t="s">
        <v>760</v>
      </c>
      <c r="D1003" s="96" t="s">
        <v>407</v>
      </c>
      <c r="E1003" s="96" t="s">
        <v>623</v>
      </c>
      <c r="F1003" s="96" t="s">
        <v>624</v>
      </c>
      <c r="G1003" s="99">
        <v>4983656</v>
      </c>
      <c r="H1003" s="97">
        <v>2.7668819999999998</v>
      </c>
      <c r="I1003" s="98">
        <v>13789188.080592001</v>
      </c>
      <c r="J1003" s="97">
        <v>2.7844124775064731</v>
      </c>
      <c r="K1003" s="98">
        <v>-87365.869407999999</v>
      </c>
      <c r="L1003" s="99">
        <v>0</v>
      </c>
      <c r="M1003" s="98">
        <v>0</v>
      </c>
      <c r="N1003" s="99">
        <v>0</v>
      </c>
      <c r="O1003" s="98">
        <v>0</v>
      </c>
      <c r="P1003" s="99">
        <v>4983656</v>
      </c>
      <c r="Q1003" s="98">
        <v>13789188.080592001</v>
      </c>
      <c r="R1003" s="96" t="s">
        <v>625</v>
      </c>
      <c r="S1003" s="96">
        <v>7414000005</v>
      </c>
      <c r="AA1003" s="131" t="s">
        <v>373</v>
      </c>
      <c r="AB1003" s="130">
        <v>10233.52</v>
      </c>
      <c r="AC1003" s="130">
        <v>10233.52</v>
      </c>
    </row>
    <row r="1004" spans="1:29" x14ac:dyDescent="0.25">
      <c r="A1004" t="str">
        <f t="shared" si="16"/>
        <v xml:space="preserve">65507504761STERGOB ED          </v>
      </c>
      <c r="B1004" s="96">
        <v>65507528155</v>
      </c>
      <c r="C1004" s="96" t="s">
        <v>760</v>
      </c>
      <c r="D1004" s="96" t="s">
        <v>459</v>
      </c>
      <c r="E1004" s="96" t="s">
        <v>623</v>
      </c>
      <c r="F1004" s="96" t="s">
        <v>624</v>
      </c>
      <c r="G1004" s="99">
        <v>285498</v>
      </c>
      <c r="H1004" s="97">
        <v>4.5848760000000004</v>
      </c>
      <c r="I1004" s="98">
        <v>1308972.9282480001</v>
      </c>
      <c r="J1004" s="97">
        <v>4.4467832699353407</v>
      </c>
      <c r="K1004" s="98">
        <v>39425.198248000001</v>
      </c>
      <c r="L1004" s="99">
        <v>0</v>
      </c>
      <c r="M1004" s="98">
        <v>0</v>
      </c>
      <c r="N1004" s="99">
        <v>0</v>
      </c>
      <c r="O1004" s="98">
        <v>0</v>
      </c>
      <c r="P1004" s="99">
        <v>285498</v>
      </c>
      <c r="Q1004" s="98">
        <v>1308972.9282480001</v>
      </c>
      <c r="R1004" s="96" t="s">
        <v>625</v>
      </c>
      <c r="S1004" s="96">
        <v>7414000005</v>
      </c>
      <c r="AA1004" s="131" t="s">
        <v>374</v>
      </c>
      <c r="AB1004" s="130">
        <v>7704.88</v>
      </c>
      <c r="AC1004" s="130">
        <v>7704.88</v>
      </c>
    </row>
    <row r="1005" spans="1:29" x14ac:dyDescent="0.25">
      <c r="A1005" t="str">
        <f t="shared" si="16"/>
        <v xml:space="preserve">65507504761SVIVE60 ED          </v>
      </c>
      <c r="B1005" s="96">
        <v>65507528155</v>
      </c>
      <c r="C1005" s="96" t="s">
        <v>760</v>
      </c>
      <c r="D1005" s="96" t="s">
        <v>389</v>
      </c>
      <c r="E1005" s="96" t="s">
        <v>623</v>
      </c>
      <c r="F1005" s="96" t="s">
        <v>624</v>
      </c>
      <c r="G1005" s="99">
        <v>827180</v>
      </c>
      <c r="H1005" s="97">
        <v>3.3967719999999999</v>
      </c>
      <c r="I1005" s="98">
        <v>2809741.8629600001</v>
      </c>
      <c r="J1005" s="97">
        <v>3.3318899030440776</v>
      </c>
      <c r="K1005" s="98">
        <v>53669.172960000004</v>
      </c>
      <c r="L1005" s="99">
        <v>0</v>
      </c>
      <c r="M1005" s="98">
        <v>0</v>
      </c>
      <c r="N1005" s="99">
        <v>0</v>
      </c>
      <c r="O1005" s="98">
        <v>0</v>
      </c>
      <c r="P1005" s="99">
        <v>827180</v>
      </c>
      <c r="Q1005" s="98">
        <v>2809741.8629600001</v>
      </c>
      <c r="R1005" s="96" t="s">
        <v>625</v>
      </c>
      <c r="S1005" s="96">
        <v>7414000005</v>
      </c>
      <c r="AA1005" s="131" t="s">
        <v>387</v>
      </c>
      <c r="AB1005" s="130">
        <v>1886.52</v>
      </c>
      <c r="AC1005" s="130">
        <v>1886.52</v>
      </c>
    </row>
    <row r="1006" spans="1:29" x14ac:dyDescent="0.25">
      <c r="A1006" t="str">
        <f t="shared" si="16"/>
        <v xml:space="preserve">65507528155STER-OP ED          </v>
      </c>
      <c r="B1006" s="96">
        <v>65507528155</v>
      </c>
      <c r="C1006" s="96" t="s">
        <v>760</v>
      </c>
      <c r="D1006" s="96" t="s">
        <v>407</v>
      </c>
      <c r="E1006" s="96" t="s">
        <v>623</v>
      </c>
      <c r="F1006" s="96" t="s">
        <v>624</v>
      </c>
      <c r="G1006" s="99">
        <v>2667938</v>
      </c>
      <c r="H1006" s="97">
        <v>2.7668819999999998</v>
      </c>
      <c r="I1006" s="98">
        <v>7381869.6293160003</v>
      </c>
      <c r="J1006" s="97">
        <v>2.753500643568179</v>
      </c>
      <c r="K1006" s="98">
        <v>35700.629315999999</v>
      </c>
      <c r="L1006" s="99">
        <v>0</v>
      </c>
      <c r="M1006" s="98">
        <v>0</v>
      </c>
      <c r="N1006" s="99">
        <v>0</v>
      </c>
      <c r="O1006" s="98">
        <v>0</v>
      </c>
      <c r="P1006" s="99">
        <v>2667938</v>
      </c>
      <c r="Q1006" s="98">
        <v>7381869.6293160003</v>
      </c>
      <c r="R1006" s="96" t="s">
        <v>625</v>
      </c>
      <c r="S1006" s="96">
        <v>7414000005</v>
      </c>
      <c r="AA1006" s="131" t="s">
        <v>419</v>
      </c>
      <c r="AB1006" s="130">
        <v>0</v>
      </c>
      <c r="AC1006" s="130">
        <v>0</v>
      </c>
    </row>
    <row r="1007" spans="1:29" x14ac:dyDescent="0.25">
      <c r="A1007" t="str">
        <f t="shared" si="16"/>
        <v xml:space="preserve">65507528155STERGOB ED          </v>
      </c>
      <c r="B1007" s="96">
        <v>65507528400</v>
      </c>
      <c r="C1007" s="96" t="s">
        <v>760</v>
      </c>
      <c r="D1007" s="96" t="s">
        <v>459</v>
      </c>
      <c r="E1007" s="96" t="s">
        <v>623</v>
      </c>
      <c r="F1007" s="96" t="s">
        <v>624</v>
      </c>
      <c r="G1007" s="99">
        <v>2802321</v>
      </c>
      <c r="H1007" s="97">
        <v>4.5848760000000004</v>
      </c>
      <c r="I1007" s="98">
        <v>12848294.297196001</v>
      </c>
      <c r="J1007" s="97">
        <v>3.8009839343886727</v>
      </c>
      <c r="K1007" s="98">
        <v>2196717.1971959998</v>
      </c>
      <c r="L1007" s="99">
        <v>0</v>
      </c>
      <c r="M1007" s="98">
        <v>0</v>
      </c>
      <c r="N1007" s="99">
        <v>0</v>
      </c>
      <c r="O1007" s="98">
        <v>0</v>
      </c>
      <c r="P1007" s="99">
        <v>2802321</v>
      </c>
      <c r="Q1007" s="98">
        <v>12848294.297196001</v>
      </c>
      <c r="R1007" s="96" t="s">
        <v>625</v>
      </c>
      <c r="S1007" s="96">
        <v>7414000005</v>
      </c>
      <c r="AA1007" s="131" t="s">
        <v>553</v>
      </c>
      <c r="AB1007" s="130">
        <v>818.1</v>
      </c>
      <c r="AC1007" s="130">
        <v>818.1</v>
      </c>
    </row>
    <row r="1008" spans="1:29" x14ac:dyDescent="0.25">
      <c r="A1008" t="str">
        <f t="shared" si="16"/>
        <v xml:space="preserve">65507528155SVIVE60 ED          </v>
      </c>
      <c r="B1008" s="96">
        <v>65507528400</v>
      </c>
      <c r="C1008" s="96" t="s">
        <v>760</v>
      </c>
      <c r="D1008" s="96" t="s">
        <v>389</v>
      </c>
      <c r="E1008" s="96" t="s">
        <v>623</v>
      </c>
      <c r="F1008" s="96" t="s">
        <v>624</v>
      </c>
      <c r="G1008" s="99">
        <v>7999846</v>
      </c>
      <c r="H1008" s="97">
        <v>3.3967719999999999</v>
      </c>
      <c r="I1008" s="98">
        <v>27173652.897112001</v>
      </c>
      <c r="J1008" s="97">
        <v>3.0149077419740329</v>
      </c>
      <c r="K1008" s="98">
        <v>3054855.2571120001</v>
      </c>
      <c r="L1008" s="99">
        <v>0</v>
      </c>
      <c r="M1008" s="98">
        <v>0</v>
      </c>
      <c r="N1008" s="99">
        <v>0</v>
      </c>
      <c r="O1008" s="98">
        <v>0</v>
      </c>
      <c r="P1008" s="99">
        <v>7999846</v>
      </c>
      <c r="Q1008" s="98">
        <v>27173652.897112001</v>
      </c>
      <c r="R1008" s="96" t="s">
        <v>625</v>
      </c>
      <c r="S1008" s="96">
        <v>7414000005</v>
      </c>
      <c r="AA1008" s="131" t="s">
        <v>400</v>
      </c>
      <c r="AB1008" s="130">
        <v>2698.82</v>
      </c>
      <c r="AC1008" s="130">
        <v>2698.82</v>
      </c>
    </row>
    <row r="1009" spans="1:29" x14ac:dyDescent="0.25">
      <c r="A1009" t="str">
        <f t="shared" si="16"/>
        <v xml:space="preserve">65507528400STER-OP ED          </v>
      </c>
      <c r="B1009" s="96">
        <v>65507528400</v>
      </c>
      <c r="C1009" s="96" t="s">
        <v>760</v>
      </c>
      <c r="D1009" s="96" t="s">
        <v>407</v>
      </c>
      <c r="E1009" s="96" t="s">
        <v>623</v>
      </c>
      <c r="F1009" s="96" t="s">
        <v>624</v>
      </c>
      <c r="G1009" s="99">
        <v>26007587</v>
      </c>
      <c r="H1009" s="97">
        <v>2.7668819999999998</v>
      </c>
      <c r="I1009" s="98">
        <v>71959924.333734006</v>
      </c>
      <c r="J1009" s="97">
        <v>2.3800462268952516</v>
      </c>
      <c r="K1009" s="98">
        <v>10060665.023734</v>
      </c>
      <c r="L1009" s="99">
        <v>0</v>
      </c>
      <c r="M1009" s="98">
        <v>0</v>
      </c>
      <c r="N1009" s="99">
        <v>0</v>
      </c>
      <c r="O1009" s="98">
        <v>0</v>
      </c>
      <c r="P1009" s="99">
        <v>26007587</v>
      </c>
      <c r="Q1009" s="98">
        <v>71959924.333734006</v>
      </c>
      <c r="R1009" s="96" t="s">
        <v>625</v>
      </c>
      <c r="S1009" s="96">
        <v>7414000005</v>
      </c>
      <c r="AA1009" s="131" t="s">
        <v>403</v>
      </c>
      <c r="AB1009" s="130">
        <v>6852.3</v>
      </c>
      <c r="AC1009" s="130">
        <v>6852.3</v>
      </c>
    </row>
    <row r="1010" spans="1:29" x14ac:dyDescent="0.25">
      <c r="A1010" t="str">
        <f t="shared" si="16"/>
        <v xml:space="preserve">65507528400STERGOB ED          </v>
      </c>
      <c r="B1010" s="96">
        <v>65507671187</v>
      </c>
      <c r="C1010" s="96" t="s">
        <v>760</v>
      </c>
      <c r="D1010" s="96" t="s">
        <v>459</v>
      </c>
      <c r="E1010" s="96" t="s">
        <v>623</v>
      </c>
      <c r="F1010" s="96" t="s">
        <v>624</v>
      </c>
      <c r="G1010" s="99">
        <v>1387386</v>
      </c>
      <c r="H1010" s="97">
        <v>4.5848760000000004</v>
      </c>
      <c r="I1010" s="98">
        <v>6360992.7741360003</v>
      </c>
      <c r="J1010" s="97">
        <v>3.7480388010258139</v>
      </c>
      <c r="K1010" s="98">
        <v>1161016.214136</v>
      </c>
      <c r="L1010" s="99">
        <v>0</v>
      </c>
      <c r="M1010" s="98">
        <v>0</v>
      </c>
      <c r="N1010" s="99">
        <v>0</v>
      </c>
      <c r="O1010" s="98">
        <v>0</v>
      </c>
      <c r="P1010" s="99">
        <v>1387386</v>
      </c>
      <c r="Q1010" s="98">
        <v>6360992.7741360003</v>
      </c>
      <c r="R1010" s="96" t="s">
        <v>625</v>
      </c>
      <c r="S1010" s="96">
        <v>7414000005</v>
      </c>
      <c r="AA1010" s="131" t="s">
        <v>540</v>
      </c>
      <c r="AB1010" s="130">
        <v>1632.6</v>
      </c>
      <c r="AC1010" s="130">
        <v>1632.6</v>
      </c>
    </row>
    <row r="1011" spans="1:29" x14ac:dyDescent="0.25">
      <c r="A1011" t="str">
        <f t="shared" si="16"/>
        <v xml:space="preserve">65507528400SVIVE60 ED          </v>
      </c>
      <c r="B1011" s="96">
        <v>65507671187</v>
      </c>
      <c r="C1011" s="96" t="s">
        <v>760</v>
      </c>
      <c r="D1011" s="96" t="s">
        <v>389</v>
      </c>
      <c r="E1011" s="96" t="s">
        <v>623</v>
      </c>
      <c r="F1011" s="96" t="s">
        <v>624</v>
      </c>
      <c r="G1011" s="99">
        <v>3959730</v>
      </c>
      <c r="H1011" s="97">
        <v>3.3967719999999999</v>
      </c>
      <c r="I1011" s="98">
        <v>13450299.991560001</v>
      </c>
      <c r="J1011" s="97">
        <v>2.9583808618264378</v>
      </c>
      <c r="K1011" s="98">
        <v>1735910.54156</v>
      </c>
      <c r="L1011" s="99">
        <v>0</v>
      </c>
      <c r="M1011" s="98">
        <v>0</v>
      </c>
      <c r="N1011" s="99">
        <v>0</v>
      </c>
      <c r="O1011" s="98">
        <v>0</v>
      </c>
      <c r="P1011" s="99">
        <v>3959730</v>
      </c>
      <c r="Q1011" s="98">
        <v>13450299.991560001</v>
      </c>
      <c r="R1011" s="96" t="s">
        <v>625</v>
      </c>
      <c r="S1011" s="96">
        <v>7414000005</v>
      </c>
      <c r="AA1011" s="131" t="s">
        <v>595</v>
      </c>
      <c r="AB1011" s="130">
        <v>1.0900000000000001E-4</v>
      </c>
      <c r="AC1011" s="130">
        <v>1.0900000000000001E-4</v>
      </c>
    </row>
    <row r="1012" spans="1:29" x14ac:dyDescent="0.25">
      <c r="A1012" t="str">
        <f t="shared" si="16"/>
        <v xml:space="preserve">65507671187STER-OP ED          </v>
      </c>
      <c r="B1012" s="96">
        <v>65507671187</v>
      </c>
      <c r="C1012" s="96" t="s">
        <v>760</v>
      </c>
      <c r="D1012" s="96" t="s">
        <v>407</v>
      </c>
      <c r="E1012" s="96" t="s">
        <v>623</v>
      </c>
      <c r="F1012" s="96" t="s">
        <v>624</v>
      </c>
      <c r="G1012" s="99">
        <v>12874573</v>
      </c>
      <c r="H1012" s="97">
        <v>2.7668819999999998</v>
      </c>
      <c r="I1012" s="98">
        <v>35622424.291386001</v>
      </c>
      <c r="J1012" s="97">
        <v>2.3518498330002866</v>
      </c>
      <c r="K1012" s="98">
        <v>5343361.9313859995</v>
      </c>
      <c r="L1012" s="99">
        <v>0</v>
      </c>
      <c r="M1012" s="98">
        <v>0</v>
      </c>
      <c r="N1012" s="99">
        <v>0</v>
      </c>
      <c r="O1012" s="98">
        <v>0</v>
      </c>
      <c r="P1012" s="99">
        <v>12874573</v>
      </c>
      <c r="Q1012" s="98">
        <v>35622424.291386001</v>
      </c>
      <c r="R1012" s="96" t="s">
        <v>625</v>
      </c>
      <c r="S1012" s="96">
        <v>7414000005</v>
      </c>
      <c r="AA1012" s="131" t="s">
        <v>503</v>
      </c>
      <c r="AB1012" s="130">
        <v>1797.85</v>
      </c>
      <c r="AC1012" s="130">
        <v>1797.85</v>
      </c>
    </row>
    <row r="1013" spans="1:29" x14ac:dyDescent="0.25">
      <c r="A1013" t="str">
        <f t="shared" si="16"/>
        <v xml:space="preserve">65507671187STERGOB ED          </v>
      </c>
      <c r="B1013" s="96">
        <v>65507684270</v>
      </c>
      <c r="C1013" s="96" t="s">
        <v>760</v>
      </c>
      <c r="D1013" s="96" t="s">
        <v>459</v>
      </c>
      <c r="E1013" s="96" t="s">
        <v>623</v>
      </c>
      <c r="F1013" s="96" t="s">
        <v>624</v>
      </c>
      <c r="G1013" s="99">
        <v>1831441</v>
      </c>
      <c r="H1013" s="97">
        <v>4.5848760000000004</v>
      </c>
      <c r="I1013" s="98">
        <v>8396929.8863159996</v>
      </c>
      <c r="J1013" s="97">
        <v>4.3415386736455064</v>
      </c>
      <c r="K1013" s="98">
        <v>445657.95631600003</v>
      </c>
      <c r="L1013" s="99">
        <v>0</v>
      </c>
      <c r="M1013" s="98">
        <v>0</v>
      </c>
      <c r="N1013" s="99">
        <v>0</v>
      </c>
      <c r="O1013" s="98">
        <v>0</v>
      </c>
      <c r="P1013" s="99">
        <v>1831441</v>
      </c>
      <c r="Q1013" s="98">
        <v>8396929.8863159996</v>
      </c>
      <c r="R1013" s="96" t="s">
        <v>625</v>
      </c>
      <c r="S1013" s="96">
        <v>7414000005</v>
      </c>
      <c r="AA1013" s="131" t="s">
        <v>596</v>
      </c>
      <c r="AB1013" s="130">
        <v>291916.74531600002</v>
      </c>
      <c r="AC1013" s="130">
        <v>291916.74531600002</v>
      </c>
    </row>
    <row r="1014" spans="1:29" x14ac:dyDescent="0.25">
      <c r="A1014" t="str">
        <f t="shared" si="16"/>
        <v xml:space="preserve">65507671187SVIVE60 ED          </v>
      </c>
      <c r="B1014" s="96">
        <v>65507684270</v>
      </c>
      <c r="C1014" s="96" t="s">
        <v>760</v>
      </c>
      <c r="D1014" s="96" t="s">
        <v>389</v>
      </c>
      <c r="E1014" s="96" t="s">
        <v>623</v>
      </c>
      <c r="F1014" s="96" t="s">
        <v>624</v>
      </c>
      <c r="G1014" s="99">
        <v>5271949</v>
      </c>
      <c r="H1014" s="97">
        <v>3.3967719999999999</v>
      </c>
      <c r="I1014" s="98">
        <v>17907608.748628002</v>
      </c>
      <c r="J1014" s="97">
        <v>3.3318869795591723</v>
      </c>
      <c r="K1014" s="98">
        <v>342070.51862799999</v>
      </c>
      <c r="L1014" s="99">
        <v>0</v>
      </c>
      <c r="M1014" s="98">
        <v>0</v>
      </c>
      <c r="N1014" s="99">
        <v>0</v>
      </c>
      <c r="O1014" s="98">
        <v>0</v>
      </c>
      <c r="P1014" s="99">
        <v>5271949</v>
      </c>
      <c r="Q1014" s="98">
        <v>17907608.748628002</v>
      </c>
      <c r="R1014" s="96" t="s">
        <v>625</v>
      </c>
      <c r="S1014" s="96">
        <v>7414000005</v>
      </c>
      <c r="AA1014" s="131" t="s">
        <v>500</v>
      </c>
      <c r="AB1014" s="130">
        <v>1821.78</v>
      </c>
      <c r="AC1014" s="130">
        <v>1821.78</v>
      </c>
    </row>
    <row r="1015" spans="1:29" x14ac:dyDescent="0.25">
      <c r="A1015" t="str">
        <f t="shared" si="16"/>
        <v xml:space="preserve">65507684270STER-OP ED          </v>
      </c>
      <c r="B1015" s="96">
        <v>65507684270</v>
      </c>
      <c r="C1015" s="96" t="s">
        <v>760</v>
      </c>
      <c r="D1015" s="96" t="s">
        <v>407</v>
      </c>
      <c r="E1015" s="96" t="s">
        <v>623</v>
      </c>
      <c r="F1015" s="96" t="s">
        <v>624</v>
      </c>
      <c r="G1015" s="99">
        <v>17064907</v>
      </c>
      <c r="H1015" s="97">
        <v>2.7668819999999998</v>
      </c>
      <c r="I1015" s="98">
        <v>47216584.009974003</v>
      </c>
      <c r="J1015" s="97">
        <v>2.6774071051192956</v>
      </c>
      <c r="K1015" s="98">
        <v>1526880.759974</v>
      </c>
      <c r="L1015" s="99">
        <v>0</v>
      </c>
      <c r="M1015" s="98">
        <v>0</v>
      </c>
      <c r="N1015" s="99">
        <v>0</v>
      </c>
      <c r="O1015" s="98">
        <v>0</v>
      </c>
      <c r="P1015" s="99">
        <v>17064907</v>
      </c>
      <c r="Q1015" s="98">
        <v>47216584.009974003</v>
      </c>
      <c r="R1015" s="96" t="s">
        <v>625</v>
      </c>
      <c r="S1015" s="96">
        <v>7414000005</v>
      </c>
      <c r="AA1015" s="131" t="s">
        <v>541</v>
      </c>
      <c r="AB1015" s="130">
        <v>2184</v>
      </c>
      <c r="AC1015" s="130">
        <v>2184</v>
      </c>
    </row>
    <row r="1016" spans="1:29" x14ac:dyDescent="0.25">
      <c r="A1016" t="str">
        <f t="shared" si="16"/>
        <v xml:space="preserve">65507684270STERGOB ED          </v>
      </c>
      <c r="B1016" s="96">
        <v>65507684389</v>
      </c>
      <c r="C1016" s="96" t="s">
        <v>760</v>
      </c>
      <c r="D1016" s="96" t="s">
        <v>459</v>
      </c>
      <c r="E1016" s="96" t="s">
        <v>623</v>
      </c>
      <c r="F1016" s="96" t="s">
        <v>624</v>
      </c>
      <c r="G1016" s="99">
        <v>11635107</v>
      </c>
      <c r="H1016" s="97">
        <v>4.5848760000000004</v>
      </c>
      <c r="I1016" s="98">
        <v>53345522.841732003</v>
      </c>
      <c r="J1016" s="97">
        <v>3.7227900061426165</v>
      </c>
      <c r="K1016" s="98">
        <v>10030462.781732</v>
      </c>
      <c r="L1016" s="99">
        <v>0</v>
      </c>
      <c r="M1016" s="98">
        <v>0</v>
      </c>
      <c r="N1016" s="99">
        <v>0</v>
      </c>
      <c r="O1016" s="98">
        <v>0</v>
      </c>
      <c r="P1016" s="99">
        <v>11635107</v>
      </c>
      <c r="Q1016" s="98">
        <v>53345522.841732003</v>
      </c>
      <c r="R1016" s="96" t="s">
        <v>625</v>
      </c>
      <c r="S1016" s="96">
        <v>7414000005</v>
      </c>
      <c r="AA1016" s="131" t="s">
        <v>371</v>
      </c>
      <c r="AB1016" s="130">
        <v>2510.9499999999998</v>
      </c>
      <c r="AC1016" s="130">
        <v>2510.9499999999998</v>
      </c>
    </row>
    <row r="1017" spans="1:29" x14ac:dyDescent="0.25">
      <c r="A1017" t="str">
        <f t="shared" si="16"/>
        <v xml:space="preserve">65507684270SVIVE60 ED          </v>
      </c>
      <c r="B1017" s="96">
        <v>65507684389</v>
      </c>
      <c r="C1017" s="96" t="s">
        <v>760</v>
      </c>
      <c r="D1017" s="96" t="s">
        <v>389</v>
      </c>
      <c r="E1017" s="96" t="s">
        <v>623</v>
      </c>
      <c r="F1017" s="96" t="s">
        <v>624</v>
      </c>
      <c r="G1017" s="99">
        <v>33209896</v>
      </c>
      <c r="H1017" s="97">
        <v>3.3967719999999999</v>
      </c>
      <c r="I1017" s="98">
        <v>112806444.855712</v>
      </c>
      <c r="J1017" s="97">
        <v>2.9672430982620361</v>
      </c>
      <c r="K1017" s="98">
        <v>14264610.155711999</v>
      </c>
      <c r="L1017" s="99">
        <v>0</v>
      </c>
      <c r="M1017" s="98">
        <v>0</v>
      </c>
      <c r="N1017" s="99">
        <v>0</v>
      </c>
      <c r="O1017" s="98">
        <v>0</v>
      </c>
      <c r="P1017" s="99">
        <v>33209896</v>
      </c>
      <c r="Q1017" s="98">
        <v>112806444.855712</v>
      </c>
      <c r="R1017" s="96" t="s">
        <v>625</v>
      </c>
      <c r="S1017" s="96">
        <v>7414000005</v>
      </c>
      <c r="AA1017" s="131" t="s">
        <v>360</v>
      </c>
      <c r="AB1017" s="130">
        <v>6063.12</v>
      </c>
      <c r="AC1017" s="130">
        <v>6063.12</v>
      </c>
    </row>
    <row r="1018" spans="1:29" x14ac:dyDescent="0.25">
      <c r="A1018" t="str">
        <f t="shared" si="16"/>
        <v xml:space="preserve">65507684389STER-OP ED          </v>
      </c>
      <c r="B1018" s="96">
        <v>65507684389</v>
      </c>
      <c r="C1018" s="96" t="s">
        <v>760</v>
      </c>
      <c r="D1018" s="96" t="s">
        <v>407</v>
      </c>
      <c r="E1018" s="96" t="s">
        <v>623</v>
      </c>
      <c r="F1018" s="96" t="s">
        <v>624</v>
      </c>
      <c r="G1018" s="99">
        <v>107976322</v>
      </c>
      <c r="H1018" s="97">
        <v>2.7668819999999998</v>
      </c>
      <c r="I1018" s="98">
        <v>298757741.768004</v>
      </c>
      <c r="J1018" s="97">
        <v>2.3352240353213736</v>
      </c>
      <c r="K1018" s="98">
        <v>46608839.388003998</v>
      </c>
      <c r="L1018" s="99">
        <v>0</v>
      </c>
      <c r="M1018" s="98">
        <v>0</v>
      </c>
      <c r="N1018" s="99">
        <v>0</v>
      </c>
      <c r="O1018" s="98">
        <v>0</v>
      </c>
      <c r="P1018" s="99">
        <v>107976322</v>
      </c>
      <c r="Q1018" s="98">
        <v>298757741.768004</v>
      </c>
      <c r="R1018" s="96" t="s">
        <v>625</v>
      </c>
      <c r="S1018" s="96">
        <v>7414000005</v>
      </c>
      <c r="AA1018" s="129">
        <v>59181</v>
      </c>
      <c r="AB1018" s="130">
        <v>7073205.105556</v>
      </c>
      <c r="AC1018" s="130">
        <v>7073205.105556</v>
      </c>
    </row>
    <row r="1019" spans="1:29" x14ac:dyDescent="0.25">
      <c r="A1019" t="str">
        <f t="shared" si="16"/>
        <v xml:space="preserve">65507684389STERGOB ED          </v>
      </c>
      <c r="B1019" s="96">
        <v>65507747706</v>
      </c>
      <c r="C1019" s="96" t="s">
        <v>765</v>
      </c>
      <c r="D1019" s="96" t="s">
        <v>389</v>
      </c>
      <c r="E1019" s="96" t="s">
        <v>623</v>
      </c>
      <c r="F1019" s="96" t="s">
        <v>624</v>
      </c>
      <c r="G1019" s="99">
        <v>879732</v>
      </c>
      <c r="H1019" s="97">
        <v>3.3967719999999999</v>
      </c>
      <c r="I1019" s="98">
        <v>2988249.0251039998</v>
      </c>
      <c r="J1019" s="97">
        <v>2.8911910786466786</v>
      </c>
      <c r="K1019" s="98">
        <v>444775.715104</v>
      </c>
      <c r="L1019" s="99">
        <v>0</v>
      </c>
      <c r="M1019" s="98">
        <v>0</v>
      </c>
      <c r="N1019" s="99">
        <v>0</v>
      </c>
      <c r="O1019" s="98">
        <v>0</v>
      </c>
      <c r="P1019" s="99">
        <v>879732</v>
      </c>
      <c r="Q1019" s="98">
        <v>2988249.0251039998</v>
      </c>
      <c r="R1019" s="96" t="s">
        <v>625</v>
      </c>
      <c r="S1019" s="96">
        <v>7414000005</v>
      </c>
      <c r="AA1019" s="131" t="s">
        <v>389</v>
      </c>
      <c r="AB1019" s="130">
        <v>352635.88517999998</v>
      </c>
      <c r="AC1019" s="130">
        <v>352635.88517999998</v>
      </c>
    </row>
    <row r="1020" spans="1:29" x14ac:dyDescent="0.25">
      <c r="A1020" t="str">
        <f t="shared" si="16"/>
        <v xml:space="preserve">65507684389SVIVE60 ED          </v>
      </c>
      <c r="B1020" s="96">
        <v>65507895505</v>
      </c>
      <c r="C1020" s="96" t="s">
        <v>766</v>
      </c>
      <c r="D1020" s="96" t="s">
        <v>412</v>
      </c>
      <c r="E1020" s="96" t="s">
        <v>623</v>
      </c>
      <c r="F1020" s="96" t="s">
        <v>624</v>
      </c>
      <c r="G1020" s="99">
        <v>1552</v>
      </c>
      <c r="H1020" s="97">
        <v>3.137273</v>
      </c>
      <c r="I1020" s="98">
        <v>4869.0476959999996</v>
      </c>
      <c r="J1020" s="97">
        <v>3.1160953608247421</v>
      </c>
      <c r="K1020" s="98">
        <v>32.867696000000002</v>
      </c>
      <c r="L1020" s="99">
        <v>0</v>
      </c>
      <c r="M1020" s="98">
        <v>0</v>
      </c>
      <c r="N1020" s="99">
        <v>0</v>
      </c>
      <c r="O1020" s="98">
        <v>0</v>
      </c>
      <c r="P1020" s="99">
        <v>1552</v>
      </c>
      <c r="Q1020" s="98">
        <v>4869.0476959999996</v>
      </c>
      <c r="R1020" s="96" t="s">
        <v>625</v>
      </c>
      <c r="S1020" s="96">
        <v>7414000005</v>
      </c>
      <c r="AA1020" s="131" t="s">
        <v>597</v>
      </c>
      <c r="AB1020" s="130">
        <v>4.3E-3</v>
      </c>
      <c r="AC1020" s="130">
        <v>4.3E-3</v>
      </c>
    </row>
    <row r="1021" spans="1:29" x14ac:dyDescent="0.25">
      <c r="A1021" t="str">
        <f t="shared" si="16"/>
        <v xml:space="preserve">65507747706STERGOB ED          </v>
      </c>
      <c r="B1021" s="96">
        <v>65507895505</v>
      </c>
      <c r="C1021" s="96" t="s">
        <v>766</v>
      </c>
      <c r="D1021" s="96" t="s">
        <v>494</v>
      </c>
      <c r="E1021" s="96" t="s">
        <v>623</v>
      </c>
      <c r="F1021" s="96" t="s">
        <v>624</v>
      </c>
      <c r="G1021" s="99">
        <v>419</v>
      </c>
      <c r="H1021" s="97">
        <v>129.376824</v>
      </c>
      <c r="I1021" s="98">
        <v>54208.889256000002</v>
      </c>
      <c r="J1021" s="97">
        <v>123.22701670644392</v>
      </c>
      <c r="K1021" s="98">
        <v>2576.769256</v>
      </c>
      <c r="L1021" s="99">
        <v>0</v>
      </c>
      <c r="M1021" s="98">
        <v>0</v>
      </c>
      <c r="N1021" s="99">
        <v>0</v>
      </c>
      <c r="O1021" s="98">
        <v>0</v>
      </c>
      <c r="P1021" s="99">
        <v>419</v>
      </c>
      <c r="Q1021" s="98">
        <v>54208.889256000002</v>
      </c>
      <c r="R1021" s="96" t="s">
        <v>625</v>
      </c>
      <c r="S1021" s="96">
        <v>7414000005</v>
      </c>
      <c r="AA1021" s="131" t="s">
        <v>407</v>
      </c>
      <c r="AB1021" s="130">
        <v>1648851.388968</v>
      </c>
      <c r="AC1021" s="130">
        <v>1648851.388968</v>
      </c>
    </row>
    <row r="1022" spans="1:29" x14ac:dyDescent="0.25">
      <c r="A1022" t="str">
        <f t="shared" si="16"/>
        <v xml:space="preserve">65507895505STERGOB B0          </v>
      </c>
      <c r="B1022" s="96">
        <v>65507895505</v>
      </c>
      <c r="C1022" s="96" t="s">
        <v>766</v>
      </c>
      <c r="D1022" s="96" t="s">
        <v>477</v>
      </c>
      <c r="E1022" s="96" t="s">
        <v>623</v>
      </c>
      <c r="F1022" s="96" t="s">
        <v>624</v>
      </c>
      <c r="G1022" s="99">
        <v>1068227</v>
      </c>
      <c r="H1022" s="97">
        <v>3.4740350000000002</v>
      </c>
      <c r="I1022" s="98">
        <v>3711057.9859449998</v>
      </c>
      <c r="J1022" s="97">
        <v>3.2980464451844038</v>
      </c>
      <c r="K1022" s="98">
        <v>187995.72594500001</v>
      </c>
      <c r="L1022" s="99">
        <v>0</v>
      </c>
      <c r="M1022" s="98">
        <v>0</v>
      </c>
      <c r="N1022" s="99">
        <v>0</v>
      </c>
      <c r="O1022" s="98">
        <v>0</v>
      </c>
      <c r="P1022" s="99">
        <v>1068227</v>
      </c>
      <c r="Q1022" s="98">
        <v>3711057.9859449998</v>
      </c>
      <c r="R1022" s="96" t="s">
        <v>625</v>
      </c>
      <c r="S1022" s="96">
        <v>7414000005</v>
      </c>
      <c r="AA1022" s="131" t="s">
        <v>405</v>
      </c>
      <c r="AB1022" s="130">
        <v>5071717.8271080004</v>
      </c>
      <c r="AC1022" s="130">
        <v>5071717.8271080004</v>
      </c>
    </row>
    <row r="1023" spans="1:29" x14ac:dyDescent="0.25">
      <c r="A1023" t="str">
        <f t="shared" si="16"/>
        <v xml:space="preserve">65507895505SVIVE20 C2          </v>
      </c>
      <c r="B1023" s="96">
        <v>65507895505</v>
      </c>
      <c r="C1023" s="96" t="s">
        <v>766</v>
      </c>
      <c r="D1023" s="96" t="s">
        <v>495</v>
      </c>
      <c r="E1023" s="96" t="s">
        <v>623</v>
      </c>
      <c r="F1023" s="96" t="s">
        <v>624</v>
      </c>
      <c r="G1023" s="99">
        <v>789642</v>
      </c>
      <c r="H1023" s="97">
        <v>2.0364629999999999</v>
      </c>
      <c r="I1023" s="98">
        <v>1608076.716246</v>
      </c>
      <c r="J1023" s="97">
        <v>1.9263570200166658</v>
      </c>
      <c r="K1023" s="98">
        <v>86944.306245999993</v>
      </c>
      <c r="L1023" s="99">
        <v>0</v>
      </c>
      <c r="M1023" s="98">
        <v>0</v>
      </c>
      <c r="N1023" s="99">
        <v>0</v>
      </c>
      <c r="O1023" s="98">
        <v>0</v>
      </c>
      <c r="P1023" s="99">
        <v>789642</v>
      </c>
      <c r="Q1023" s="98">
        <v>1608076.716246</v>
      </c>
      <c r="R1023" s="96" t="s">
        <v>625</v>
      </c>
      <c r="S1023" s="96">
        <v>7414000005</v>
      </c>
      <c r="AA1023" s="129">
        <v>64518</v>
      </c>
      <c r="AB1023" s="130">
        <v>85628899.491291985</v>
      </c>
      <c r="AC1023" s="130">
        <v>85628899.491291985</v>
      </c>
    </row>
    <row r="1024" spans="1:29" x14ac:dyDescent="0.25">
      <c r="A1024" t="str">
        <f t="shared" si="16"/>
        <v xml:space="preserve">65507895505SVIVE35 C2          </v>
      </c>
      <c r="B1024" s="96">
        <v>65507895505</v>
      </c>
      <c r="C1024" s="96" t="s">
        <v>766</v>
      </c>
      <c r="D1024" s="96" t="s">
        <v>496</v>
      </c>
      <c r="E1024" s="96" t="s">
        <v>623</v>
      </c>
      <c r="F1024" s="96" t="s">
        <v>624</v>
      </c>
      <c r="G1024" s="99">
        <v>173600</v>
      </c>
      <c r="H1024" s="97">
        <v>2.7063139999999999</v>
      </c>
      <c r="I1024" s="98">
        <v>469816.11040000001</v>
      </c>
      <c r="J1024" s="97">
        <v>2.5012903801843316</v>
      </c>
      <c r="K1024" s="98">
        <v>35592.100400000003</v>
      </c>
      <c r="L1024" s="99">
        <v>0</v>
      </c>
      <c r="M1024" s="98">
        <v>0</v>
      </c>
      <c r="N1024" s="99">
        <v>0</v>
      </c>
      <c r="O1024" s="98">
        <v>0</v>
      </c>
      <c r="P1024" s="99">
        <v>173600</v>
      </c>
      <c r="Q1024" s="98">
        <v>469816.11040000001</v>
      </c>
      <c r="R1024" s="96" t="s">
        <v>625</v>
      </c>
      <c r="S1024" s="96">
        <v>7414000005</v>
      </c>
      <c r="AA1024" s="131" t="s">
        <v>376</v>
      </c>
      <c r="AB1024" s="130">
        <v>111157.19776</v>
      </c>
      <c r="AC1024" s="130">
        <v>111157.19776</v>
      </c>
    </row>
    <row r="1025" spans="1:29" x14ac:dyDescent="0.25">
      <c r="A1025" t="str">
        <f t="shared" si="16"/>
        <v xml:space="preserve">65507895505SVIVE50 C2          </v>
      </c>
      <c r="B1025" s="96">
        <v>65508702490</v>
      </c>
      <c r="C1025" s="96" t="s">
        <v>760</v>
      </c>
      <c r="D1025" s="96" t="s">
        <v>389</v>
      </c>
      <c r="E1025" s="96" t="s">
        <v>623</v>
      </c>
      <c r="F1025" s="96" t="s">
        <v>624</v>
      </c>
      <c r="G1025" s="99">
        <v>57965254</v>
      </c>
      <c r="H1025" s="97">
        <v>3.3967719999999999</v>
      </c>
      <c r="I1025" s="98">
        <v>196894751.760088</v>
      </c>
      <c r="J1025" s="97">
        <v>3.23347832220316</v>
      </c>
      <c r="K1025" s="98">
        <v>9465359.5100880004</v>
      </c>
      <c r="L1025" s="99">
        <v>0</v>
      </c>
      <c r="M1025" s="98">
        <v>0</v>
      </c>
      <c r="N1025" s="99">
        <v>0</v>
      </c>
      <c r="O1025" s="98">
        <v>0</v>
      </c>
      <c r="P1025" s="99">
        <v>57965254</v>
      </c>
      <c r="Q1025" s="98">
        <v>196894751.760088</v>
      </c>
      <c r="R1025" s="96" t="s">
        <v>625</v>
      </c>
      <c r="S1025" s="96">
        <v>7414000005</v>
      </c>
      <c r="AA1025" s="131" t="s">
        <v>378</v>
      </c>
      <c r="AB1025" s="130">
        <v>2348806.5856550001</v>
      </c>
      <c r="AC1025" s="130">
        <v>2348806.5856550001</v>
      </c>
    </row>
    <row r="1026" spans="1:29" x14ac:dyDescent="0.25">
      <c r="A1026" t="str">
        <f t="shared" si="16"/>
        <v xml:space="preserve">65507895505SVIVE60 C2          </v>
      </c>
      <c r="B1026" s="96">
        <v>65508881201</v>
      </c>
      <c r="C1026" s="96" t="s">
        <v>767</v>
      </c>
      <c r="D1026" s="96" t="s">
        <v>389</v>
      </c>
      <c r="E1026" s="96" t="s">
        <v>623</v>
      </c>
      <c r="F1026" s="96" t="s">
        <v>624</v>
      </c>
      <c r="G1026" s="99">
        <v>450176</v>
      </c>
      <c r="H1026" s="97">
        <v>3.3967719999999999</v>
      </c>
      <c r="I1026" s="98">
        <v>1529145.231872</v>
      </c>
      <c r="J1026" s="97">
        <v>3.3304544666974696</v>
      </c>
      <c r="K1026" s="98">
        <v>29854.561871999998</v>
      </c>
      <c r="L1026" s="99">
        <v>0</v>
      </c>
      <c r="M1026" s="98">
        <v>0</v>
      </c>
      <c r="N1026" s="99">
        <v>0</v>
      </c>
      <c r="O1026" s="98">
        <v>0</v>
      </c>
      <c r="P1026" s="99">
        <v>450176</v>
      </c>
      <c r="Q1026" s="98">
        <v>1529145.231872</v>
      </c>
      <c r="R1026" s="96" t="s">
        <v>625</v>
      </c>
      <c r="S1026" s="96">
        <v>7414000005</v>
      </c>
      <c r="AA1026" s="131" t="s">
        <v>380</v>
      </c>
      <c r="AB1026" s="130">
        <v>1878414.68496</v>
      </c>
      <c r="AC1026" s="130">
        <v>1878414.68496</v>
      </c>
    </row>
    <row r="1027" spans="1:29" x14ac:dyDescent="0.25">
      <c r="A1027" t="str">
        <f t="shared" si="16"/>
        <v xml:space="preserve">65508702490STERGOB ED          </v>
      </c>
      <c r="B1027" s="96">
        <v>65508886089</v>
      </c>
      <c r="C1027" s="96" t="s">
        <v>767</v>
      </c>
      <c r="D1027" s="96" t="s">
        <v>389</v>
      </c>
      <c r="E1027" s="96" t="s">
        <v>623</v>
      </c>
      <c r="F1027" s="96" t="s">
        <v>624</v>
      </c>
      <c r="G1027" s="99">
        <v>28406006</v>
      </c>
      <c r="H1027" s="97">
        <v>3.3967719999999999</v>
      </c>
      <c r="I1027" s="98">
        <v>96488725.812631994</v>
      </c>
      <c r="J1027" s="97">
        <v>2.601587642768223</v>
      </c>
      <c r="K1027" s="98">
        <v>22588011.622632001</v>
      </c>
      <c r="L1027" s="99">
        <v>0</v>
      </c>
      <c r="M1027" s="98">
        <v>0</v>
      </c>
      <c r="N1027" s="99">
        <v>0</v>
      </c>
      <c r="O1027" s="98">
        <v>0</v>
      </c>
      <c r="P1027" s="99">
        <v>28406006</v>
      </c>
      <c r="Q1027" s="98">
        <v>96488725.812631994</v>
      </c>
      <c r="R1027" s="96" t="s">
        <v>625</v>
      </c>
      <c r="S1027" s="96">
        <v>7414000005</v>
      </c>
      <c r="AA1027" s="131" t="s">
        <v>382</v>
      </c>
      <c r="AB1027" s="130">
        <v>1353349.1791950001</v>
      </c>
      <c r="AC1027" s="130">
        <v>1353349.1791950001</v>
      </c>
    </row>
    <row r="1028" spans="1:29" x14ac:dyDescent="0.25">
      <c r="A1028" t="str">
        <f t="shared" si="16"/>
        <v xml:space="preserve">65508881201STERGOB ED          </v>
      </c>
      <c r="B1028" s="96">
        <v>65508888184</v>
      </c>
      <c r="C1028" s="96" t="s">
        <v>767</v>
      </c>
      <c r="D1028" s="96" t="s">
        <v>389</v>
      </c>
      <c r="E1028" s="96" t="s">
        <v>623</v>
      </c>
      <c r="F1028" s="96" t="s">
        <v>624</v>
      </c>
      <c r="G1028" s="99">
        <v>445515</v>
      </c>
      <c r="H1028" s="97">
        <v>3.3967719999999999</v>
      </c>
      <c r="I1028" s="98">
        <v>1513312.8775800001</v>
      </c>
      <c r="J1028" s="97">
        <v>2.4735245502396102</v>
      </c>
      <c r="K1028" s="98">
        <v>411320.58757999999</v>
      </c>
      <c r="L1028" s="99">
        <v>0</v>
      </c>
      <c r="M1028" s="98">
        <v>0</v>
      </c>
      <c r="N1028" s="99">
        <v>0</v>
      </c>
      <c r="O1028" s="98">
        <v>0</v>
      </c>
      <c r="P1028" s="99">
        <v>445515</v>
      </c>
      <c r="Q1028" s="98">
        <v>1513312.8775800001</v>
      </c>
      <c r="R1028" s="96" t="s">
        <v>625</v>
      </c>
      <c r="S1028" s="96">
        <v>7414000005</v>
      </c>
      <c r="AA1028" s="131" t="s">
        <v>427</v>
      </c>
      <c r="AB1028" s="130">
        <v>236493.68319000001</v>
      </c>
      <c r="AC1028" s="130">
        <v>236493.68319000001</v>
      </c>
    </row>
    <row r="1029" spans="1:29" x14ac:dyDescent="0.25">
      <c r="A1029" t="str">
        <f t="shared" si="16"/>
        <v xml:space="preserve">65508886089STERGOB ED          </v>
      </c>
      <c r="B1029" s="96">
        <v>65508989338</v>
      </c>
      <c r="C1029" s="96" t="s">
        <v>762</v>
      </c>
      <c r="D1029" s="96" t="s">
        <v>389</v>
      </c>
      <c r="E1029" s="96" t="s">
        <v>623</v>
      </c>
      <c r="F1029" s="96" t="s">
        <v>624</v>
      </c>
      <c r="G1029" s="99">
        <v>16916396</v>
      </c>
      <c r="H1029" s="97">
        <v>3.3967719999999999</v>
      </c>
      <c r="I1029" s="98">
        <v>57461140.273712002</v>
      </c>
      <c r="J1029" s="97">
        <v>3.3456553180712962</v>
      </c>
      <c r="K1029" s="98">
        <v>864710.033712</v>
      </c>
      <c r="L1029" s="99">
        <v>0</v>
      </c>
      <c r="M1029" s="98">
        <v>0</v>
      </c>
      <c r="N1029" s="99">
        <v>0</v>
      </c>
      <c r="O1029" s="98">
        <v>0</v>
      </c>
      <c r="P1029" s="99">
        <v>16916396</v>
      </c>
      <c r="Q1029" s="98">
        <v>57461140.273712002</v>
      </c>
      <c r="R1029" s="96" t="s">
        <v>625</v>
      </c>
      <c r="S1029" s="96">
        <v>7414000005</v>
      </c>
      <c r="AA1029" s="131" t="s">
        <v>418</v>
      </c>
      <c r="AB1029" s="130">
        <v>96378.417700000005</v>
      </c>
      <c r="AC1029" s="130">
        <v>96378.417700000005</v>
      </c>
    </row>
    <row r="1030" spans="1:29" x14ac:dyDescent="0.25">
      <c r="A1030" t="str">
        <f t="shared" si="16"/>
        <v xml:space="preserve">65508888184STERGOB ED          </v>
      </c>
      <c r="B1030" s="96">
        <v>65509560409</v>
      </c>
      <c r="C1030" s="96" t="s">
        <v>768</v>
      </c>
      <c r="D1030" s="96" t="s">
        <v>389</v>
      </c>
      <c r="E1030" s="96" t="s">
        <v>623</v>
      </c>
      <c r="F1030" s="96" t="s">
        <v>624</v>
      </c>
      <c r="G1030" s="99">
        <v>16882061</v>
      </c>
      <c r="H1030" s="97">
        <v>3.3967719999999999</v>
      </c>
      <c r="I1030" s="98">
        <v>57344512.107092001</v>
      </c>
      <c r="J1030" s="97">
        <v>3.3294955124258823</v>
      </c>
      <c r="K1030" s="98">
        <v>1135765.767092</v>
      </c>
      <c r="L1030" s="99">
        <v>0</v>
      </c>
      <c r="M1030" s="98">
        <v>0</v>
      </c>
      <c r="N1030" s="99">
        <v>0</v>
      </c>
      <c r="O1030" s="98">
        <v>0</v>
      </c>
      <c r="P1030" s="99">
        <v>16882061</v>
      </c>
      <c r="Q1030" s="98">
        <v>57344512.107092001</v>
      </c>
      <c r="R1030" s="96" t="s">
        <v>625</v>
      </c>
      <c r="S1030" s="96">
        <v>7414000005</v>
      </c>
      <c r="AA1030" s="131" t="s">
        <v>408</v>
      </c>
      <c r="AB1030" s="130">
        <v>54234.119059999997</v>
      </c>
      <c r="AC1030" s="130">
        <v>54234.119059999997</v>
      </c>
    </row>
    <row r="1031" spans="1:29" x14ac:dyDescent="0.25">
      <c r="A1031" t="str">
        <f t="shared" ref="A1031:A1094" si="17">B1029&amp;D1029</f>
        <v xml:space="preserve">65508989338STERGOB ED          </v>
      </c>
      <c r="B1031" s="96">
        <v>65509560426</v>
      </c>
      <c r="C1031" s="96" t="s">
        <v>769</v>
      </c>
      <c r="D1031" s="96" t="s">
        <v>389</v>
      </c>
      <c r="E1031" s="96" t="s">
        <v>623</v>
      </c>
      <c r="F1031" s="96" t="s">
        <v>624</v>
      </c>
      <c r="G1031" s="99">
        <v>64153</v>
      </c>
      <c r="H1031" s="97">
        <v>3.3967719999999999</v>
      </c>
      <c r="I1031" s="98">
        <v>217913.11411600001</v>
      </c>
      <c r="J1031" s="97">
        <v>3.3211028322915528</v>
      </c>
      <c r="K1031" s="98">
        <v>4854.4041159999997</v>
      </c>
      <c r="L1031" s="99">
        <v>0</v>
      </c>
      <c r="M1031" s="98">
        <v>0</v>
      </c>
      <c r="N1031" s="99">
        <v>0</v>
      </c>
      <c r="O1031" s="98">
        <v>0</v>
      </c>
      <c r="P1031" s="99">
        <v>64153</v>
      </c>
      <c r="Q1031" s="98">
        <v>217913.11411600001</v>
      </c>
      <c r="R1031" s="96" t="s">
        <v>625</v>
      </c>
      <c r="S1031" s="96">
        <v>7414000005</v>
      </c>
      <c r="AA1031" s="131" t="s">
        <v>384</v>
      </c>
      <c r="AB1031" s="130">
        <v>150644.71898000001</v>
      </c>
      <c r="AC1031" s="130">
        <v>150644.71898000001</v>
      </c>
    </row>
    <row r="1032" spans="1:29" x14ac:dyDescent="0.25">
      <c r="A1032" t="str">
        <f t="shared" si="17"/>
        <v xml:space="preserve">65509560409STERGOB ED          </v>
      </c>
      <c r="B1032" s="96">
        <v>65509560443</v>
      </c>
      <c r="C1032" s="96" t="s">
        <v>770</v>
      </c>
      <c r="D1032" s="96" t="s">
        <v>389</v>
      </c>
      <c r="E1032" s="96" t="s">
        <v>623</v>
      </c>
      <c r="F1032" s="96" t="s">
        <v>624</v>
      </c>
      <c r="G1032" s="99">
        <v>175118</v>
      </c>
      <c r="H1032" s="97">
        <v>3.3967719999999999</v>
      </c>
      <c r="I1032" s="98">
        <v>594835.91909600003</v>
      </c>
      <c r="J1032" s="97">
        <v>3.31741973983257</v>
      </c>
      <c r="K1032" s="98">
        <v>13896.009096</v>
      </c>
      <c r="L1032" s="99">
        <v>0</v>
      </c>
      <c r="M1032" s="98">
        <v>0</v>
      </c>
      <c r="N1032" s="99">
        <v>0</v>
      </c>
      <c r="O1032" s="98">
        <v>0</v>
      </c>
      <c r="P1032" s="99">
        <v>175118</v>
      </c>
      <c r="Q1032" s="98">
        <v>594835.91909600003</v>
      </c>
      <c r="R1032" s="96" t="s">
        <v>625</v>
      </c>
      <c r="S1032" s="96">
        <v>7414000005</v>
      </c>
      <c r="AA1032" s="131" t="s">
        <v>389</v>
      </c>
      <c r="AB1032" s="130">
        <v>53451804.601548001</v>
      </c>
      <c r="AC1032" s="130">
        <v>53451804.601548001</v>
      </c>
    </row>
    <row r="1033" spans="1:29" x14ac:dyDescent="0.25">
      <c r="A1033" t="str">
        <f t="shared" si="17"/>
        <v xml:space="preserve">65509560426STERGOB ED          </v>
      </c>
      <c r="B1033" s="96">
        <v>65509560457</v>
      </c>
      <c r="C1033" s="96" t="s">
        <v>771</v>
      </c>
      <c r="D1033" s="96" t="s">
        <v>389</v>
      </c>
      <c r="E1033" s="96" t="s">
        <v>623</v>
      </c>
      <c r="F1033" s="96" t="s">
        <v>624</v>
      </c>
      <c r="G1033" s="99">
        <v>376064</v>
      </c>
      <c r="H1033" s="97">
        <v>3.3967719999999999</v>
      </c>
      <c r="I1033" s="98">
        <v>1277403.6654079999</v>
      </c>
      <c r="J1033" s="97">
        <v>3.3285112640401633</v>
      </c>
      <c r="K1033" s="98">
        <v>25670.405407999999</v>
      </c>
      <c r="L1033" s="99">
        <v>0</v>
      </c>
      <c r="M1033" s="98">
        <v>0</v>
      </c>
      <c r="N1033" s="99">
        <v>0</v>
      </c>
      <c r="O1033" s="98">
        <v>0</v>
      </c>
      <c r="P1033" s="99">
        <v>376064</v>
      </c>
      <c r="Q1033" s="98">
        <v>1277403.6654079999</v>
      </c>
      <c r="R1033" s="96" t="s">
        <v>625</v>
      </c>
      <c r="S1033" s="96">
        <v>7414000005</v>
      </c>
      <c r="AA1033" s="131" t="s">
        <v>391</v>
      </c>
      <c r="AB1033" s="130">
        <v>1427272.8880799999</v>
      </c>
      <c r="AC1033" s="130">
        <v>1427272.8880799999</v>
      </c>
    </row>
    <row r="1034" spans="1:29" x14ac:dyDescent="0.25">
      <c r="A1034" t="str">
        <f t="shared" si="17"/>
        <v xml:space="preserve">65509560443STERGOB ED          </v>
      </c>
      <c r="B1034" s="96">
        <v>65509889998</v>
      </c>
      <c r="C1034" s="96" t="s">
        <v>772</v>
      </c>
      <c r="D1034" s="96" t="s">
        <v>389</v>
      </c>
      <c r="E1034" s="96" t="s">
        <v>623</v>
      </c>
      <c r="F1034" s="96" t="s">
        <v>624</v>
      </c>
      <c r="G1034" s="99">
        <v>2498775</v>
      </c>
      <c r="H1034" s="97">
        <v>3.3967719999999999</v>
      </c>
      <c r="I1034" s="98">
        <v>8487768.9542999994</v>
      </c>
      <c r="J1034" s="97">
        <v>3.3423505997938991</v>
      </c>
      <c r="K1034" s="98">
        <v>135986.83429999999</v>
      </c>
      <c r="L1034" s="99">
        <v>0</v>
      </c>
      <c r="M1034" s="98">
        <v>0</v>
      </c>
      <c r="N1034" s="99">
        <v>0</v>
      </c>
      <c r="O1034" s="98">
        <v>0</v>
      </c>
      <c r="P1034" s="99">
        <v>2498775</v>
      </c>
      <c r="Q1034" s="98">
        <v>8487768.9542999994</v>
      </c>
      <c r="R1034" s="96" t="s">
        <v>625</v>
      </c>
      <c r="S1034" s="96">
        <v>7414000005</v>
      </c>
      <c r="AA1034" s="131" t="s">
        <v>395</v>
      </c>
      <c r="AB1034" s="130">
        <v>315354.20172000001</v>
      </c>
      <c r="AC1034" s="130">
        <v>315354.20172000001</v>
      </c>
    </row>
    <row r="1035" spans="1:29" x14ac:dyDescent="0.25">
      <c r="A1035" t="str">
        <f t="shared" si="17"/>
        <v xml:space="preserve">65509560457STERGOB ED          </v>
      </c>
      <c r="B1035" s="96">
        <v>65509890080</v>
      </c>
      <c r="C1035" s="96" t="s">
        <v>772</v>
      </c>
      <c r="D1035" s="96" t="s">
        <v>389</v>
      </c>
      <c r="E1035" s="96" t="s">
        <v>623</v>
      </c>
      <c r="F1035" s="96" t="s">
        <v>624</v>
      </c>
      <c r="G1035" s="99">
        <v>48461742</v>
      </c>
      <c r="H1035" s="97">
        <v>3.3967719999999999</v>
      </c>
      <c r="I1035" s="98">
        <v>164613488.29682401</v>
      </c>
      <c r="J1035" s="97">
        <v>3.3139702411027652</v>
      </c>
      <c r="K1035" s="98">
        <v>4012717.476824</v>
      </c>
      <c r="L1035" s="99">
        <v>0</v>
      </c>
      <c r="M1035" s="98">
        <v>0</v>
      </c>
      <c r="N1035" s="99">
        <v>0</v>
      </c>
      <c r="O1035" s="98">
        <v>0</v>
      </c>
      <c r="P1035" s="99">
        <v>48461742</v>
      </c>
      <c r="Q1035" s="98">
        <v>164613488.29682401</v>
      </c>
      <c r="R1035" s="96" t="s">
        <v>625</v>
      </c>
      <c r="S1035" s="96">
        <v>7414000005</v>
      </c>
      <c r="AA1035" s="131" t="s">
        <v>396</v>
      </c>
      <c r="AB1035" s="130">
        <v>0</v>
      </c>
      <c r="AC1035" s="130">
        <v>0</v>
      </c>
    </row>
    <row r="1036" spans="1:29" x14ac:dyDescent="0.25">
      <c r="A1036" t="str">
        <f t="shared" si="17"/>
        <v xml:space="preserve">65509889998STERGOB ED          </v>
      </c>
      <c r="B1036" s="96">
        <v>65509890154</v>
      </c>
      <c r="C1036" s="96" t="s">
        <v>772</v>
      </c>
      <c r="D1036" s="96" t="s">
        <v>389</v>
      </c>
      <c r="E1036" s="96" t="s">
        <v>623</v>
      </c>
      <c r="F1036" s="96" t="s">
        <v>624</v>
      </c>
      <c r="G1036" s="99">
        <v>1810947</v>
      </c>
      <c r="H1036" s="97">
        <v>3.3967719999999999</v>
      </c>
      <c r="I1036" s="98">
        <v>6151374.0630839998</v>
      </c>
      <c r="J1036" s="97">
        <v>3.3214509811717297</v>
      </c>
      <c r="K1036" s="98">
        <v>136402.37308399999</v>
      </c>
      <c r="L1036" s="99">
        <v>0</v>
      </c>
      <c r="M1036" s="98">
        <v>0</v>
      </c>
      <c r="N1036" s="99">
        <v>0</v>
      </c>
      <c r="O1036" s="98">
        <v>0</v>
      </c>
      <c r="P1036" s="99">
        <v>1810947</v>
      </c>
      <c r="Q1036" s="98">
        <v>6151374.0630839998</v>
      </c>
      <c r="R1036" s="96" t="s">
        <v>625</v>
      </c>
      <c r="S1036" s="96">
        <v>7414000005</v>
      </c>
      <c r="AA1036" s="131" t="s">
        <v>398</v>
      </c>
      <c r="AB1036" s="130">
        <v>618570.41415199998</v>
      </c>
      <c r="AC1036" s="130">
        <v>618570.41415199998</v>
      </c>
    </row>
    <row r="1037" spans="1:29" x14ac:dyDescent="0.25">
      <c r="A1037" t="str">
        <f t="shared" si="17"/>
        <v xml:space="preserve">65509890080STERGOB ED          </v>
      </c>
      <c r="B1037" s="96">
        <v>65509890276</v>
      </c>
      <c r="C1037" s="96" t="s">
        <v>772</v>
      </c>
      <c r="D1037" s="96" t="s">
        <v>389</v>
      </c>
      <c r="E1037" s="96" t="s">
        <v>623</v>
      </c>
      <c r="F1037" s="96" t="s">
        <v>624</v>
      </c>
      <c r="G1037" s="99">
        <v>1974510</v>
      </c>
      <c r="H1037" s="97">
        <v>3.3967719999999999</v>
      </c>
      <c r="I1037" s="98">
        <v>6706960.2817200003</v>
      </c>
      <c r="J1037" s="97">
        <v>3.2991268213379521</v>
      </c>
      <c r="K1037" s="98">
        <v>192801.38172</v>
      </c>
      <c r="L1037" s="99">
        <v>0</v>
      </c>
      <c r="M1037" s="98">
        <v>0</v>
      </c>
      <c r="N1037" s="99">
        <v>0</v>
      </c>
      <c r="O1037" s="98">
        <v>0</v>
      </c>
      <c r="P1037" s="99">
        <v>1974510</v>
      </c>
      <c r="Q1037" s="98">
        <v>6706960.2817200003</v>
      </c>
      <c r="R1037" s="96" t="s">
        <v>625</v>
      </c>
      <c r="S1037" s="96">
        <v>7414000005</v>
      </c>
      <c r="AA1037" s="131" t="s">
        <v>381</v>
      </c>
      <c r="AB1037" s="130">
        <v>92972.753859999997</v>
      </c>
      <c r="AC1037" s="130">
        <v>92972.753859999997</v>
      </c>
    </row>
    <row r="1038" spans="1:29" x14ac:dyDescent="0.25">
      <c r="A1038" t="str">
        <f t="shared" si="17"/>
        <v xml:space="preserve">65509890154STERGOB ED          </v>
      </c>
      <c r="B1038" s="96">
        <v>1000001573</v>
      </c>
      <c r="C1038" s="96" t="s">
        <v>626</v>
      </c>
      <c r="D1038" s="96" t="s">
        <v>497</v>
      </c>
      <c r="E1038" s="96" t="s">
        <v>623</v>
      </c>
      <c r="F1038" s="96" t="s">
        <v>773</v>
      </c>
      <c r="G1038" s="99">
        <v>600</v>
      </c>
      <c r="H1038" s="97">
        <v>16601.967289</v>
      </c>
      <c r="I1038" s="98">
        <v>9961180.3734000009</v>
      </c>
      <c r="J1038" s="97">
        <v>21701.96</v>
      </c>
      <c r="K1038" s="98">
        <v>-3059995.6266000001</v>
      </c>
      <c r="L1038" s="99">
        <v>0</v>
      </c>
      <c r="M1038" s="98">
        <v>0</v>
      </c>
      <c r="N1038" s="99">
        <v>0</v>
      </c>
      <c r="O1038" s="98">
        <v>0</v>
      </c>
      <c r="P1038" s="99">
        <v>600</v>
      </c>
      <c r="Q1038" s="98">
        <v>9961180.3734000009</v>
      </c>
      <c r="R1038" s="96" t="s">
        <v>625</v>
      </c>
      <c r="S1038" s="96">
        <v>7414000005</v>
      </c>
      <c r="AA1038" s="131" t="s">
        <v>466</v>
      </c>
      <c r="AB1038" s="130">
        <v>144412.26486</v>
      </c>
      <c r="AC1038" s="130">
        <v>144412.26486</v>
      </c>
    </row>
    <row r="1039" spans="1:29" x14ac:dyDescent="0.25">
      <c r="A1039" t="str">
        <f t="shared" si="17"/>
        <v xml:space="preserve">65509890276STERGOB ED          </v>
      </c>
      <c r="B1039" s="96">
        <v>1000001573</v>
      </c>
      <c r="C1039" s="96" t="s">
        <v>626</v>
      </c>
      <c r="D1039" s="96" t="s">
        <v>498</v>
      </c>
      <c r="E1039" s="96" t="s">
        <v>623</v>
      </c>
      <c r="F1039" s="96" t="s">
        <v>773</v>
      </c>
      <c r="G1039" s="99">
        <v>253805</v>
      </c>
      <c r="H1039" s="97">
        <v>15.408367</v>
      </c>
      <c r="I1039" s="98">
        <v>3910720.5864349999</v>
      </c>
      <c r="J1039" s="97">
        <v>20.56</v>
      </c>
      <c r="K1039" s="98">
        <v>-1307510.2135650001</v>
      </c>
      <c r="L1039" s="99">
        <v>0</v>
      </c>
      <c r="M1039" s="98">
        <v>0</v>
      </c>
      <c r="N1039" s="99">
        <v>0</v>
      </c>
      <c r="O1039" s="98">
        <v>0</v>
      </c>
      <c r="P1039" s="99">
        <v>253805</v>
      </c>
      <c r="Q1039" s="98">
        <v>3910720.5864349999</v>
      </c>
      <c r="R1039" s="96" t="s">
        <v>625</v>
      </c>
      <c r="S1039" s="96">
        <v>7414000005</v>
      </c>
      <c r="AA1039" s="131" t="s">
        <v>482</v>
      </c>
      <c r="AB1039" s="130">
        <v>13261272.027674999</v>
      </c>
      <c r="AC1039" s="130">
        <v>13261272.027674999</v>
      </c>
    </row>
    <row r="1040" spans="1:29" x14ac:dyDescent="0.25">
      <c r="A1040" t="str">
        <f t="shared" si="17"/>
        <v xml:space="preserve">1000001573BANOA64 999999      </v>
      </c>
      <c r="B1040" s="96">
        <v>1002455</v>
      </c>
      <c r="C1040" s="96" t="s">
        <v>774</v>
      </c>
      <c r="D1040" s="96" t="s">
        <v>366</v>
      </c>
      <c r="E1040" s="96" t="s">
        <v>623</v>
      </c>
      <c r="F1040" s="96" t="s">
        <v>773</v>
      </c>
      <c r="G1040" s="99">
        <v>0</v>
      </c>
      <c r="H1040" s="97">
        <v>0</v>
      </c>
      <c r="I1040" s="98">
        <v>8938949.8599999994</v>
      </c>
      <c r="J1040" s="97">
        <v>0</v>
      </c>
      <c r="K1040" s="98">
        <v>0</v>
      </c>
      <c r="L1040" s="99">
        <v>0</v>
      </c>
      <c r="M1040" s="98">
        <v>0</v>
      </c>
      <c r="N1040" s="99">
        <v>0</v>
      </c>
      <c r="O1040" s="98">
        <v>0</v>
      </c>
      <c r="P1040" s="99">
        <v>0</v>
      </c>
      <c r="Q1040" s="98">
        <v>8938949.8599999994</v>
      </c>
      <c r="R1040" s="96" t="s">
        <v>625</v>
      </c>
      <c r="S1040" s="96">
        <v>7414000005</v>
      </c>
      <c r="AA1040" s="131" t="s">
        <v>393</v>
      </c>
      <c r="AB1040" s="130">
        <v>1776943.4085599999</v>
      </c>
      <c r="AC1040" s="130">
        <v>1776943.4085599999</v>
      </c>
    </row>
    <row r="1041" spans="1:29" x14ac:dyDescent="0.25">
      <c r="A1041" t="str">
        <f t="shared" si="17"/>
        <v xml:space="preserve">1000001573POSAS95 271230      </v>
      </c>
      <c r="B1041" s="96">
        <v>1008777</v>
      </c>
      <c r="C1041" s="96" t="s">
        <v>775</v>
      </c>
      <c r="D1041" s="96" t="s">
        <v>366</v>
      </c>
      <c r="E1041" s="96" t="s">
        <v>623</v>
      </c>
      <c r="F1041" s="96" t="s">
        <v>773</v>
      </c>
      <c r="G1041" s="99">
        <v>0</v>
      </c>
      <c r="H1041" s="97">
        <v>0</v>
      </c>
      <c r="I1041" s="98">
        <v>30469637.100000001</v>
      </c>
      <c r="J1041" s="97">
        <v>0</v>
      </c>
      <c r="K1041" s="98">
        <v>0</v>
      </c>
      <c r="L1041" s="99">
        <v>0</v>
      </c>
      <c r="M1041" s="98">
        <v>0</v>
      </c>
      <c r="N1041" s="99">
        <v>0</v>
      </c>
      <c r="O1041" s="98">
        <v>0</v>
      </c>
      <c r="P1041" s="99">
        <v>0</v>
      </c>
      <c r="Q1041" s="98">
        <v>30469637.100000001</v>
      </c>
      <c r="R1041" s="96" t="s">
        <v>625</v>
      </c>
      <c r="S1041" s="96">
        <v>7414000005</v>
      </c>
      <c r="AA1041" s="131" t="s">
        <v>385</v>
      </c>
      <c r="AB1041" s="130">
        <v>7072.0646850000003</v>
      </c>
      <c r="AC1041" s="130">
        <v>7072.0646850000003</v>
      </c>
    </row>
    <row r="1042" spans="1:29" x14ac:dyDescent="0.25">
      <c r="A1042" t="str">
        <f t="shared" si="17"/>
        <v>1002455EFECTIVO</v>
      </c>
      <c r="B1042" s="96">
        <v>1008778</v>
      </c>
      <c r="C1042" s="96" t="s">
        <v>776</v>
      </c>
      <c r="D1042" s="96" t="s">
        <v>366</v>
      </c>
      <c r="E1042" s="96" t="s">
        <v>623</v>
      </c>
      <c r="F1042" s="96" t="s">
        <v>773</v>
      </c>
      <c r="G1042" s="99">
        <v>0</v>
      </c>
      <c r="H1042" s="97">
        <v>0</v>
      </c>
      <c r="I1042" s="98">
        <v>2673834.7000000002</v>
      </c>
      <c r="J1042" s="97">
        <v>0</v>
      </c>
      <c r="K1042" s="98">
        <v>0</v>
      </c>
      <c r="L1042" s="99">
        <v>0</v>
      </c>
      <c r="M1042" s="98">
        <v>0</v>
      </c>
      <c r="N1042" s="99">
        <v>0</v>
      </c>
      <c r="O1042" s="98">
        <v>0</v>
      </c>
      <c r="P1042" s="99">
        <v>0</v>
      </c>
      <c r="Q1042" s="98">
        <v>2673834.7000000002</v>
      </c>
      <c r="R1042" s="96" t="s">
        <v>625</v>
      </c>
      <c r="S1042" s="96">
        <v>7414000005</v>
      </c>
      <c r="AA1042" s="131" t="s">
        <v>375</v>
      </c>
      <c r="AB1042" s="130">
        <v>583496.36259000003</v>
      </c>
      <c r="AC1042" s="130">
        <v>583496.36259000003</v>
      </c>
    </row>
    <row r="1043" spans="1:29" x14ac:dyDescent="0.25">
      <c r="A1043" t="str">
        <f t="shared" si="17"/>
        <v>1008777EFECTIVO</v>
      </c>
      <c r="B1043" s="96">
        <v>1018014</v>
      </c>
      <c r="C1043" s="96" t="s">
        <v>777</v>
      </c>
      <c r="D1043" s="96" t="s">
        <v>366</v>
      </c>
      <c r="E1043" s="96" t="s">
        <v>623</v>
      </c>
      <c r="F1043" s="96" t="s">
        <v>773</v>
      </c>
      <c r="G1043" s="99">
        <v>0</v>
      </c>
      <c r="H1043" s="97">
        <v>0</v>
      </c>
      <c r="I1043" s="98">
        <v>4309.26</v>
      </c>
      <c r="J1043" s="97">
        <v>0</v>
      </c>
      <c r="K1043" s="98">
        <v>0</v>
      </c>
      <c r="L1043" s="99">
        <v>0</v>
      </c>
      <c r="M1043" s="98">
        <v>0</v>
      </c>
      <c r="N1043" s="99">
        <v>0</v>
      </c>
      <c r="O1043" s="98">
        <v>0</v>
      </c>
      <c r="P1043" s="99">
        <v>0</v>
      </c>
      <c r="Q1043" s="98">
        <v>4309.26</v>
      </c>
      <c r="R1043" s="96" t="s">
        <v>625</v>
      </c>
      <c r="S1043" s="96">
        <v>7414000005</v>
      </c>
      <c r="AA1043" s="131" t="s">
        <v>399</v>
      </c>
      <c r="AB1043" s="130">
        <v>2247809.012319</v>
      </c>
      <c r="AC1043" s="130">
        <v>2247809.012319</v>
      </c>
    </row>
    <row r="1044" spans="1:29" x14ac:dyDescent="0.25">
      <c r="A1044" t="str">
        <f t="shared" si="17"/>
        <v>1008778EFECTIVO</v>
      </c>
      <c r="B1044" s="96">
        <v>1018122</v>
      </c>
      <c r="C1044" s="96" t="s">
        <v>774</v>
      </c>
      <c r="D1044" s="96" t="s">
        <v>366</v>
      </c>
      <c r="E1044" s="96" t="s">
        <v>623</v>
      </c>
      <c r="F1044" s="96" t="s">
        <v>773</v>
      </c>
      <c r="G1044" s="99">
        <v>0</v>
      </c>
      <c r="H1044" s="97">
        <v>0</v>
      </c>
      <c r="I1044" s="98">
        <v>59838.68</v>
      </c>
      <c r="J1044" s="97">
        <v>0</v>
      </c>
      <c r="K1044" s="98">
        <v>0</v>
      </c>
      <c r="L1044" s="99">
        <v>0</v>
      </c>
      <c r="M1044" s="98">
        <v>0</v>
      </c>
      <c r="N1044" s="99">
        <v>0</v>
      </c>
      <c r="O1044" s="98">
        <v>0</v>
      </c>
      <c r="P1044" s="99">
        <v>0</v>
      </c>
      <c r="Q1044" s="98">
        <v>59838.68</v>
      </c>
      <c r="R1044" s="96" t="s">
        <v>625</v>
      </c>
      <c r="S1044" s="96">
        <v>7414000005</v>
      </c>
      <c r="AA1044" s="131" t="s">
        <v>429</v>
      </c>
      <c r="AB1044" s="130">
        <v>980078.34</v>
      </c>
      <c r="AC1044" s="130">
        <v>980078.34</v>
      </c>
    </row>
    <row r="1045" spans="1:29" x14ac:dyDescent="0.25">
      <c r="A1045" t="str">
        <f t="shared" si="17"/>
        <v>1018014EFECTIVO</v>
      </c>
      <c r="B1045" s="96">
        <v>1018302</v>
      </c>
      <c r="C1045" s="96" t="s">
        <v>774</v>
      </c>
      <c r="D1045" s="96" t="s">
        <v>366</v>
      </c>
      <c r="E1045" s="96" t="s">
        <v>623</v>
      </c>
      <c r="F1045" s="96" t="s">
        <v>773</v>
      </c>
      <c r="G1045" s="99">
        <v>0</v>
      </c>
      <c r="H1045" s="97">
        <v>0</v>
      </c>
      <c r="I1045" s="98">
        <v>2957355.92</v>
      </c>
      <c r="J1045" s="97">
        <v>0</v>
      </c>
      <c r="K1045" s="98">
        <v>0</v>
      </c>
      <c r="L1045" s="99">
        <v>0</v>
      </c>
      <c r="M1045" s="98">
        <v>0</v>
      </c>
      <c r="N1045" s="99">
        <v>0</v>
      </c>
      <c r="O1045" s="98">
        <v>0</v>
      </c>
      <c r="P1045" s="99">
        <v>0</v>
      </c>
      <c r="Q1045" s="98">
        <v>2957355.92</v>
      </c>
      <c r="R1045" s="96" t="s">
        <v>625</v>
      </c>
      <c r="S1045" s="96">
        <v>7414000005</v>
      </c>
      <c r="AA1045" s="131" t="s">
        <v>394</v>
      </c>
      <c r="AB1045" s="130">
        <v>390386.82006</v>
      </c>
      <c r="AC1045" s="130">
        <v>390386.82006</v>
      </c>
    </row>
    <row r="1046" spans="1:29" x14ac:dyDescent="0.25">
      <c r="A1046" t="str">
        <f t="shared" si="17"/>
        <v>1018122EFECTIVO</v>
      </c>
      <c r="B1046" s="96">
        <v>142481</v>
      </c>
      <c r="C1046" s="96" t="s">
        <v>777</v>
      </c>
      <c r="D1046" s="96" t="s">
        <v>366</v>
      </c>
      <c r="E1046" s="96" t="s">
        <v>623</v>
      </c>
      <c r="F1046" s="96" t="s">
        <v>773</v>
      </c>
      <c r="G1046" s="99">
        <v>0</v>
      </c>
      <c r="H1046" s="97">
        <v>0</v>
      </c>
      <c r="I1046" s="98">
        <v>1058388.8999999999</v>
      </c>
      <c r="J1046" s="97">
        <v>0</v>
      </c>
      <c r="K1046" s="98">
        <v>0</v>
      </c>
      <c r="L1046" s="99">
        <v>0</v>
      </c>
      <c r="M1046" s="98">
        <v>0</v>
      </c>
      <c r="N1046" s="99">
        <v>0</v>
      </c>
      <c r="O1046" s="98">
        <v>0</v>
      </c>
      <c r="P1046" s="99">
        <v>0</v>
      </c>
      <c r="Q1046" s="98">
        <v>1058388.8999999999</v>
      </c>
      <c r="R1046" s="96" t="s">
        <v>625</v>
      </c>
      <c r="S1046" s="96">
        <v>7414000005</v>
      </c>
      <c r="AA1046" s="131" t="s">
        <v>379</v>
      </c>
      <c r="AB1046" s="130">
        <v>178283.22722999999</v>
      </c>
      <c r="AC1046" s="130">
        <v>178283.22722999999</v>
      </c>
    </row>
    <row r="1047" spans="1:29" x14ac:dyDescent="0.25">
      <c r="A1047" t="str">
        <f t="shared" si="17"/>
        <v>1018302EFECTIVO</v>
      </c>
      <c r="B1047" s="96">
        <v>142482</v>
      </c>
      <c r="C1047" s="96" t="s">
        <v>777</v>
      </c>
      <c r="D1047" s="96" t="s">
        <v>366</v>
      </c>
      <c r="E1047" s="96" t="s">
        <v>623</v>
      </c>
      <c r="F1047" s="96" t="s">
        <v>773</v>
      </c>
      <c r="G1047" s="99">
        <v>0</v>
      </c>
      <c r="H1047" s="97">
        <v>0</v>
      </c>
      <c r="I1047" s="98">
        <v>208796.14</v>
      </c>
      <c r="J1047" s="97">
        <v>0</v>
      </c>
      <c r="K1047" s="98">
        <v>0</v>
      </c>
      <c r="L1047" s="99">
        <v>0</v>
      </c>
      <c r="M1047" s="98">
        <v>0</v>
      </c>
      <c r="N1047" s="99">
        <v>0</v>
      </c>
      <c r="O1047" s="98">
        <v>0</v>
      </c>
      <c r="P1047" s="99">
        <v>0</v>
      </c>
      <c r="Q1047" s="98">
        <v>208796.14</v>
      </c>
      <c r="R1047" s="96" t="s">
        <v>625</v>
      </c>
      <c r="S1047" s="96">
        <v>7414000005</v>
      </c>
      <c r="AA1047" s="131" t="s">
        <v>377</v>
      </c>
      <c r="AB1047" s="130">
        <v>949731.47</v>
      </c>
      <c r="AC1047" s="130">
        <v>949731.47</v>
      </c>
    </row>
    <row r="1048" spans="1:29" x14ac:dyDescent="0.25">
      <c r="A1048" t="str">
        <f t="shared" si="17"/>
        <v>142481EFECTIVO</v>
      </c>
      <c r="B1048" s="96">
        <v>2000123</v>
      </c>
      <c r="C1048" s="96" t="s">
        <v>778</v>
      </c>
      <c r="D1048" s="96" t="s">
        <v>558</v>
      </c>
      <c r="E1048" s="96" t="s">
        <v>623</v>
      </c>
      <c r="F1048" s="96" t="s">
        <v>624</v>
      </c>
      <c r="G1048" s="99">
        <v>0</v>
      </c>
      <c r="H1048" s="97">
        <v>0</v>
      </c>
      <c r="I1048" s="98">
        <v>0</v>
      </c>
      <c r="J1048" s="97">
        <v>0</v>
      </c>
      <c r="K1048" s="98">
        <v>0</v>
      </c>
      <c r="L1048" s="99">
        <v>0</v>
      </c>
      <c r="M1048" s="98">
        <v>0</v>
      </c>
      <c r="N1048" s="99">
        <v>0</v>
      </c>
      <c r="O1048" s="98">
        <v>0</v>
      </c>
      <c r="P1048" s="99">
        <v>0</v>
      </c>
      <c r="Q1048" s="98">
        <v>0</v>
      </c>
      <c r="R1048" s="96" t="s">
        <v>625</v>
      </c>
      <c r="S1048" s="96">
        <v>7414000005</v>
      </c>
      <c r="AA1048" s="131" t="s">
        <v>392</v>
      </c>
      <c r="AB1048" s="130">
        <v>1150654.78528</v>
      </c>
      <c r="AC1048" s="130">
        <v>1150654.78528</v>
      </c>
    </row>
    <row r="1049" spans="1:29" x14ac:dyDescent="0.25">
      <c r="A1049" t="str">
        <f t="shared" si="17"/>
        <v>142482EFECTIVO</v>
      </c>
      <c r="B1049" s="96">
        <v>2000123</v>
      </c>
      <c r="C1049" s="96" t="s">
        <v>778</v>
      </c>
      <c r="D1049" s="96" t="s">
        <v>559</v>
      </c>
      <c r="E1049" s="96" t="s">
        <v>623</v>
      </c>
      <c r="F1049" s="96" t="s">
        <v>624</v>
      </c>
      <c r="G1049" s="99">
        <v>0</v>
      </c>
      <c r="H1049" s="97">
        <v>0</v>
      </c>
      <c r="I1049" s="98">
        <v>0</v>
      </c>
      <c r="J1049" s="97">
        <v>0</v>
      </c>
      <c r="K1049" s="98">
        <v>0</v>
      </c>
      <c r="L1049" s="99">
        <v>0</v>
      </c>
      <c r="M1049" s="98">
        <v>0</v>
      </c>
      <c r="N1049" s="99">
        <v>0</v>
      </c>
      <c r="O1049" s="98">
        <v>0</v>
      </c>
      <c r="P1049" s="99">
        <v>0</v>
      </c>
      <c r="Q1049" s="98">
        <v>0</v>
      </c>
      <c r="R1049" s="96" t="s">
        <v>625</v>
      </c>
      <c r="S1049" s="96">
        <v>7414000005</v>
      </c>
      <c r="AA1049" s="131" t="s">
        <v>397</v>
      </c>
      <c r="AB1049" s="130">
        <v>1823306.262173</v>
      </c>
      <c r="AC1049" s="130">
        <v>1823306.262173</v>
      </c>
    </row>
    <row r="1050" spans="1:29" x14ac:dyDescent="0.25">
      <c r="A1050" t="str">
        <f t="shared" si="17"/>
        <v xml:space="preserve">2000123AMX 10-2            </v>
      </c>
      <c r="B1050" s="96">
        <v>2000123</v>
      </c>
      <c r="C1050" s="96" t="s">
        <v>778</v>
      </c>
      <c r="D1050" s="96" t="s">
        <v>560</v>
      </c>
      <c r="E1050" s="96" t="s">
        <v>623</v>
      </c>
      <c r="F1050" s="96" t="s">
        <v>624</v>
      </c>
      <c r="G1050" s="99">
        <v>0</v>
      </c>
      <c r="H1050" s="97">
        <v>0</v>
      </c>
      <c r="I1050" s="98">
        <v>0</v>
      </c>
      <c r="J1050" s="97">
        <v>0</v>
      </c>
      <c r="K1050" s="98">
        <v>0</v>
      </c>
      <c r="L1050" s="99">
        <v>0</v>
      </c>
      <c r="M1050" s="98">
        <v>0</v>
      </c>
      <c r="N1050" s="99">
        <v>0</v>
      </c>
      <c r="O1050" s="98">
        <v>0</v>
      </c>
      <c r="P1050" s="99">
        <v>0</v>
      </c>
      <c r="Q1050" s="98">
        <v>0</v>
      </c>
      <c r="R1050" s="96" t="s">
        <v>625</v>
      </c>
      <c r="S1050" s="96">
        <v>7414000005</v>
      </c>
      <c r="AA1050" s="129">
        <v>65723</v>
      </c>
      <c r="AB1050" s="130">
        <v>0</v>
      </c>
      <c r="AC1050" s="130">
        <v>0</v>
      </c>
    </row>
    <row r="1051" spans="1:29" x14ac:dyDescent="0.25">
      <c r="A1051" t="str">
        <f t="shared" si="17"/>
        <v xml:space="preserve">2000123CBIC003 210128      </v>
      </c>
      <c r="B1051" s="96">
        <v>2000123</v>
      </c>
      <c r="C1051" s="96" t="s">
        <v>778</v>
      </c>
      <c r="D1051" s="96" t="s">
        <v>561</v>
      </c>
      <c r="E1051" s="96" t="s">
        <v>623</v>
      </c>
      <c r="F1051" s="96" t="s">
        <v>624</v>
      </c>
      <c r="G1051" s="99">
        <v>0</v>
      </c>
      <c r="H1051" s="97">
        <v>0</v>
      </c>
      <c r="I1051" s="98">
        <v>0</v>
      </c>
      <c r="J1051" s="97">
        <v>0</v>
      </c>
      <c r="K1051" s="98">
        <v>0</v>
      </c>
      <c r="L1051" s="99">
        <v>0</v>
      </c>
      <c r="M1051" s="98">
        <v>0</v>
      </c>
      <c r="N1051" s="99">
        <v>0</v>
      </c>
      <c r="O1051" s="98">
        <v>0</v>
      </c>
      <c r="P1051" s="99">
        <v>0</v>
      </c>
      <c r="Q1051" s="98">
        <v>0</v>
      </c>
      <c r="R1051" s="96" t="s">
        <v>625</v>
      </c>
      <c r="S1051" s="96">
        <v>7414000005</v>
      </c>
      <c r="AA1051" s="131" t="s">
        <v>376</v>
      </c>
      <c r="AB1051" s="130">
        <v>0</v>
      </c>
      <c r="AC1051" s="130">
        <v>0</v>
      </c>
    </row>
    <row r="1052" spans="1:29" x14ac:dyDescent="0.25">
      <c r="A1052" t="str">
        <f t="shared" si="17"/>
        <v xml:space="preserve">2000123CBIC007 221208      </v>
      </c>
      <c r="B1052" s="96">
        <v>2000123</v>
      </c>
      <c r="C1052" s="96" t="s">
        <v>778</v>
      </c>
      <c r="D1052" s="96" t="s">
        <v>562</v>
      </c>
      <c r="E1052" s="96" t="s">
        <v>623</v>
      </c>
      <c r="F1052" s="96" t="s">
        <v>624</v>
      </c>
      <c r="G1052" s="99">
        <v>0</v>
      </c>
      <c r="H1052" s="97">
        <v>0</v>
      </c>
      <c r="I1052" s="98">
        <v>0</v>
      </c>
      <c r="J1052" s="97">
        <v>0</v>
      </c>
      <c r="K1052" s="98">
        <v>0</v>
      </c>
      <c r="L1052" s="99">
        <v>0</v>
      </c>
      <c r="M1052" s="98">
        <v>0</v>
      </c>
      <c r="N1052" s="99">
        <v>0</v>
      </c>
      <c r="O1052" s="98">
        <v>0</v>
      </c>
      <c r="P1052" s="99">
        <v>0</v>
      </c>
      <c r="Q1052" s="98">
        <v>0</v>
      </c>
      <c r="R1052" s="96" t="s">
        <v>625</v>
      </c>
      <c r="S1052" s="96">
        <v>7414000005</v>
      </c>
      <c r="AA1052" s="131" t="s">
        <v>382</v>
      </c>
      <c r="AB1052" s="130">
        <v>0</v>
      </c>
      <c r="AC1052" s="130">
        <v>0</v>
      </c>
    </row>
    <row r="1053" spans="1:29" x14ac:dyDescent="0.25">
      <c r="A1053" t="str">
        <f t="shared" si="17"/>
        <v xml:space="preserve">2000123CBIC008 231207      </v>
      </c>
      <c r="B1053" s="96">
        <v>2000123</v>
      </c>
      <c r="C1053" s="96" t="s">
        <v>778</v>
      </c>
      <c r="D1053" s="96" t="s">
        <v>563</v>
      </c>
      <c r="E1053" s="96" t="s">
        <v>623</v>
      </c>
      <c r="F1053" s="96" t="s">
        <v>624</v>
      </c>
      <c r="G1053" s="99">
        <v>0</v>
      </c>
      <c r="H1053" s="97">
        <v>0</v>
      </c>
      <c r="I1053" s="98">
        <v>0</v>
      </c>
      <c r="J1053" s="97">
        <v>0</v>
      </c>
      <c r="K1053" s="98">
        <v>0</v>
      </c>
      <c r="L1053" s="99">
        <v>0</v>
      </c>
      <c r="M1053" s="98">
        <v>0</v>
      </c>
      <c r="N1053" s="99">
        <v>0</v>
      </c>
      <c r="O1053" s="98">
        <v>0</v>
      </c>
      <c r="P1053" s="99">
        <v>0</v>
      </c>
      <c r="Q1053" s="98">
        <v>0</v>
      </c>
      <c r="R1053" s="96" t="s">
        <v>625</v>
      </c>
      <c r="S1053" s="96">
        <v>7414000005</v>
      </c>
      <c r="AA1053" s="131" t="s">
        <v>396</v>
      </c>
      <c r="AB1053" s="130">
        <v>0</v>
      </c>
      <c r="AC1053" s="130">
        <v>0</v>
      </c>
    </row>
    <row r="1054" spans="1:29" x14ac:dyDescent="0.25">
      <c r="A1054" t="str">
        <f t="shared" si="17"/>
        <v xml:space="preserve">2000123CETES 140821        </v>
      </c>
      <c r="B1054" s="96">
        <v>2000123</v>
      </c>
      <c r="C1054" s="96" t="s">
        <v>778</v>
      </c>
      <c r="D1054" s="96" t="s">
        <v>443</v>
      </c>
      <c r="E1054" s="96" t="s">
        <v>623</v>
      </c>
      <c r="F1054" s="96" t="s">
        <v>624</v>
      </c>
      <c r="G1054" s="99">
        <v>0</v>
      </c>
      <c r="H1054" s="97">
        <v>0</v>
      </c>
      <c r="I1054" s="98">
        <v>0</v>
      </c>
      <c r="J1054" s="97">
        <v>0</v>
      </c>
      <c r="K1054" s="98">
        <v>0</v>
      </c>
      <c r="L1054" s="99">
        <v>0</v>
      </c>
      <c r="M1054" s="98">
        <v>0</v>
      </c>
      <c r="N1054" s="99">
        <v>0</v>
      </c>
      <c r="O1054" s="98">
        <v>0</v>
      </c>
      <c r="P1054" s="99">
        <v>0</v>
      </c>
      <c r="Q1054" s="98">
        <v>0</v>
      </c>
      <c r="R1054" s="96" t="s">
        <v>625</v>
      </c>
      <c r="S1054" s="96">
        <v>7414000005</v>
      </c>
      <c r="AA1054" s="131" t="s">
        <v>598</v>
      </c>
      <c r="AB1054" s="130">
        <v>0</v>
      </c>
      <c r="AC1054" s="130">
        <v>0</v>
      </c>
    </row>
    <row r="1055" spans="1:29" x14ac:dyDescent="0.25">
      <c r="A1055" t="str">
        <f t="shared" si="17"/>
        <v xml:space="preserve">2000123CETES 141211        </v>
      </c>
      <c r="B1055" s="96">
        <v>2000123</v>
      </c>
      <c r="C1055" s="96" t="s">
        <v>778</v>
      </c>
      <c r="D1055" s="96" t="s">
        <v>564</v>
      </c>
      <c r="E1055" s="96" t="s">
        <v>623</v>
      </c>
      <c r="F1055" s="96" t="s">
        <v>624</v>
      </c>
      <c r="G1055" s="99">
        <v>0</v>
      </c>
      <c r="H1055" s="97">
        <v>0</v>
      </c>
      <c r="I1055" s="98">
        <v>0</v>
      </c>
      <c r="J1055" s="97">
        <v>0</v>
      </c>
      <c r="K1055" s="98">
        <v>0</v>
      </c>
      <c r="L1055" s="99">
        <v>0</v>
      </c>
      <c r="M1055" s="98">
        <v>0</v>
      </c>
      <c r="N1055" s="99">
        <v>0</v>
      </c>
      <c r="O1055" s="98">
        <v>0</v>
      </c>
      <c r="P1055" s="99">
        <v>0</v>
      </c>
      <c r="Q1055" s="98">
        <v>0</v>
      </c>
      <c r="R1055" s="96" t="s">
        <v>625</v>
      </c>
      <c r="S1055" s="96">
        <v>7414000005</v>
      </c>
      <c r="AA1055" s="129">
        <v>71358</v>
      </c>
      <c r="AB1055" s="130">
        <v>0</v>
      </c>
      <c r="AC1055" s="130">
        <v>0</v>
      </c>
    </row>
    <row r="1056" spans="1:29" x14ac:dyDescent="0.25">
      <c r="A1056" t="str">
        <f t="shared" si="17"/>
        <v xml:space="preserve">2000123GOBFED 180614       </v>
      </c>
      <c r="B1056" s="96">
        <v>2000123</v>
      </c>
      <c r="C1056" s="96" t="s">
        <v>778</v>
      </c>
      <c r="D1056" s="96" t="s">
        <v>445</v>
      </c>
      <c r="E1056" s="96" t="s">
        <v>623</v>
      </c>
      <c r="F1056" s="96" t="s">
        <v>624</v>
      </c>
      <c r="G1056" s="99">
        <v>0</v>
      </c>
      <c r="H1056" s="97">
        <v>0</v>
      </c>
      <c r="I1056" s="98">
        <v>0</v>
      </c>
      <c r="J1056" s="97">
        <v>0</v>
      </c>
      <c r="K1056" s="98">
        <v>0</v>
      </c>
      <c r="L1056" s="99">
        <v>0</v>
      </c>
      <c r="M1056" s="98">
        <v>0</v>
      </c>
      <c r="N1056" s="99">
        <v>0</v>
      </c>
      <c r="O1056" s="98">
        <v>0</v>
      </c>
      <c r="P1056" s="99">
        <v>0</v>
      </c>
      <c r="Q1056" s="98">
        <v>0</v>
      </c>
      <c r="R1056" s="96" t="s">
        <v>625</v>
      </c>
      <c r="S1056" s="96">
        <v>7414000005</v>
      </c>
      <c r="AA1056" s="131" t="s">
        <v>376</v>
      </c>
      <c r="AB1056" s="130">
        <v>0</v>
      </c>
      <c r="AC1056" s="130">
        <v>0</v>
      </c>
    </row>
    <row r="1057" spans="1:29" x14ac:dyDescent="0.25">
      <c r="A1057" t="str">
        <f t="shared" si="17"/>
        <v xml:space="preserve">2000123GOBFED 181213       </v>
      </c>
      <c r="B1057" s="96">
        <v>2000123</v>
      </c>
      <c r="C1057" s="96" t="s">
        <v>778</v>
      </c>
      <c r="D1057" s="96" t="s">
        <v>382</v>
      </c>
      <c r="E1057" s="96" t="s">
        <v>623</v>
      </c>
      <c r="F1057" s="96" t="s">
        <v>624</v>
      </c>
      <c r="G1057" s="99">
        <v>0</v>
      </c>
      <c r="H1057" s="97">
        <v>0</v>
      </c>
      <c r="I1057" s="98">
        <v>0</v>
      </c>
      <c r="J1057" s="97">
        <v>0</v>
      </c>
      <c r="K1057" s="98">
        <v>0</v>
      </c>
      <c r="L1057" s="99">
        <v>0</v>
      </c>
      <c r="M1057" s="98">
        <v>0</v>
      </c>
      <c r="N1057" s="99">
        <v>0</v>
      </c>
      <c r="O1057" s="98">
        <v>0</v>
      </c>
      <c r="P1057" s="99">
        <v>0</v>
      </c>
      <c r="Q1057" s="98">
        <v>0</v>
      </c>
      <c r="R1057" s="96" t="s">
        <v>625</v>
      </c>
      <c r="S1057" s="96">
        <v>7414000005</v>
      </c>
      <c r="AA1057" s="131" t="s">
        <v>382</v>
      </c>
      <c r="AB1057" s="130">
        <v>0</v>
      </c>
      <c r="AC1057" s="130">
        <v>0</v>
      </c>
    </row>
    <row r="1058" spans="1:29" x14ac:dyDescent="0.25">
      <c r="A1058" t="str">
        <f t="shared" si="17"/>
        <v xml:space="preserve">2000123GOBFED 200611       </v>
      </c>
      <c r="B1058" s="96">
        <v>2000123</v>
      </c>
      <c r="C1058" s="96" t="s">
        <v>778</v>
      </c>
      <c r="D1058" s="96" t="s">
        <v>565</v>
      </c>
      <c r="E1058" s="96" t="s">
        <v>623</v>
      </c>
      <c r="F1058" s="96" t="s">
        <v>624</v>
      </c>
      <c r="G1058" s="99">
        <v>0</v>
      </c>
      <c r="H1058" s="97">
        <v>0</v>
      </c>
      <c r="I1058" s="98">
        <v>0</v>
      </c>
      <c r="J1058" s="97">
        <v>0</v>
      </c>
      <c r="K1058" s="98">
        <v>0</v>
      </c>
      <c r="L1058" s="99">
        <v>0</v>
      </c>
      <c r="M1058" s="98">
        <v>0</v>
      </c>
      <c r="N1058" s="99">
        <v>0</v>
      </c>
      <c r="O1058" s="98">
        <v>0</v>
      </c>
      <c r="P1058" s="99">
        <v>0</v>
      </c>
      <c r="Q1058" s="98">
        <v>0</v>
      </c>
      <c r="R1058" s="96" t="s">
        <v>625</v>
      </c>
      <c r="S1058" s="96">
        <v>7414000005</v>
      </c>
      <c r="AA1058" s="131" t="s">
        <v>396</v>
      </c>
      <c r="AB1058" s="130">
        <v>0</v>
      </c>
      <c r="AC1058" s="130">
        <v>0</v>
      </c>
    </row>
    <row r="1059" spans="1:29" x14ac:dyDescent="0.25">
      <c r="A1059" t="str">
        <f t="shared" si="17"/>
        <v xml:space="preserve">2000123GOBFED 310529       </v>
      </c>
      <c r="B1059" s="96">
        <v>2000123</v>
      </c>
      <c r="C1059" s="96" t="s">
        <v>778</v>
      </c>
      <c r="D1059" s="96" t="s">
        <v>448</v>
      </c>
      <c r="E1059" s="96" t="s">
        <v>623</v>
      </c>
      <c r="F1059" s="96" t="s">
        <v>624</v>
      </c>
      <c r="G1059" s="99">
        <v>0</v>
      </c>
      <c r="H1059" s="97">
        <v>0</v>
      </c>
      <c r="I1059" s="98">
        <v>0</v>
      </c>
      <c r="J1059" s="97">
        <v>0</v>
      </c>
      <c r="K1059" s="98">
        <v>0</v>
      </c>
      <c r="L1059" s="99">
        <v>0</v>
      </c>
      <c r="M1059" s="98">
        <v>0</v>
      </c>
      <c r="N1059" s="99">
        <v>0</v>
      </c>
      <c r="O1059" s="98">
        <v>0</v>
      </c>
      <c r="P1059" s="99">
        <v>0</v>
      </c>
      <c r="Q1059" s="98">
        <v>0</v>
      </c>
      <c r="R1059" s="96" t="s">
        <v>625</v>
      </c>
      <c r="S1059" s="96">
        <v>7414000005</v>
      </c>
      <c r="AA1059" s="129">
        <v>71610</v>
      </c>
      <c r="AB1059" s="130">
        <v>0</v>
      </c>
      <c r="AC1059" s="130">
        <v>0</v>
      </c>
    </row>
    <row r="1060" spans="1:29" x14ac:dyDescent="0.25">
      <c r="A1060" t="str">
        <f t="shared" si="17"/>
        <v xml:space="preserve">2000123UDIBONO 141218      </v>
      </c>
      <c r="B1060" s="96">
        <v>2000123</v>
      </c>
      <c r="C1060" s="96" t="s">
        <v>778</v>
      </c>
      <c r="D1060" s="96" t="s">
        <v>450</v>
      </c>
      <c r="E1060" s="96" t="s">
        <v>623</v>
      </c>
      <c r="F1060" s="96" t="s">
        <v>624</v>
      </c>
      <c r="G1060" s="99">
        <v>0</v>
      </c>
      <c r="H1060" s="97">
        <v>0</v>
      </c>
      <c r="I1060" s="98">
        <v>0</v>
      </c>
      <c r="J1060" s="97">
        <v>0</v>
      </c>
      <c r="K1060" s="98">
        <v>0</v>
      </c>
      <c r="L1060" s="99">
        <v>0</v>
      </c>
      <c r="M1060" s="98">
        <v>0</v>
      </c>
      <c r="N1060" s="99">
        <v>0</v>
      </c>
      <c r="O1060" s="98">
        <v>0</v>
      </c>
      <c r="P1060" s="99">
        <v>0</v>
      </c>
      <c r="Q1060" s="98">
        <v>0</v>
      </c>
      <c r="R1060" s="96" t="s">
        <v>625</v>
      </c>
      <c r="S1060" s="96">
        <v>7414000005</v>
      </c>
      <c r="AA1060" s="131" t="s">
        <v>376</v>
      </c>
      <c r="AB1060" s="130">
        <v>0</v>
      </c>
      <c r="AC1060" s="130">
        <v>0</v>
      </c>
    </row>
    <row r="1061" spans="1:29" x14ac:dyDescent="0.25">
      <c r="A1061" t="str">
        <f t="shared" si="17"/>
        <v xml:space="preserve">2000123UDIBONO 160616      </v>
      </c>
      <c r="B1061" s="96">
        <v>2000123</v>
      </c>
      <c r="C1061" s="96" t="s">
        <v>778</v>
      </c>
      <c r="D1061" s="96" t="s">
        <v>451</v>
      </c>
      <c r="E1061" s="96" t="s">
        <v>623</v>
      </c>
      <c r="F1061" s="96" t="s">
        <v>624</v>
      </c>
      <c r="G1061" s="99">
        <v>0</v>
      </c>
      <c r="H1061" s="97">
        <v>0</v>
      </c>
      <c r="I1061" s="98">
        <v>0</v>
      </c>
      <c r="J1061" s="97">
        <v>0</v>
      </c>
      <c r="K1061" s="98">
        <v>0</v>
      </c>
      <c r="L1061" s="99">
        <v>0</v>
      </c>
      <c r="M1061" s="98">
        <v>0</v>
      </c>
      <c r="N1061" s="99">
        <v>0</v>
      </c>
      <c r="O1061" s="98">
        <v>0</v>
      </c>
      <c r="P1061" s="99">
        <v>0</v>
      </c>
      <c r="Q1061" s="98">
        <v>0</v>
      </c>
      <c r="R1061" s="96" t="s">
        <v>625</v>
      </c>
      <c r="S1061" s="96">
        <v>7414000005</v>
      </c>
      <c r="AA1061" s="131" t="s">
        <v>382</v>
      </c>
      <c r="AB1061" s="130">
        <v>0</v>
      </c>
      <c r="AC1061" s="130">
        <v>0</v>
      </c>
    </row>
    <row r="1062" spans="1:29" x14ac:dyDescent="0.25">
      <c r="A1062" t="str">
        <f t="shared" si="17"/>
        <v xml:space="preserve">2000123UDIBONO 190613      </v>
      </c>
      <c r="B1062" s="96">
        <v>2000123</v>
      </c>
      <c r="C1062" s="96" t="s">
        <v>778</v>
      </c>
      <c r="D1062" s="96" t="s">
        <v>391</v>
      </c>
      <c r="E1062" s="96" t="s">
        <v>623</v>
      </c>
      <c r="F1062" s="96" t="s">
        <v>624</v>
      </c>
      <c r="G1062" s="99">
        <v>0</v>
      </c>
      <c r="H1062" s="97">
        <v>0</v>
      </c>
      <c r="I1062" s="98">
        <v>0</v>
      </c>
      <c r="J1062" s="97">
        <v>0</v>
      </c>
      <c r="K1062" s="98">
        <v>0</v>
      </c>
      <c r="L1062" s="99">
        <v>0</v>
      </c>
      <c r="M1062" s="98">
        <v>0</v>
      </c>
      <c r="N1062" s="99">
        <v>0</v>
      </c>
      <c r="O1062" s="98">
        <v>0</v>
      </c>
      <c r="P1062" s="99">
        <v>0</v>
      </c>
      <c r="Q1062" s="98">
        <v>0</v>
      </c>
      <c r="R1062" s="96" t="s">
        <v>625</v>
      </c>
      <c r="S1062" s="96">
        <v>7414000005</v>
      </c>
      <c r="AA1062" s="131" t="s">
        <v>396</v>
      </c>
      <c r="AB1062" s="130">
        <v>0</v>
      </c>
      <c r="AC1062" s="130">
        <v>0</v>
      </c>
    </row>
    <row r="1063" spans="1:29" x14ac:dyDescent="0.25">
      <c r="A1063" t="str">
        <f t="shared" si="17"/>
        <v xml:space="preserve">2000123UDIBONO 201210      </v>
      </c>
      <c r="B1063" s="96">
        <v>2000123</v>
      </c>
      <c r="C1063" s="96" t="s">
        <v>778</v>
      </c>
      <c r="D1063" s="96" t="s">
        <v>396</v>
      </c>
      <c r="E1063" s="96" t="s">
        <v>623</v>
      </c>
      <c r="F1063" s="96" t="s">
        <v>624</v>
      </c>
      <c r="G1063" s="99">
        <v>0</v>
      </c>
      <c r="H1063" s="97">
        <v>0</v>
      </c>
      <c r="I1063" s="98">
        <v>0</v>
      </c>
      <c r="J1063" s="97">
        <v>0</v>
      </c>
      <c r="K1063" s="98">
        <v>0</v>
      </c>
      <c r="L1063" s="99">
        <v>0</v>
      </c>
      <c r="M1063" s="98">
        <v>0</v>
      </c>
      <c r="N1063" s="99">
        <v>0</v>
      </c>
      <c r="O1063" s="98">
        <v>0</v>
      </c>
      <c r="P1063" s="99">
        <v>0</v>
      </c>
      <c r="Q1063" s="98">
        <v>0</v>
      </c>
      <c r="R1063" s="96" t="s">
        <v>625</v>
      </c>
      <c r="S1063" s="96">
        <v>7414000005</v>
      </c>
      <c r="AA1063" s="131" t="s">
        <v>470</v>
      </c>
      <c r="AB1063" s="130">
        <v>0</v>
      </c>
      <c r="AC1063" s="130">
        <v>0</v>
      </c>
    </row>
    <row r="1064" spans="1:29" x14ac:dyDescent="0.25">
      <c r="A1064" t="str">
        <f t="shared" si="17"/>
        <v xml:space="preserve">2000123UDIBONO 251204      </v>
      </c>
      <c r="B1064" s="96">
        <v>2000146</v>
      </c>
      <c r="C1064" s="96" t="s">
        <v>779</v>
      </c>
      <c r="D1064" s="96" t="s">
        <v>376</v>
      </c>
      <c r="E1064" s="96" t="s">
        <v>623</v>
      </c>
      <c r="F1064" s="96" t="s">
        <v>624</v>
      </c>
      <c r="G1064" s="99">
        <v>0</v>
      </c>
      <c r="H1064" s="97">
        <v>0</v>
      </c>
      <c r="I1064" s="98">
        <v>0</v>
      </c>
      <c r="J1064" s="97">
        <v>0</v>
      </c>
      <c r="K1064" s="98">
        <v>0</v>
      </c>
      <c r="L1064" s="99">
        <v>0</v>
      </c>
      <c r="M1064" s="98">
        <v>0</v>
      </c>
      <c r="N1064" s="99">
        <v>0</v>
      </c>
      <c r="O1064" s="98">
        <v>0</v>
      </c>
      <c r="P1064" s="99">
        <v>0</v>
      </c>
      <c r="Q1064" s="98">
        <v>0</v>
      </c>
      <c r="R1064" s="96" t="s">
        <v>625</v>
      </c>
      <c r="S1064" s="96">
        <v>7414000005</v>
      </c>
      <c r="AA1064" s="129">
        <v>72636</v>
      </c>
      <c r="AB1064" s="130">
        <v>590705.56090499985</v>
      </c>
      <c r="AC1064" s="130">
        <v>590705.56090499985</v>
      </c>
    </row>
    <row r="1065" spans="1:29" x14ac:dyDescent="0.25">
      <c r="A1065" t="str">
        <f t="shared" si="17"/>
        <v xml:space="preserve">2000123UDIBONO 401115      </v>
      </c>
      <c r="B1065" s="96">
        <v>2000146</v>
      </c>
      <c r="C1065" s="96" t="s">
        <v>779</v>
      </c>
      <c r="D1065" s="96" t="s">
        <v>382</v>
      </c>
      <c r="E1065" s="96" t="s">
        <v>623</v>
      </c>
      <c r="F1065" s="96" t="s">
        <v>624</v>
      </c>
      <c r="G1065" s="99">
        <v>0</v>
      </c>
      <c r="H1065" s="97">
        <v>0</v>
      </c>
      <c r="I1065" s="98">
        <v>0</v>
      </c>
      <c r="J1065" s="97">
        <v>0</v>
      </c>
      <c r="K1065" s="98">
        <v>0</v>
      </c>
      <c r="L1065" s="99">
        <v>0</v>
      </c>
      <c r="M1065" s="98">
        <v>0</v>
      </c>
      <c r="N1065" s="99">
        <v>0</v>
      </c>
      <c r="O1065" s="98">
        <v>0</v>
      </c>
      <c r="P1065" s="99">
        <v>0</v>
      </c>
      <c r="Q1065" s="98">
        <v>0</v>
      </c>
      <c r="R1065" s="96" t="s">
        <v>625</v>
      </c>
      <c r="S1065" s="96">
        <v>7414000005</v>
      </c>
      <c r="AA1065" s="131" t="s">
        <v>376</v>
      </c>
      <c r="AB1065" s="130">
        <v>6947.3248599999997</v>
      </c>
      <c r="AC1065" s="130">
        <v>6947.3248599999997</v>
      </c>
    </row>
    <row r="1066" spans="1:29" x14ac:dyDescent="0.25">
      <c r="A1066" t="str">
        <f t="shared" si="17"/>
        <v xml:space="preserve">2000146GOBFED 241205       </v>
      </c>
      <c r="B1066" s="96">
        <v>2000146</v>
      </c>
      <c r="C1066" s="96" t="s">
        <v>779</v>
      </c>
      <c r="D1066" s="96" t="s">
        <v>396</v>
      </c>
      <c r="E1066" s="96" t="s">
        <v>623</v>
      </c>
      <c r="F1066" s="96" t="s">
        <v>624</v>
      </c>
      <c r="G1066" s="99">
        <v>0</v>
      </c>
      <c r="H1066" s="97">
        <v>0</v>
      </c>
      <c r="I1066" s="98">
        <v>0</v>
      </c>
      <c r="J1066" s="97">
        <v>0</v>
      </c>
      <c r="K1066" s="98">
        <v>0</v>
      </c>
      <c r="L1066" s="99">
        <v>0</v>
      </c>
      <c r="M1066" s="98">
        <v>0</v>
      </c>
      <c r="N1066" s="99">
        <v>0</v>
      </c>
      <c r="O1066" s="98">
        <v>0</v>
      </c>
      <c r="P1066" s="99">
        <v>0</v>
      </c>
      <c r="Q1066" s="98">
        <v>0</v>
      </c>
      <c r="R1066" s="96" t="s">
        <v>625</v>
      </c>
      <c r="S1066" s="96">
        <v>7414000005</v>
      </c>
      <c r="AA1066" s="131" t="s">
        <v>378</v>
      </c>
      <c r="AB1066" s="130">
        <v>8088.2402480000001</v>
      </c>
      <c r="AC1066" s="130">
        <v>8088.2402480000001</v>
      </c>
    </row>
    <row r="1067" spans="1:29" x14ac:dyDescent="0.25">
      <c r="A1067" t="str">
        <f t="shared" si="17"/>
        <v xml:space="preserve">2000146GOBFED 310529       </v>
      </c>
      <c r="B1067" s="96">
        <v>2000182</v>
      </c>
      <c r="C1067" s="96" t="s">
        <v>780</v>
      </c>
      <c r="D1067" s="96" t="s">
        <v>480</v>
      </c>
      <c r="E1067" s="96" t="s">
        <v>623</v>
      </c>
      <c r="F1067" s="96" t="s">
        <v>624</v>
      </c>
      <c r="G1067" s="99">
        <v>2061</v>
      </c>
      <c r="H1067" s="97">
        <v>3.612981</v>
      </c>
      <c r="I1067" s="98">
        <v>7446.3538410000001</v>
      </c>
      <c r="J1067" s="97">
        <v>3.6055361475012129</v>
      </c>
      <c r="K1067" s="98">
        <v>15.343840999999999</v>
      </c>
      <c r="L1067" s="99">
        <v>0</v>
      </c>
      <c r="M1067" s="98">
        <v>0</v>
      </c>
      <c r="N1067" s="99">
        <v>0</v>
      </c>
      <c r="O1067" s="98">
        <v>0</v>
      </c>
      <c r="P1067" s="99">
        <v>2061</v>
      </c>
      <c r="Q1067" s="98">
        <v>7446.3538410000001</v>
      </c>
      <c r="R1067" s="96" t="s">
        <v>625</v>
      </c>
      <c r="S1067" s="96">
        <v>7414000005</v>
      </c>
      <c r="AA1067" s="131" t="s">
        <v>380</v>
      </c>
      <c r="AB1067" s="130">
        <v>13157.301072</v>
      </c>
      <c r="AC1067" s="130">
        <v>13157.301072</v>
      </c>
    </row>
    <row r="1068" spans="1:29" x14ac:dyDescent="0.25">
      <c r="A1068" t="str">
        <f t="shared" si="17"/>
        <v xml:space="preserve">2000146UDIBONO 401115      </v>
      </c>
      <c r="B1068" s="96">
        <v>2000182</v>
      </c>
      <c r="C1068" s="96" t="s">
        <v>780</v>
      </c>
      <c r="D1068" s="96" t="s">
        <v>416</v>
      </c>
      <c r="E1068" s="96" t="s">
        <v>623</v>
      </c>
      <c r="F1068" s="96" t="s">
        <v>624</v>
      </c>
      <c r="G1068" s="99">
        <v>1741</v>
      </c>
      <c r="H1068" s="97">
        <v>2.8149250000000001</v>
      </c>
      <c r="I1068" s="98">
        <v>4900.7844249999998</v>
      </c>
      <c r="J1068" s="97">
        <v>2.8372429638139001</v>
      </c>
      <c r="K1068" s="98">
        <v>-38.855575000000002</v>
      </c>
      <c r="L1068" s="99">
        <v>0</v>
      </c>
      <c r="M1068" s="98">
        <v>0</v>
      </c>
      <c r="N1068" s="99">
        <v>0</v>
      </c>
      <c r="O1068" s="98">
        <v>0</v>
      </c>
      <c r="P1068" s="99">
        <v>1741</v>
      </c>
      <c r="Q1068" s="98">
        <v>4900.7844249999998</v>
      </c>
      <c r="R1068" s="96" t="s">
        <v>625</v>
      </c>
      <c r="S1068" s="96">
        <v>7414000005</v>
      </c>
      <c r="AA1068" s="131" t="s">
        <v>382</v>
      </c>
      <c r="AB1068" s="130">
        <v>13781.37761</v>
      </c>
      <c r="AC1068" s="130">
        <v>13781.37761</v>
      </c>
    </row>
    <row r="1069" spans="1:29" x14ac:dyDescent="0.25">
      <c r="A1069" t="str">
        <f t="shared" si="17"/>
        <v xml:space="preserve">2000182STERGOB B4          </v>
      </c>
      <c r="B1069" s="96">
        <v>2000183</v>
      </c>
      <c r="C1069" s="96" t="s">
        <v>781</v>
      </c>
      <c r="D1069" s="96" t="s">
        <v>480</v>
      </c>
      <c r="E1069" s="96" t="s">
        <v>623</v>
      </c>
      <c r="F1069" s="96" t="s">
        <v>624</v>
      </c>
      <c r="G1069" s="99">
        <v>20082</v>
      </c>
      <c r="H1069" s="97">
        <v>3.612981</v>
      </c>
      <c r="I1069" s="98">
        <v>72555.884441999995</v>
      </c>
      <c r="J1069" s="97">
        <v>3.6043003684891941</v>
      </c>
      <c r="K1069" s="98">
        <v>174.324442</v>
      </c>
      <c r="L1069" s="99">
        <v>0</v>
      </c>
      <c r="M1069" s="98">
        <v>0</v>
      </c>
      <c r="N1069" s="99">
        <v>0</v>
      </c>
      <c r="O1069" s="98">
        <v>0</v>
      </c>
      <c r="P1069" s="99">
        <v>20082</v>
      </c>
      <c r="Q1069" s="98">
        <v>72555.884441999995</v>
      </c>
      <c r="R1069" s="96" t="s">
        <v>625</v>
      </c>
      <c r="S1069" s="96">
        <v>7414000005</v>
      </c>
      <c r="AA1069" s="131" t="s">
        <v>427</v>
      </c>
      <c r="AB1069" s="130">
        <v>11500.424082</v>
      </c>
      <c r="AC1069" s="130">
        <v>11500.424082</v>
      </c>
    </row>
    <row r="1070" spans="1:29" x14ac:dyDescent="0.25">
      <c r="A1070" t="str">
        <f t="shared" si="17"/>
        <v xml:space="preserve">2000182SVIVE60 S           </v>
      </c>
      <c r="B1070" s="96">
        <v>2000183</v>
      </c>
      <c r="C1070" s="96" t="s">
        <v>781</v>
      </c>
      <c r="D1070" s="96" t="s">
        <v>413</v>
      </c>
      <c r="E1070" s="96" t="s">
        <v>623</v>
      </c>
      <c r="F1070" s="96" t="s">
        <v>624</v>
      </c>
      <c r="G1070" s="99">
        <v>38519</v>
      </c>
      <c r="H1070" s="97">
        <v>137.04691399999999</v>
      </c>
      <c r="I1070" s="98">
        <v>5278910.0803659996</v>
      </c>
      <c r="J1070" s="97">
        <v>119.20162465276876</v>
      </c>
      <c r="K1070" s="98">
        <v>687382.70036599995</v>
      </c>
      <c r="L1070" s="99">
        <v>0</v>
      </c>
      <c r="M1070" s="98">
        <v>0</v>
      </c>
      <c r="N1070" s="99">
        <v>0</v>
      </c>
      <c r="O1070" s="98">
        <v>0</v>
      </c>
      <c r="P1070" s="99">
        <v>38519</v>
      </c>
      <c r="Q1070" s="98">
        <v>5278910.0803659996</v>
      </c>
      <c r="R1070" s="96" t="s">
        <v>625</v>
      </c>
      <c r="S1070" s="96">
        <v>7414000005</v>
      </c>
      <c r="AA1070" s="131" t="s">
        <v>418</v>
      </c>
      <c r="AB1070" s="130">
        <v>304.35289799999998</v>
      </c>
      <c r="AC1070" s="130">
        <v>304.35289799999998</v>
      </c>
    </row>
    <row r="1071" spans="1:29" x14ac:dyDescent="0.25">
      <c r="A1071" t="str">
        <f t="shared" si="17"/>
        <v xml:space="preserve">2000183STERGOB B4          </v>
      </c>
      <c r="B1071" s="96">
        <v>2000183</v>
      </c>
      <c r="C1071" s="96" t="s">
        <v>781</v>
      </c>
      <c r="D1071" s="96" t="s">
        <v>414</v>
      </c>
      <c r="E1071" s="96" t="s">
        <v>623</v>
      </c>
      <c r="F1071" s="96" t="s">
        <v>624</v>
      </c>
      <c r="G1071" s="99">
        <v>1960672</v>
      </c>
      <c r="H1071" s="97">
        <v>3.6364960000000002</v>
      </c>
      <c r="I1071" s="98">
        <v>7129975.8853120003</v>
      </c>
      <c r="J1071" s="97">
        <v>3.0051340614850419</v>
      </c>
      <c r="K1071" s="98">
        <v>1237893.6747119999</v>
      </c>
      <c r="L1071" s="99">
        <v>0</v>
      </c>
      <c r="M1071" s="98">
        <v>0</v>
      </c>
      <c r="N1071" s="99">
        <v>0</v>
      </c>
      <c r="O1071" s="98">
        <v>0</v>
      </c>
      <c r="P1071" s="99">
        <v>1960672</v>
      </c>
      <c r="Q1071" s="98">
        <v>7129975.8853120003</v>
      </c>
      <c r="R1071" s="96" t="s">
        <v>625</v>
      </c>
      <c r="S1071" s="96">
        <v>7414000005</v>
      </c>
      <c r="AA1071" s="131" t="s">
        <v>408</v>
      </c>
      <c r="AB1071" s="130">
        <v>448.21586000000002</v>
      </c>
      <c r="AC1071" s="130">
        <v>448.21586000000002</v>
      </c>
    </row>
    <row r="1072" spans="1:29" x14ac:dyDescent="0.25">
      <c r="A1072" t="str">
        <f t="shared" si="17"/>
        <v xml:space="preserve">2000183SVIVE20 S           </v>
      </c>
      <c r="B1072" s="96">
        <v>2000183</v>
      </c>
      <c r="C1072" s="96" t="s">
        <v>781</v>
      </c>
      <c r="D1072" s="96" t="s">
        <v>415</v>
      </c>
      <c r="E1072" s="96" t="s">
        <v>623</v>
      </c>
      <c r="F1072" s="96" t="s">
        <v>624</v>
      </c>
      <c r="G1072" s="99">
        <v>10838422</v>
      </c>
      <c r="H1072" s="97">
        <v>2.1315040000000001</v>
      </c>
      <c r="I1072" s="98">
        <v>23102139.846687999</v>
      </c>
      <c r="J1072" s="97">
        <v>1.5000867578693651</v>
      </c>
      <c r="K1072" s="98">
        <v>6843566.5282880003</v>
      </c>
      <c r="L1072" s="99">
        <v>0</v>
      </c>
      <c r="M1072" s="98">
        <v>0</v>
      </c>
      <c r="N1072" s="99">
        <v>0</v>
      </c>
      <c r="O1072" s="98">
        <v>0</v>
      </c>
      <c r="P1072" s="99">
        <v>10838422</v>
      </c>
      <c r="Q1072" s="98">
        <v>23102139.846687999</v>
      </c>
      <c r="R1072" s="96" t="s">
        <v>625</v>
      </c>
      <c r="S1072" s="96">
        <v>7414000005</v>
      </c>
      <c r="AA1072" s="131" t="s">
        <v>384</v>
      </c>
      <c r="AB1072" s="130">
        <v>16511.24972</v>
      </c>
      <c r="AC1072" s="130">
        <v>16511.24972</v>
      </c>
    </row>
    <row r="1073" spans="1:29" x14ac:dyDescent="0.25">
      <c r="A1073" t="str">
        <f t="shared" si="17"/>
        <v xml:space="preserve">2000183SVIVE35 S           </v>
      </c>
      <c r="B1073" s="96">
        <v>2000183</v>
      </c>
      <c r="C1073" s="96" t="s">
        <v>781</v>
      </c>
      <c r="D1073" s="96" t="s">
        <v>416</v>
      </c>
      <c r="E1073" s="96" t="s">
        <v>623</v>
      </c>
      <c r="F1073" s="96" t="s">
        <v>624</v>
      </c>
      <c r="G1073" s="99">
        <v>263563</v>
      </c>
      <c r="H1073" s="97">
        <v>2.8149250000000001</v>
      </c>
      <c r="I1073" s="98">
        <v>741910.07777500001</v>
      </c>
      <c r="J1073" s="97">
        <v>2.6900590371182602</v>
      </c>
      <c r="K1073" s="98">
        <v>32910.047774999999</v>
      </c>
      <c r="L1073" s="99">
        <v>0</v>
      </c>
      <c r="M1073" s="98">
        <v>0</v>
      </c>
      <c r="N1073" s="99">
        <v>0</v>
      </c>
      <c r="O1073" s="98">
        <v>0</v>
      </c>
      <c r="P1073" s="99">
        <v>263563</v>
      </c>
      <c r="Q1073" s="98">
        <v>741910.07777500001</v>
      </c>
      <c r="R1073" s="96" t="s">
        <v>625</v>
      </c>
      <c r="S1073" s="96">
        <v>7414000005</v>
      </c>
      <c r="AA1073" s="131" t="s">
        <v>389</v>
      </c>
      <c r="AB1073" s="130">
        <v>95466.277059999993</v>
      </c>
      <c r="AC1073" s="130">
        <v>95466.277059999993</v>
      </c>
    </row>
    <row r="1074" spans="1:29" x14ac:dyDescent="0.25">
      <c r="A1074" t="str">
        <f t="shared" si="17"/>
        <v xml:space="preserve">2000183SVIVE50 S           </v>
      </c>
      <c r="B1074" s="96">
        <v>2000216</v>
      </c>
      <c r="C1074" s="96" t="s">
        <v>782</v>
      </c>
      <c r="D1074" s="96" t="s">
        <v>480</v>
      </c>
      <c r="E1074" s="96" t="s">
        <v>623</v>
      </c>
      <c r="F1074" s="96" t="s">
        <v>624</v>
      </c>
      <c r="G1074" s="99">
        <v>1599852</v>
      </c>
      <c r="H1074" s="97">
        <v>3.612981</v>
      </c>
      <c r="I1074" s="98">
        <v>5780234.8788120002</v>
      </c>
      <c r="J1074" s="97">
        <v>3.6018284378805041</v>
      </c>
      <c r="K1074" s="98">
        <v>17842.448811999999</v>
      </c>
      <c r="L1074" s="99">
        <v>0</v>
      </c>
      <c r="M1074" s="98">
        <v>0</v>
      </c>
      <c r="N1074" s="99">
        <v>0</v>
      </c>
      <c r="O1074" s="98">
        <v>0</v>
      </c>
      <c r="P1074" s="99">
        <v>1599852</v>
      </c>
      <c r="Q1074" s="98">
        <v>5780234.8788120002</v>
      </c>
      <c r="R1074" s="96" t="s">
        <v>625</v>
      </c>
      <c r="S1074" s="96">
        <v>7414000005</v>
      </c>
      <c r="AA1074" s="131" t="s">
        <v>391</v>
      </c>
      <c r="AB1074" s="130">
        <v>4654.1507220000003</v>
      </c>
      <c r="AC1074" s="130">
        <v>4654.1507220000003</v>
      </c>
    </row>
    <row r="1075" spans="1:29" x14ac:dyDescent="0.25">
      <c r="A1075" t="str">
        <f t="shared" si="17"/>
        <v xml:space="preserve">2000183SVIVE60 S           </v>
      </c>
      <c r="B1075" s="96">
        <v>2000216</v>
      </c>
      <c r="C1075" s="96" t="s">
        <v>782</v>
      </c>
      <c r="D1075" s="96" t="s">
        <v>414</v>
      </c>
      <c r="E1075" s="96" t="s">
        <v>623</v>
      </c>
      <c r="F1075" s="96" t="s">
        <v>624</v>
      </c>
      <c r="G1075" s="99">
        <v>252109277</v>
      </c>
      <c r="H1075" s="97">
        <v>3.6364960000000002</v>
      </c>
      <c r="I1075" s="98">
        <v>916794377.37339199</v>
      </c>
      <c r="J1075" s="97">
        <v>2.9731525374213024</v>
      </c>
      <c r="K1075" s="98">
        <v>167235040.75339201</v>
      </c>
      <c r="L1075" s="99">
        <v>0</v>
      </c>
      <c r="M1075" s="98">
        <v>0</v>
      </c>
      <c r="N1075" s="99">
        <v>0</v>
      </c>
      <c r="O1075" s="98">
        <v>0</v>
      </c>
      <c r="P1075" s="99">
        <v>252109277</v>
      </c>
      <c r="Q1075" s="98">
        <v>916794377.37339199</v>
      </c>
      <c r="R1075" s="96" t="s">
        <v>625</v>
      </c>
      <c r="S1075" s="96">
        <v>7414000005</v>
      </c>
      <c r="AA1075" s="131" t="s">
        <v>395</v>
      </c>
      <c r="AB1075" s="130">
        <v>10048.050545</v>
      </c>
      <c r="AC1075" s="130">
        <v>10048.050545</v>
      </c>
    </row>
    <row r="1076" spans="1:29" x14ac:dyDescent="0.25">
      <c r="A1076" t="str">
        <f t="shared" si="17"/>
        <v xml:space="preserve">2000216STERGOB B4          </v>
      </c>
      <c r="B1076" s="96">
        <v>2000217</v>
      </c>
      <c r="C1076" s="96" t="s">
        <v>783</v>
      </c>
      <c r="D1076" s="96" t="s">
        <v>480</v>
      </c>
      <c r="E1076" s="96" t="s">
        <v>623</v>
      </c>
      <c r="F1076" s="96" t="s">
        <v>624</v>
      </c>
      <c r="G1076" s="99">
        <v>464463</v>
      </c>
      <c r="H1076" s="97">
        <v>3.612981</v>
      </c>
      <c r="I1076" s="98">
        <v>1678095.9942030001</v>
      </c>
      <c r="J1076" s="97">
        <v>3.6024266518538615</v>
      </c>
      <c r="K1076" s="98">
        <v>4902.1042029999999</v>
      </c>
      <c r="L1076" s="99">
        <v>0</v>
      </c>
      <c r="M1076" s="98">
        <v>0</v>
      </c>
      <c r="N1076" s="99">
        <v>0</v>
      </c>
      <c r="O1076" s="98">
        <v>0</v>
      </c>
      <c r="P1076" s="99">
        <v>464463</v>
      </c>
      <c r="Q1076" s="98">
        <v>1678095.9942030001</v>
      </c>
      <c r="R1076" s="96" t="s">
        <v>625</v>
      </c>
      <c r="S1076" s="96">
        <v>7414000005</v>
      </c>
      <c r="AA1076" s="131" t="s">
        <v>396</v>
      </c>
      <c r="AB1076" s="130">
        <v>9380.7303200000006</v>
      </c>
      <c r="AC1076" s="130">
        <v>9380.7303200000006</v>
      </c>
    </row>
    <row r="1077" spans="1:29" x14ac:dyDescent="0.25">
      <c r="A1077" t="str">
        <f t="shared" si="17"/>
        <v xml:space="preserve">2000216SVIVE35 S           </v>
      </c>
      <c r="B1077" s="96">
        <v>2000217</v>
      </c>
      <c r="C1077" s="96" t="s">
        <v>783</v>
      </c>
      <c r="D1077" s="96" t="s">
        <v>415</v>
      </c>
      <c r="E1077" s="96" t="s">
        <v>623</v>
      </c>
      <c r="F1077" s="96" t="s">
        <v>624</v>
      </c>
      <c r="G1077" s="99">
        <v>123442237</v>
      </c>
      <c r="H1077" s="97">
        <v>2.1315040000000001</v>
      </c>
      <c r="I1077" s="98">
        <v>263117621.934448</v>
      </c>
      <c r="J1077" s="97">
        <v>1.9068421608399724</v>
      </c>
      <c r="K1077" s="98">
        <v>27732759.994447999</v>
      </c>
      <c r="L1077" s="99">
        <v>0</v>
      </c>
      <c r="M1077" s="98">
        <v>0</v>
      </c>
      <c r="N1077" s="99">
        <v>0</v>
      </c>
      <c r="O1077" s="98">
        <v>0</v>
      </c>
      <c r="P1077" s="99">
        <v>123442237</v>
      </c>
      <c r="Q1077" s="98">
        <v>263117621.934448</v>
      </c>
      <c r="R1077" s="96" t="s">
        <v>625</v>
      </c>
      <c r="S1077" s="96">
        <v>7414000005</v>
      </c>
      <c r="AA1077" s="131" t="s">
        <v>398</v>
      </c>
      <c r="AB1077" s="130">
        <v>10640.546114999999</v>
      </c>
      <c r="AC1077" s="130">
        <v>10640.546114999999</v>
      </c>
    </row>
    <row r="1078" spans="1:29" x14ac:dyDescent="0.25">
      <c r="A1078" t="str">
        <f t="shared" si="17"/>
        <v xml:space="preserve">2000217STERGOB B4          </v>
      </c>
      <c r="B1078" s="96">
        <v>2000218</v>
      </c>
      <c r="C1078" s="96" t="s">
        <v>784</v>
      </c>
      <c r="D1078" s="96" t="s">
        <v>480</v>
      </c>
      <c r="E1078" s="96" t="s">
        <v>623</v>
      </c>
      <c r="F1078" s="96" t="s">
        <v>624</v>
      </c>
      <c r="G1078" s="99">
        <v>182031</v>
      </c>
      <c r="H1078" s="97">
        <v>3.612981</v>
      </c>
      <c r="I1078" s="98">
        <v>657674.54441099998</v>
      </c>
      <c r="J1078" s="97">
        <v>3.6061048942213141</v>
      </c>
      <c r="K1078" s="98">
        <v>1251.664411</v>
      </c>
      <c r="L1078" s="99">
        <v>0</v>
      </c>
      <c r="M1078" s="98">
        <v>0</v>
      </c>
      <c r="N1078" s="99">
        <v>0</v>
      </c>
      <c r="O1078" s="98">
        <v>0</v>
      </c>
      <c r="P1078" s="99">
        <v>182031</v>
      </c>
      <c r="Q1078" s="98">
        <v>657674.54441099998</v>
      </c>
      <c r="R1078" s="96" t="s">
        <v>625</v>
      </c>
      <c r="S1078" s="96">
        <v>7414000005</v>
      </c>
      <c r="AA1078" s="131" t="s">
        <v>358</v>
      </c>
      <c r="AB1078" s="130">
        <v>116122.5</v>
      </c>
      <c r="AC1078" s="130">
        <v>116122.5</v>
      </c>
    </row>
    <row r="1079" spans="1:29" x14ac:dyDescent="0.25">
      <c r="A1079" t="str">
        <f t="shared" si="17"/>
        <v xml:space="preserve">2000217SVIVE50 S           </v>
      </c>
      <c r="B1079" s="96">
        <v>2000218</v>
      </c>
      <c r="C1079" s="96" t="s">
        <v>784</v>
      </c>
      <c r="D1079" s="96" t="s">
        <v>416</v>
      </c>
      <c r="E1079" s="96" t="s">
        <v>623</v>
      </c>
      <c r="F1079" s="96" t="s">
        <v>624</v>
      </c>
      <c r="G1079" s="99">
        <v>55059379</v>
      </c>
      <c r="H1079" s="97">
        <v>2.8149250000000001</v>
      </c>
      <c r="I1079" s="98">
        <v>154988022.431575</v>
      </c>
      <c r="J1079" s="97">
        <v>2.6229636790854469</v>
      </c>
      <c r="K1079" s="98">
        <v>10569271.121575</v>
      </c>
      <c r="L1079" s="99">
        <v>0</v>
      </c>
      <c r="M1079" s="98">
        <v>0</v>
      </c>
      <c r="N1079" s="99">
        <v>0</v>
      </c>
      <c r="O1079" s="98">
        <v>0</v>
      </c>
      <c r="P1079" s="99">
        <v>55059379</v>
      </c>
      <c r="Q1079" s="98">
        <v>154988022.431575</v>
      </c>
      <c r="R1079" s="96" t="s">
        <v>625</v>
      </c>
      <c r="S1079" s="96">
        <v>7414000005</v>
      </c>
      <c r="AA1079" s="131" t="s">
        <v>381</v>
      </c>
      <c r="AB1079" s="130">
        <v>29694.359141000001</v>
      </c>
      <c r="AC1079" s="130">
        <v>29694.359141000001</v>
      </c>
    </row>
    <row r="1080" spans="1:29" x14ac:dyDescent="0.25">
      <c r="A1080" t="str">
        <f t="shared" si="17"/>
        <v xml:space="preserve">2000218STERGOB B4          </v>
      </c>
      <c r="B1080" s="96">
        <v>2000219</v>
      </c>
      <c r="C1080" s="96" t="s">
        <v>785</v>
      </c>
      <c r="D1080" s="96" t="s">
        <v>414</v>
      </c>
      <c r="E1080" s="96" t="s">
        <v>623</v>
      </c>
      <c r="F1080" s="96" t="s">
        <v>624</v>
      </c>
      <c r="G1080" s="99">
        <v>651583020</v>
      </c>
      <c r="H1080" s="97">
        <v>3.6364960000000002</v>
      </c>
      <c r="I1080" s="98">
        <v>2369479045.8979201</v>
      </c>
      <c r="J1080" s="97">
        <v>2.1459041310959885</v>
      </c>
      <c r="K1080" s="98">
        <v>971244351.52792001</v>
      </c>
      <c r="L1080" s="99">
        <v>0</v>
      </c>
      <c r="M1080" s="98">
        <v>0</v>
      </c>
      <c r="N1080" s="99">
        <v>0</v>
      </c>
      <c r="O1080" s="98">
        <v>0</v>
      </c>
      <c r="P1080" s="99">
        <v>651583020</v>
      </c>
      <c r="Q1080" s="98">
        <v>2369479045.8979201</v>
      </c>
      <c r="R1080" s="96" t="s">
        <v>625</v>
      </c>
      <c r="S1080" s="96">
        <v>7414000005</v>
      </c>
      <c r="AA1080" s="131" t="s">
        <v>430</v>
      </c>
      <c r="AB1080" s="130">
        <v>118969.61599999999</v>
      </c>
      <c r="AC1080" s="130">
        <v>118969.61599999999</v>
      </c>
    </row>
    <row r="1081" spans="1:29" x14ac:dyDescent="0.25">
      <c r="A1081" t="str">
        <f t="shared" si="17"/>
        <v xml:space="preserve">2000218SVIVE60 S           </v>
      </c>
      <c r="B1081" s="96">
        <v>2000220</v>
      </c>
      <c r="C1081" s="96" t="s">
        <v>786</v>
      </c>
      <c r="D1081" s="96" t="s">
        <v>480</v>
      </c>
      <c r="E1081" s="96" t="s">
        <v>623</v>
      </c>
      <c r="F1081" s="96" t="s">
        <v>624</v>
      </c>
      <c r="G1081" s="99">
        <v>103618</v>
      </c>
      <c r="H1081" s="97">
        <v>3.612981</v>
      </c>
      <c r="I1081" s="98">
        <v>374369.86525799998</v>
      </c>
      <c r="J1081" s="97">
        <v>3.5933001988071571</v>
      </c>
      <c r="K1081" s="98">
        <v>2039.2852580000001</v>
      </c>
      <c r="L1081" s="99">
        <v>0</v>
      </c>
      <c r="M1081" s="98">
        <v>0</v>
      </c>
      <c r="N1081" s="99">
        <v>0</v>
      </c>
      <c r="O1081" s="98">
        <v>0</v>
      </c>
      <c r="P1081" s="99">
        <v>103618</v>
      </c>
      <c r="Q1081" s="98">
        <v>374369.86525799998</v>
      </c>
      <c r="R1081" s="96" t="s">
        <v>625</v>
      </c>
      <c r="S1081" s="96">
        <v>7414000005</v>
      </c>
      <c r="AA1081" s="131" t="s">
        <v>393</v>
      </c>
      <c r="AB1081" s="130">
        <v>2297.7716489999998</v>
      </c>
      <c r="AC1081" s="130">
        <v>2297.7716489999998</v>
      </c>
    </row>
    <row r="1082" spans="1:29" x14ac:dyDescent="0.25">
      <c r="A1082" t="str">
        <f t="shared" si="17"/>
        <v xml:space="preserve">2000219SVIVE35 S           </v>
      </c>
      <c r="B1082" s="96">
        <v>2000220</v>
      </c>
      <c r="C1082" s="96" t="s">
        <v>786</v>
      </c>
      <c r="D1082" s="96" t="s">
        <v>415</v>
      </c>
      <c r="E1082" s="96" t="s">
        <v>623</v>
      </c>
      <c r="F1082" s="96" t="s">
        <v>624</v>
      </c>
      <c r="G1082" s="99">
        <v>314923089</v>
      </c>
      <c r="H1082" s="97">
        <v>2.1315040000000001</v>
      </c>
      <c r="I1082" s="98">
        <v>671259823.89585602</v>
      </c>
      <c r="J1082" s="97">
        <v>1.6281428318836286</v>
      </c>
      <c r="K1082" s="98">
        <v>158520053.945856</v>
      </c>
      <c r="L1082" s="99">
        <v>0</v>
      </c>
      <c r="M1082" s="98">
        <v>0</v>
      </c>
      <c r="N1082" s="99">
        <v>0</v>
      </c>
      <c r="O1082" s="98">
        <v>0</v>
      </c>
      <c r="P1082" s="99">
        <v>314923089</v>
      </c>
      <c r="Q1082" s="98">
        <v>671259823.89585602</v>
      </c>
      <c r="R1082" s="96" t="s">
        <v>625</v>
      </c>
      <c r="S1082" s="96">
        <v>7414000005</v>
      </c>
      <c r="AA1082" s="131" t="s">
        <v>385</v>
      </c>
      <c r="AB1082" s="130">
        <v>4409.6403330000003</v>
      </c>
      <c r="AC1082" s="130">
        <v>4409.6403330000003</v>
      </c>
    </row>
    <row r="1083" spans="1:29" x14ac:dyDescent="0.25">
      <c r="A1083" t="str">
        <f t="shared" si="17"/>
        <v xml:space="preserve">2000220STERGOB B4          </v>
      </c>
      <c r="B1083" s="96">
        <v>2000221</v>
      </c>
      <c r="C1083" s="96" t="s">
        <v>787</v>
      </c>
      <c r="D1083" s="96" t="s">
        <v>480</v>
      </c>
      <c r="E1083" s="96" t="s">
        <v>623</v>
      </c>
      <c r="F1083" s="96" t="s">
        <v>624</v>
      </c>
      <c r="G1083" s="99">
        <v>619170</v>
      </c>
      <c r="H1083" s="97">
        <v>3.612981</v>
      </c>
      <c r="I1083" s="98">
        <v>2237049.4457700001</v>
      </c>
      <c r="J1083" s="97">
        <v>3.6079857228224883</v>
      </c>
      <c r="K1083" s="98">
        <v>3092.9257699999998</v>
      </c>
      <c r="L1083" s="99">
        <v>0</v>
      </c>
      <c r="M1083" s="98">
        <v>0</v>
      </c>
      <c r="N1083" s="99">
        <v>0</v>
      </c>
      <c r="O1083" s="98">
        <v>0</v>
      </c>
      <c r="P1083" s="99">
        <v>619170</v>
      </c>
      <c r="Q1083" s="98">
        <v>2237049.4457700001</v>
      </c>
      <c r="R1083" s="96" t="s">
        <v>625</v>
      </c>
      <c r="S1083" s="96">
        <v>7414000005</v>
      </c>
      <c r="AA1083" s="131" t="s">
        <v>375</v>
      </c>
      <c r="AB1083" s="130">
        <v>1283.494537</v>
      </c>
      <c r="AC1083" s="130">
        <v>1283.494537</v>
      </c>
    </row>
    <row r="1084" spans="1:29" x14ac:dyDescent="0.25">
      <c r="A1084" t="str">
        <f t="shared" si="17"/>
        <v xml:space="preserve">2000220SVIVE50 S           </v>
      </c>
      <c r="B1084" s="96">
        <v>2000221</v>
      </c>
      <c r="C1084" s="96" t="s">
        <v>787</v>
      </c>
      <c r="D1084" s="96" t="s">
        <v>416</v>
      </c>
      <c r="E1084" s="96" t="s">
        <v>623</v>
      </c>
      <c r="F1084" s="96" t="s">
        <v>624</v>
      </c>
      <c r="G1084" s="99">
        <v>140047631</v>
      </c>
      <c r="H1084" s="97">
        <v>2.8149250000000001</v>
      </c>
      <c r="I1084" s="98">
        <v>394223577.69267499</v>
      </c>
      <c r="J1084" s="97">
        <v>2.4446640054196989</v>
      </c>
      <c r="K1084" s="98">
        <v>51854175.142674997</v>
      </c>
      <c r="L1084" s="99">
        <v>0</v>
      </c>
      <c r="M1084" s="98">
        <v>0</v>
      </c>
      <c r="N1084" s="99">
        <v>0</v>
      </c>
      <c r="O1084" s="98">
        <v>0</v>
      </c>
      <c r="P1084" s="99">
        <v>140047631</v>
      </c>
      <c r="Q1084" s="98">
        <v>394223577.69267499</v>
      </c>
      <c r="R1084" s="96" t="s">
        <v>625</v>
      </c>
      <c r="S1084" s="96">
        <v>7414000005</v>
      </c>
      <c r="AA1084" s="131" t="s">
        <v>399</v>
      </c>
      <c r="AB1084" s="130">
        <v>22915.569170999999</v>
      </c>
      <c r="AC1084" s="130">
        <v>22915.569170999999</v>
      </c>
    </row>
    <row r="1085" spans="1:29" x14ac:dyDescent="0.25">
      <c r="A1085" t="str">
        <f t="shared" si="17"/>
        <v xml:space="preserve">2000221STERGOB B4          </v>
      </c>
      <c r="B1085" s="96">
        <v>2000301</v>
      </c>
      <c r="C1085" s="96" t="s">
        <v>788</v>
      </c>
      <c r="D1085" s="96" t="s">
        <v>566</v>
      </c>
      <c r="E1085" s="96" t="s">
        <v>623</v>
      </c>
      <c r="F1085" s="96" t="s">
        <v>624</v>
      </c>
      <c r="G1085" s="99">
        <v>0</v>
      </c>
      <c r="H1085" s="97">
        <v>0</v>
      </c>
      <c r="I1085" s="98">
        <v>0</v>
      </c>
      <c r="J1085" s="97">
        <v>0</v>
      </c>
      <c r="K1085" s="98">
        <v>0</v>
      </c>
      <c r="L1085" s="99">
        <v>0</v>
      </c>
      <c r="M1085" s="98">
        <v>0</v>
      </c>
      <c r="N1085" s="99">
        <v>0</v>
      </c>
      <c r="O1085" s="98">
        <v>0</v>
      </c>
      <c r="P1085" s="99">
        <v>0</v>
      </c>
      <c r="Q1085" s="98">
        <v>0</v>
      </c>
      <c r="R1085" s="96" t="s">
        <v>625</v>
      </c>
      <c r="S1085" s="96">
        <v>7414000005</v>
      </c>
      <c r="AA1085" s="131" t="s">
        <v>394</v>
      </c>
      <c r="AB1085" s="130">
        <v>15067.561476000001</v>
      </c>
      <c r="AC1085" s="130">
        <v>15067.561476000001</v>
      </c>
    </row>
    <row r="1086" spans="1:29" x14ac:dyDescent="0.25">
      <c r="A1086" t="str">
        <f t="shared" si="17"/>
        <v xml:space="preserve">2000221SVIVE60 S           </v>
      </c>
      <c r="B1086" s="96">
        <v>2000302</v>
      </c>
      <c r="C1086" s="96" t="s">
        <v>789</v>
      </c>
      <c r="D1086" s="96" t="s">
        <v>480</v>
      </c>
      <c r="E1086" s="96" t="s">
        <v>623</v>
      </c>
      <c r="F1086" s="96" t="s">
        <v>624</v>
      </c>
      <c r="G1086" s="99">
        <v>364499</v>
      </c>
      <c r="H1086" s="97">
        <v>3.612981</v>
      </c>
      <c r="I1086" s="98">
        <v>1316927.9615189999</v>
      </c>
      <c r="J1086" s="97">
        <v>3.5483489940987494</v>
      </c>
      <c r="K1086" s="98">
        <v>23558.301519000001</v>
      </c>
      <c r="L1086" s="99">
        <v>0</v>
      </c>
      <c r="M1086" s="98">
        <v>0</v>
      </c>
      <c r="N1086" s="99">
        <v>0</v>
      </c>
      <c r="O1086" s="98">
        <v>0</v>
      </c>
      <c r="P1086" s="99">
        <v>364499</v>
      </c>
      <c r="Q1086" s="98">
        <v>1316927.9615189999</v>
      </c>
      <c r="R1086" s="96" t="s">
        <v>625</v>
      </c>
      <c r="S1086" s="96">
        <v>7414000005</v>
      </c>
      <c r="AA1086" s="131" t="s">
        <v>379</v>
      </c>
      <c r="AB1086" s="130">
        <v>4346.2080269999997</v>
      </c>
      <c r="AC1086" s="130">
        <v>4346.2080269999997</v>
      </c>
    </row>
    <row r="1087" spans="1:29" x14ac:dyDescent="0.25">
      <c r="A1087" t="str">
        <f t="shared" si="17"/>
        <v xml:space="preserve">2000301STERGOB M2          </v>
      </c>
      <c r="B1087" s="96">
        <v>2000402</v>
      </c>
      <c r="C1087" s="96" t="s">
        <v>790</v>
      </c>
      <c r="D1087" s="96" t="s">
        <v>389</v>
      </c>
      <c r="E1087" s="96" t="s">
        <v>623</v>
      </c>
      <c r="F1087" s="96" t="s">
        <v>624</v>
      </c>
      <c r="G1087" s="99">
        <v>277356</v>
      </c>
      <c r="H1087" s="97">
        <v>3.3967719999999999</v>
      </c>
      <c r="I1087" s="98">
        <v>942115.09483199997</v>
      </c>
      <c r="J1087" s="97">
        <v>2.1671337919496962</v>
      </c>
      <c r="K1087" s="98">
        <v>341047.53483199998</v>
      </c>
      <c r="L1087" s="99">
        <v>0</v>
      </c>
      <c r="M1087" s="98">
        <v>0</v>
      </c>
      <c r="N1087" s="99">
        <v>0</v>
      </c>
      <c r="O1087" s="98">
        <v>0</v>
      </c>
      <c r="P1087" s="99">
        <v>277356</v>
      </c>
      <c r="Q1087" s="98">
        <v>942115.09483199997</v>
      </c>
      <c r="R1087" s="96" t="s">
        <v>625</v>
      </c>
      <c r="S1087" s="96">
        <v>7414000005</v>
      </c>
      <c r="AA1087" s="131" t="s">
        <v>377</v>
      </c>
      <c r="AB1087" s="130">
        <v>1899.4629399999999</v>
      </c>
      <c r="AC1087" s="130">
        <v>1899.4629399999999</v>
      </c>
    </row>
    <row r="1088" spans="1:29" x14ac:dyDescent="0.25">
      <c r="A1088" t="str">
        <f t="shared" si="17"/>
        <v xml:space="preserve">2000302STERGOB B4          </v>
      </c>
      <c r="B1088" s="96">
        <v>2000402</v>
      </c>
      <c r="C1088" s="96" t="s">
        <v>790</v>
      </c>
      <c r="D1088" s="96" t="s">
        <v>417</v>
      </c>
      <c r="E1088" s="96" t="s">
        <v>623</v>
      </c>
      <c r="F1088" s="96" t="s">
        <v>624</v>
      </c>
      <c r="G1088" s="99">
        <v>20088</v>
      </c>
      <c r="H1088" s="97">
        <v>3.8832339999999999</v>
      </c>
      <c r="I1088" s="98">
        <v>78006.404592000006</v>
      </c>
      <c r="J1088" s="97">
        <v>2.8342851453604143</v>
      </c>
      <c r="K1088" s="98">
        <v>21071.284592</v>
      </c>
      <c r="L1088" s="99">
        <v>0</v>
      </c>
      <c r="M1088" s="98">
        <v>0</v>
      </c>
      <c r="N1088" s="99">
        <v>0</v>
      </c>
      <c r="O1088" s="98">
        <v>0</v>
      </c>
      <c r="P1088" s="99">
        <v>20088</v>
      </c>
      <c r="Q1088" s="98">
        <v>78006.404592000006</v>
      </c>
      <c r="R1088" s="96" t="s">
        <v>625</v>
      </c>
      <c r="S1088" s="96">
        <v>7414000005</v>
      </c>
      <c r="AA1088" s="131" t="s">
        <v>422</v>
      </c>
      <c r="AB1088" s="130">
        <v>976.54421000000002</v>
      </c>
      <c r="AC1088" s="130">
        <v>976.54421000000002</v>
      </c>
    </row>
    <row r="1089" spans="1:29" x14ac:dyDescent="0.25">
      <c r="A1089" t="str">
        <f t="shared" si="17"/>
        <v xml:space="preserve">2000402STERGOB ED          </v>
      </c>
      <c r="B1089" s="96">
        <v>2000423</v>
      </c>
      <c r="C1089" s="96" t="s">
        <v>791</v>
      </c>
      <c r="D1089" s="96" t="s">
        <v>480</v>
      </c>
      <c r="E1089" s="96" t="s">
        <v>623</v>
      </c>
      <c r="F1089" s="96" t="s">
        <v>624</v>
      </c>
      <c r="G1089" s="99">
        <v>1844</v>
      </c>
      <c r="H1089" s="97">
        <v>3.612981</v>
      </c>
      <c r="I1089" s="98">
        <v>6662.3369640000001</v>
      </c>
      <c r="J1089" s="97">
        <v>3.6077331887201733</v>
      </c>
      <c r="K1089" s="98">
        <v>9.6769639999999999</v>
      </c>
      <c r="L1089" s="99">
        <v>0</v>
      </c>
      <c r="M1089" s="98">
        <v>0</v>
      </c>
      <c r="N1089" s="99">
        <v>0</v>
      </c>
      <c r="O1089" s="98">
        <v>0</v>
      </c>
      <c r="P1089" s="99">
        <v>1844</v>
      </c>
      <c r="Q1089" s="98">
        <v>6662.3369640000001</v>
      </c>
      <c r="R1089" s="96" t="s">
        <v>625</v>
      </c>
      <c r="S1089" s="96">
        <v>7414000005</v>
      </c>
      <c r="AA1089" s="131" t="s">
        <v>392</v>
      </c>
      <c r="AB1089" s="130">
        <v>8966.1411840000001</v>
      </c>
      <c r="AC1089" s="130">
        <v>8966.1411840000001</v>
      </c>
    </row>
    <row r="1090" spans="1:29" x14ac:dyDescent="0.25">
      <c r="A1090" t="str">
        <f t="shared" si="17"/>
        <v xml:space="preserve">2000402STRGOB2 ED          </v>
      </c>
      <c r="B1090" s="96">
        <v>2000423</v>
      </c>
      <c r="C1090" s="96" t="s">
        <v>791</v>
      </c>
      <c r="D1090" s="96" t="s">
        <v>413</v>
      </c>
      <c r="E1090" s="96" t="s">
        <v>623</v>
      </c>
      <c r="F1090" s="96" t="s">
        <v>624</v>
      </c>
      <c r="G1090" s="99">
        <v>4583</v>
      </c>
      <c r="H1090" s="97">
        <v>137.04691399999999</v>
      </c>
      <c r="I1090" s="98">
        <v>628086.00686199998</v>
      </c>
      <c r="J1090" s="97">
        <v>128.52627318350426</v>
      </c>
      <c r="K1090" s="98">
        <v>39050.096861999999</v>
      </c>
      <c r="L1090" s="99">
        <v>0</v>
      </c>
      <c r="M1090" s="98">
        <v>0</v>
      </c>
      <c r="N1090" s="99">
        <v>0</v>
      </c>
      <c r="O1090" s="98">
        <v>0</v>
      </c>
      <c r="P1090" s="99">
        <v>4583</v>
      </c>
      <c r="Q1090" s="98">
        <v>628086.00686199998</v>
      </c>
      <c r="R1090" s="96" t="s">
        <v>625</v>
      </c>
      <c r="S1090" s="96">
        <v>7414000005</v>
      </c>
      <c r="AA1090" s="131" t="s">
        <v>386</v>
      </c>
      <c r="AB1090" s="130">
        <v>3450.7160939999999</v>
      </c>
      <c r="AC1090" s="130">
        <v>3450.7160939999999</v>
      </c>
    </row>
    <row r="1091" spans="1:29" x14ac:dyDescent="0.25">
      <c r="A1091" t="str">
        <f t="shared" si="17"/>
        <v xml:space="preserve">2000423STERGOB B4          </v>
      </c>
      <c r="B1091" s="96">
        <v>2000423</v>
      </c>
      <c r="C1091" s="96" t="s">
        <v>791</v>
      </c>
      <c r="D1091" s="96" t="s">
        <v>414</v>
      </c>
      <c r="E1091" s="96" t="s">
        <v>623</v>
      </c>
      <c r="F1091" s="96" t="s">
        <v>624</v>
      </c>
      <c r="G1091" s="99">
        <v>315137</v>
      </c>
      <c r="H1091" s="97">
        <v>3.6364960000000002</v>
      </c>
      <c r="I1091" s="98">
        <v>1145994.439952</v>
      </c>
      <c r="J1091" s="97">
        <v>3.4306661547200106</v>
      </c>
      <c r="K1091" s="98">
        <v>64864.599951999997</v>
      </c>
      <c r="L1091" s="99">
        <v>0</v>
      </c>
      <c r="M1091" s="98">
        <v>0</v>
      </c>
      <c r="N1091" s="99">
        <v>0</v>
      </c>
      <c r="O1091" s="98">
        <v>0</v>
      </c>
      <c r="P1091" s="99">
        <v>315137</v>
      </c>
      <c r="Q1091" s="98">
        <v>1145994.439952</v>
      </c>
      <c r="R1091" s="96" t="s">
        <v>625</v>
      </c>
      <c r="S1091" s="96">
        <v>7414000005</v>
      </c>
      <c r="AA1091" s="131" t="s">
        <v>363</v>
      </c>
      <c r="AB1091" s="130">
        <v>10908.132611999999</v>
      </c>
      <c r="AC1091" s="130">
        <v>10908.132611999999</v>
      </c>
    </row>
    <row r="1092" spans="1:29" x14ac:dyDescent="0.25">
      <c r="A1092" t="str">
        <f t="shared" si="17"/>
        <v xml:space="preserve">2000423SVIVE20 S           </v>
      </c>
      <c r="B1092" s="96">
        <v>2000423</v>
      </c>
      <c r="C1092" s="96" t="s">
        <v>791</v>
      </c>
      <c r="D1092" s="96" t="s">
        <v>415</v>
      </c>
      <c r="E1092" s="96" t="s">
        <v>623</v>
      </c>
      <c r="F1092" s="96" t="s">
        <v>624</v>
      </c>
      <c r="G1092" s="99">
        <v>144</v>
      </c>
      <c r="H1092" s="97">
        <v>2.1315040000000001</v>
      </c>
      <c r="I1092" s="98">
        <v>306.936576</v>
      </c>
      <c r="J1092" s="97">
        <v>2.029236111111111</v>
      </c>
      <c r="K1092" s="98">
        <v>14.726576</v>
      </c>
      <c r="L1092" s="99">
        <v>0</v>
      </c>
      <c r="M1092" s="98">
        <v>0</v>
      </c>
      <c r="N1092" s="99">
        <v>0</v>
      </c>
      <c r="O1092" s="98">
        <v>0</v>
      </c>
      <c r="P1092" s="99">
        <v>144</v>
      </c>
      <c r="Q1092" s="98">
        <v>306.936576</v>
      </c>
      <c r="R1092" s="96" t="s">
        <v>625</v>
      </c>
      <c r="S1092" s="96">
        <v>7414000005</v>
      </c>
      <c r="AA1092" s="131" t="s">
        <v>409</v>
      </c>
      <c r="AB1092" s="130">
        <v>14941.060799999999</v>
      </c>
      <c r="AC1092" s="130">
        <v>14941.060799999999</v>
      </c>
    </row>
    <row r="1093" spans="1:29" x14ac:dyDescent="0.25">
      <c r="A1093" t="str">
        <f t="shared" si="17"/>
        <v xml:space="preserve">2000423SVIVE35 S           </v>
      </c>
      <c r="B1093" s="96">
        <v>2000423</v>
      </c>
      <c r="C1093" s="96" t="s">
        <v>791</v>
      </c>
      <c r="D1093" s="96" t="s">
        <v>416</v>
      </c>
      <c r="E1093" s="96" t="s">
        <v>623</v>
      </c>
      <c r="F1093" s="96" t="s">
        <v>624</v>
      </c>
      <c r="G1093" s="99">
        <v>37927</v>
      </c>
      <c r="H1093" s="97">
        <v>2.8149250000000001</v>
      </c>
      <c r="I1093" s="98">
        <v>106761.660475</v>
      </c>
      <c r="J1093" s="97">
        <v>2.6867529728161994</v>
      </c>
      <c r="K1093" s="98">
        <v>4861.1804750000001</v>
      </c>
      <c r="L1093" s="99">
        <v>0</v>
      </c>
      <c r="M1093" s="98">
        <v>0</v>
      </c>
      <c r="N1093" s="99">
        <v>0</v>
      </c>
      <c r="O1093" s="98">
        <v>0</v>
      </c>
      <c r="P1093" s="99">
        <v>37927</v>
      </c>
      <c r="Q1093" s="98">
        <v>106761.660475</v>
      </c>
      <c r="R1093" s="96" t="s">
        <v>625</v>
      </c>
      <c r="S1093" s="96">
        <v>7414000005</v>
      </c>
      <c r="AA1093" s="131" t="s">
        <v>383</v>
      </c>
      <c r="AB1093" s="130">
        <v>23273.224559999999</v>
      </c>
      <c r="AC1093" s="130">
        <v>23273.224559999999</v>
      </c>
    </row>
    <row r="1094" spans="1:29" x14ac:dyDescent="0.25">
      <c r="A1094" t="str">
        <f t="shared" si="17"/>
        <v xml:space="preserve">2000423SVIVE50 S           </v>
      </c>
      <c r="B1094" s="96">
        <v>2000424</v>
      </c>
      <c r="C1094" s="96" t="s">
        <v>792</v>
      </c>
      <c r="D1094" s="96" t="s">
        <v>480</v>
      </c>
      <c r="E1094" s="96" t="s">
        <v>623</v>
      </c>
      <c r="F1094" s="96" t="s">
        <v>624</v>
      </c>
      <c r="G1094" s="99">
        <v>2269</v>
      </c>
      <c r="H1094" s="97">
        <v>3.612981</v>
      </c>
      <c r="I1094" s="98">
        <v>8197.853889</v>
      </c>
      <c r="J1094" s="97">
        <v>3.6077302776553548</v>
      </c>
      <c r="K1094" s="98">
        <v>11.913888999999999</v>
      </c>
      <c r="L1094" s="99">
        <v>0</v>
      </c>
      <c r="M1094" s="98">
        <v>0</v>
      </c>
      <c r="N1094" s="99">
        <v>0</v>
      </c>
      <c r="O1094" s="98">
        <v>0</v>
      </c>
      <c r="P1094" s="99">
        <v>2269</v>
      </c>
      <c r="Q1094" s="98">
        <v>8197.853889</v>
      </c>
      <c r="R1094" s="96" t="s">
        <v>625</v>
      </c>
      <c r="S1094" s="96">
        <v>7414000005</v>
      </c>
      <c r="AA1094" s="131" t="s">
        <v>397</v>
      </c>
      <c r="AB1094" s="130">
        <v>1907.889357</v>
      </c>
      <c r="AC1094" s="130">
        <v>1907.889357</v>
      </c>
    </row>
    <row r="1095" spans="1:29" x14ac:dyDescent="0.25">
      <c r="A1095" t="str">
        <f t="shared" ref="A1095:A1158" si="18">B1093&amp;D1093</f>
        <v xml:space="preserve">2000423SVIVE60 S           </v>
      </c>
      <c r="B1095" s="96">
        <v>2000424</v>
      </c>
      <c r="C1095" s="96" t="s">
        <v>792</v>
      </c>
      <c r="D1095" s="96" t="s">
        <v>413</v>
      </c>
      <c r="E1095" s="96" t="s">
        <v>623</v>
      </c>
      <c r="F1095" s="96" t="s">
        <v>624</v>
      </c>
      <c r="G1095" s="99">
        <v>11840</v>
      </c>
      <c r="H1095" s="97">
        <v>137.04691399999999</v>
      </c>
      <c r="I1095" s="98">
        <v>1622635.4617600001</v>
      </c>
      <c r="J1095" s="97">
        <v>129.15627195945945</v>
      </c>
      <c r="K1095" s="98">
        <v>93425.201759999996</v>
      </c>
      <c r="L1095" s="99">
        <v>0</v>
      </c>
      <c r="M1095" s="98">
        <v>0</v>
      </c>
      <c r="N1095" s="99">
        <v>0</v>
      </c>
      <c r="O1095" s="98">
        <v>0</v>
      </c>
      <c r="P1095" s="99">
        <v>11840</v>
      </c>
      <c r="Q1095" s="98">
        <v>1622635.4617600001</v>
      </c>
      <c r="R1095" s="96" t="s">
        <v>625</v>
      </c>
      <c r="S1095" s="96">
        <v>7414000005</v>
      </c>
      <c r="AA1095" s="131" t="s">
        <v>499</v>
      </c>
      <c r="AB1095" s="130">
        <v>4647.7251500000002</v>
      </c>
      <c r="AC1095" s="130">
        <v>4647.7251500000002</v>
      </c>
    </row>
    <row r="1096" spans="1:29" x14ac:dyDescent="0.25">
      <c r="A1096" t="str">
        <f t="shared" si="18"/>
        <v xml:space="preserve">2000424STERGOB B4          </v>
      </c>
      <c r="B1096" s="96">
        <v>2000424</v>
      </c>
      <c r="C1096" s="96" t="s">
        <v>792</v>
      </c>
      <c r="D1096" s="96" t="s">
        <v>414</v>
      </c>
      <c r="E1096" s="96" t="s">
        <v>623</v>
      </c>
      <c r="F1096" s="96" t="s">
        <v>624</v>
      </c>
      <c r="G1096" s="99">
        <v>713424</v>
      </c>
      <c r="H1096" s="97">
        <v>3.6364960000000002</v>
      </c>
      <c r="I1096" s="98">
        <v>2594363.5223039999</v>
      </c>
      <c r="J1096" s="97">
        <v>3.4416374133754961</v>
      </c>
      <c r="K1096" s="98">
        <v>139016.792304</v>
      </c>
      <c r="L1096" s="99">
        <v>0</v>
      </c>
      <c r="M1096" s="98">
        <v>0</v>
      </c>
      <c r="N1096" s="99">
        <v>0</v>
      </c>
      <c r="O1096" s="98">
        <v>0</v>
      </c>
      <c r="P1096" s="99">
        <v>713424</v>
      </c>
      <c r="Q1096" s="98">
        <v>2594363.5223039999</v>
      </c>
      <c r="R1096" s="96" t="s">
        <v>625</v>
      </c>
      <c r="S1096" s="96">
        <v>7414000005</v>
      </c>
      <c r="AA1096" s="131" t="s">
        <v>507</v>
      </c>
      <c r="AB1096" s="130">
        <v>3699.7025520000002</v>
      </c>
      <c r="AC1096" s="130">
        <v>3699.7025520000002</v>
      </c>
    </row>
    <row r="1097" spans="1:29" x14ac:dyDescent="0.25">
      <c r="A1097" t="str">
        <f t="shared" si="18"/>
        <v xml:space="preserve">2000424SVIVE20 S           </v>
      </c>
      <c r="B1097" s="96">
        <v>2000424</v>
      </c>
      <c r="C1097" s="96" t="s">
        <v>792</v>
      </c>
      <c r="D1097" s="96" t="s">
        <v>415</v>
      </c>
      <c r="E1097" s="96" t="s">
        <v>623</v>
      </c>
      <c r="F1097" s="96" t="s">
        <v>624</v>
      </c>
      <c r="G1097" s="99">
        <v>415</v>
      </c>
      <c r="H1097" s="97">
        <v>2.1315040000000001</v>
      </c>
      <c r="I1097" s="98">
        <v>884.57416000000001</v>
      </c>
      <c r="J1097" s="97">
        <v>2.0292530120481929</v>
      </c>
      <c r="K1097" s="98">
        <v>42.434159999999999</v>
      </c>
      <c r="L1097" s="99">
        <v>0</v>
      </c>
      <c r="M1097" s="98">
        <v>0</v>
      </c>
      <c r="N1097" s="99">
        <v>0</v>
      </c>
      <c r="O1097" s="98">
        <v>0</v>
      </c>
      <c r="P1097" s="99">
        <v>415</v>
      </c>
      <c r="Q1097" s="98">
        <v>884.57416000000001</v>
      </c>
      <c r="R1097" s="96" t="s">
        <v>625</v>
      </c>
      <c r="S1097" s="96">
        <v>7414000005</v>
      </c>
      <c r="AA1097" s="129">
        <v>72637</v>
      </c>
      <c r="AB1097" s="130">
        <v>114141051.80555299</v>
      </c>
      <c r="AC1097" s="130">
        <v>114141051.80555299</v>
      </c>
    </row>
    <row r="1098" spans="1:29" x14ac:dyDescent="0.25">
      <c r="A1098" t="str">
        <f t="shared" si="18"/>
        <v xml:space="preserve">2000424SVIVE35 S           </v>
      </c>
      <c r="B1098" s="96">
        <v>2000424</v>
      </c>
      <c r="C1098" s="96" t="s">
        <v>792</v>
      </c>
      <c r="D1098" s="96" t="s">
        <v>416</v>
      </c>
      <c r="E1098" s="96" t="s">
        <v>623</v>
      </c>
      <c r="F1098" s="96" t="s">
        <v>624</v>
      </c>
      <c r="G1098" s="99">
        <v>77178</v>
      </c>
      <c r="H1098" s="97">
        <v>2.8149250000000001</v>
      </c>
      <c r="I1098" s="98">
        <v>217250.28164999999</v>
      </c>
      <c r="J1098" s="97">
        <v>2.6871612376584002</v>
      </c>
      <c r="K1098" s="98">
        <v>9860.5516499999994</v>
      </c>
      <c r="L1098" s="99">
        <v>0</v>
      </c>
      <c r="M1098" s="98">
        <v>0</v>
      </c>
      <c r="N1098" s="99">
        <v>0</v>
      </c>
      <c r="O1098" s="98">
        <v>0</v>
      </c>
      <c r="P1098" s="99">
        <v>77178</v>
      </c>
      <c r="Q1098" s="98">
        <v>217250.28164999999</v>
      </c>
      <c r="R1098" s="96" t="s">
        <v>625</v>
      </c>
      <c r="S1098" s="96">
        <v>7414000005</v>
      </c>
      <c r="AA1098" s="131" t="s">
        <v>376</v>
      </c>
      <c r="AB1098" s="130">
        <v>1761643.0895</v>
      </c>
      <c r="AC1098" s="130">
        <v>1761643.0895</v>
      </c>
    </row>
    <row r="1099" spans="1:29" x14ac:dyDescent="0.25">
      <c r="A1099" t="str">
        <f t="shared" si="18"/>
        <v xml:space="preserve">2000424SVIVE50 S           </v>
      </c>
      <c r="B1099" s="96">
        <v>2000465</v>
      </c>
      <c r="C1099" s="96" t="s">
        <v>793</v>
      </c>
      <c r="D1099" s="96" t="s">
        <v>389</v>
      </c>
      <c r="E1099" s="96" t="s">
        <v>623</v>
      </c>
      <c r="F1099" s="96" t="s">
        <v>624</v>
      </c>
      <c r="G1099" s="99">
        <v>5347049</v>
      </c>
      <c r="H1099" s="97">
        <v>3.3967719999999999</v>
      </c>
      <c r="I1099" s="98">
        <v>18162706.325828001</v>
      </c>
      <c r="J1099" s="97">
        <v>2.9602450753677401</v>
      </c>
      <c r="K1099" s="98">
        <v>2334130.8558280002</v>
      </c>
      <c r="L1099" s="99">
        <v>0</v>
      </c>
      <c r="M1099" s="98">
        <v>0</v>
      </c>
      <c r="N1099" s="99">
        <v>0</v>
      </c>
      <c r="O1099" s="98">
        <v>0</v>
      </c>
      <c r="P1099" s="99">
        <v>5347049</v>
      </c>
      <c r="Q1099" s="98">
        <v>18162706.325828001</v>
      </c>
      <c r="R1099" s="96" t="s">
        <v>625</v>
      </c>
      <c r="S1099" s="96">
        <v>7414000005</v>
      </c>
      <c r="AA1099" s="131" t="s">
        <v>378</v>
      </c>
      <c r="AB1099" s="130">
        <v>1685295.149856</v>
      </c>
      <c r="AC1099" s="130">
        <v>1685295.149856</v>
      </c>
    </row>
    <row r="1100" spans="1:29" x14ac:dyDescent="0.25">
      <c r="A1100" t="str">
        <f t="shared" si="18"/>
        <v xml:space="preserve">2000424SVIVE60 S           </v>
      </c>
      <c r="B1100" s="96">
        <v>2000465</v>
      </c>
      <c r="C1100" s="96" t="s">
        <v>793</v>
      </c>
      <c r="D1100" s="96" t="s">
        <v>417</v>
      </c>
      <c r="E1100" s="96" t="s">
        <v>623</v>
      </c>
      <c r="F1100" s="96" t="s">
        <v>624</v>
      </c>
      <c r="G1100" s="99">
        <v>1365476</v>
      </c>
      <c r="H1100" s="97">
        <v>3.8832339999999999</v>
      </c>
      <c r="I1100" s="98">
        <v>5302462.829384</v>
      </c>
      <c r="J1100" s="97">
        <v>2.8560632336269549</v>
      </c>
      <c r="K1100" s="98">
        <v>1402577.029384</v>
      </c>
      <c r="L1100" s="99">
        <v>0</v>
      </c>
      <c r="M1100" s="98">
        <v>0</v>
      </c>
      <c r="N1100" s="99">
        <v>0</v>
      </c>
      <c r="O1100" s="98">
        <v>0</v>
      </c>
      <c r="P1100" s="99">
        <v>1365476</v>
      </c>
      <c r="Q1100" s="98">
        <v>5302462.829384</v>
      </c>
      <c r="R1100" s="96" t="s">
        <v>625</v>
      </c>
      <c r="S1100" s="96">
        <v>7414000005</v>
      </c>
      <c r="AA1100" s="131" t="s">
        <v>380</v>
      </c>
      <c r="AB1100" s="130">
        <v>1748707.95808</v>
      </c>
      <c r="AC1100" s="130">
        <v>1748707.95808</v>
      </c>
    </row>
    <row r="1101" spans="1:29" x14ac:dyDescent="0.25">
      <c r="A1101" t="str">
        <f t="shared" si="18"/>
        <v xml:space="preserve">2000465STERGOB ED          </v>
      </c>
      <c r="B1101" s="96">
        <v>2000465</v>
      </c>
      <c r="C1101" s="96" t="s">
        <v>793</v>
      </c>
      <c r="D1101" s="96" t="s">
        <v>407</v>
      </c>
      <c r="E1101" s="96" t="s">
        <v>623</v>
      </c>
      <c r="F1101" s="96" t="s">
        <v>624</v>
      </c>
      <c r="G1101" s="99">
        <v>4145611</v>
      </c>
      <c r="H1101" s="97">
        <v>2.7668819999999998</v>
      </c>
      <c r="I1101" s="98">
        <v>11470416.454902001</v>
      </c>
      <c r="J1101" s="97">
        <v>2.3501809986513447</v>
      </c>
      <c r="K1101" s="98">
        <v>1727480.2549020001</v>
      </c>
      <c r="L1101" s="99">
        <v>0</v>
      </c>
      <c r="M1101" s="98">
        <v>0</v>
      </c>
      <c r="N1101" s="99">
        <v>0</v>
      </c>
      <c r="O1101" s="98">
        <v>0</v>
      </c>
      <c r="P1101" s="99">
        <v>4145611</v>
      </c>
      <c r="Q1101" s="98">
        <v>11470416.454902001</v>
      </c>
      <c r="R1101" s="96" t="s">
        <v>625</v>
      </c>
      <c r="S1101" s="96">
        <v>7414000005</v>
      </c>
      <c r="AA1101" s="131" t="s">
        <v>382</v>
      </c>
      <c r="AB1101" s="130">
        <v>2776052.693765</v>
      </c>
      <c r="AC1101" s="130">
        <v>2776052.693765</v>
      </c>
    </row>
    <row r="1102" spans="1:29" x14ac:dyDescent="0.25">
      <c r="A1102" t="str">
        <f t="shared" si="18"/>
        <v xml:space="preserve">2000465STRGOB2 ED          </v>
      </c>
      <c r="B1102" s="96">
        <v>2000465</v>
      </c>
      <c r="C1102" s="96" t="s">
        <v>793</v>
      </c>
      <c r="D1102" s="96" t="s">
        <v>396</v>
      </c>
      <c r="E1102" s="96" t="s">
        <v>623</v>
      </c>
      <c r="F1102" s="96" t="s">
        <v>624</v>
      </c>
      <c r="G1102" s="99">
        <v>0</v>
      </c>
      <c r="H1102" s="97">
        <v>0</v>
      </c>
      <c r="I1102" s="98">
        <v>0</v>
      </c>
      <c r="J1102" s="97">
        <v>0</v>
      </c>
      <c r="K1102" s="98">
        <v>0</v>
      </c>
      <c r="L1102" s="99">
        <v>0</v>
      </c>
      <c r="M1102" s="98">
        <v>0</v>
      </c>
      <c r="N1102" s="99">
        <v>0</v>
      </c>
      <c r="O1102" s="98">
        <v>0</v>
      </c>
      <c r="P1102" s="99">
        <v>0</v>
      </c>
      <c r="Q1102" s="98">
        <v>0</v>
      </c>
      <c r="R1102" s="96" t="s">
        <v>625</v>
      </c>
      <c r="S1102" s="96">
        <v>7414000005</v>
      </c>
      <c r="AA1102" s="131" t="s">
        <v>427</v>
      </c>
      <c r="AB1102" s="130">
        <v>2695249.7641799999</v>
      </c>
      <c r="AC1102" s="130">
        <v>2695249.7641799999</v>
      </c>
    </row>
    <row r="1103" spans="1:29" x14ac:dyDescent="0.25">
      <c r="A1103" t="str">
        <f t="shared" si="18"/>
        <v xml:space="preserve">2000465SVIVE60 ED          </v>
      </c>
      <c r="B1103" s="96">
        <v>2000467</v>
      </c>
      <c r="C1103" s="96" t="s">
        <v>794</v>
      </c>
      <c r="D1103" s="96" t="s">
        <v>431</v>
      </c>
      <c r="E1103" s="96" t="s">
        <v>623</v>
      </c>
      <c r="F1103" s="96" t="s">
        <v>624</v>
      </c>
      <c r="G1103" s="99">
        <v>6734701</v>
      </c>
      <c r="H1103" s="97">
        <v>3.4005040000000002</v>
      </c>
      <c r="I1103" s="98">
        <v>22901377.689304002</v>
      </c>
      <c r="J1103" s="97">
        <v>3.3474759651542065</v>
      </c>
      <c r="K1103" s="98">
        <v>357127.95930400002</v>
      </c>
      <c r="L1103" s="99">
        <v>0</v>
      </c>
      <c r="M1103" s="98">
        <v>0</v>
      </c>
      <c r="N1103" s="99">
        <v>0</v>
      </c>
      <c r="O1103" s="98">
        <v>0</v>
      </c>
      <c r="P1103" s="99">
        <v>6734701</v>
      </c>
      <c r="Q1103" s="98">
        <v>22901377.689304002</v>
      </c>
      <c r="R1103" s="96" t="s">
        <v>625</v>
      </c>
      <c r="S1103" s="96">
        <v>7414000005</v>
      </c>
      <c r="AA1103" s="131" t="s">
        <v>418</v>
      </c>
      <c r="AB1103" s="130">
        <v>152582.25286400001</v>
      </c>
      <c r="AC1103" s="130">
        <v>152582.25286400001</v>
      </c>
    </row>
    <row r="1104" spans="1:29" x14ac:dyDescent="0.25">
      <c r="A1104" t="str">
        <f t="shared" si="18"/>
        <v xml:space="preserve">2000465UDIBONO 401115      </v>
      </c>
      <c r="B1104" s="96">
        <v>2000513</v>
      </c>
      <c r="C1104" s="96" t="s">
        <v>795</v>
      </c>
      <c r="D1104" s="96" t="s">
        <v>376</v>
      </c>
      <c r="E1104" s="96" t="s">
        <v>623</v>
      </c>
      <c r="F1104" s="96" t="s">
        <v>624</v>
      </c>
      <c r="G1104" s="99">
        <v>0</v>
      </c>
      <c r="H1104" s="97">
        <v>0</v>
      </c>
      <c r="I1104" s="98">
        <v>0</v>
      </c>
      <c r="J1104" s="97">
        <v>0</v>
      </c>
      <c r="K1104" s="98">
        <v>0</v>
      </c>
      <c r="L1104" s="99">
        <v>0</v>
      </c>
      <c r="M1104" s="98">
        <v>0</v>
      </c>
      <c r="N1104" s="99">
        <v>0</v>
      </c>
      <c r="O1104" s="98">
        <v>0</v>
      </c>
      <c r="P1104" s="99">
        <v>0</v>
      </c>
      <c r="Q1104" s="98">
        <v>0</v>
      </c>
      <c r="R1104" s="96" t="s">
        <v>625</v>
      </c>
      <c r="S1104" s="96">
        <v>7414000005</v>
      </c>
      <c r="AA1104" s="131" t="s">
        <v>408</v>
      </c>
      <c r="AB1104" s="130">
        <v>123617.934188</v>
      </c>
      <c r="AC1104" s="130">
        <v>123617.934188</v>
      </c>
    </row>
    <row r="1105" spans="1:29" x14ac:dyDescent="0.25">
      <c r="A1105" t="str">
        <f t="shared" si="18"/>
        <v xml:space="preserve">2000467STERGOB B1          </v>
      </c>
      <c r="B1105" s="96">
        <v>2000513</v>
      </c>
      <c r="C1105" s="96" t="s">
        <v>795</v>
      </c>
      <c r="D1105" s="96" t="s">
        <v>382</v>
      </c>
      <c r="E1105" s="96" t="s">
        <v>623</v>
      </c>
      <c r="F1105" s="96" t="s">
        <v>624</v>
      </c>
      <c r="G1105" s="99">
        <v>0</v>
      </c>
      <c r="H1105" s="97">
        <v>0</v>
      </c>
      <c r="I1105" s="98">
        <v>0</v>
      </c>
      <c r="J1105" s="97">
        <v>0</v>
      </c>
      <c r="K1105" s="98">
        <v>0</v>
      </c>
      <c r="L1105" s="99">
        <v>0</v>
      </c>
      <c r="M1105" s="98">
        <v>0</v>
      </c>
      <c r="N1105" s="99">
        <v>0</v>
      </c>
      <c r="O1105" s="98">
        <v>0</v>
      </c>
      <c r="P1105" s="99">
        <v>0</v>
      </c>
      <c r="Q1105" s="98">
        <v>0</v>
      </c>
      <c r="R1105" s="96" t="s">
        <v>625</v>
      </c>
      <c r="S1105" s="96">
        <v>7414000005</v>
      </c>
      <c r="AA1105" s="131" t="s">
        <v>384</v>
      </c>
      <c r="AB1105" s="130">
        <v>3050330.7774800002</v>
      </c>
      <c r="AC1105" s="130">
        <v>3050330.7774800002</v>
      </c>
    </row>
    <row r="1106" spans="1:29" x14ac:dyDescent="0.25">
      <c r="A1106" t="str">
        <f t="shared" si="18"/>
        <v xml:space="preserve">2000513GOBFED 241205       </v>
      </c>
      <c r="B1106" s="96">
        <v>2000513</v>
      </c>
      <c r="C1106" s="96" t="s">
        <v>795</v>
      </c>
      <c r="D1106" s="96" t="s">
        <v>396</v>
      </c>
      <c r="E1106" s="96" t="s">
        <v>623</v>
      </c>
      <c r="F1106" s="96" t="s">
        <v>624</v>
      </c>
      <c r="G1106" s="99">
        <v>0</v>
      </c>
      <c r="H1106" s="97">
        <v>0</v>
      </c>
      <c r="I1106" s="98">
        <v>0</v>
      </c>
      <c r="J1106" s="97">
        <v>0</v>
      </c>
      <c r="K1106" s="98">
        <v>0</v>
      </c>
      <c r="L1106" s="99">
        <v>0</v>
      </c>
      <c r="M1106" s="98">
        <v>0</v>
      </c>
      <c r="N1106" s="99">
        <v>0</v>
      </c>
      <c r="O1106" s="98">
        <v>0</v>
      </c>
      <c r="P1106" s="99">
        <v>0</v>
      </c>
      <c r="Q1106" s="98">
        <v>0</v>
      </c>
      <c r="R1106" s="96" t="s">
        <v>625</v>
      </c>
      <c r="S1106" s="96">
        <v>7414000005</v>
      </c>
      <c r="AA1106" s="131" t="s">
        <v>389</v>
      </c>
      <c r="AB1106" s="130">
        <v>5872791.2042760001</v>
      </c>
      <c r="AC1106" s="130">
        <v>5872791.2042760001</v>
      </c>
    </row>
    <row r="1107" spans="1:29" x14ac:dyDescent="0.25">
      <c r="A1107" t="str">
        <f t="shared" si="18"/>
        <v xml:space="preserve">2000513GOBFED 310529       </v>
      </c>
      <c r="B1107" s="96">
        <v>2000534</v>
      </c>
      <c r="C1107" s="96" t="s">
        <v>796</v>
      </c>
      <c r="D1107" s="96" t="s">
        <v>411</v>
      </c>
      <c r="E1107" s="96" t="s">
        <v>623</v>
      </c>
      <c r="F1107" s="96" t="s">
        <v>624</v>
      </c>
      <c r="G1107" s="99">
        <v>125</v>
      </c>
      <c r="H1107" s="97">
        <v>3.4985729999999999</v>
      </c>
      <c r="I1107" s="98">
        <v>437.32162499999998</v>
      </c>
      <c r="J1107" s="97">
        <v>3.4843999999999999</v>
      </c>
      <c r="K1107" s="98">
        <v>1.771625</v>
      </c>
      <c r="L1107" s="99">
        <v>0</v>
      </c>
      <c r="M1107" s="98">
        <v>0</v>
      </c>
      <c r="N1107" s="99">
        <v>0</v>
      </c>
      <c r="O1107" s="98">
        <v>0</v>
      </c>
      <c r="P1107" s="99">
        <v>125</v>
      </c>
      <c r="Q1107" s="98">
        <v>437.32162499999998</v>
      </c>
      <c r="R1107" s="96" t="s">
        <v>625</v>
      </c>
      <c r="S1107" s="96">
        <v>7414000005</v>
      </c>
      <c r="AA1107" s="131" t="s">
        <v>391</v>
      </c>
      <c r="AB1107" s="130">
        <v>2458167.2730029998</v>
      </c>
      <c r="AC1107" s="130">
        <v>2458167.2730029998</v>
      </c>
    </row>
    <row r="1108" spans="1:29" x14ac:dyDescent="0.25">
      <c r="A1108" t="str">
        <f t="shared" si="18"/>
        <v xml:space="preserve">2000513UDIBONO 401115      </v>
      </c>
      <c r="B1108" s="96">
        <v>2000554</v>
      </c>
      <c r="C1108" s="96" t="s">
        <v>797</v>
      </c>
      <c r="D1108" s="96" t="s">
        <v>389</v>
      </c>
      <c r="E1108" s="96" t="s">
        <v>623</v>
      </c>
      <c r="F1108" s="96" t="s">
        <v>624</v>
      </c>
      <c r="G1108" s="99">
        <v>4564664</v>
      </c>
      <c r="H1108" s="97">
        <v>3.3967719999999999</v>
      </c>
      <c r="I1108" s="98">
        <v>15505122.864607999</v>
      </c>
      <c r="J1108" s="97">
        <v>1.9208847157205875</v>
      </c>
      <c r="K1108" s="98">
        <v>6736929.5546080004</v>
      </c>
      <c r="L1108" s="99">
        <v>0</v>
      </c>
      <c r="M1108" s="98">
        <v>0</v>
      </c>
      <c r="N1108" s="99">
        <v>0</v>
      </c>
      <c r="O1108" s="98">
        <v>0</v>
      </c>
      <c r="P1108" s="99">
        <v>4564664</v>
      </c>
      <c r="Q1108" s="98">
        <v>15505122.864607999</v>
      </c>
      <c r="R1108" s="96" t="s">
        <v>625</v>
      </c>
      <c r="S1108" s="96">
        <v>7414000005</v>
      </c>
      <c r="AA1108" s="131" t="s">
        <v>395</v>
      </c>
      <c r="AB1108" s="130">
        <v>1709714.44658</v>
      </c>
      <c r="AC1108" s="130">
        <v>1709714.44658</v>
      </c>
    </row>
    <row r="1109" spans="1:29" x14ac:dyDescent="0.25">
      <c r="A1109" t="str">
        <f t="shared" si="18"/>
        <v xml:space="preserve">2000534STERGOB B2          </v>
      </c>
      <c r="B1109" s="96">
        <v>2000569</v>
      </c>
      <c r="C1109" s="96" t="s">
        <v>798</v>
      </c>
      <c r="D1109" s="96" t="s">
        <v>473</v>
      </c>
      <c r="E1109" s="96" t="s">
        <v>623</v>
      </c>
      <c r="F1109" s="96" t="s">
        <v>624</v>
      </c>
      <c r="G1109" s="99">
        <v>4515059</v>
      </c>
      <c r="H1109" s="97">
        <v>3.568238</v>
      </c>
      <c r="I1109" s="98">
        <v>16110805.096042</v>
      </c>
      <c r="J1109" s="97">
        <v>3.517068255364991</v>
      </c>
      <c r="K1109" s="98">
        <v>231034.416042</v>
      </c>
      <c r="L1109" s="99">
        <v>0</v>
      </c>
      <c r="M1109" s="98">
        <v>0</v>
      </c>
      <c r="N1109" s="99">
        <v>0</v>
      </c>
      <c r="O1109" s="98">
        <v>0</v>
      </c>
      <c r="P1109" s="99">
        <v>4515059</v>
      </c>
      <c r="Q1109" s="98">
        <v>16110805.096042</v>
      </c>
      <c r="R1109" s="96" t="s">
        <v>625</v>
      </c>
      <c r="S1109" s="96">
        <v>7414000005</v>
      </c>
      <c r="AA1109" s="131" t="s">
        <v>396</v>
      </c>
      <c r="AB1109" s="130">
        <v>1712344.08072</v>
      </c>
      <c r="AC1109" s="130">
        <v>1712344.08072</v>
      </c>
    </row>
    <row r="1110" spans="1:29" x14ac:dyDescent="0.25">
      <c r="A1110" t="str">
        <f t="shared" si="18"/>
        <v xml:space="preserve">2000554STERGOB ED          </v>
      </c>
      <c r="B1110" s="96">
        <v>2000574</v>
      </c>
      <c r="C1110" s="96" t="s">
        <v>799</v>
      </c>
      <c r="D1110" s="96" t="s">
        <v>389</v>
      </c>
      <c r="E1110" s="96" t="s">
        <v>623</v>
      </c>
      <c r="F1110" s="96" t="s">
        <v>624</v>
      </c>
      <c r="G1110" s="99">
        <v>2428</v>
      </c>
      <c r="H1110" s="97">
        <v>3.3967719999999999</v>
      </c>
      <c r="I1110" s="98">
        <v>8247.3624159999999</v>
      </c>
      <c r="J1110" s="97">
        <v>3.3638632619439868</v>
      </c>
      <c r="K1110" s="98">
        <v>79.902416000000002</v>
      </c>
      <c r="L1110" s="99">
        <v>0</v>
      </c>
      <c r="M1110" s="98">
        <v>0</v>
      </c>
      <c r="N1110" s="99">
        <v>0</v>
      </c>
      <c r="O1110" s="98">
        <v>0</v>
      </c>
      <c r="P1110" s="99">
        <v>2428</v>
      </c>
      <c r="Q1110" s="98">
        <v>8247.3624159999999</v>
      </c>
      <c r="R1110" s="96" t="s">
        <v>625</v>
      </c>
      <c r="S1110" s="96">
        <v>7414000005</v>
      </c>
      <c r="AA1110" s="131" t="s">
        <v>398</v>
      </c>
      <c r="AB1110" s="130">
        <v>1993328.97221</v>
      </c>
      <c r="AC1110" s="130">
        <v>1993328.97221</v>
      </c>
    </row>
    <row r="1111" spans="1:29" x14ac:dyDescent="0.25">
      <c r="A1111" t="str">
        <f t="shared" si="18"/>
        <v xml:space="preserve">2000569STERGOB B3          </v>
      </c>
      <c r="B1111" s="96">
        <v>2000574</v>
      </c>
      <c r="C1111" s="96" t="s">
        <v>799</v>
      </c>
      <c r="D1111" s="96" t="s">
        <v>567</v>
      </c>
      <c r="E1111" s="96" t="s">
        <v>623</v>
      </c>
      <c r="F1111" s="96" t="s">
        <v>624</v>
      </c>
      <c r="G1111" s="99">
        <v>45836</v>
      </c>
      <c r="H1111" s="97">
        <v>136.12787299999999</v>
      </c>
      <c r="I1111" s="98">
        <v>6239557.1868279995</v>
      </c>
      <c r="J1111" s="97">
        <v>105.27408194432324</v>
      </c>
      <c r="K1111" s="98">
        <v>1414214.3668279999</v>
      </c>
      <c r="L1111" s="99">
        <v>0</v>
      </c>
      <c r="M1111" s="98">
        <v>0</v>
      </c>
      <c r="N1111" s="99">
        <v>0</v>
      </c>
      <c r="O1111" s="98">
        <v>0</v>
      </c>
      <c r="P1111" s="99">
        <v>45836</v>
      </c>
      <c r="Q1111" s="98">
        <v>6239557.1868279995</v>
      </c>
      <c r="R1111" s="96" t="s">
        <v>625</v>
      </c>
      <c r="S1111" s="96">
        <v>7414000005</v>
      </c>
      <c r="AA1111" s="131" t="s">
        <v>357</v>
      </c>
      <c r="AB1111" s="130">
        <v>522784</v>
      </c>
      <c r="AC1111" s="130">
        <v>522784</v>
      </c>
    </row>
    <row r="1112" spans="1:29" x14ac:dyDescent="0.25">
      <c r="A1112" t="str">
        <f t="shared" si="18"/>
        <v xml:space="preserve">2000574STERGOB ED          </v>
      </c>
      <c r="B1112" s="96">
        <v>2000575</v>
      </c>
      <c r="C1112" s="96" t="s">
        <v>799</v>
      </c>
      <c r="D1112" s="96" t="s">
        <v>389</v>
      </c>
      <c r="E1112" s="96" t="s">
        <v>623</v>
      </c>
      <c r="F1112" s="96" t="s">
        <v>624</v>
      </c>
      <c r="G1112" s="99">
        <v>16768</v>
      </c>
      <c r="H1112" s="97">
        <v>3.3967719999999999</v>
      </c>
      <c r="I1112" s="98">
        <v>56957.072895999998</v>
      </c>
      <c r="J1112" s="97">
        <v>3.3640821803435115</v>
      </c>
      <c r="K1112" s="98">
        <v>548.14289599999995</v>
      </c>
      <c r="L1112" s="99">
        <v>0</v>
      </c>
      <c r="M1112" s="98">
        <v>0</v>
      </c>
      <c r="N1112" s="99">
        <v>0</v>
      </c>
      <c r="O1112" s="98">
        <v>0</v>
      </c>
      <c r="P1112" s="99">
        <v>16768</v>
      </c>
      <c r="Q1112" s="98">
        <v>56957.072895999998</v>
      </c>
      <c r="R1112" s="96" t="s">
        <v>625</v>
      </c>
      <c r="S1112" s="96">
        <v>7414000005</v>
      </c>
      <c r="AA1112" s="131" t="s">
        <v>617</v>
      </c>
      <c r="AB1112" s="130">
        <v>116228</v>
      </c>
      <c r="AC1112" s="130">
        <v>116228</v>
      </c>
    </row>
    <row r="1113" spans="1:29" x14ac:dyDescent="0.25">
      <c r="A1113" t="str">
        <f t="shared" si="18"/>
        <v xml:space="preserve">2000574SVIVE20 C3          </v>
      </c>
      <c r="B1113" s="96">
        <v>2000575</v>
      </c>
      <c r="C1113" s="96" t="s">
        <v>799</v>
      </c>
      <c r="D1113" s="96" t="s">
        <v>478</v>
      </c>
      <c r="E1113" s="96" t="s">
        <v>623</v>
      </c>
      <c r="F1113" s="96" t="s">
        <v>624</v>
      </c>
      <c r="G1113" s="99">
        <v>7621745</v>
      </c>
      <c r="H1113" s="97">
        <v>3.6141489999999998</v>
      </c>
      <c r="I1113" s="98">
        <v>27546122.070005</v>
      </c>
      <c r="J1113" s="97">
        <v>2.7274093517954223</v>
      </c>
      <c r="K1113" s="98">
        <v>6758503.4800049998</v>
      </c>
      <c r="L1113" s="99">
        <v>0</v>
      </c>
      <c r="M1113" s="98">
        <v>0</v>
      </c>
      <c r="N1113" s="99">
        <v>0</v>
      </c>
      <c r="O1113" s="98">
        <v>0</v>
      </c>
      <c r="P1113" s="99">
        <v>7621745</v>
      </c>
      <c r="Q1113" s="98">
        <v>27546122.070005</v>
      </c>
      <c r="R1113" s="96" t="s">
        <v>625</v>
      </c>
      <c r="S1113" s="96">
        <v>7414000005</v>
      </c>
      <c r="AA1113" s="131" t="s">
        <v>359</v>
      </c>
      <c r="AB1113" s="130">
        <v>630982</v>
      </c>
      <c r="AC1113" s="130">
        <v>630982</v>
      </c>
    </row>
    <row r="1114" spans="1:29" x14ac:dyDescent="0.25">
      <c r="A1114" t="str">
        <f t="shared" si="18"/>
        <v xml:space="preserve">2000575STERGOB ED          </v>
      </c>
      <c r="B1114" s="96">
        <v>2000576</v>
      </c>
      <c r="C1114" s="96" t="s">
        <v>799</v>
      </c>
      <c r="D1114" s="96" t="s">
        <v>389</v>
      </c>
      <c r="E1114" s="96" t="s">
        <v>623</v>
      </c>
      <c r="F1114" s="96" t="s">
        <v>624</v>
      </c>
      <c r="G1114" s="99">
        <v>10044</v>
      </c>
      <c r="H1114" s="97">
        <v>3.3967719999999999</v>
      </c>
      <c r="I1114" s="98">
        <v>34117.177968000004</v>
      </c>
      <c r="J1114" s="97">
        <v>3.3698855037833533</v>
      </c>
      <c r="K1114" s="98">
        <v>270.04796800000003</v>
      </c>
      <c r="L1114" s="99">
        <v>0</v>
      </c>
      <c r="M1114" s="98">
        <v>0</v>
      </c>
      <c r="N1114" s="99">
        <v>0</v>
      </c>
      <c r="O1114" s="98">
        <v>0</v>
      </c>
      <c r="P1114" s="99">
        <v>10044</v>
      </c>
      <c r="Q1114" s="98">
        <v>34117.177968000004</v>
      </c>
      <c r="R1114" s="96" t="s">
        <v>625</v>
      </c>
      <c r="S1114" s="96">
        <v>7414000005</v>
      </c>
      <c r="AA1114" s="131" t="s">
        <v>551</v>
      </c>
      <c r="AB1114" s="130">
        <v>1260216</v>
      </c>
      <c r="AC1114" s="130">
        <v>1260216</v>
      </c>
    </row>
    <row r="1115" spans="1:29" x14ac:dyDescent="0.25">
      <c r="A1115" t="str">
        <f t="shared" si="18"/>
        <v xml:space="preserve">2000575SVIVE35 C3          </v>
      </c>
      <c r="B1115" s="96">
        <v>2000576</v>
      </c>
      <c r="C1115" s="96" t="s">
        <v>799</v>
      </c>
      <c r="D1115" s="96" t="s">
        <v>420</v>
      </c>
      <c r="E1115" s="96" t="s">
        <v>623</v>
      </c>
      <c r="F1115" s="96" t="s">
        <v>624</v>
      </c>
      <c r="G1115" s="99">
        <v>3708375</v>
      </c>
      <c r="H1115" s="97">
        <v>2.106938</v>
      </c>
      <c r="I1115" s="98">
        <v>7813316.2057499997</v>
      </c>
      <c r="J1115" s="97">
        <v>1.7795293652880304</v>
      </c>
      <c r="K1115" s="98">
        <v>1214153.99575</v>
      </c>
      <c r="L1115" s="99">
        <v>0</v>
      </c>
      <c r="M1115" s="98">
        <v>0</v>
      </c>
      <c r="N1115" s="99">
        <v>0</v>
      </c>
      <c r="O1115" s="98">
        <v>0</v>
      </c>
      <c r="P1115" s="99">
        <v>3708375</v>
      </c>
      <c r="Q1115" s="98">
        <v>7813316.2057499997</v>
      </c>
      <c r="R1115" s="96" t="s">
        <v>625</v>
      </c>
      <c r="S1115" s="96">
        <v>7414000005</v>
      </c>
      <c r="T1115" s="23"/>
      <c r="AA1115" s="131" t="s">
        <v>361</v>
      </c>
      <c r="AB1115" s="130">
        <v>382200</v>
      </c>
      <c r="AC1115" s="130">
        <v>382200</v>
      </c>
    </row>
    <row r="1116" spans="1:29" x14ac:dyDescent="0.25">
      <c r="A1116" t="str">
        <f t="shared" si="18"/>
        <v xml:space="preserve">2000576STERGOB ED          </v>
      </c>
      <c r="B1116" s="96">
        <v>2000577</v>
      </c>
      <c r="C1116" s="96" t="s">
        <v>799</v>
      </c>
      <c r="D1116" s="96" t="s">
        <v>389</v>
      </c>
      <c r="E1116" s="96" t="s">
        <v>623</v>
      </c>
      <c r="F1116" s="96" t="s">
        <v>624</v>
      </c>
      <c r="G1116" s="99">
        <v>76238</v>
      </c>
      <c r="H1116" s="97">
        <v>3.3967719999999999</v>
      </c>
      <c r="I1116" s="98">
        <v>258963.10373599999</v>
      </c>
      <c r="J1116" s="97">
        <v>3.3641840027282983</v>
      </c>
      <c r="K1116" s="98">
        <v>2484.4437360000002</v>
      </c>
      <c r="L1116" s="99">
        <v>0</v>
      </c>
      <c r="M1116" s="98">
        <v>0</v>
      </c>
      <c r="N1116" s="99">
        <v>0</v>
      </c>
      <c r="O1116" s="98">
        <v>0</v>
      </c>
      <c r="P1116" s="99">
        <v>76238</v>
      </c>
      <c r="Q1116" s="98">
        <v>258963.10373599999</v>
      </c>
      <c r="R1116" s="96" t="s">
        <v>625</v>
      </c>
      <c r="S1116" s="96">
        <v>7414000005</v>
      </c>
      <c r="AA1116" s="131" t="s">
        <v>362</v>
      </c>
      <c r="AB1116" s="130">
        <v>2241212</v>
      </c>
      <c r="AC1116" s="130">
        <v>2241212</v>
      </c>
    </row>
    <row r="1117" spans="1:29" x14ac:dyDescent="0.25">
      <c r="A1117" t="str">
        <f t="shared" si="18"/>
        <v xml:space="preserve">2000576SVIVE50 C3          </v>
      </c>
      <c r="B1117" s="96">
        <v>2000577</v>
      </c>
      <c r="C1117" s="96" t="s">
        <v>799</v>
      </c>
      <c r="D1117" s="96" t="s">
        <v>482</v>
      </c>
      <c r="E1117" s="96" t="s">
        <v>623</v>
      </c>
      <c r="F1117" s="96" t="s">
        <v>624</v>
      </c>
      <c r="G1117" s="99">
        <v>22007941</v>
      </c>
      <c r="H1117" s="97">
        <v>2.7842250000000002</v>
      </c>
      <c r="I1117" s="98">
        <v>61275059.530725002</v>
      </c>
      <c r="J1117" s="97">
        <v>2.1991865068158809</v>
      </c>
      <c r="K1117" s="98">
        <v>12875492.640725</v>
      </c>
      <c r="L1117" s="99">
        <v>0</v>
      </c>
      <c r="M1117" s="98">
        <v>0</v>
      </c>
      <c r="N1117" s="99">
        <v>0</v>
      </c>
      <c r="O1117" s="98">
        <v>0</v>
      </c>
      <c r="P1117" s="99">
        <v>22007941</v>
      </c>
      <c r="Q1117" s="98">
        <v>61275059.530725002</v>
      </c>
      <c r="R1117" s="96" t="s">
        <v>625</v>
      </c>
      <c r="S1117" s="96">
        <v>7414000005</v>
      </c>
      <c r="AA1117" s="131" t="s">
        <v>369</v>
      </c>
      <c r="AB1117" s="130">
        <v>2410596</v>
      </c>
      <c r="AC1117" s="130">
        <v>2410596</v>
      </c>
    </row>
    <row r="1118" spans="1:29" x14ac:dyDescent="0.25">
      <c r="A1118" t="str">
        <f t="shared" si="18"/>
        <v xml:space="preserve">2000577STERGOB ED          </v>
      </c>
      <c r="B1118" s="96">
        <v>2000579</v>
      </c>
      <c r="C1118" s="96" t="s">
        <v>800</v>
      </c>
      <c r="D1118" s="96" t="s">
        <v>358</v>
      </c>
      <c r="E1118" s="96" t="s">
        <v>623</v>
      </c>
      <c r="F1118" s="96" t="s">
        <v>624</v>
      </c>
      <c r="G1118" s="99">
        <v>39</v>
      </c>
      <c r="H1118" s="97">
        <v>1786.5</v>
      </c>
      <c r="I1118" s="98">
        <v>69673.5</v>
      </c>
      <c r="J1118" s="97">
        <v>1284.6120512820512</v>
      </c>
      <c r="K1118" s="98">
        <v>35652.129999999997</v>
      </c>
      <c r="L1118" s="99">
        <v>-9</v>
      </c>
      <c r="M1118" s="98">
        <v>-16236.36</v>
      </c>
      <c r="N1118" s="99">
        <v>0</v>
      </c>
      <c r="O1118" s="98">
        <v>0</v>
      </c>
      <c r="P1118" s="99">
        <v>30</v>
      </c>
      <c r="Q1118" s="98">
        <v>53437.14</v>
      </c>
      <c r="R1118" s="96" t="s">
        <v>625</v>
      </c>
      <c r="S1118" s="96">
        <v>7414000005</v>
      </c>
      <c r="AA1118" s="131" t="s">
        <v>370</v>
      </c>
      <c r="AB1118" s="130">
        <v>326328</v>
      </c>
      <c r="AC1118" s="130">
        <v>326328</v>
      </c>
    </row>
    <row r="1119" spans="1:29" x14ac:dyDescent="0.25">
      <c r="A1119" t="str">
        <f t="shared" si="18"/>
        <v xml:space="preserve">2000577SVIVE60 C3          </v>
      </c>
      <c r="B1119" s="96">
        <v>2000579</v>
      </c>
      <c r="C1119" s="96" t="s">
        <v>800</v>
      </c>
      <c r="D1119" s="96" t="s">
        <v>459</v>
      </c>
      <c r="E1119" s="96" t="s">
        <v>623</v>
      </c>
      <c r="F1119" s="96" t="s">
        <v>624</v>
      </c>
      <c r="G1119" s="99">
        <v>46600</v>
      </c>
      <c r="H1119" s="97">
        <v>4.5848760000000004</v>
      </c>
      <c r="I1119" s="98">
        <v>213655.22159999999</v>
      </c>
      <c r="J1119" s="97">
        <v>2.907045278969957</v>
      </c>
      <c r="K1119" s="98">
        <v>137790.2996</v>
      </c>
      <c r="L1119" s="99">
        <v>-13000</v>
      </c>
      <c r="M1119" s="98">
        <v>-59603.39</v>
      </c>
      <c r="N1119" s="99">
        <v>0</v>
      </c>
      <c r="O1119" s="98">
        <v>0</v>
      </c>
      <c r="P1119" s="99">
        <v>33600</v>
      </c>
      <c r="Q1119" s="98">
        <v>154051.8316</v>
      </c>
      <c r="R1119" s="96" t="s">
        <v>625</v>
      </c>
      <c r="S1119" s="96">
        <v>7414000005</v>
      </c>
      <c r="AA1119" s="131" t="s">
        <v>372</v>
      </c>
      <c r="AB1119" s="130">
        <v>786480</v>
      </c>
      <c r="AC1119" s="130">
        <v>786480</v>
      </c>
    </row>
    <row r="1120" spans="1:29" x14ac:dyDescent="0.25">
      <c r="A1120" t="str">
        <f t="shared" si="18"/>
        <v xml:space="preserve">2000579ACWI *              </v>
      </c>
      <c r="B1120" s="96">
        <v>2000579</v>
      </c>
      <c r="C1120" s="96" t="s">
        <v>800</v>
      </c>
      <c r="D1120" s="96" t="s">
        <v>389</v>
      </c>
      <c r="E1120" s="96" t="s">
        <v>623</v>
      </c>
      <c r="F1120" s="96" t="s">
        <v>624</v>
      </c>
      <c r="G1120" s="99">
        <v>97953</v>
      </c>
      <c r="H1120" s="97">
        <v>3.3967719999999999</v>
      </c>
      <c r="I1120" s="98">
        <v>332724.00771600002</v>
      </c>
      <c r="J1120" s="97">
        <v>3.3027279409512724</v>
      </c>
      <c r="K1120" s="98">
        <v>9211.8977159999995</v>
      </c>
      <c r="L1120" s="99">
        <v>0</v>
      </c>
      <c r="M1120" s="98">
        <v>0</v>
      </c>
      <c r="N1120" s="99">
        <v>0</v>
      </c>
      <c r="O1120" s="98">
        <v>0</v>
      </c>
      <c r="P1120" s="99">
        <v>97953</v>
      </c>
      <c r="Q1120" s="98">
        <v>332724.00771600002</v>
      </c>
      <c r="R1120" s="96" t="s">
        <v>625</v>
      </c>
      <c r="S1120" s="96">
        <v>7414000005</v>
      </c>
      <c r="AA1120" s="131" t="s">
        <v>373</v>
      </c>
      <c r="AB1120" s="130">
        <v>3246496</v>
      </c>
      <c r="AC1120" s="130">
        <v>3246496</v>
      </c>
    </row>
    <row r="1121" spans="1:29" x14ac:dyDescent="0.25">
      <c r="A1121" t="str">
        <f t="shared" si="18"/>
        <v xml:space="preserve">2000579STER-OP ED          </v>
      </c>
      <c r="B1121" s="96">
        <v>2000579</v>
      </c>
      <c r="C1121" s="96" t="s">
        <v>800</v>
      </c>
      <c r="D1121" s="96" t="s">
        <v>407</v>
      </c>
      <c r="E1121" s="96" t="s">
        <v>623</v>
      </c>
      <c r="F1121" s="96" t="s">
        <v>624</v>
      </c>
      <c r="G1121" s="99">
        <v>275534</v>
      </c>
      <c r="H1121" s="97">
        <v>2.7668819999999998</v>
      </c>
      <c r="I1121" s="98">
        <v>762370.06498799997</v>
      </c>
      <c r="J1121" s="97">
        <v>2.3636919944544048</v>
      </c>
      <c r="K1121" s="98">
        <v>111092.554988</v>
      </c>
      <c r="L1121" s="99">
        <v>0</v>
      </c>
      <c r="M1121" s="98">
        <v>0</v>
      </c>
      <c r="N1121" s="99">
        <v>0</v>
      </c>
      <c r="O1121" s="98">
        <v>0</v>
      </c>
      <c r="P1121" s="99">
        <v>275534</v>
      </c>
      <c r="Q1121" s="98">
        <v>762370.06498799997</v>
      </c>
      <c r="R1121" s="96" t="s">
        <v>625</v>
      </c>
      <c r="S1121" s="96">
        <v>7414000005</v>
      </c>
      <c r="AA1121" s="131" t="s">
        <v>374</v>
      </c>
      <c r="AB1121" s="130">
        <v>2425996</v>
      </c>
      <c r="AC1121" s="130">
        <v>2425996</v>
      </c>
    </row>
    <row r="1122" spans="1:29" x14ac:dyDescent="0.25">
      <c r="A1122" t="str">
        <f t="shared" si="18"/>
        <v xml:space="preserve">2000579STERGOB ED          </v>
      </c>
      <c r="B1122" s="96">
        <v>2000581</v>
      </c>
      <c r="C1122" s="96" t="s">
        <v>801</v>
      </c>
      <c r="D1122" s="96" t="s">
        <v>358</v>
      </c>
      <c r="E1122" s="96" t="s">
        <v>623</v>
      </c>
      <c r="F1122" s="96" t="s">
        <v>624</v>
      </c>
      <c r="G1122" s="99">
        <v>540</v>
      </c>
      <c r="H1122" s="97">
        <v>1786.5</v>
      </c>
      <c r="I1122" s="98">
        <v>964710</v>
      </c>
      <c r="J1122" s="97">
        <v>1601.684074074074</v>
      </c>
      <c r="K1122" s="98">
        <v>99800.6</v>
      </c>
      <c r="L1122" s="99">
        <v>0</v>
      </c>
      <c r="M1122" s="98">
        <v>0</v>
      </c>
      <c r="N1122" s="99">
        <v>0</v>
      </c>
      <c r="O1122" s="98">
        <v>0</v>
      </c>
      <c r="P1122" s="99">
        <v>540</v>
      </c>
      <c r="Q1122" s="98">
        <v>964710</v>
      </c>
      <c r="R1122" s="96" t="s">
        <v>625</v>
      </c>
      <c r="S1122" s="96">
        <v>7414000005</v>
      </c>
      <c r="AA1122" s="131" t="s">
        <v>387</v>
      </c>
      <c r="AB1122" s="130">
        <v>628840</v>
      </c>
      <c r="AC1122" s="130">
        <v>628840</v>
      </c>
    </row>
    <row r="1123" spans="1:29" x14ac:dyDescent="0.25">
      <c r="A1123" t="str">
        <f t="shared" si="18"/>
        <v xml:space="preserve">2000579SVIVE60 ED          </v>
      </c>
      <c r="B1123" s="96">
        <v>2000581</v>
      </c>
      <c r="C1123" s="96" t="s">
        <v>801</v>
      </c>
      <c r="D1123" s="96" t="s">
        <v>419</v>
      </c>
      <c r="E1123" s="96" t="s">
        <v>623</v>
      </c>
      <c r="F1123" s="96" t="s">
        <v>624</v>
      </c>
      <c r="G1123" s="99">
        <v>0</v>
      </c>
      <c r="H1123" s="97">
        <v>0</v>
      </c>
      <c r="I1123" s="98">
        <v>0</v>
      </c>
      <c r="J1123" s="97">
        <v>0</v>
      </c>
      <c r="K1123" s="98">
        <v>0</v>
      </c>
      <c r="L1123" s="99">
        <v>0</v>
      </c>
      <c r="M1123" s="98">
        <v>0</v>
      </c>
      <c r="N1123" s="99">
        <v>0</v>
      </c>
      <c r="O1123" s="98">
        <v>0</v>
      </c>
      <c r="P1123" s="99">
        <v>0</v>
      </c>
      <c r="Q1123" s="98">
        <v>0</v>
      </c>
      <c r="R1123" s="96" t="s">
        <v>625</v>
      </c>
      <c r="S1123" s="96">
        <v>7414000005</v>
      </c>
      <c r="AA1123" s="131" t="s">
        <v>419</v>
      </c>
      <c r="AB1123" s="130">
        <v>0</v>
      </c>
      <c r="AC1123" s="130">
        <v>0</v>
      </c>
    </row>
    <row r="1124" spans="1:29" x14ac:dyDescent="0.25">
      <c r="A1124" t="str">
        <f t="shared" si="18"/>
        <v xml:space="preserve">2000581ACWI *              </v>
      </c>
      <c r="B1124" s="96">
        <v>2000581</v>
      </c>
      <c r="C1124" s="96" t="s">
        <v>801</v>
      </c>
      <c r="D1124" s="96" t="s">
        <v>459</v>
      </c>
      <c r="E1124" s="96" t="s">
        <v>623</v>
      </c>
      <c r="F1124" s="96" t="s">
        <v>624</v>
      </c>
      <c r="G1124" s="99">
        <v>630000</v>
      </c>
      <c r="H1124" s="97">
        <v>4.5848760000000004</v>
      </c>
      <c r="I1124" s="98">
        <v>2888471.88</v>
      </c>
      <c r="J1124" s="97">
        <v>4.1732759047619048</v>
      </c>
      <c r="K1124" s="98">
        <v>259308.06</v>
      </c>
      <c r="L1124" s="99">
        <v>0</v>
      </c>
      <c r="M1124" s="98">
        <v>0</v>
      </c>
      <c r="N1124" s="99">
        <v>0</v>
      </c>
      <c r="O1124" s="98">
        <v>0</v>
      </c>
      <c r="P1124" s="99">
        <v>630000</v>
      </c>
      <c r="Q1124" s="98">
        <v>2888471.88</v>
      </c>
      <c r="R1124" s="96" t="s">
        <v>625</v>
      </c>
      <c r="S1124" s="96">
        <v>7414000005</v>
      </c>
      <c r="AA1124" s="131" t="s">
        <v>553</v>
      </c>
      <c r="AB1124" s="130">
        <v>259065</v>
      </c>
      <c r="AC1124" s="130">
        <v>259065</v>
      </c>
    </row>
    <row r="1125" spans="1:29" x14ac:dyDescent="0.25">
      <c r="A1125" t="str">
        <f t="shared" si="18"/>
        <v xml:space="preserve">2000581IENOVA *            </v>
      </c>
      <c r="B1125" s="96">
        <v>2000581</v>
      </c>
      <c r="C1125" s="96" t="s">
        <v>801</v>
      </c>
      <c r="D1125" s="96" t="s">
        <v>389</v>
      </c>
      <c r="E1125" s="96" t="s">
        <v>623</v>
      </c>
      <c r="F1125" s="96" t="s">
        <v>624</v>
      </c>
      <c r="G1125" s="99">
        <v>2936052</v>
      </c>
      <c r="H1125" s="97">
        <v>3.3967719999999999</v>
      </c>
      <c r="I1125" s="98">
        <v>9973099.2241440006</v>
      </c>
      <c r="J1125" s="97">
        <v>2.8612265484398778</v>
      </c>
      <c r="K1125" s="98">
        <v>1572389.2941439999</v>
      </c>
      <c r="L1125" s="99">
        <v>0</v>
      </c>
      <c r="M1125" s="98">
        <v>0</v>
      </c>
      <c r="N1125" s="99">
        <v>0</v>
      </c>
      <c r="O1125" s="98">
        <v>0</v>
      </c>
      <c r="P1125" s="99">
        <v>2936052</v>
      </c>
      <c r="Q1125" s="98">
        <v>9973099.2241440006</v>
      </c>
      <c r="R1125" s="96" t="s">
        <v>625</v>
      </c>
      <c r="S1125" s="96">
        <v>7414000005</v>
      </c>
      <c r="AA1125" s="131" t="s">
        <v>400</v>
      </c>
      <c r="AB1125" s="130">
        <v>880050</v>
      </c>
      <c r="AC1125" s="130">
        <v>880050</v>
      </c>
    </row>
    <row r="1126" spans="1:29" x14ac:dyDescent="0.25">
      <c r="A1126" t="str">
        <f t="shared" si="18"/>
        <v xml:space="preserve">2000581STER-OP ED          </v>
      </c>
      <c r="B1126" s="96">
        <v>2000581</v>
      </c>
      <c r="C1126" s="96" t="s">
        <v>801</v>
      </c>
      <c r="D1126" s="96" t="s">
        <v>407</v>
      </c>
      <c r="E1126" s="96" t="s">
        <v>623</v>
      </c>
      <c r="F1126" s="96" t="s">
        <v>624</v>
      </c>
      <c r="G1126" s="99">
        <v>4048811</v>
      </c>
      <c r="H1126" s="97">
        <v>2.7668819999999998</v>
      </c>
      <c r="I1126" s="98">
        <v>11202582.277302001</v>
      </c>
      <c r="J1126" s="97">
        <v>2.3636919999476391</v>
      </c>
      <c r="K1126" s="98">
        <v>1632440.107302</v>
      </c>
      <c r="L1126" s="99">
        <v>0</v>
      </c>
      <c r="M1126" s="98">
        <v>0</v>
      </c>
      <c r="N1126" s="99">
        <v>0</v>
      </c>
      <c r="O1126" s="98">
        <v>0</v>
      </c>
      <c r="P1126" s="99">
        <v>4048811</v>
      </c>
      <c r="Q1126" s="98">
        <v>11202582.277302001</v>
      </c>
      <c r="R1126" s="96" t="s">
        <v>625</v>
      </c>
      <c r="S1126" s="96">
        <v>7414000005</v>
      </c>
      <c r="AA1126" s="131" t="s">
        <v>403</v>
      </c>
      <c r="AB1126" s="130">
        <v>2199262</v>
      </c>
      <c r="AC1126" s="130">
        <v>2199262</v>
      </c>
    </row>
    <row r="1127" spans="1:29" x14ac:dyDescent="0.25">
      <c r="A1127" t="str">
        <f t="shared" si="18"/>
        <v xml:space="preserve">2000581STERGOB ED          </v>
      </c>
      <c r="B1127" s="96">
        <v>2000597</v>
      </c>
      <c r="C1127" s="96" t="s">
        <v>802</v>
      </c>
      <c r="D1127" s="96" t="s">
        <v>411</v>
      </c>
      <c r="E1127" s="96" t="s">
        <v>623</v>
      </c>
      <c r="F1127" s="96" t="s">
        <v>624</v>
      </c>
      <c r="G1127" s="99">
        <v>6680</v>
      </c>
      <c r="H1127" s="97">
        <v>3.4985729999999999</v>
      </c>
      <c r="I1127" s="98">
        <v>23370.467639999999</v>
      </c>
      <c r="J1127" s="97">
        <v>3.4544176646706588</v>
      </c>
      <c r="K1127" s="98">
        <v>294.95764000000003</v>
      </c>
      <c r="L1127" s="99">
        <v>0</v>
      </c>
      <c r="M1127" s="98">
        <v>0</v>
      </c>
      <c r="N1127" s="99">
        <v>0</v>
      </c>
      <c r="O1127" s="98">
        <v>0</v>
      </c>
      <c r="P1127" s="99">
        <v>6680</v>
      </c>
      <c r="Q1127" s="98">
        <v>23370.467639999999</v>
      </c>
      <c r="R1127" s="96" t="s">
        <v>625</v>
      </c>
      <c r="S1127" s="96">
        <v>7414000005</v>
      </c>
      <c r="AA1127" s="131" t="s">
        <v>358</v>
      </c>
      <c r="AB1127" s="130">
        <v>6610050</v>
      </c>
      <c r="AC1127" s="130">
        <v>6610050</v>
      </c>
    </row>
    <row r="1128" spans="1:29" x14ac:dyDescent="0.25">
      <c r="A1128" t="str">
        <f t="shared" si="18"/>
        <v xml:space="preserve">2000581SVIVE60 ED          </v>
      </c>
      <c r="B1128" s="96">
        <v>2000722</v>
      </c>
      <c r="C1128" s="96" t="s">
        <v>803</v>
      </c>
      <c r="D1128" s="96" t="s">
        <v>473</v>
      </c>
      <c r="E1128" s="96" t="s">
        <v>623</v>
      </c>
      <c r="F1128" s="96" t="s">
        <v>624</v>
      </c>
      <c r="G1128" s="99">
        <v>1262506</v>
      </c>
      <c r="H1128" s="97">
        <v>3.568238</v>
      </c>
      <c r="I1128" s="98">
        <v>4504921.8844280001</v>
      </c>
      <c r="J1128" s="97">
        <v>3.5194257373826341</v>
      </c>
      <c r="K1128" s="98">
        <v>61625.774427999997</v>
      </c>
      <c r="L1128" s="99">
        <v>0</v>
      </c>
      <c r="M1128" s="98">
        <v>0</v>
      </c>
      <c r="N1128" s="99">
        <v>0</v>
      </c>
      <c r="O1128" s="98">
        <v>0</v>
      </c>
      <c r="P1128" s="99">
        <v>1262506</v>
      </c>
      <c r="Q1128" s="98">
        <v>4504921.8844280001</v>
      </c>
      <c r="R1128" s="96" t="s">
        <v>625</v>
      </c>
      <c r="S1128" s="96">
        <v>7414000005</v>
      </c>
      <c r="AA1128" s="131" t="s">
        <v>365</v>
      </c>
      <c r="AB1128" s="130">
        <v>1641173.4</v>
      </c>
      <c r="AC1128" s="130">
        <v>1641173.4</v>
      </c>
    </row>
    <row r="1129" spans="1:29" x14ac:dyDescent="0.25">
      <c r="A1129" t="str">
        <f t="shared" si="18"/>
        <v xml:space="preserve">2000597STERGOB B2          </v>
      </c>
      <c r="B1129" s="96">
        <v>2000724</v>
      </c>
      <c r="C1129" s="96" t="s">
        <v>804</v>
      </c>
      <c r="D1129" s="96" t="s">
        <v>473</v>
      </c>
      <c r="E1129" s="96" t="s">
        <v>623</v>
      </c>
      <c r="F1129" s="96" t="s">
        <v>624</v>
      </c>
      <c r="G1129" s="99">
        <v>1084620</v>
      </c>
      <c r="H1129" s="97">
        <v>3.568238</v>
      </c>
      <c r="I1129" s="98">
        <v>3870182.2995600002</v>
      </c>
      <c r="J1129" s="97">
        <v>3.5339675185779353</v>
      </c>
      <c r="K1129" s="98">
        <v>37170.449560000001</v>
      </c>
      <c r="L1129" s="99">
        <v>0</v>
      </c>
      <c r="M1129" s="98">
        <v>0</v>
      </c>
      <c r="N1129" s="99">
        <v>0</v>
      </c>
      <c r="O1129" s="98">
        <v>0</v>
      </c>
      <c r="P1129" s="99">
        <v>1084620</v>
      </c>
      <c r="Q1129" s="98">
        <v>3870182.2995600002</v>
      </c>
      <c r="R1129" s="96" t="s">
        <v>625</v>
      </c>
      <c r="S1129" s="96">
        <v>7414000005</v>
      </c>
      <c r="AA1129" s="131" t="s">
        <v>367</v>
      </c>
      <c r="AB1129" s="130">
        <v>367841.25</v>
      </c>
      <c r="AC1129" s="130">
        <v>367841.25</v>
      </c>
    </row>
    <row r="1130" spans="1:29" x14ac:dyDescent="0.25">
      <c r="A1130" t="str">
        <f t="shared" si="18"/>
        <v xml:space="preserve">2000722STERGOB B3          </v>
      </c>
      <c r="B1130" s="96">
        <v>2000725</v>
      </c>
      <c r="C1130" s="96" t="s">
        <v>805</v>
      </c>
      <c r="D1130" s="96" t="s">
        <v>473</v>
      </c>
      <c r="E1130" s="96" t="s">
        <v>623</v>
      </c>
      <c r="F1130" s="96" t="s">
        <v>624</v>
      </c>
      <c r="G1130" s="99">
        <v>42</v>
      </c>
      <c r="H1130" s="97">
        <v>3.568238</v>
      </c>
      <c r="I1130" s="98">
        <v>149.865996</v>
      </c>
      <c r="J1130" s="97">
        <v>3.5033333333333334</v>
      </c>
      <c r="K1130" s="98">
        <v>2.7259959999999999</v>
      </c>
      <c r="L1130" s="99">
        <v>0</v>
      </c>
      <c r="M1130" s="98">
        <v>0</v>
      </c>
      <c r="N1130" s="99">
        <v>0</v>
      </c>
      <c r="O1130" s="98">
        <v>0</v>
      </c>
      <c r="P1130" s="99">
        <v>42</v>
      </c>
      <c r="Q1130" s="98">
        <v>149.865996</v>
      </c>
      <c r="R1130" s="96" t="s">
        <v>625</v>
      </c>
      <c r="S1130" s="96">
        <v>7414000005</v>
      </c>
      <c r="AA1130" s="131" t="s">
        <v>368</v>
      </c>
      <c r="AB1130" s="130">
        <v>1243080</v>
      </c>
      <c r="AC1130" s="130">
        <v>1243080</v>
      </c>
    </row>
    <row r="1131" spans="1:29" x14ac:dyDescent="0.25">
      <c r="A1131" t="str">
        <f t="shared" si="18"/>
        <v xml:space="preserve">2000724STERGOB B3          </v>
      </c>
      <c r="B1131" s="96">
        <v>2000730</v>
      </c>
      <c r="C1131" s="96" t="s">
        <v>806</v>
      </c>
      <c r="D1131" s="96" t="s">
        <v>411</v>
      </c>
      <c r="E1131" s="96" t="s">
        <v>623</v>
      </c>
      <c r="F1131" s="96" t="s">
        <v>624</v>
      </c>
      <c r="G1131" s="99">
        <v>1403655</v>
      </c>
      <c r="H1131" s="97">
        <v>3.4985729999999999</v>
      </c>
      <c r="I1131" s="98">
        <v>4910789.4843149995</v>
      </c>
      <c r="J1131" s="97">
        <v>3.4525532556076812</v>
      </c>
      <c r="K1131" s="98">
        <v>64595.844315000002</v>
      </c>
      <c r="L1131" s="99">
        <v>0</v>
      </c>
      <c r="M1131" s="98">
        <v>0</v>
      </c>
      <c r="N1131" s="99">
        <v>0</v>
      </c>
      <c r="O1131" s="98">
        <v>0</v>
      </c>
      <c r="P1131" s="99">
        <v>1403655</v>
      </c>
      <c r="Q1131" s="98">
        <v>4910789.4843149995</v>
      </c>
      <c r="R1131" s="96" t="s">
        <v>625</v>
      </c>
      <c r="S1131" s="96">
        <v>7414000005</v>
      </c>
      <c r="AA1131" s="131" t="s">
        <v>381</v>
      </c>
      <c r="AB1131" s="130">
        <v>4426831.2659339998</v>
      </c>
      <c r="AC1131" s="130">
        <v>4426831.2659339998</v>
      </c>
    </row>
    <row r="1132" spans="1:29" x14ac:dyDescent="0.25">
      <c r="A1132" t="str">
        <f t="shared" si="18"/>
        <v xml:space="preserve">2000725STERGOB B3          </v>
      </c>
      <c r="B1132" s="96">
        <v>2000739</v>
      </c>
      <c r="C1132" s="96" t="s">
        <v>807</v>
      </c>
      <c r="D1132" s="96" t="s">
        <v>358</v>
      </c>
      <c r="E1132" s="96" t="s">
        <v>623</v>
      </c>
      <c r="F1132" s="96" t="s">
        <v>624</v>
      </c>
      <c r="G1132" s="99">
        <v>470</v>
      </c>
      <c r="H1132" s="97">
        <v>1786.5</v>
      </c>
      <c r="I1132" s="98">
        <v>839655</v>
      </c>
      <c r="J1132" s="97">
        <v>1367.95</v>
      </c>
      <c r="K1132" s="98">
        <v>196718.5</v>
      </c>
      <c r="L1132" s="99">
        <v>0</v>
      </c>
      <c r="M1132" s="98">
        <v>0</v>
      </c>
      <c r="N1132" s="99">
        <v>0</v>
      </c>
      <c r="O1132" s="98">
        <v>0</v>
      </c>
      <c r="P1132" s="99">
        <v>470</v>
      </c>
      <c r="Q1132" s="98">
        <v>839655</v>
      </c>
      <c r="R1132" s="96" t="s">
        <v>625</v>
      </c>
      <c r="S1132" s="96">
        <v>7414000005</v>
      </c>
      <c r="AA1132" s="131" t="s">
        <v>388</v>
      </c>
      <c r="AB1132" s="130">
        <v>8071745</v>
      </c>
      <c r="AC1132" s="130">
        <v>8071745</v>
      </c>
    </row>
    <row r="1133" spans="1:29" x14ac:dyDescent="0.25">
      <c r="A1133" t="str">
        <f t="shared" si="18"/>
        <v xml:space="preserve">2000730STERGOB B2          </v>
      </c>
      <c r="B1133" s="96">
        <v>2000739</v>
      </c>
      <c r="C1133" s="96" t="s">
        <v>807</v>
      </c>
      <c r="D1133" s="96" t="s">
        <v>568</v>
      </c>
      <c r="E1133" s="96" t="s">
        <v>623</v>
      </c>
      <c r="F1133" s="96" t="s">
        <v>624</v>
      </c>
      <c r="G1133" s="99">
        <v>47898</v>
      </c>
      <c r="H1133" s="97">
        <v>48.559412999999999</v>
      </c>
      <c r="I1133" s="98">
        <v>2325898.7638739999</v>
      </c>
      <c r="J1133" s="97">
        <v>32.818488037078794</v>
      </c>
      <c r="K1133" s="98">
        <v>753958.82387399999</v>
      </c>
      <c r="L1133" s="99">
        <v>0</v>
      </c>
      <c r="M1133" s="98">
        <v>0</v>
      </c>
      <c r="N1133" s="99">
        <v>0</v>
      </c>
      <c r="O1133" s="98">
        <v>0</v>
      </c>
      <c r="P1133" s="99">
        <v>47898</v>
      </c>
      <c r="Q1133" s="98">
        <v>2325898.7638739999</v>
      </c>
      <c r="R1133" s="96" t="s">
        <v>625</v>
      </c>
      <c r="S1133" s="96">
        <v>7414000005</v>
      </c>
      <c r="AA1133" s="131" t="s">
        <v>401</v>
      </c>
      <c r="AB1133" s="130">
        <v>2218150</v>
      </c>
      <c r="AC1133" s="130">
        <v>2218150</v>
      </c>
    </row>
    <row r="1134" spans="1:29" x14ac:dyDescent="0.25">
      <c r="A1134" t="str">
        <f t="shared" si="18"/>
        <v xml:space="preserve">2000739ACWI *              </v>
      </c>
      <c r="B1134" s="96">
        <v>2000739</v>
      </c>
      <c r="C1134" s="96" t="s">
        <v>807</v>
      </c>
      <c r="D1134" s="96" t="s">
        <v>459</v>
      </c>
      <c r="E1134" s="96" t="s">
        <v>623</v>
      </c>
      <c r="F1134" s="96" t="s">
        <v>624</v>
      </c>
      <c r="G1134" s="99">
        <v>399680</v>
      </c>
      <c r="H1134" s="97">
        <v>4.5848760000000004</v>
      </c>
      <c r="I1134" s="98">
        <v>1832483.2396800001</v>
      </c>
      <c r="J1134" s="97">
        <v>3.3440324509607686</v>
      </c>
      <c r="K1134" s="98">
        <v>495940.34967999998</v>
      </c>
      <c r="L1134" s="99">
        <v>0</v>
      </c>
      <c r="M1134" s="98">
        <v>0</v>
      </c>
      <c r="N1134" s="99">
        <v>0</v>
      </c>
      <c r="O1134" s="98">
        <v>0</v>
      </c>
      <c r="P1134" s="99">
        <v>399680</v>
      </c>
      <c r="Q1134" s="98">
        <v>1832483.2396800001</v>
      </c>
      <c r="R1134" s="96" t="s">
        <v>625</v>
      </c>
      <c r="S1134" s="96">
        <v>7414000005</v>
      </c>
      <c r="AA1134" s="131" t="s">
        <v>540</v>
      </c>
      <c r="AB1134" s="130">
        <v>522432</v>
      </c>
      <c r="AC1134" s="130">
        <v>522432</v>
      </c>
    </row>
    <row r="1135" spans="1:29" x14ac:dyDescent="0.25">
      <c r="A1135" t="str">
        <f t="shared" si="18"/>
        <v xml:space="preserve">2000739ST&amp;ER-7 ED          </v>
      </c>
      <c r="B1135" s="96">
        <v>2000739</v>
      </c>
      <c r="C1135" s="96" t="s">
        <v>807</v>
      </c>
      <c r="D1135" s="96" t="s">
        <v>569</v>
      </c>
      <c r="E1135" s="96" t="s">
        <v>623</v>
      </c>
      <c r="F1135" s="96" t="s">
        <v>624</v>
      </c>
      <c r="G1135" s="99">
        <v>637286</v>
      </c>
      <c r="H1135" s="97">
        <v>3.5281129999999998</v>
      </c>
      <c r="I1135" s="98">
        <v>2248417.0213179998</v>
      </c>
      <c r="J1135" s="97">
        <v>2.3012690063801808</v>
      </c>
      <c r="K1135" s="98">
        <v>781850.50131800002</v>
      </c>
      <c r="L1135" s="99">
        <v>0</v>
      </c>
      <c r="M1135" s="98">
        <v>0</v>
      </c>
      <c r="N1135" s="99">
        <v>0</v>
      </c>
      <c r="O1135" s="98">
        <v>0</v>
      </c>
      <c r="P1135" s="99">
        <v>637286</v>
      </c>
      <c r="Q1135" s="98">
        <v>2248417.0213179998</v>
      </c>
      <c r="R1135" s="96" t="s">
        <v>625</v>
      </c>
      <c r="S1135" s="96">
        <v>7414000005</v>
      </c>
      <c r="AA1135" s="131" t="s">
        <v>393</v>
      </c>
      <c r="AB1135" s="130">
        <v>1629886.023024</v>
      </c>
      <c r="AC1135" s="130">
        <v>1629886.023024</v>
      </c>
    </row>
    <row r="1136" spans="1:29" x14ac:dyDescent="0.25">
      <c r="A1136" t="str">
        <f t="shared" si="18"/>
        <v xml:space="preserve">2000739STER-OP ED          </v>
      </c>
      <c r="B1136" s="96">
        <v>2000739</v>
      </c>
      <c r="C1136" s="96" t="s">
        <v>807</v>
      </c>
      <c r="D1136" s="96" t="s">
        <v>389</v>
      </c>
      <c r="E1136" s="96" t="s">
        <v>623</v>
      </c>
      <c r="F1136" s="96" t="s">
        <v>624</v>
      </c>
      <c r="G1136" s="99">
        <v>79736</v>
      </c>
      <c r="H1136" s="97">
        <v>3.3967719999999999</v>
      </c>
      <c r="I1136" s="98">
        <v>270845.01219199999</v>
      </c>
      <c r="J1136" s="97">
        <v>2.7001970251831042</v>
      </c>
      <c r="K1136" s="98">
        <v>55542.102191999998</v>
      </c>
      <c r="L1136" s="99">
        <v>0</v>
      </c>
      <c r="M1136" s="98">
        <v>0</v>
      </c>
      <c r="N1136" s="99">
        <v>0</v>
      </c>
      <c r="O1136" s="98">
        <v>0</v>
      </c>
      <c r="P1136" s="99">
        <v>79736</v>
      </c>
      <c r="Q1136" s="98">
        <v>270845.01219199999</v>
      </c>
      <c r="R1136" s="96" t="s">
        <v>625</v>
      </c>
      <c r="S1136" s="96">
        <v>7414000005</v>
      </c>
      <c r="AA1136" s="131" t="s">
        <v>503</v>
      </c>
      <c r="AB1136" s="130">
        <v>521815</v>
      </c>
      <c r="AC1136" s="130">
        <v>521815</v>
      </c>
    </row>
    <row r="1137" spans="1:29" x14ac:dyDescent="0.25">
      <c r="A1137" t="str">
        <f t="shared" si="18"/>
        <v xml:space="preserve">2000739STEREAL ED          </v>
      </c>
      <c r="B1137" s="96">
        <v>2000776</v>
      </c>
      <c r="C1137" s="96" t="s">
        <v>808</v>
      </c>
      <c r="D1137" s="96" t="s">
        <v>473</v>
      </c>
      <c r="E1137" s="96" t="s">
        <v>623</v>
      </c>
      <c r="F1137" s="96" t="s">
        <v>624</v>
      </c>
      <c r="G1137" s="99">
        <v>4313721</v>
      </c>
      <c r="H1137" s="97">
        <v>3.568238</v>
      </c>
      <c r="I1137" s="98">
        <v>15392383.193598</v>
      </c>
      <c r="J1137" s="97">
        <v>3.5358036646319966</v>
      </c>
      <c r="K1137" s="98">
        <v>139912.67359799999</v>
      </c>
      <c r="L1137" s="99">
        <v>0</v>
      </c>
      <c r="M1137" s="98">
        <v>0</v>
      </c>
      <c r="N1137" s="99">
        <v>0</v>
      </c>
      <c r="O1137" s="98">
        <v>0</v>
      </c>
      <c r="P1137" s="99">
        <v>4313721</v>
      </c>
      <c r="Q1137" s="98">
        <v>15392383.193598</v>
      </c>
      <c r="R1137" s="96" t="s">
        <v>625</v>
      </c>
      <c r="S1137" s="96">
        <v>7414000005</v>
      </c>
      <c r="AA1137" s="131" t="s">
        <v>385</v>
      </c>
      <c r="AB1137" s="130">
        <v>464260.24638000003</v>
      </c>
      <c r="AC1137" s="130">
        <v>464260.24638000003</v>
      </c>
    </row>
    <row r="1138" spans="1:29" x14ac:dyDescent="0.25">
      <c r="A1138" t="str">
        <f t="shared" si="18"/>
        <v xml:space="preserve">2000739STERGOB ED          </v>
      </c>
      <c r="B1138" s="96">
        <v>2000777</v>
      </c>
      <c r="C1138" s="96" t="s">
        <v>809</v>
      </c>
      <c r="D1138" s="96" t="s">
        <v>473</v>
      </c>
      <c r="E1138" s="96" t="s">
        <v>623</v>
      </c>
      <c r="F1138" s="96" t="s">
        <v>624</v>
      </c>
      <c r="G1138" s="99">
        <v>637008</v>
      </c>
      <c r="H1138" s="97">
        <v>3.568238</v>
      </c>
      <c r="I1138" s="98">
        <v>2272996.151904</v>
      </c>
      <c r="J1138" s="97">
        <v>3.5099088551478159</v>
      </c>
      <c r="K1138" s="98">
        <v>37156.131904000002</v>
      </c>
      <c r="L1138" s="99">
        <v>0</v>
      </c>
      <c r="M1138" s="98">
        <v>0</v>
      </c>
      <c r="N1138" s="99">
        <v>0</v>
      </c>
      <c r="O1138" s="98">
        <v>0</v>
      </c>
      <c r="P1138" s="99">
        <v>637008</v>
      </c>
      <c r="Q1138" s="98">
        <v>2272996.151904</v>
      </c>
      <c r="R1138" s="96" t="s">
        <v>625</v>
      </c>
      <c r="S1138" s="96">
        <v>7414000005</v>
      </c>
      <c r="AA1138" s="131" t="s">
        <v>500</v>
      </c>
      <c r="AB1138" s="130">
        <v>596790</v>
      </c>
      <c r="AC1138" s="130">
        <v>596790</v>
      </c>
    </row>
    <row r="1139" spans="1:29" x14ac:dyDescent="0.25">
      <c r="A1139" t="str">
        <f t="shared" si="18"/>
        <v xml:space="preserve">2000776STERGOB B3          </v>
      </c>
      <c r="B1139" s="96">
        <v>2000778</v>
      </c>
      <c r="C1139" s="96" t="s">
        <v>810</v>
      </c>
      <c r="D1139" s="96" t="s">
        <v>473</v>
      </c>
      <c r="E1139" s="96" t="s">
        <v>623</v>
      </c>
      <c r="F1139" s="96" t="s">
        <v>624</v>
      </c>
      <c r="G1139" s="99">
        <v>3422200</v>
      </c>
      <c r="H1139" s="97">
        <v>3.568238</v>
      </c>
      <c r="I1139" s="98">
        <v>12211224.0836</v>
      </c>
      <c r="J1139" s="97">
        <v>3.5110708111740987</v>
      </c>
      <c r="K1139" s="98">
        <v>195637.55360000001</v>
      </c>
      <c r="L1139" s="99">
        <v>0</v>
      </c>
      <c r="M1139" s="98">
        <v>0</v>
      </c>
      <c r="N1139" s="99">
        <v>0</v>
      </c>
      <c r="O1139" s="98">
        <v>0</v>
      </c>
      <c r="P1139" s="99">
        <v>3422200</v>
      </c>
      <c r="Q1139" s="98">
        <v>12211224.0836</v>
      </c>
      <c r="R1139" s="96" t="s">
        <v>625</v>
      </c>
      <c r="S1139" s="96">
        <v>7414000005</v>
      </c>
      <c r="AA1139" s="131" t="s">
        <v>541</v>
      </c>
      <c r="AB1139" s="130">
        <v>702000</v>
      </c>
      <c r="AC1139" s="130">
        <v>702000</v>
      </c>
    </row>
    <row r="1140" spans="1:29" x14ac:dyDescent="0.25">
      <c r="A1140" t="str">
        <f t="shared" si="18"/>
        <v xml:space="preserve">2000777STERGOB B3          </v>
      </c>
      <c r="B1140" s="96">
        <v>2000791</v>
      </c>
      <c r="C1140" s="96" t="s">
        <v>811</v>
      </c>
      <c r="D1140" s="96" t="s">
        <v>358</v>
      </c>
      <c r="E1140" s="96" t="s">
        <v>623</v>
      </c>
      <c r="F1140" s="96" t="s">
        <v>624</v>
      </c>
      <c r="G1140" s="99">
        <v>900</v>
      </c>
      <c r="H1140" s="97">
        <v>1786.5</v>
      </c>
      <c r="I1140" s="98">
        <v>1607850</v>
      </c>
      <c r="J1140" s="97">
        <v>1410.5106555555556</v>
      </c>
      <c r="K1140" s="98">
        <v>427715.41</v>
      </c>
      <c r="L1140" s="99">
        <v>-50</v>
      </c>
      <c r="M1140" s="98">
        <v>-90202</v>
      </c>
      <c r="N1140" s="99">
        <v>0</v>
      </c>
      <c r="O1140" s="98">
        <v>0</v>
      </c>
      <c r="P1140" s="99">
        <v>850</v>
      </c>
      <c r="Q1140" s="98">
        <v>1517648</v>
      </c>
      <c r="R1140" s="96" t="s">
        <v>625</v>
      </c>
      <c r="S1140" s="96">
        <v>7414000005</v>
      </c>
      <c r="AA1140" s="131" t="s">
        <v>371</v>
      </c>
      <c r="AB1140" s="130">
        <v>772600</v>
      </c>
      <c r="AC1140" s="130">
        <v>772600</v>
      </c>
    </row>
    <row r="1141" spans="1:29" x14ac:dyDescent="0.25">
      <c r="A1141" t="str">
        <f t="shared" si="18"/>
        <v xml:space="preserve">2000778STERGOB B3          </v>
      </c>
      <c r="B1141" s="96">
        <v>2000791</v>
      </c>
      <c r="C1141" s="96" t="s">
        <v>811</v>
      </c>
      <c r="D1141" s="96" t="s">
        <v>459</v>
      </c>
      <c r="E1141" s="96" t="s">
        <v>623</v>
      </c>
      <c r="F1141" s="96" t="s">
        <v>624</v>
      </c>
      <c r="G1141" s="99">
        <v>1040000</v>
      </c>
      <c r="H1141" s="97">
        <v>4.5848760000000004</v>
      </c>
      <c r="I1141" s="98">
        <v>4768271.04</v>
      </c>
      <c r="J1141" s="97">
        <v>4.0513652307692309</v>
      </c>
      <c r="K1141" s="98">
        <v>692397.48</v>
      </c>
      <c r="L1141" s="99">
        <v>-30000</v>
      </c>
      <c r="M1141" s="98">
        <v>-137546.28</v>
      </c>
      <c r="N1141" s="99">
        <v>0</v>
      </c>
      <c r="O1141" s="98">
        <v>0</v>
      </c>
      <c r="P1141" s="99">
        <v>1010000</v>
      </c>
      <c r="Q1141" s="98">
        <v>4630724.76</v>
      </c>
      <c r="R1141" s="96" t="s">
        <v>625</v>
      </c>
      <c r="S1141" s="96">
        <v>7414000005</v>
      </c>
      <c r="AA1141" s="131" t="s">
        <v>375</v>
      </c>
      <c r="AB1141" s="130">
        <v>1549770.288253</v>
      </c>
      <c r="AC1141" s="130">
        <v>1549770.288253</v>
      </c>
    </row>
    <row r="1142" spans="1:29" x14ac:dyDescent="0.25">
      <c r="A1142" t="str">
        <f t="shared" si="18"/>
        <v xml:space="preserve">2000791ACWI *              </v>
      </c>
      <c r="B1142" s="96">
        <v>2000791</v>
      </c>
      <c r="C1142" s="96" t="s">
        <v>811</v>
      </c>
      <c r="D1142" s="96" t="s">
        <v>389</v>
      </c>
      <c r="E1142" s="96" t="s">
        <v>623</v>
      </c>
      <c r="F1142" s="96" t="s">
        <v>624</v>
      </c>
      <c r="G1142" s="99">
        <v>4488918</v>
      </c>
      <c r="H1142" s="97">
        <v>3.3967719999999999</v>
      </c>
      <c r="I1142" s="98">
        <v>15247830.972696001</v>
      </c>
      <c r="J1142" s="97">
        <v>3.1945733715786298</v>
      </c>
      <c r="K1142" s="98">
        <v>907653.06269599998</v>
      </c>
      <c r="L1142" s="99">
        <v>0</v>
      </c>
      <c r="M1142" s="98">
        <v>0</v>
      </c>
      <c r="N1142" s="99">
        <v>0</v>
      </c>
      <c r="O1142" s="98">
        <v>0</v>
      </c>
      <c r="P1142" s="99">
        <v>4488918</v>
      </c>
      <c r="Q1142" s="98">
        <v>15247830.972696001</v>
      </c>
      <c r="R1142" s="96" t="s">
        <v>625</v>
      </c>
      <c r="S1142" s="96">
        <v>7414000005</v>
      </c>
      <c r="AA1142" s="131" t="s">
        <v>399</v>
      </c>
      <c r="AB1142" s="130">
        <v>3478305.6356830001</v>
      </c>
      <c r="AC1142" s="130">
        <v>3478305.6356830001</v>
      </c>
    </row>
    <row r="1143" spans="1:29" x14ac:dyDescent="0.25">
      <c r="A1143" t="str">
        <f t="shared" si="18"/>
        <v xml:space="preserve">2000791STER-OP ED          </v>
      </c>
      <c r="B1143" s="96">
        <v>2000791</v>
      </c>
      <c r="C1143" s="96" t="s">
        <v>811</v>
      </c>
      <c r="D1143" s="96" t="s">
        <v>407</v>
      </c>
      <c r="E1143" s="96" t="s">
        <v>623</v>
      </c>
      <c r="F1143" s="96" t="s">
        <v>624</v>
      </c>
      <c r="G1143" s="99">
        <v>6664683</v>
      </c>
      <c r="H1143" s="97">
        <v>2.7668819999999998</v>
      </c>
      <c r="I1143" s="98">
        <v>18440391.428406</v>
      </c>
      <c r="J1143" s="97">
        <v>2.3636920000546162</v>
      </c>
      <c r="K1143" s="98">
        <v>2687133.538406</v>
      </c>
      <c r="L1143" s="99">
        <v>0</v>
      </c>
      <c r="M1143" s="98">
        <v>0</v>
      </c>
      <c r="N1143" s="99">
        <v>0</v>
      </c>
      <c r="O1143" s="98">
        <v>0</v>
      </c>
      <c r="P1143" s="99">
        <v>6664683</v>
      </c>
      <c r="Q1143" s="98">
        <v>18440391.428406</v>
      </c>
      <c r="R1143" s="96" t="s">
        <v>625</v>
      </c>
      <c r="S1143" s="96">
        <v>7414000005</v>
      </c>
      <c r="AA1143" s="131" t="s">
        <v>429</v>
      </c>
      <c r="AB1143" s="130">
        <v>3945501.3733379999</v>
      </c>
      <c r="AC1143" s="130">
        <v>3945501.3733379999</v>
      </c>
    </row>
    <row r="1144" spans="1:29" x14ac:dyDescent="0.25">
      <c r="A1144" t="str">
        <f t="shared" si="18"/>
        <v xml:space="preserve">2000791STERGOB ED          </v>
      </c>
      <c r="B1144" s="96">
        <v>2000795</v>
      </c>
      <c r="C1144" s="96" t="s">
        <v>812</v>
      </c>
      <c r="D1144" s="96" t="s">
        <v>357</v>
      </c>
      <c r="E1144" s="96" t="s">
        <v>623</v>
      </c>
      <c r="F1144" s="96" t="s">
        <v>624</v>
      </c>
      <c r="G1144" s="99">
        <v>5200</v>
      </c>
      <c r="H1144" s="97">
        <v>168.64</v>
      </c>
      <c r="I1144" s="98">
        <v>876928</v>
      </c>
      <c r="J1144" s="97">
        <v>177.75180961538462</v>
      </c>
      <c r="K1144" s="98">
        <v>-47381.41</v>
      </c>
      <c r="L1144" s="99">
        <v>0</v>
      </c>
      <c r="M1144" s="98">
        <v>0</v>
      </c>
      <c r="N1144" s="99">
        <v>0</v>
      </c>
      <c r="O1144" s="98">
        <v>0</v>
      </c>
      <c r="P1144" s="99">
        <v>5200</v>
      </c>
      <c r="Q1144" s="98">
        <v>876928</v>
      </c>
      <c r="R1144" s="96" t="s">
        <v>625</v>
      </c>
      <c r="S1144" s="96">
        <v>7414000005</v>
      </c>
      <c r="AA1144" s="131" t="s">
        <v>394</v>
      </c>
      <c r="AB1144" s="130">
        <v>2546417.8894440001</v>
      </c>
      <c r="AC1144" s="130">
        <v>2546417.8894440001</v>
      </c>
    </row>
    <row r="1145" spans="1:29" x14ac:dyDescent="0.25">
      <c r="A1145" t="str">
        <f t="shared" si="18"/>
        <v xml:space="preserve">2000791SVIVE60 ED          </v>
      </c>
      <c r="B1145" s="96">
        <v>2000795</v>
      </c>
      <c r="C1145" s="96" t="s">
        <v>812</v>
      </c>
      <c r="D1145" s="96" t="s">
        <v>617</v>
      </c>
      <c r="E1145" s="96" t="s">
        <v>623</v>
      </c>
      <c r="F1145" s="96" t="s">
        <v>624</v>
      </c>
      <c r="G1145" s="99">
        <v>16400</v>
      </c>
      <c r="H1145" s="97">
        <v>11.86</v>
      </c>
      <c r="I1145" s="98">
        <v>194504</v>
      </c>
      <c r="J1145" s="97">
        <v>12.184011585365853</v>
      </c>
      <c r="K1145" s="98">
        <v>-5313.79</v>
      </c>
      <c r="L1145" s="99">
        <v>0</v>
      </c>
      <c r="M1145" s="98">
        <v>0</v>
      </c>
      <c r="N1145" s="99">
        <v>0</v>
      </c>
      <c r="O1145" s="98">
        <v>0</v>
      </c>
      <c r="P1145" s="99">
        <v>16400</v>
      </c>
      <c r="Q1145" s="98">
        <v>194504</v>
      </c>
      <c r="R1145" s="96" t="s">
        <v>625</v>
      </c>
      <c r="S1145" s="96">
        <v>7414000005</v>
      </c>
      <c r="AA1145" s="131" t="s">
        <v>379</v>
      </c>
      <c r="AB1145" s="130">
        <v>832343.18623200001</v>
      </c>
      <c r="AC1145" s="130">
        <v>832343.18623200001</v>
      </c>
    </row>
    <row r="1146" spans="1:29" x14ac:dyDescent="0.25">
      <c r="A1146" t="str">
        <f t="shared" si="18"/>
        <v xml:space="preserve">2000795AC *                </v>
      </c>
      <c r="B1146" s="96">
        <v>2000795</v>
      </c>
      <c r="C1146" s="96" t="s">
        <v>812</v>
      </c>
      <c r="D1146" s="96" t="s">
        <v>359</v>
      </c>
      <c r="E1146" s="96" t="s">
        <v>623</v>
      </c>
      <c r="F1146" s="96" t="s">
        <v>624</v>
      </c>
      <c r="G1146" s="99">
        <v>13600</v>
      </c>
      <c r="H1146" s="97">
        <v>73.37</v>
      </c>
      <c r="I1146" s="98">
        <v>997832</v>
      </c>
      <c r="J1146" s="97">
        <v>61.954102941176473</v>
      </c>
      <c r="K1146" s="98">
        <v>155256.20000000001</v>
      </c>
      <c r="L1146" s="99">
        <v>0</v>
      </c>
      <c r="M1146" s="98">
        <v>0</v>
      </c>
      <c r="N1146" s="99">
        <v>0</v>
      </c>
      <c r="O1146" s="98">
        <v>0</v>
      </c>
      <c r="P1146" s="99">
        <v>13600</v>
      </c>
      <c r="Q1146" s="98">
        <v>997832</v>
      </c>
      <c r="R1146" s="96" t="s">
        <v>625</v>
      </c>
      <c r="S1146" s="96">
        <v>7414000005</v>
      </c>
      <c r="AA1146" s="131" t="s">
        <v>377</v>
      </c>
      <c r="AB1146" s="130">
        <v>506206.87351</v>
      </c>
      <c r="AC1146" s="130">
        <v>506206.87351</v>
      </c>
    </row>
    <row r="1147" spans="1:29" x14ac:dyDescent="0.25">
      <c r="A1147" t="str">
        <f t="shared" si="18"/>
        <v xml:space="preserve">2000795ALPEK A             </v>
      </c>
      <c r="B1147" s="96">
        <v>2000795</v>
      </c>
      <c r="C1147" s="96" t="s">
        <v>812</v>
      </c>
      <c r="D1147" s="96" t="s">
        <v>360</v>
      </c>
      <c r="E1147" s="96" t="s">
        <v>623</v>
      </c>
      <c r="F1147" s="96" t="s">
        <v>624</v>
      </c>
      <c r="G1147" s="99">
        <v>214600</v>
      </c>
      <c r="H1147" s="97">
        <v>15.12</v>
      </c>
      <c r="I1147" s="98">
        <v>3244752</v>
      </c>
      <c r="J1147" s="97">
        <v>16.447551580149113</v>
      </c>
      <c r="K1147" s="98">
        <v>-284892.56910000002</v>
      </c>
      <c r="L1147" s="99">
        <v>0</v>
      </c>
      <c r="M1147" s="98">
        <v>0</v>
      </c>
      <c r="N1147" s="99">
        <v>0</v>
      </c>
      <c r="O1147" s="98">
        <v>0</v>
      </c>
      <c r="P1147" s="99">
        <v>214600</v>
      </c>
      <c r="Q1147" s="98">
        <v>3244752</v>
      </c>
      <c r="R1147" s="96" t="s">
        <v>625</v>
      </c>
      <c r="S1147" s="96">
        <v>7414000005</v>
      </c>
      <c r="AA1147" s="131" t="s">
        <v>422</v>
      </c>
      <c r="AB1147" s="130">
        <v>104685.53931199999</v>
      </c>
      <c r="AC1147" s="130">
        <v>104685.53931199999</v>
      </c>
    </row>
    <row r="1148" spans="1:29" x14ac:dyDescent="0.25">
      <c r="A1148" t="str">
        <f t="shared" si="18"/>
        <v xml:space="preserve">2000795ALSEA *             </v>
      </c>
      <c r="B1148" s="96">
        <v>2000795</v>
      </c>
      <c r="C1148" s="96" t="s">
        <v>812</v>
      </c>
      <c r="D1148" s="96" t="s">
        <v>551</v>
      </c>
      <c r="E1148" s="96" t="s">
        <v>623</v>
      </c>
      <c r="F1148" s="96" t="s">
        <v>624</v>
      </c>
      <c r="G1148" s="99">
        <v>4100</v>
      </c>
      <c r="H1148" s="97">
        <v>525.09</v>
      </c>
      <c r="I1148" s="98">
        <v>2152869</v>
      </c>
      <c r="J1148" s="97">
        <v>491.7044292682927</v>
      </c>
      <c r="K1148" s="98">
        <v>136880.84</v>
      </c>
      <c r="L1148" s="99">
        <v>0</v>
      </c>
      <c r="M1148" s="98">
        <v>0</v>
      </c>
      <c r="N1148" s="99">
        <v>0</v>
      </c>
      <c r="O1148" s="98">
        <v>0</v>
      </c>
      <c r="P1148" s="99">
        <v>4100</v>
      </c>
      <c r="Q1148" s="98">
        <v>2152869</v>
      </c>
      <c r="R1148" s="96" t="s">
        <v>625</v>
      </c>
      <c r="S1148" s="96">
        <v>7414000005</v>
      </c>
      <c r="AA1148" s="131" t="s">
        <v>392</v>
      </c>
      <c r="AB1148" s="130">
        <v>4856659.8080000002</v>
      </c>
      <c r="AC1148" s="130">
        <v>4856659.8080000002</v>
      </c>
    </row>
    <row r="1149" spans="1:29" x14ac:dyDescent="0.25">
      <c r="A1149" t="str">
        <f t="shared" si="18"/>
        <v xml:space="preserve">2000795AMX B               </v>
      </c>
      <c r="B1149" s="96">
        <v>2000795</v>
      </c>
      <c r="C1149" s="96" t="s">
        <v>812</v>
      </c>
      <c r="D1149" s="96" t="s">
        <v>361</v>
      </c>
      <c r="E1149" s="96" t="s">
        <v>623</v>
      </c>
      <c r="F1149" s="96" t="s">
        <v>624</v>
      </c>
      <c r="G1149" s="99">
        <v>9400</v>
      </c>
      <c r="H1149" s="97">
        <v>68.25</v>
      </c>
      <c r="I1149" s="98">
        <v>641550</v>
      </c>
      <c r="J1149" s="97">
        <v>78.644708510638296</v>
      </c>
      <c r="K1149" s="98">
        <v>-97710.26</v>
      </c>
      <c r="L1149" s="99">
        <v>0</v>
      </c>
      <c r="M1149" s="98">
        <v>0</v>
      </c>
      <c r="N1149" s="99">
        <v>0</v>
      </c>
      <c r="O1149" s="98">
        <v>0</v>
      </c>
      <c r="P1149" s="99">
        <v>9400</v>
      </c>
      <c r="Q1149" s="98">
        <v>641550</v>
      </c>
      <c r="R1149" s="96" t="s">
        <v>625</v>
      </c>
      <c r="S1149" s="96">
        <v>7414000005</v>
      </c>
      <c r="AA1149" s="131" t="s">
        <v>386</v>
      </c>
      <c r="AB1149" s="130">
        <v>3745916.6398510002</v>
      </c>
      <c r="AC1149" s="130">
        <v>3745916.6398510002</v>
      </c>
    </row>
    <row r="1150" spans="1:29" x14ac:dyDescent="0.25">
      <c r="A1150" t="str">
        <f t="shared" si="18"/>
        <v xml:space="preserve">2000795ASUR B              </v>
      </c>
      <c r="B1150" s="96">
        <v>2000795</v>
      </c>
      <c r="C1150" s="96" t="s">
        <v>812</v>
      </c>
      <c r="D1150" s="96" t="s">
        <v>362</v>
      </c>
      <c r="E1150" s="96" t="s">
        <v>623</v>
      </c>
      <c r="F1150" s="96" t="s">
        <v>624</v>
      </c>
      <c r="G1150" s="99">
        <v>262700</v>
      </c>
      <c r="H1150" s="97">
        <v>14.33</v>
      </c>
      <c r="I1150" s="98">
        <v>3764491</v>
      </c>
      <c r="J1150" s="97">
        <v>12.029771374191093</v>
      </c>
      <c r="K1150" s="98">
        <v>604270.06000000006</v>
      </c>
      <c r="L1150" s="99">
        <v>0</v>
      </c>
      <c r="M1150" s="98">
        <v>0</v>
      </c>
      <c r="N1150" s="99">
        <v>0</v>
      </c>
      <c r="O1150" s="98">
        <v>0</v>
      </c>
      <c r="P1150" s="99">
        <v>262700</v>
      </c>
      <c r="Q1150" s="98">
        <v>3764491</v>
      </c>
      <c r="R1150" s="96" t="s">
        <v>625</v>
      </c>
      <c r="S1150" s="96">
        <v>7414000005</v>
      </c>
      <c r="AA1150" s="131" t="s">
        <v>363</v>
      </c>
      <c r="AB1150" s="130">
        <v>2173414.5687799999</v>
      </c>
      <c r="AC1150" s="130">
        <v>2173414.5687799999</v>
      </c>
    </row>
    <row r="1151" spans="1:29" x14ac:dyDescent="0.25">
      <c r="A1151" t="str">
        <f t="shared" si="18"/>
        <v xml:space="preserve">2000795BIMBO A             </v>
      </c>
      <c r="B1151" s="96">
        <v>2000795</v>
      </c>
      <c r="C1151" s="96" t="s">
        <v>812</v>
      </c>
      <c r="D1151" s="96" t="s">
        <v>570</v>
      </c>
      <c r="E1151" s="96" t="s">
        <v>623</v>
      </c>
      <c r="F1151" s="96" t="s">
        <v>624</v>
      </c>
      <c r="G1151" s="99">
        <v>5000000</v>
      </c>
      <c r="H1151" s="97">
        <v>9.6141520000000007</v>
      </c>
      <c r="I1151" s="98">
        <v>48070760</v>
      </c>
      <c r="J1151" s="97">
        <v>9.0305956599999995</v>
      </c>
      <c r="K1151" s="98">
        <v>2917781.7</v>
      </c>
      <c r="L1151" s="99">
        <v>0</v>
      </c>
      <c r="M1151" s="98">
        <v>0</v>
      </c>
      <c r="N1151" s="99">
        <v>0</v>
      </c>
      <c r="O1151" s="98">
        <v>0</v>
      </c>
      <c r="P1151" s="99">
        <v>5000000</v>
      </c>
      <c r="Q1151" s="98">
        <v>48070760</v>
      </c>
      <c r="R1151" s="96" t="s">
        <v>625</v>
      </c>
      <c r="S1151" s="96">
        <v>7414000005</v>
      </c>
      <c r="AA1151" s="131" t="s">
        <v>409</v>
      </c>
      <c r="AB1151" s="130">
        <v>2911545.8417699998</v>
      </c>
      <c r="AC1151" s="130">
        <v>2911545.8417699998</v>
      </c>
    </row>
    <row r="1152" spans="1:29" x14ac:dyDescent="0.25">
      <c r="A1152" t="str">
        <f t="shared" si="18"/>
        <v xml:space="preserve">2000795CEMEX CPO           </v>
      </c>
      <c r="B1152" s="96">
        <v>2000795</v>
      </c>
      <c r="C1152" s="96" t="s">
        <v>812</v>
      </c>
      <c r="D1152" s="96" t="s">
        <v>363</v>
      </c>
      <c r="E1152" s="96" t="s">
        <v>623</v>
      </c>
      <c r="F1152" s="96" t="s">
        <v>624</v>
      </c>
      <c r="G1152" s="99">
        <v>127633</v>
      </c>
      <c r="H1152" s="97">
        <v>9.4935880000000008</v>
      </c>
      <c r="I1152" s="98">
        <v>1211695.117204</v>
      </c>
      <c r="J1152" s="97">
        <v>8.2405490399999994</v>
      </c>
      <c r="K1152" s="98">
        <v>159929.12158168</v>
      </c>
      <c r="L1152" s="99">
        <v>0</v>
      </c>
      <c r="M1152" s="98">
        <v>0</v>
      </c>
      <c r="N1152" s="99">
        <v>0</v>
      </c>
      <c r="O1152" s="98">
        <v>0</v>
      </c>
      <c r="P1152" s="99">
        <v>127633</v>
      </c>
      <c r="Q1152" s="98">
        <v>1211695.117204</v>
      </c>
      <c r="R1152" s="96" t="s">
        <v>625</v>
      </c>
      <c r="S1152" s="96">
        <v>7414000005</v>
      </c>
      <c r="AA1152" s="131" t="s">
        <v>383</v>
      </c>
      <c r="AB1152" s="130">
        <v>3996443.6425919998</v>
      </c>
      <c r="AC1152" s="130">
        <v>3996443.6425919998</v>
      </c>
    </row>
    <row r="1153" spans="1:29" x14ac:dyDescent="0.25">
      <c r="A1153" t="str">
        <f t="shared" si="18"/>
        <v xml:space="preserve">2000795CETES 240822        </v>
      </c>
      <c r="B1153" s="96">
        <v>2000795</v>
      </c>
      <c r="C1153" s="96" t="s">
        <v>812</v>
      </c>
      <c r="D1153" s="96" t="s">
        <v>409</v>
      </c>
      <c r="E1153" s="96" t="s">
        <v>623</v>
      </c>
      <c r="F1153" s="96" t="s">
        <v>624</v>
      </c>
      <c r="G1153" s="99">
        <v>636949</v>
      </c>
      <c r="H1153" s="97">
        <v>9.3381629999999998</v>
      </c>
      <c r="I1153" s="98">
        <v>5947933.5846870001</v>
      </c>
      <c r="J1153" s="97">
        <v>8.3209764517660592</v>
      </c>
      <c r="K1153" s="98">
        <v>647895.95471106004</v>
      </c>
      <c r="L1153" s="99">
        <v>0</v>
      </c>
      <c r="M1153" s="98">
        <v>0</v>
      </c>
      <c r="N1153" s="99">
        <v>0</v>
      </c>
      <c r="O1153" s="98">
        <v>0</v>
      </c>
      <c r="P1153" s="99">
        <v>636949</v>
      </c>
      <c r="Q1153" s="98">
        <v>5947933.5846870001</v>
      </c>
      <c r="R1153" s="96" t="s">
        <v>625</v>
      </c>
      <c r="S1153" s="96">
        <v>7414000005</v>
      </c>
      <c r="AA1153" s="131" t="s">
        <v>360</v>
      </c>
      <c r="AB1153" s="130">
        <v>1950480</v>
      </c>
      <c r="AC1153" s="130">
        <v>1950480</v>
      </c>
    </row>
    <row r="1154" spans="1:29" x14ac:dyDescent="0.25">
      <c r="A1154" t="str">
        <f t="shared" si="18"/>
        <v xml:space="preserve">2000795CETES 241003        </v>
      </c>
      <c r="B1154" s="96">
        <v>2000795</v>
      </c>
      <c r="C1154" s="96" t="s">
        <v>812</v>
      </c>
      <c r="D1154" s="96" t="s">
        <v>364</v>
      </c>
      <c r="E1154" s="96" t="s">
        <v>623</v>
      </c>
      <c r="F1154" s="96" t="s">
        <v>624</v>
      </c>
      <c r="G1154" s="99">
        <v>659930</v>
      </c>
      <c r="H1154" s="97">
        <v>9.190137</v>
      </c>
      <c r="I1154" s="98">
        <v>6064847.1104100002</v>
      </c>
      <c r="J1154" s="97">
        <v>8.2168159227684754</v>
      </c>
      <c r="K1154" s="98">
        <v>642323.7784974</v>
      </c>
      <c r="L1154" s="99">
        <v>0</v>
      </c>
      <c r="M1154" s="98">
        <v>0</v>
      </c>
      <c r="N1154" s="99">
        <v>0</v>
      </c>
      <c r="O1154" s="98">
        <v>0</v>
      </c>
      <c r="P1154" s="99">
        <v>659930</v>
      </c>
      <c r="Q1154" s="98">
        <v>6064847.1104100002</v>
      </c>
      <c r="R1154" s="96" t="s">
        <v>625</v>
      </c>
      <c r="S1154" s="96">
        <v>7414000005</v>
      </c>
      <c r="AA1154" s="131" t="s">
        <v>397</v>
      </c>
      <c r="AB1154" s="130">
        <v>777146.93141800002</v>
      </c>
      <c r="AC1154" s="130">
        <v>777146.93141800002</v>
      </c>
    </row>
    <row r="1155" spans="1:29" x14ac:dyDescent="0.25">
      <c r="A1155" t="str">
        <f t="shared" si="18"/>
        <v xml:space="preserve">2000795CETES 241128        </v>
      </c>
      <c r="B1155" s="96">
        <v>2000795</v>
      </c>
      <c r="C1155" s="96" t="s">
        <v>812</v>
      </c>
      <c r="D1155" s="96" t="s">
        <v>649</v>
      </c>
      <c r="E1155" s="96" t="s">
        <v>623</v>
      </c>
      <c r="F1155" s="96" t="s">
        <v>624</v>
      </c>
      <c r="G1155" s="99">
        <v>182530</v>
      </c>
      <c r="H1155" s="97">
        <v>9.0112480000000001</v>
      </c>
      <c r="I1155" s="98">
        <v>1644823.0974399999</v>
      </c>
      <c r="J1155" s="97">
        <v>8.9969798000000001</v>
      </c>
      <c r="K1155" s="98">
        <v>2604.374546</v>
      </c>
      <c r="L1155" s="99">
        <v>0</v>
      </c>
      <c r="M1155" s="98">
        <v>0</v>
      </c>
      <c r="N1155" s="99">
        <v>0</v>
      </c>
      <c r="O1155" s="98">
        <v>0</v>
      </c>
      <c r="P1155" s="99">
        <v>182530</v>
      </c>
      <c r="Q1155" s="98">
        <v>1644823.0974399999</v>
      </c>
      <c r="R1155" s="96" t="s">
        <v>625</v>
      </c>
      <c r="S1155" s="96">
        <v>7414000005</v>
      </c>
      <c r="AA1155" s="131" t="s">
        <v>499</v>
      </c>
      <c r="AB1155" s="130">
        <v>872842.78316999995</v>
      </c>
      <c r="AC1155" s="130">
        <v>872842.78316999995</v>
      </c>
    </row>
    <row r="1156" spans="1:29" x14ac:dyDescent="0.25">
      <c r="A1156" t="str">
        <f t="shared" si="18"/>
        <v xml:space="preserve">2000795CETES 250123        </v>
      </c>
      <c r="B1156" s="96">
        <v>2000795</v>
      </c>
      <c r="C1156" s="96" t="s">
        <v>812</v>
      </c>
      <c r="D1156" s="96" t="s">
        <v>613</v>
      </c>
      <c r="E1156" s="96" t="s">
        <v>623</v>
      </c>
      <c r="F1156" s="96" t="s">
        <v>624</v>
      </c>
      <c r="G1156" s="99">
        <v>347450</v>
      </c>
      <c r="H1156" s="97">
        <v>8.2580650000000002</v>
      </c>
      <c r="I1156" s="98">
        <v>2869264.6842499999</v>
      </c>
      <c r="J1156" s="97">
        <v>8.2501711100000001</v>
      </c>
      <c r="K1156" s="98">
        <v>2742.7320804999999</v>
      </c>
      <c r="L1156" s="99">
        <v>0</v>
      </c>
      <c r="M1156" s="98">
        <v>0</v>
      </c>
      <c r="N1156" s="99">
        <v>0</v>
      </c>
      <c r="O1156" s="98">
        <v>0</v>
      </c>
      <c r="P1156" s="99">
        <v>347450</v>
      </c>
      <c r="Q1156" s="98">
        <v>2869264.6842499999</v>
      </c>
      <c r="R1156" s="96" t="s">
        <v>625</v>
      </c>
      <c r="S1156" s="96">
        <v>7414000005</v>
      </c>
      <c r="AA1156" s="131" t="s">
        <v>501</v>
      </c>
      <c r="AB1156" s="130">
        <v>2471513.5499999998</v>
      </c>
      <c r="AC1156" s="130">
        <v>2471513.5499999998</v>
      </c>
    </row>
    <row r="1157" spans="1:29" x14ac:dyDescent="0.25">
      <c r="A1157" t="str">
        <f t="shared" si="18"/>
        <v xml:space="preserve">2000795CETES 250403        </v>
      </c>
      <c r="B1157" s="96">
        <v>2000795</v>
      </c>
      <c r="C1157" s="96" t="s">
        <v>812</v>
      </c>
      <c r="D1157" s="96" t="s">
        <v>369</v>
      </c>
      <c r="E1157" s="96" t="s">
        <v>623</v>
      </c>
      <c r="F1157" s="96" t="s">
        <v>624</v>
      </c>
      <c r="G1157" s="99">
        <v>19600</v>
      </c>
      <c r="H1157" s="97">
        <v>207.81</v>
      </c>
      <c r="I1157" s="98">
        <v>4073076</v>
      </c>
      <c r="J1157" s="97">
        <v>175.11741887755102</v>
      </c>
      <c r="K1157" s="98">
        <v>640774.59</v>
      </c>
      <c r="L1157" s="99">
        <v>0</v>
      </c>
      <c r="M1157" s="98">
        <v>0</v>
      </c>
      <c r="N1157" s="99">
        <v>0</v>
      </c>
      <c r="O1157" s="98">
        <v>0</v>
      </c>
      <c r="P1157" s="99">
        <v>19600</v>
      </c>
      <c r="Q1157" s="98">
        <v>4073076</v>
      </c>
      <c r="R1157" s="96" t="s">
        <v>625</v>
      </c>
      <c r="S1157" s="96">
        <v>7414000005</v>
      </c>
      <c r="AA1157" s="131" t="s">
        <v>507</v>
      </c>
      <c r="AB1157" s="130">
        <v>1576642.4721599999</v>
      </c>
      <c r="AC1157" s="130">
        <v>1576642.4721599999</v>
      </c>
    </row>
    <row r="1158" spans="1:29" x14ac:dyDescent="0.25">
      <c r="A1158" t="str">
        <f t="shared" si="18"/>
        <v xml:space="preserve">2000795CETES 260219        </v>
      </c>
      <c r="B1158" s="96">
        <v>2000795</v>
      </c>
      <c r="C1158" s="96" t="s">
        <v>812</v>
      </c>
      <c r="D1158" s="96" t="s">
        <v>370</v>
      </c>
      <c r="E1158" s="96" t="s">
        <v>623</v>
      </c>
      <c r="F1158" s="96" t="s">
        <v>624</v>
      </c>
      <c r="G1158" s="99">
        <v>1700</v>
      </c>
      <c r="H1158" s="97">
        <v>271.94</v>
      </c>
      <c r="I1158" s="98">
        <v>462298</v>
      </c>
      <c r="J1158" s="97">
        <v>287.68018823529411</v>
      </c>
      <c r="K1158" s="98">
        <v>-26758.32</v>
      </c>
      <c r="L1158" s="99">
        <v>0</v>
      </c>
      <c r="M1158" s="98">
        <v>0</v>
      </c>
      <c r="N1158" s="99">
        <v>0</v>
      </c>
      <c r="O1158" s="98">
        <v>0</v>
      </c>
      <c r="P1158" s="99">
        <v>1700</v>
      </c>
      <c r="Q1158" s="98">
        <v>462298</v>
      </c>
      <c r="R1158" s="96" t="s">
        <v>625</v>
      </c>
      <c r="S1158" s="96">
        <v>7414000005</v>
      </c>
      <c r="AA1158" s="129">
        <v>75016</v>
      </c>
      <c r="AB1158" s="130">
        <v>44909763.822194986</v>
      </c>
      <c r="AC1158" s="130">
        <v>44909763.822194986</v>
      </c>
    </row>
    <row r="1159" spans="1:29" x14ac:dyDescent="0.25">
      <c r="A1159" t="str">
        <f t="shared" ref="A1159:A1222" si="19">B1157&amp;D1157</f>
        <v xml:space="preserve">2000795FEMSA UBD           </v>
      </c>
      <c r="B1159" s="96">
        <v>2000795</v>
      </c>
      <c r="C1159" s="96" t="s">
        <v>812</v>
      </c>
      <c r="D1159" s="96" t="s">
        <v>371</v>
      </c>
      <c r="E1159" s="96" t="s">
        <v>623</v>
      </c>
      <c r="F1159" s="96" t="s">
        <v>624</v>
      </c>
      <c r="G1159" s="99">
        <v>6500</v>
      </c>
      <c r="H1159" s="97">
        <v>193.15</v>
      </c>
      <c r="I1159" s="98">
        <v>1255475</v>
      </c>
      <c r="J1159" s="97">
        <v>164.00290153846154</v>
      </c>
      <c r="K1159" s="98">
        <v>189456.14</v>
      </c>
      <c r="L1159" s="99">
        <v>0</v>
      </c>
      <c r="M1159" s="98">
        <v>0</v>
      </c>
      <c r="N1159" s="99">
        <v>0</v>
      </c>
      <c r="O1159" s="98">
        <v>0</v>
      </c>
      <c r="P1159" s="99">
        <v>6500</v>
      </c>
      <c r="Q1159" s="98">
        <v>1255475</v>
      </c>
      <c r="R1159" s="96" t="s">
        <v>625</v>
      </c>
      <c r="S1159" s="96">
        <v>7414000005</v>
      </c>
      <c r="AA1159" s="131" t="s">
        <v>376</v>
      </c>
      <c r="AB1159" s="130">
        <v>694732.48600000003</v>
      </c>
      <c r="AC1159" s="130">
        <v>694732.48600000003</v>
      </c>
    </row>
    <row r="1160" spans="1:29" x14ac:dyDescent="0.25">
      <c r="A1160" t="str">
        <f t="shared" si="19"/>
        <v xml:space="preserve">2000795GAP B               </v>
      </c>
      <c r="B1160" s="96">
        <v>2000795</v>
      </c>
      <c r="C1160" s="96" t="s">
        <v>812</v>
      </c>
      <c r="D1160" s="96" t="s">
        <v>372</v>
      </c>
      <c r="E1160" s="96" t="s">
        <v>623</v>
      </c>
      <c r="F1160" s="96" t="s">
        <v>624</v>
      </c>
      <c r="G1160" s="99">
        <v>46900</v>
      </c>
      <c r="H1160" s="97">
        <v>27.12</v>
      </c>
      <c r="I1160" s="98">
        <v>1271928</v>
      </c>
      <c r="J1160" s="97">
        <v>22.59975053304904</v>
      </c>
      <c r="K1160" s="98">
        <v>211999.7</v>
      </c>
      <c r="L1160" s="99">
        <v>0</v>
      </c>
      <c r="M1160" s="98">
        <v>0</v>
      </c>
      <c r="N1160" s="99">
        <v>0</v>
      </c>
      <c r="O1160" s="98">
        <v>0</v>
      </c>
      <c r="P1160" s="99">
        <v>46900</v>
      </c>
      <c r="Q1160" s="98">
        <v>1271928</v>
      </c>
      <c r="R1160" s="96" t="s">
        <v>625</v>
      </c>
      <c r="S1160" s="96">
        <v>7414000005</v>
      </c>
      <c r="AA1160" s="131" t="s">
        <v>378</v>
      </c>
      <c r="AB1160" s="130">
        <v>668107.02684900002</v>
      </c>
      <c r="AC1160" s="130">
        <v>668107.02684900002</v>
      </c>
    </row>
    <row r="1161" spans="1:29" x14ac:dyDescent="0.25">
      <c r="A1161" t="str">
        <f t="shared" si="19"/>
        <v xml:space="preserve">2000795GCC *               </v>
      </c>
      <c r="B1161" s="96">
        <v>2000795</v>
      </c>
      <c r="C1161" s="96" t="s">
        <v>812</v>
      </c>
      <c r="D1161" s="96" t="s">
        <v>373</v>
      </c>
      <c r="E1161" s="96" t="s">
        <v>623</v>
      </c>
      <c r="F1161" s="96" t="s">
        <v>624</v>
      </c>
      <c r="G1161" s="99">
        <v>30800</v>
      </c>
      <c r="H1161" s="97">
        <v>176.44</v>
      </c>
      <c r="I1161" s="98">
        <v>5434352</v>
      </c>
      <c r="J1161" s="97">
        <v>151.15674545454544</v>
      </c>
      <c r="K1161" s="98">
        <v>778724.24</v>
      </c>
      <c r="L1161" s="99">
        <v>0</v>
      </c>
      <c r="M1161" s="98">
        <v>0</v>
      </c>
      <c r="N1161" s="99">
        <v>0</v>
      </c>
      <c r="O1161" s="98">
        <v>0</v>
      </c>
      <c r="P1161" s="99">
        <v>30800</v>
      </c>
      <c r="Q1161" s="98">
        <v>5434352</v>
      </c>
      <c r="R1161" s="96" t="s">
        <v>625</v>
      </c>
      <c r="S1161" s="96">
        <v>7414000005</v>
      </c>
      <c r="AA1161" s="131" t="s">
        <v>380</v>
      </c>
      <c r="AB1161" s="130">
        <v>729716.98144</v>
      </c>
      <c r="AC1161" s="130">
        <v>729716.98144</v>
      </c>
    </row>
    <row r="1162" spans="1:29" x14ac:dyDescent="0.25">
      <c r="A1162" t="str">
        <f t="shared" si="19"/>
        <v xml:space="preserve">2000795GENTERA *           </v>
      </c>
      <c r="B1162" s="96">
        <v>2000795</v>
      </c>
      <c r="C1162" s="96" t="s">
        <v>812</v>
      </c>
      <c r="D1162" s="96" t="s">
        <v>374</v>
      </c>
      <c r="E1162" s="96" t="s">
        <v>623</v>
      </c>
      <c r="F1162" s="96" t="s">
        <v>624</v>
      </c>
      <c r="G1162" s="99">
        <v>36700</v>
      </c>
      <c r="H1162" s="97">
        <v>104.12</v>
      </c>
      <c r="I1162" s="98">
        <v>3821204</v>
      </c>
      <c r="J1162" s="97">
        <v>84.554300272479566</v>
      </c>
      <c r="K1162" s="98">
        <v>718061.18</v>
      </c>
      <c r="L1162" s="99">
        <v>0</v>
      </c>
      <c r="M1162" s="98">
        <v>0</v>
      </c>
      <c r="N1162" s="99">
        <v>0</v>
      </c>
      <c r="O1162" s="98">
        <v>0</v>
      </c>
      <c r="P1162" s="99">
        <v>36700</v>
      </c>
      <c r="Q1162" s="98">
        <v>3821204</v>
      </c>
      <c r="R1162" s="96" t="s">
        <v>625</v>
      </c>
      <c r="S1162" s="96">
        <v>7414000005</v>
      </c>
      <c r="AA1162" s="131" t="s">
        <v>382</v>
      </c>
      <c r="AB1162" s="130">
        <v>658105.52561000001</v>
      </c>
      <c r="AC1162" s="130">
        <v>658105.52561000001</v>
      </c>
    </row>
    <row r="1163" spans="1:29" x14ac:dyDescent="0.25">
      <c r="A1163" t="str">
        <f t="shared" si="19"/>
        <v xml:space="preserve">2000795GFNORTE O           </v>
      </c>
      <c r="B1163" s="96">
        <v>2000795</v>
      </c>
      <c r="C1163" s="96" t="s">
        <v>812</v>
      </c>
      <c r="D1163" s="96" t="s">
        <v>387</v>
      </c>
      <c r="E1163" s="96" t="s">
        <v>623</v>
      </c>
      <c r="F1163" s="96" t="s">
        <v>624</v>
      </c>
      <c r="G1163" s="99">
        <v>3300</v>
      </c>
      <c r="H1163" s="97">
        <v>314.42</v>
      </c>
      <c r="I1163" s="98">
        <v>1037586</v>
      </c>
      <c r="J1163" s="97">
        <v>300.61810303030302</v>
      </c>
      <c r="K1163" s="98">
        <v>45546.26</v>
      </c>
      <c r="L1163" s="99">
        <v>0</v>
      </c>
      <c r="M1163" s="98">
        <v>0</v>
      </c>
      <c r="N1163" s="99">
        <v>0</v>
      </c>
      <c r="O1163" s="98">
        <v>0</v>
      </c>
      <c r="P1163" s="99">
        <v>3300</v>
      </c>
      <c r="Q1163" s="98">
        <v>1037586</v>
      </c>
      <c r="R1163" s="96" t="s">
        <v>625</v>
      </c>
      <c r="S1163" s="96">
        <v>7414000005</v>
      </c>
      <c r="AA1163" s="131" t="s">
        <v>427</v>
      </c>
      <c r="AB1163" s="130">
        <v>1272742.4215259999</v>
      </c>
      <c r="AC1163" s="130">
        <v>1272742.4215259999</v>
      </c>
    </row>
    <row r="1164" spans="1:29" x14ac:dyDescent="0.25">
      <c r="A1164" t="str">
        <f t="shared" si="19"/>
        <v xml:space="preserve">2000795GMEXICO B           </v>
      </c>
      <c r="B1164" s="96">
        <v>2000795</v>
      </c>
      <c r="C1164" s="96" t="s">
        <v>812</v>
      </c>
      <c r="D1164" s="96" t="s">
        <v>503</v>
      </c>
      <c r="E1164" s="96" t="s">
        <v>623</v>
      </c>
      <c r="F1164" s="96" t="s">
        <v>624</v>
      </c>
      <c r="G1164" s="99">
        <v>20190</v>
      </c>
      <c r="H1164" s="97">
        <v>43.85</v>
      </c>
      <c r="I1164" s="98">
        <v>885331.5</v>
      </c>
      <c r="J1164" s="97">
        <v>41.152947498761762</v>
      </c>
      <c r="K1164" s="98">
        <v>54453.49</v>
      </c>
      <c r="L1164" s="99">
        <v>0</v>
      </c>
      <c r="M1164" s="98">
        <v>0</v>
      </c>
      <c r="N1164" s="99">
        <v>0</v>
      </c>
      <c r="O1164" s="98">
        <v>0</v>
      </c>
      <c r="P1164" s="99">
        <v>20190</v>
      </c>
      <c r="Q1164" s="98">
        <v>885331.5</v>
      </c>
      <c r="R1164" s="96" t="s">
        <v>625</v>
      </c>
      <c r="S1164" s="96">
        <v>7414000005</v>
      </c>
      <c r="AA1164" s="131" t="s">
        <v>408</v>
      </c>
      <c r="AB1164" s="130">
        <v>48676.242396000001</v>
      </c>
      <c r="AC1164" s="130">
        <v>48676.242396000001</v>
      </c>
    </row>
    <row r="1165" spans="1:29" x14ac:dyDescent="0.25">
      <c r="A1165" t="str">
        <f t="shared" si="19"/>
        <v xml:space="preserve">2000795GRUMA B             </v>
      </c>
      <c r="B1165" s="96">
        <v>2000795</v>
      </c>
      <c r="C1165" s="96" t="s">
        <v>812</v>
      </c>
      <c r="D1165" s="96" t="s">
        <v>419</v>
      </c>
      <c r="E1165" s="96" t="s">
        <v>623</v>
      </c>
      <c r="F1165" s="96" t="s">
        <v>624</v>
      </c>
      <c r="G1165" s="99">
        <v>0</v>
      </c>
      <c r="H1165" s="97">
        <v>0</v>
      </c>
      <c r="I1165" s="98">
        <v>0</v>
      </c>
      <c r="J1165" s="97">
        <v>0</v>
      </c>
      <c r="K1165" s="98">
        <v>0</v>
      </c>
      <c r="L1165" s="99">
        <v>0</v>
      </c>
      <c r="M1165" s="98">
        <v>0</v>
      </c>
      <c r="N1165" s="99">
        <v>0</v>
      </c>
      <c r="O1165" s="98">
        <v>0</v>
      </c>
      <c r="P1165" s="99">
        <v>0</v>
      </c>
      <c r="Q1165" s="98">
        <v>0</v>
      </c>
      <c r="R1165" s="96" t="s">
        <v>625</v>
      </c>
      <c r="S1165" s="96">
        <v>7414000005</v>
      </c>
      <c r="AA1165" s="131" t="s">
        <v>384</v>
      </c>
      <c r="AB1165" s="130">
        <v>977351.54902000003</v>
      </c>
      <c r="AC1165" s="130">
        <v>977351.54902000003</v>
      </c>
    </row>
    <row r="1166" spans="1:29" x14ac:dyDescent="0.25">
      <c r="A1166" t="str">
        <f t="shared" si="19"/>
        <v xml:space="preserve">2000795HERDEZ *            </v>
      </c>
      <c r="B1166" s="96">
        <v>2000795</v>
      </c>
      <c r="C1166" s="96" t="s">
        <v>812</v>
      </c>
      <c r="D1166" s="96" t="s">
        <v>540</v>
      </c>
      <c r="E1166" s="96" t="s">
        <v>623</v>
      </c>
      <c r="F1166" s="96" t="s">
        <v>624</v>
      </c>
      <c r="G1166" s="99">
        <v>24200</v>
      </c>
      <c r="H1166" s="97">
        <v>36.28</v>
      </c>
      <c r="I1166" s="98">
        <v>877976</v>
      </c>
      <c r="J1166" s="97">
        <v>39.377865289256199</v>
      </c>
      <c r="K1166" s="98">
        <v>-74968.34</v>
      </c>
      <c r="L1166" s="99">
        <v>0</v>
      </c>
      <c r="M1166" s="98">
        <v>0</v>
      </c>
      <c r="N1166" s="99">
        <v>0</v>
      </c>
      <c r="O1166" s="98">
        <v>0</v>
      </c>
      <c r="P1166" s="99">
        <v>24200</v>
      </c>
      <c r="Q1166" s="98">
        <v>877976</v>
      </c>
      <c r="R1166" s="96" t="s">
        <v>625</v>
      </c>
      <c r="S1166" s="96">
        <v>7414000005</v>
      </c>
      <c r="AA1166" s="131" t="s">
        <v>389</v>
      </c>
      <c r="AB1166" s="130">
        <v>2265776.0013359999</v>
      </c>
      <c r="AC1166" s="130">
        <v>2265776.0013359999</v>
      </c>
    </row>
    <row r="1167" spans="1:29" x14ac:dyDescent="0.25">
      <c r="A1167" t="str">
        <f t="shared" si="19"/>
        <v xml:space="preserve">2000795IENOVA *            </v>
      </c>
      <c r="B1167" s="96">
        <v>2000795</v>
      </c>
      <c r="C1167" s="96" t="s">
        <v>812</v>
      </c>
      <c r="D1167" s="96" t="s">
        <v>553</v>
      </c>
      <c r="E1167" s="96" t="s">
        <v>623</v>
      </c>
      <c r="F1167" s="96" t="s">
        <v>624</v>
      </c>
      <c r="G1167" s="99">
        <v>3300</v>
      </c>
      <c r="H1167" s="97">
        <v>136.35</v>
      </c>
      <c r="I1167" s="98">
        <v>449955</v>
      </c>
      <c r="J1167" s="97">
        <v>119.05624848484848</v>
      </c>
      <c r="K1167" s="98">
        <v>57069.38</v>
      </c>
      <c r="L1167" s="99">
        <v>0</v>
      </c>
      <c r="M1167" s="98">
        <v>0</v>
      </c>
      <c r="N1167" s="99">
        <v>0</v>
      </c>
      <c r="O1167" s="98">
        <v>0</v>
      </c>
      <c r="P1167" s="99">
        <v>3300</v>
      </c>
      <c r="Q1167" s="98">
        <v>449955</v>
      </c>
      <c r="R1167" s="96" t="s">
        <v>625</v>
      </c>
      <c r="S1167" s="96">
        <v>7414000005</v>
      </c>
      <c r="AA1167" s="131" t="s">
        <v>391</v>
      </c>
      <c r="AB1167" s="130">
        <v>904456.62364200002</v>
      </c>
      <c r="AC1167" s="130">
        <v>904456.62364200002</v>
      </c>
    </row>
    <row r="1168" spans="1:29" x14ac:dyDescent="0.25">
      <c r="A1168" t="str">
        <f t="shared" si="19"/>
        <v xml:space="preserve">2000795LACOMER UBC         </v>
      </c>
      <c r="B1168" s="96">
        <v>2000795</v>
      </c>
      <c r="C1168" s="96" t="s">
        <v>812</v>
      </c>
      <c r="D1168" s="96" t="s">
        <v>541</v>
      </c>
      <c r="E1168" s="96" t="s">
        <v>623</v>
      </c>
      <c r="F1168" s="96" t="s">
        <v>624</v>
      </c>
      <c r="G1168" s="99">
        <v>5600</v>
      </c>
      <c r="H1168" s="97">
        <v>156</v>
      </c>
      <c r="I1168" s="98">
        <v>873600</v>
      </c>
      <c r="J1168" s="97">
        <v>141.13810535714285</v>
      </c>
      <c r="K1168" s="98">
        <v>83226.61</v>
      </c>
      <c r="L1168" s="99">
        <v>0</v>
      </c>
      <c r="M1168" s="98">
        <v>0</v>
      </c>
      <c r="N1168" s="99">
        <v>0</v>
      </c>
      <c r="O1168" s="98">
        <v>0</v>
      </c>
      <c r="P1168" s="99">
        <v>5600</v>
      </c>
      <c r="Q1168" s="98">
        <v>873600</v>
      </c>
      <c r="R1168" s="96" t="s">
        <v>625</v>
      </c>
      <c r="S1168" s="96">
        <v>7414000005</v>
      </c>
      <c r="AA1168" s="131" t="s">
        <v>395</v>
      </c>
      <c r="AB1168" s="130">
        <v>663944.26293500001</v>
      </c>
      <c r="AC1168" s="130">
        <v>663944.26293500001</v>
      </c>
    </row>
    <row r="1169" spans="1:29" x14ac:dyDescent="0.25">
      <c r="A1169" t="str">
        <f t="shared" si="19"/>
        <v xml:space="preserve">2000795LIVEPOL C-1         </v>
      </c>
      <c r="B1169" s="96">
        <v>2000795</v>
      </c>
      <c r="C1169" s="96" t="s">
        <v>812</v>
      </c>
      <c r="D1169" s="96" t="s">
        <v>389</v>
      </c>
      <c r="E1169" s="96" t="s">
        <v>623</v>
      </c>
      <c r="F1169" s="96" t="s">
        <v>624</v>
      </c>
      <c r="G1169" s="99">
        <v>17319553</v>
      </c>
      <c r="H1169" s="97">
        <v>3.3967719999999999</v>
      </c>
      <c r="I1169" s="98">
        <v>58830572.682916</v>
      </c>
      <c r="J1169" s="97">
        <v>3.2498033165174642</v>
      </c>
      <c r="K1169" s="98">
        <v>2545431.9029160002</v>
      </c>
      <c r="L1169" s="99">
        <v>0</v>
      </c>
      <c r="M1169" s="98">
        <v>0</v>
      </c>
      <c r="N1169" s="99">
        <v>0</v>
      </c>
      <c r="O1169" s="98">
        <v>0</v>
      </c>
      <c r="P1169" s="99">
        <v>17319553</v>
      </c>
      <c r="Q1169" s="98">
        <v>58830572.682916</v>
      </c>
      <c r="R1169" s="96" t="s">
        <v>625</v>
      </c>
      <c r="S1169" s="96">
        <v>7414000005</v>
      </c>
      <c r="AA1169" s="131" t="s">
        <v>396</v>
      </c>
      <c r="AB1169" s="130">
        <v>776435.83264000004</v>
      </c>
      <c r="AC1169" s="130">
        <v>776435.83264000004</v>
      </c>
    </row>
    <row r="1170" spans="1:29" x14ac:dyDescent="0.25">
      <c r="A1170" t="str">
        <f t="shared" si="19"/>
        <v xml:space="preserve">2000795R A                 </v>
      </c>
      <c r="B1170" s="96">
        <v>2000795</v>
      </c>
      <c r="C1170" s="96" t="s">
        <v>812</v>
      </c>
      <c r="D1170" s="96" t="s">
        <v>500</v>
      </c>
      <c r="E1170" s="96" t="s">
        <v>623</v>
      </c>
      <c r="F1170" s="96" t="s">
        <v>624</v>
      </c>
      <c r="G1170" s="99">
        <v>31700</v>
      </c>
      <c r="H1170" s="97">
        <v>31.41</v>
      </c>
      <c r="I1170" s="98">
        <v>995697</v>
      </c>
      <c r="J1170" s="97">
        <v>32.104099053627763</v>
      </c>
      <c r="K1170" s="98">
        <v>-22002.94</v>
      </c>
      <c r="L1170" s="99">
        <v>0</v>
      </c>
      <c r="M1170" s="98">
        <v>0</v>
      </c>
      <c r="N1170" s="99">
        <v>0</v>
      </c>
      <c r="O1170" s="98">
        <v>0</v>
      </c>
      <c r="P1170" s="99">
        <v>31700</v>
      </c>
      <c r="Q1170" s="98">
        <v>995697</v>
      </c>
      <c r="R1170" s="96" t="s">
        <v>625</v>
      </c>
      <c r="S1170" s="96">
        <v>7414000005</v>
      </c>
      <c r="AA1170" s="131" t="s">
        <v>398</v>
      </c>
      <c r="AB1170" s="130">
        <v>777469.23613600002</v>
      </c>
      <c r="AC1170" s="130">
        <v>777469.23613600002</v>
      </c>
    </row>
    <row r="1171" spans="1:29" x14ac:dyDescent="0.25">
      <c r="A1171" t="str">
        <f t="shared" si="19"/>
        <v xml:space="preserve">2000795STERGOB ED          </v>
      </c>
      <c r="B1171" s="96">
        <v>2000795</v>
      </c>
      <c r="C1171" s="96" t="s">
        <v>812</v>
      </c>
      <c r="D1171" s="96" t="s">
        <v>400</v>
      </c>
      <c r="E1171" s="96" t="s">
        <v>623</v>
      </c>
      <c r="F1171" s="96" t="s">
        <v>624</v>
      </c>
      <c r="G1171" s="99">
        <v>23700</v>
      </c>
      <c r="H1171" s="97">
        <v>58.67</v>
      </c>
      <c r="I1171" s="98">
        <v>1390479</v>
      </c>
      <c r="J1171" s="97">
        <v>59.723732911392403</v>
      </c>
      <c r="K1171" s="98">
        <v>-24973.47</v>
      </c>
      <c r="L1171" s="99">
        <v>0</v>
      </c>
      <c r="M1171" s="98">
        <v>0</v>
      </c>
      <c r="N1171" s="99">
        <v>0</v>
      </c>
      <c r="O1171" s="98">
        <v>0</v>
      </c>
      <c r="P1171" s="99">
        <v>23700</v>
      </c>
      <c r="Q1171" s="98">
        <v>1390479</v>
      </c>
      <c r="R1171" s="96" t="s">
        <v>625</v>
      </c>
      <c r="S1171" s="96">
        <v>7414000005</v>
      </c>
      <c r="AA1171" s="131" t="s">
        <v>358</v>
      </c>
      <c r="AB1171" s="130">
        <v>2415348</v>
      </c>
      <c r="AC1171" s="130">
        <v>2415348</v>
      </c>
    </row>
    <row r="1172" spans="1:29" x14ac:dyDescent="0.25">
      <c r="A1172" t="str">
        <f t="shared" si="19"/>
        <v xml:space="preserve">2000795TRAXION A           </v>
      </c>
      <c r="B1172" s="96">
        <v>2000795</v>
      </c>
      <c r="C1172" s="96" t="s">
        <v>812</v>
      </c>
      <c r="D1172" s="96" t="s">
        <v>403</v>
      </c>
      <c r="E1172" s="96" t="s">
        <v>623</v>
      </c>
      <c r="F1172" s="96" t="s">
        <v>624</v>
      </c>
      <c r="G1172" s="99">
        <v>56300</v>
      </c>
      <c r="H1172" s="97">
        <v>65.260000000000005</v>
      </c>
      <c r="I1172" s="98">
        <v>3674138</v>
      </c>
      <c r="J1172" s="97">
        <v>69.916128419182954</v>
      </c>
      <c r="K1172" s="98">
        <v>-262140.03</v>
      </c>
      <c r="L1172" s="99">
        <v>0</v>
      </c>
      <c r="M1172" s="98">
        <v>0</v>
      </c>
      <c r="N1172" s="99">
        <v>0</v>
      </c>
      <c r="O1172" s="98">
        <v>0</v>
      </c>
      <c r="P1172" s="99">
        <v>56300</v>
      </c>
      <c r="Q1172" s="98">
        <v>3674138</v>
      </c>
      <c r="R1172" s="96" t="s">
        <v>625</v>
      </c>
      <c r="S1172" s="96">
        <v>7414000005</v>
      </c>
      <c r="AA1172" s="131" t="s">
        <v>365</v>
      </c>
      <c r="AB1172" s="130">
        <v>655118.6</v>
      </c>
      <c r="AC1172" s="130">
        <v>655118.6</v>
      </c>
    </row>
    <row r="1173" spans="1:29" x14ac:dyDescent="0.25">
      <c r="A1173" t="str">
        <f t="shared" si="19"/>
        <v xml:space="preserve">2000795VESTA *             </v>
      </c>
      <c r="B1173" s="96">
        <v>2000905</v>
      </c>
      <c r="C1173" s="96" t="s">
        <v>813</v>
      </c>
      <c r="D1173" s="96" t="s">
        <v>389</v>
      </c>
      <c r="E1173" s="96" t="s">
        <v>623</v>
      </c>
      <c r="F1173" s="96" t="s">
        <v>624</v>
      </c>
      <c r="G1173" s="99">
        <v>168003841</v>
      </c>
      <c r="H1173" s="97">
        <v>3.3967719999999999</v>
      </c>
      <c r="I1173" s="98">
        <v>570670743.00125206</v>
      </c>
      <c r="J1173" s="97">
        <v>2.4139206622067646</v>
      </c>
      <c r="K1173" s="98">
        <v>165122799.88125199</v>
      </c>
      <c r="L1173" s="99">
        <v>0</v>
      </c>
      <c r="M1173" s="98">
        <v>0</v>
      </c>
      <c r="N1173" s="99">
        <v>0</v>
      </c>
      <c r="O1173" s="98">
        <v>0</v>
      </c>
      <c r="P1173" s="99">
        <v>168003841</v>
      </c>
      <c r="Q1173" s="98">
        <v>570670743.00125206</v>
      </c>
      <c r="R1173" s="96" t="s">
        <v>625</v>
      </c>
      <c r="S1173" s="96">
        <v>7414000005</v>
      </c>
      <c r="AA1173" s="131" t="s">
        <v>367</v>
      </c>
      <c r="AB1173" s="130">
        <v>150639.75</v>
      </c>
      <c r="AC1173" s="130">
        <v>150639.75</v>
      </c>
    </row>
    <row r="1174" spans="1:29" x14ac:dyDescent="0.25">
      <c r="A1174" t="str">
        <f t="shared" si="19"/>
        <v xml:space="preserve">2000795WALMEX *            </v>
      </c>
      <c r="B1174" s="96">
        <v>2000926</v>
      </c>
      <c r="C1174" s="96" t="s">
        <v>814</v>
      </c>
      <c r="D1174" s="96" t="s">
        <v>389</v>
      </c>
      <c r="E1174" s="96" t="s">
        <v>623</v>
      </c>
      <c r="F1174" s="96" t="s">
        <v>624</v>
      </c>
      <c r="G1174" s="99">
        <v>10852072</v>
      </c>
      <c r="H1174" s="97">
        <v>3.3967719999999999</v>
      </c>
      <c r="I1174" s="98">
        <v>36862014.311584003</v>
      </c>
      <c r="J1174" s="97">
        <v>2.9231567907031946</v>
      </c>
      <c r="K1174" s="98">
        <v>5139706.3515839996</v>
      </c>
      <c r="L1174" s="99">
        <v>0</v>
      </c>
      <c r="M1174" s="98">
        <v>0</v>
      </c>
      <c r="N1174" s="99">
        <v>0</v>
      </c>
      <c r="O1174" s="98">
        <v>0</v>
      </c>
      <c r="P1174" s="99">
        <v>10852072</v>
      </c>
      <c r="Q1174" s="98">
        <v>36862014.311584003</v>
      </c>
      <c r="R1174" s="96" t="s">
        <v>625</v>
      </c>
      <c r="S1174" s="96">
        <v>7414000005</v>
      </c>
      <c r="AA1174" s="131" t="s">
        <v>368</v>
      </c>
      <c r="AB1174" s="130">
        <v>506440</v>
      </c>
      <c r="AC1174" s="130">
        <v>506440</v>
      </c>
    </row>
    <row r="1175" spans="1:29" x14ac:dyDescent="0.25">
      <c r="A1175" t="str">
        <f t="shared" si="19"/>
        <v xml:space="preserve">2000905STERGOB ED          </v>
      </c>
      <c r="B1175" s="96">
        <v>2000927</v>
      </c>
      <c r="C1175" s="96" t="s">
        <v>815</v>
      </c>
      <c r="D1175" s="96" t="s">
        <v>389</v>
      </c>
      <c r="E1175" s="96" t="s">
        <v>623</v>
      </c>
      <c r="F1175" s="96" t="s">
        <v>624</v>
      </c>
      <c r="G1175" s="99">
        <v>12701127</v>
      </c>
      <c r="H1175" s="97">
        <v>3.3967719999999999</v>
      </c>
      <c r="I1175" s="98">
        <v>43142832.562044002</v>
      </c>
      <c r="J1175" s="97">
        <v>2.9077468999404541</v>
      </c>
      <c r="K1175" s="98">
        <v>6211169.9020440001</v>
      </c>
      <c r="L1175" s="99">
        <v>0</v>
      </c>
      <c r="M1175" s="98">
        <v>0</v>
      </c>
      <c r="N1175" s="99">
        <v>0</v>
      </c>
      <c r="O1175" s="98">
        <v>0</v>
      </c>
      <c r="P1175" s="99">
        <v>12701127</v>
      </c>
      <c r="Q1175" s="98">
        <v>43142832.562044002</v>
      </c>
      <c r="R1175" s="96" t="s">
        <v>625</v>
      </c>
      <c r="S1175" s="96">
        <v>7414000005</v>
      </c>
      <c r="AA1175" s="131" t="s">
        <v>381</v>
      </c>
      <c r="AB1175" s="130">
        <v>2277168.3784710001</v>
      </c>
      <c r="AC1175" s="130">
        <v>2277168.3784710001</v>
      </c>
    </row>
    <row r="1176" spans="1:29" x14ac:dyDescent="0.25">
      <c r="A1176" t="str">
        <f t="shared" si="19"/>
        <v xml:space="preserve">2000926STERGOB ED          </v>
      </c>
      <c r="B1176" s="96">
        <v>2000928</v>
      </c>
      <c r="C1176" s="96" t="s">
        <v>816</v>
      </c>
      <c r="D1176" s="96" t="s">
        <v>389</v>
      </c>
      <c r="E1176" s="96" t="s">
        <v>623</v>
      </c>
      <c r="F1176" s="96" t="s">
        <v>624</v>
      </c>
      <c r="G1176" s="99">
        <v>10920208</v>
      </c>
      <c r="H1176" s="97">
        <v>3.3967719999999999</v>
      </c>
      <c r="I1176" s="98">
        <v>37093456.768576004</v>
      </c>
      <c r="J1176" s="97">
        <v>2.317473671746912</v>
      </c>
      <c r="K1176" s="98">
        <v>11786162.238576001</v>
      </c>
      <c r="L1176" s="99">
        <v>0</v>
      </c>
      <c r="M1176" s="98">
        <v>0</v>
      </c>
      <c r="N1176" s="99">
        <v>0</v>
      </c>
      <c r="O1176" s="98">
        <v>0</v>
      </c>
      <c r="P1176" s="99">
        <v>10920208</v>
      </c>
      <c r="Q1176" s="98">
        <v>37093456.768576004</v>
      </c>
      <c r="R1176" s="96" t="s">
        <v>625</v>
      </c>
      <c r="S1176" s="96">
        <v>7414000005</v>
      </c>
      <c r="AA1176" s="131" t="s">
        <v>388</v>
      </c>
      <c r="AB1176" s="130">
        <v>3319142.5</v>
      </c>
      <c r="AC1176" s="130">
        <v>3319142.5</v>
      </c>
    </row>
    <row r="1177" spans="1:29" x14ac:dyDescent="0.25">
      <c r="A1177" t="str">
        <f t="shared" si="19"/>
        <v xml:space="preserve">2000927STERGOB ED          </v>
      </c>
      <c r="B1177" s="96">
        <v>2000941</v>
      </c>
      <c r="C1177" s="96" t="s">
        <v>817</v>
      </c>
      <c r="D1177" s="96" t="s">
        <v>357</v>
      </c>
      <c r="E1177" s="96" t="s">
        <v>623</v>
      </c>
      <c r="F1177" s="96" t="s">
        <v>624</v>
      </c>
      <c r="G1177" s="99">
        <v>52300</v>
      </c>
      <c r="H1177" s="97">
        <v>168.64</v>
      </c>
      <c r="I1177" s="98">
        <v>8819872</v>
      </c>
      <c r="J1177" s="97">
        <v>1.8209361376673041</v>
      </c>
      <c r="K1177" s="98">
        <v>17544509.039999999</v>
      </c>
      <c r="L1177" s="99">
        <v>-52300</v>
      </c>
      <c r="M1177" s="98">
        <v>-8859937.2400000002</v>
      </c>
      <c r="N1177" s="99">
        <v>0</v>
      </c>
      <c r="O1177" s="98">
        <v>0</v>
      </c>
      <c r="P1177" s="99">
        <v>0</v>
      </c>
      <c r="Q1177" s="98">
        <v>-40065.24</v>
      </c>
      <c r="R1177" s="96" t="s">
        <v>625</v>
      </c>
      <c r="S1177" s="96">
        <v>7414000005</v>
      </c>
      <c r="AA1177" s="131" t="s">
        <v>430</v>
      </c>
      <c r="AB1177" s="130">
        <v>9075874.9616</v>
      </c>
      <c r="AC1177" s="130">
        <v>9075874.9616</v>
      </c>
    </row>
    <row r="1178" spans="1:29" x14ac:dyDescent="0.25">
      <c r="A1178" t="str">
        <f t="shared" si="19"/>
        <v xml:space="preserve">2000928STERGOB ED          </v>
      </c>
      <c r="B1178" s="96">
        <v>2000941</v>
      </c>
      <c r="C1178" s="96" t="s">
        <v>817</v>
      </c>
      <c r="D1178" s="96" t="s">
        <v>358</v>
      </c>
      <c r="E1178" s="96" t="s">
        <v>623</v>
      </c>
      <c r="F1178" s="96" t="s">
        <v>624</v>
      </c>
      <c r="G1178" s="99">
        <v>900</v>
      </c>
      <c r="H1178" s="97">
        <v>1786.5</v>
      </c>
      <c r="I1178" s="98">
        <v>1607850</v>
      </c>
      <c r="J1178" s="97">
        <v>135.04</v>
      </c>
      <c r="K1178" s="98">
        <v>3337236</v>
      </c>
      <c r="L1178" s="99">
        <v>-900</v>
      </c>
      <c r="M1178" s="98">
        <v>-1623636</v>
      </c>
      <c r="N1178" s="99">
        <v>0</v>
      </c>
      <c r="O1178" s="98">
        <v>0</v>
      </c>
      <c r="P1178" s="99">
        <v>0</v>
      </c>
      <c r="Q1178" s="98">
        <v>-15786</v>
      </c>
      <c r="R1178" s="96" t="s">
        <v>625</v>
      </c>
      <c r="S1178" s="96">
        <v>7414000005</v>
      </c>
      <c r="AA1178" s="131" t="s">
        <v>401</v>
      </c>
      <c r="AB1178" s="130">
        <v>893800</v>
      </c>
      <c r="AC1178" s="130">
        <v>893800</v>
      </c>
    </row>
    <row r="1179" spans="1:29" x14ac:dyDescent="0.25">
      <c r="A1179" t="str">
        <f t="shared" si="19"/>
        <v xml:space="preserve">2000941AC *                </v>
      </c>
      <c r="B1179" s="96">
        <v>2000941</v>
      </c>
      <c r="C1179" s="96" t="s">
        <v>817</v>
      </c>
      <c r="D1179" s="96" t="s">
        <v>506</v>
      </c>
      <c r="E1179" s="96" t="s">
        <v>623</v>
      </c>
      <c r="F1179" s="96" t="s">
        <v>624</v>
      </c>
      <c r="G1179" s="99">
        <v>487300</v>
      </c>
      <c r="H1179" s="97">
        <v>12.48</v>
      </c>
      <c r="I1179" s="98">
        <v>6081504</v>
      </c>
      <c r="J1179" s="97">
        <v>1.5463212226554484</v>
      </c>
      <c r="K1179" s="98">
        <v>12916530.331800001</v>
      </c>
      <c r="L1179" s="99">
        <v>-487300</v>
      </c>
      <c r="M1179" s="98">
        <v>-6084240.7800000003</v>
      </c>
      <c r="N1179" s="99">
        <v>0</v>
      </c>
      <c r="O1179" s="98">
        <v>0</v>
      </c>
      <c r="P1179" s="99">
        <v>0</v>
      </c>
      <c r="Q1179" s="98">
        <v>-2736.78</v>
      </c>
      <c r="R1179" s="96" t="s">
        <v>625</v>
      </c>
      <c r="S1179" s="96">
        <v>7414000005</v>
      </c>
      <c r="AA1179" s="131" t="s">
        <v>393</v>
      </c>
      <c r="AB1179" s="130">
        <v>660992.31102899997</v>
      </c>
      <c r="AC1179" s="130">
        <v>660992.31102899997</v>
      </c>
    </row>
    <row r="1180" spans="1:29" x14ac:dyDescent="0.25">
      <c r="A1180" t="str">
        <f t="shared" si="19"/>
        <v xml:space="preserve">2000941ACWI *              </v>
      </c>
      <c r="B1180" s="96">
        <v>2000941</v>
      </c>
      <c r="C1180" s="96" t="s">
        <v>817</v>
      </c>
      <c r="D1180" s="96" t="s">
        <v>359</v>
      </c>
      <c r="E1180" s="96" t="s">
        <v>623</v>
      </c>
      <c r="F1180" s="96" t="s">
        <v>624</v>
      </c>
      <c r="G1180" s="99">
        <v>86900</v>
      </c>
      <c r="H1180" s="97">
        <v>73.37</v>
      </c>
      <c r="I1180" s="98">
        <v>6375853</v>
      </c>
      <c r="J1180" s="97">
        <v>14.482966052934408</v>
      </c>
      <c r="K1180" s="98">
        <v>8389805.3599999994</v>
      </c>
      <c r="L1180" s="99">
        <v>-44603</v>
      </c>
      <c r="M1180" s="98">
        <v>-3357713.01</v>
      </c>
      <c r="N1180" s="99">
        <v>0</v>
      </c>
      <c r="O1180" s="98">
        <v>0</v>
      </c>
      <c r="P1180" s="99">
        <v>42297</v>
      </c>
      <c r="Q1180" s="98">
        <v>3018139.99</v>
      </c>
      <c r="R1180" s="96" t="s">
        <v>625</v>
      </c>
      <c r="S1180" s="96">
        <v>7414000005</v>
      </c>
      <c r="AA1180" s="131" t="s">
        <v>385</v>
      </c>
      <c r="AB1180" s="130">
        <v>184705.68942000001</v>
      </c>
      <c r="AC1180" s="130">
        <v>184705.68942000001</v>
      </c>
    </row>
    <row r="1181" spans="1:29" x14ac:dyDescent="0.25">
      <c r="A1181" t="str">
        <f t="shared" si="19"/>
        <v xml:space="preserve">2000941ALFA A              </v>
      </c>
      <c r="B1181" s="96">
        <v>2000941</v>
      </c>
      <c r="C1181" s="96" t="s">
        <v>817</v>
      </c>
      <c r="D1181" s="96" t="s">
        <v>360</v>
      </c>
      <c r="E1181" s="96" t="s">
        <v>623</v>
      </c>
      <c r="F1181" s="96" t="s">
        <v>624</v>
      </c>
      <c r="G1181" s="99">
        <v>1801000</v>
      </c>
      <c r="H1181" s="97">
        <v>15.12</v>
      </c>
      <c r="I1181" s="98">
        <v>27231120</v>
      </c>
      <c r="J1181" s="97">
        <v>1.9793292781787895</v>
      </c>
      <c r="K1181" s="98">
        <v>50897467.969999999</v>
      </c>
      <c r="L1181" s="99">
        <v>-1801000</v>
      </c>
      <c r="M1181" s="98">
        <v>-27391444.550000001</v>
      </c>
      <c r="N1181" s="99">
        <v>0</v>
      </c>
      <c r="O1181" s="98">
        <v>0</v>
      </c>
      <c r="P1181" s="99">
        <v>0</v>
      </c>
      <c r="Q1181" s="98">
        <v>-160324.54999999999</v>
      </c>
      <c r="R1181" s="96" t="s">
        <v>625</v>
      </c>
      <c r="S1181" s="96">
        <v>7414000005</v>
      </c>
      <c r="AA1181" s="131" t="s">
        <v>375</v>
      </c>
      <c r="AB1181" s="130">
        <v>615386.26531699998</v>
      </c>
      <c r="AC1181" s="130">
        <v>615386.26531699998</v>
      </c>
    </row>
    <row r="1182" spans="1:29" x14ac:dyDescent="0.25">
      <c r="A1182" t="str">
        <f t="shared" si="19"/>
        <v xml:space="preserve">2000941ALSEA *             </v>
      </c>
      <c r="B1182" s="96">
        <v>2000941</v>
      </c>
      <c r="C1182" s="96" t="s">
        <v>817</v>
      </c>
      <c r="D1182" s="96" t="s">
        <v>551</v>
      </c>
      <c r="E1182" s="96" t="s">
        <v>623</v>
      </c>
      <c r="F1182" s="96" t="s">
        <v>624</v>
      </c>
      <c r="G1182" s="99">
        <v>19500</v>
      </c>
      <c r="H1182" s="97">
        <v>525.09</v>
      </c>
      <c r="I1182" s="98">
        <v>10239255</v>
      </c>
      <c r="J1182" s="97">
        <v>25.061602051282051</v>
      </c>
      <c r="K1182" s="98">
        <v>20967211.239999998</v>
      </c>
      <c r="L1182" s="99">
        <v>-19500</v>
      </c>
      <c r="M1182" s="98">
        <v>-10350904.949999999</v>
      </c>
      <c r="N1182" s="99">
        <v>0</v>
      </c>
      <c r="O1182" s="98">
        <v>0</v>
      </c>
      <c r="P1182" s="99">
        <v>0</v>
      </c>
      <c r="Q1182" s="98">
        <v>-111649.95</v>
      </c>
      <c r="R1182" s="96" t="s">
        <v>625</v>
      </c>
      <c r="S1182" s="96">
        <v>7414000005</v>
      </c>
      <c r="AA1182" s="131" t="s">
        <v>399</v>
      </c>
      <c r="AB1182" s="130">
        <v>1367990.0383899999</v>
      </c>
      <c r="AC1182" s="130">
        <v>1367990.0383899999</v>
      </c>
    </row>
    <row r="1183" spans="1:29" x14ac:dyDescent="0.25">
      <c r="A1183" t="str">
        <f t="shared" si="19"/>
        <v xml:space="preserve">2000941AMX B               </v>
      </c>
      <c r="B1183" s="96">
        <v>2000941</v>
      </c>
      <c r="C1183" s="96" t="s">
        <v>817</v>
      </c>
      <c r="D1183" s="96" t="s">
        <v>571</v>
      </c>
      <c r="E1183" s="96" t="s">
        <v>623</v>
      </c>
      <c r="F1183" s="96" t="s">
        <v>624</v>
      </c>
      <c r="G1183" s="99">
        <v>46686</v>
      </c>
      <c r="H1183" s="97">
        <v>99.999110999999999</v>
      </c>
      <c r="I1183" s="98">
        <v>4668558.496146</v>
      </c>
      <c r="J1183" s="97">
        <v>100.00133401876366</v>
      </c>
      <c r="K1183" s="98">
        <v>-103.78385400000001</v>
      </c>
      <c r="L1183" s="99">
        <v>0</v>
      </c>
      <c r="M1183" s="98">
        <v>0</v>
      </c>
      <c r="N1183" s="99">
        <v>0</v>
      </c>
      <c r="O1183" s="98">
        <v>0</v>
      </c>
      <c r="P1183" s="99">
        <v>46686</v>
      </c>
      <c r="Q1183" s="98">
        <v>4668558.496146</v>
      </c>
      <c r="R1183" s="96" t="s">
        <v>625</v>
      </c>
      <c r="S1183" s="96">
        <v>7414000005</v>
      </c>
      <c r="AA1183" s="131" t="s">
        <v>429</v>
      </c>
      <c r="AB1183" s="130">
        <v>1613404.963308</v>
      </c>
      <c r="AC1183" s="130">
        <v>1613404.963308</v>
      </c>
    </row>
    <row r="1184" spans="1:29" x14ac:dyDescent="0.25">
      <c r="A1184" t="str">
        <f t="shared" si="19"/>
        <v xml:space="preserve">2000941ASUR B              </v>
      </c>
      <c r="B1184" s="96">
        <v>2000941</v>
      </c>
      <c r="C1184" s="96" t="s">
        <v>817</v>
      </c>
      <c r="D1184" s="96" t="s">
        <v>361</v>
      </c>
      <c r="E1184" s="96" t="s">
        <v>623</v>
      </c>
      <c r="F1184" s="96" t="s">
        <v>624</v>
      </c>
      <c r="G1184" s="99">
        <v>90140</v>
      </c>
      <c r="H1184" s="97">
        <v>68.25</v>
      </c>
      <c r="I1184" s="98">
        <v>6152055</v>
      </c>
      <c r="J1184" s="97">
        <v>17.227680054359883</v>
      </c>
      <c r="K1184" s="98">
        <v>10751206.9199</v>
      </c>
      <c r="L1184" s="99">
        <v>-90140</v>
      </c>
      <c r="M1184" s="98">
        <v>-6188620.0300000003</v>
      </c>
      <c r="N1184" s="99">
        <v>0</v>
      </c>
      <c r="O1184" s="98">
        <v>0</v>
      </c>
      <c r="P1184" s="99">
        <v>0</v>
      </c>
      <c r="Q1184" s="98">
        <v>-36565.03</v>
      </c>
      <c r="R1184" s="96" t="s">
        <v>625</v>
      </c>
      <c r="S1184" s="96">
        <v>7414000005</v>
      </c>
      <c r="AA1184" s="131" t="s">
        <v>394</v>
      </c>
      <c r="AB1184" s="130">
        <v>999938.17067999998</v>
      </c>
      <c r="AC1184" s="130">
        <v>999938.17067999998</v>
      </c>
    </row>
    <row r="1185" spans="1:29" x14ac:dyDescent="0.25">
      <c r="A1185" t="str">
        <f t="shared" si="19"/>
        <v xml:space="preserve">2000941BBPEN 21            </v>
      </c>
      <c r="B1185" s="96">
        <v>2000941</v>
      </c>
      <c r="C1185" s="96" t="s">
        <v>817</v>
      </c>
      <c r="D1185" s="96" t="s">
        <v>572</v>
      </c>
      <c r="E1185" s="96" t="s">
        <v>623</v>
      </c>
      <c r="F1185" s="96" t="s">
        <v>624</v>
      </c>
      <c r="G1185" s="99">
        <v>11000</v>
      </c>
      <c r="H1185" s="97">
        <v>99.923287000000002</v>
      </c>
      <c r="I1185" s="98">
        <v>1099156.1569999999</v>
      </c>
      <c r="J1185" s="97">
        <v>99.961500909999998</v>
      </c>
      <c r="K1185" s="98">
        <v>-420.35300999999998</v>
      </c>
      <c r="L1185" s="99">
        <v>0</v>
      </c>
      <c r="M1185" s="98">
        <v>0</v>
      </c>
      <c r="N1185" s="99">
        <v>0</v>
      </c>
      <c r="O1185" s="98">
        <v>0</v>
      </c>
      <c r="P1185" s="99">
        <v>11000</v>
      </c>
      <c r="Q1185" s="98">
        <v>1099156.1569999999</v>
      </c>
      <c r="R1185" s="96" t="s">
        <v>625</v>
      </c>
      <c r="S1185" s="96">
        <v>7414000005</v>
      </c>
      <c r="AA1185" s="131" t="s">
        <v>379</v>
      </c>
      <c r="AB1185" s="130">
        <v>327916.960731</v>
      </c>
      <c r="AC1185" s="130">
        <v>327916.960731</v>
      </c>
    </row>
    <row r="1186" spans="1:29" x14ac:dyDescent="0.25">
      <c r="A1186" t="str">
        <f t="shared" si="19"/>
        <v xml:space="preserve">2000941BIMBO A             </v>
      </c>
      <c r="B1186" s="96">
        <v>2000941</v>
      </c>
      <c r="C1186" s="96" t="s">
        <v>817</v>
      </c>
      <c r="D1186" s="96" t="s">
        <v>573</v>
      </c>
      <c r="E1186" s="96" t="s">
        <v>623</v>
      </c>
      <c r="F1186" s="96" t="s">
        <v>624</v>
      </c>
      <c r="G1186" s="99">
        <v>55340</v>
      </c>
      <c r="H1186" s="97">
        <v>99.908186999999998</v>
      </c>
      <c r="I1186" s="98">
        <v>5528919.0685799997</v>
      </c>
      <c r="J1186" s="97">
        <v>100.00094398248645</v>
      </c>
      <c r="K1186" s="98">
        <v>-5133.1714107999996</v>
      </c>
      <c r="L1186" s="99">
        <v>0</v>
      </c>
      <c r="M1186" s="98">
        <v>0</v>
      </c>
      <c r="N1186" s="99">
        <v>0</v>
      </c>
      <c r="O1186" s="98">
        <v>0</v>
      </c>
      <c r="P1186" s="99">
        <v>55340</v>
      </c>
      <c r="Q1186" s="98">
        <v>5528919.0685799997</v>
      </c>
      <c r="R1186" s="96" t="s">
        <v>625</v>
      </c>
      <c r="S1186" s="96">
        <v>7414000005</v>
      </c>
      <c r="AA1186" s="131" t="s">
        <v>377</v>
      </c>
      <c r="AB1186" s="130">
        <v>200393.34017000001</v>
      </c>
      <c r="AC1186" s="130">
        <v>200393.34017000001</v>
      </c>
    </row>
    <row r="1187" spans="1:29" x14ac:dyDescent="0.25">
      <c r="A1187" t="str">
        <f t="shared" si="19"/>
        <v xml:space="preserve">2000941BONDESF 250227      </v>
      </c>
      <c r="B1187" s="96">
        <v>2000941</v>
      </c>
      <c r="C1187" s="96" t="s">
        <v>817</v>
      </c>
      <c r="D1187" s="96" t="s">
        <v>574</v>
      </c>
      <c r="E1187" s="96" t="s">
        <v>623</v>
      </c>
      <c r="F1187" s="96" t="s">
        <v>624</v>
      </c>
      <c r="G1187" s="99">
        <v>7837</v>
      </c>
      <c r="H1187" s="97">
        <v>99.882447999999997</v>
      </c>
      <c r="I1187" s="98">
        <v>782778.74497600005</v>
      </c>
      <c r="J1187" s="97">
        <v>100.08703075</v>
      </c>
      <c r="K1187" s="98">
        <v>-1603.3150117499999</v>
      </c>
      <c r="L1187" s="99">
        <v>0</v>
      </c>
      <c r="M1187" s="98">
        <v>0</v>
      </c>
      <c r="N1187" s="99">
        <v>0</v>
      </c>
      <c r="O1187" s="98">
        <v>0</v>
      </c>
      <c r="P1187" s="99">
        <v>7837</v>
      </c>
      <c r="Q1187" s="98">
        <v>782778.74497600005</v>
      </c>
      <c r="R1187" s="96" t="s">
        <v>625</v>
      </c>
      <c r="S1187" s="96">
        <v>7414000005</v>
      </c>
      <c r="AA1187" s="131" t="s">
        <v>422</v>
      </c>
      <c r="AB1187" s="130">
        <v>41210.165661999999</v>
      </c>
      <c r="AC1187" s="130">
        <v>41210.165661999999</v>
      </c>
    </row>
    <row r="1188" spans="1:29" x14ac:dyDescent="0.25">
      <c r="A1188" t="str">
        <f t="shared" si="19"/>
        <v xml:space="preserve">2000941BONDESF 250424      </v>
      </c>
      <c r="B1188" s="96">
        <v>2000941</v>
      </c>
      <c r="C1188" s="96" t="s">
        <v>817</v>
      </c>
      <c r="D1188" s="96" t="s">
        <v>362</v>
      </c>
      <c r="E1188" s="96" t="s">
        <v>623</v>
      </c>
      <c r="F1188" s="96" t="s">
        <v>624</v>
      </c>
      <c r="G1188" s="99">
        <v>1403000</v>
      </c>
      <c r="H1188" s="97">
        <v>14.33</v>
      </c>
      <c r="I1188" s="98">
        <v>20104990</v>
      </c>
      <c r="J1188" s="97">
        <v>2.3293024875267285</v>
      </c>
      <c r="K1188" s="98">
        <v>43477991.390000001</v>
      </c>
      <c r="L1188" s="99">
        <v>-1403000</v>
      </c>
      <c r="M1188" s="98">
        <v>-20161564.879999999</v>
      </c>
      <c r="N1188" s="99">
        <v>0</v>
      </c>
      <c r="O1188" s="98">
        <v>0</v>
      </c>
      <c r="P1188" s="99">
        <v>0</v>
      </c>
      <c r="Q1188" s="98">
        <v>-56574.879999999997</v>
      </c>
      <c r="R1188" s="96" t="s">
        <v>625</v>
      </c>
      <c r="S1188" s="96">
        <v>7414000005</v>
      </c>
      <c r="AA1188" s="131" t="s">
        <v>392</v>
      </c>
      <c r="AB1188" s="130">
        <v>1903063.466304</v>
      </c>
      <c r="AC1188" s="130">
        <v>1903063.466304</v>
      </c>
    </row>
    <row r="1189" spans="1:29" x14ac:dyDescent="0.25">
      <c r="A1189" t="str">
        <f t="shared" si="19"/>
        <v xml:space="preserve">2000941BONDESF 250619      </v>
      </c>
      <c r="B1189" s="96">
        <v>2000941</v>
      </c>
      <c r="C1189" s="96" t="s">
        <v>817</v>
      </c>
      <c r="D1189" s="96" t="s">
        <v>575</v>
      </c>
      <c r="E1189" s="96" t="s">
        <v>623</v>
      </c>
      <c r="F1189" s="96" t="s">
        <v>624</v>
      </c>
      <c r="G1189" s="99">
        <v>31819</v>
      </c>
      <c r="H1189" s="97">
        <v>99.999204000000006</v>
      </c>
      <c r="I1189" s="98">
        <v>3181874.6720759999</v>
      </c>
      <c r="J1189" s="97">
        <v>100.12310977946353</v>
      </c>
      <c r="K1189" s="98">
        <v>-3942.5579967499998</v>
      </c>
      <c r="L1189" s="99">
        <v>0</v>
      </c>
      <c r="M1189" s="98">
        <v>0</v>
      </c>
      <c r="N1189" s="99">
        <v>0</v>
      </c>
      <c r="O1189" s="98">
        <v>0</v>
      </c>
      <c r="P1189" s="99">
        <v>31819</v>
      </c>
      <c r="Q1189" s="98">
        <v>3181874.6720759999</v>
      </c>
      <c r="R1189" s="96" t="s">
        <v>625</v>
      </c>
      <c r="S1189" s="96">
        <v>7414000005</v>
      </c>
      <c r="AA1189" s="131" t="s">
        <v>386</v>
      </c>
      <c r="AB1189" s="130">
        <v>1500239.90182</v>
      </c>
      <c r="AC1189" s="130">
        <v>1500239.90182</v>
      </c>
    </row>
    <row r="1190" spans="1:29" x14ac:dyDescent="0.25">
      <c r="A1190" t="str">
        <f t="shared" si="19"/>
        <v xml:space="preserve">2000941CEMEX CPO           </v>
      </c>
      <c r="B1190" s="96">
        <v>2000941</v>
      </c>
      <c r="C1190" s="96" t="s">
        <v>817</v>
      </c>
      <c r="D1190" s="96" t="s">
        <v>649</v>
      </c>
      <c r="E1190" s="96" t="s">
        <v>623</v>
      </c>
      <c r="F1190" s="96" t="s">
        <v>624</v>
      </c>
      <c r="G1190" s="99">
        <v>0</v>
      </c>
      <c r="H1190" s="97">
        <v>0</v>
      </c>
      <c r="I1190" s="98">
        <v>0</v>
      </c>
      <c r="J1190" s="97">
        <v>0</v>
      </c>
      <c r="K1190" s="98">
        <v>-96965.79</v>
      </c>
      <c r="L1190" s="99">
        <v>17000000</v>
      </c>
      <c r="M1190" s="98">
        <v>153288181.78999999</v>
      </c>
      <c r="N1190" s="99">
        <v>0</v>
      </c>
      <c r="O1190" s="98">
        <v>0</v>
      </c>
      <c r="P1190" s="99">
        <v>17000000</v>
      </c>
      <c r="Q1190" s="98">
        <v>153288181.78999999</v>
      </c>
      <c r="R1190" s="96" t="s">
        <v>625</v>
      </c>
      <c r="S1190" s="96">
        <v>7414000005</v>
      </c>
      <c r="AA1190" s="131" t="s">
        <v>363</v>
      </c>
      <c r="AB1190" s="130">
        <v>851992.56147199997</v>
      </c>
      <c r="AC1190" s="130">
        <v>851992.56147199997</v>
      </c>
    </row>
    <row r="1191" spans="1:29" x14ac:dyDescent="0.25">
      <c r="A1191" t="str">
        <f t="shared" si="19"/>
        <v xml:space="preserve">2000941CETELEM 21-3        </v>
      </c>
      <c r="B1191" s="96">
        <v>2000941</v>
      </c>
      <c r="C1191" s="96" t="s">
        <v>817</v>
      </c>
      <c r="D1191" s="96" t="s">
        <v>455</v>
      </c>
      <c r="E1191" s="96" t="s">
        <v>623</v>
      </c>
      <c r="F1191" s="96" t="s">
        <v>624</v>
      </c>
      <c r="G1191" s="99">
        <v>17068</v>
      </c>
      <c r="H1191" s="97">
        <v>72.270214999999993</v>
      </c>
      <c r="I1191" s="98">
        <v>1233508.0296199999</v>
      </c>
      <c r="J1191" s="97">
        <v>94.414780289999996</v>
      </c>
      <c r="K1191" s="98">
        <v>-377963.44036971999</v>
      </c>
      <c r="L1191" s="99">
        <v>0</v>
      </c>
      <c r="M1191" s="98">
        <v>0</v>
      </c>
      <c r="N1191" s="99">
        <v>0</v>
      </c>
      <c r="O1191" s="98">
        <v>0</v>
      </c>
      <c r="P1191" s="99">
        <v>17068</v>
      </c>
      <c r="Q1191" s="98">
        <v>1233508.0296199999</v>
      </c>
      <c r="R1191" s="96" t="s">
        <v>625</v>
      </c>
      <c r="S1191" s="96">
        <v>7414000005</v>
      </c>
      <c r="AA1191" s="131" t="s">
        <v>409</v>
      </c>
      <c r="AB1191" s="130">
        <v>1141403.6634899999</v>
      </c>
      <c r="AC1191" s="130">
        <v>1141403.6634899999</v>
      </c>
    </row>
    <row r="1192" spans="1:29" x14ac:dyDescent="0.25">
      <c r="A1192" t="str">
        <f t="shared" si="19"/>
        <v xml:space="preserve">2000941CETES 250403        </v>
      </c>
      <c r="B1192" s="96">
        <v>2000941</v>
      </c>
      <c r="C1192" s="96" t="s">
        <v>817</v>
      </c>
      <c r="D1192" s="96" t="s">
        <v>365</v>
      </c>
      <c r="E1192" s="96" t="s">
        <v>623</v>
      </c>
      <c r="F1192" s="96" t="s">
        <v>624</v>
      </c>
      <c r="G1192" s="99">
        <v>11400</v>
      </c>
      <c r="H1192" s="97">
        <v>675.38</v>
      </c>
      <c r="I1192" s="98">
        <v>7699332</v>
      </c>
      <c r="J1192" s="97">
        <v>14.298342105263158</v>
      </c>
      <c r="K1192" s="98">
        <v>15235662.9</v>
      </c>
      <c r="L1192" s="99">
        <v>-11400</v>
      </c>
      <c r="M1192" s="98">
        <v>-7743678</v>
      </c>
      <c r="N1192" s="99">
        <v>0</v>
      </c>
      <c r="O1192" s="98">
        <v>0</v>
      </c>
      <c r="P1192" s="99">
        <v>0</v>
      </c>
      <c r="Q1192" s="98">
        <v>-44346</v>
      </c>
      <c r="R1192" s="96" t="s">
        <v>625</v>
      </c>
      <c r="S1192" s="96">
        <v>7414000005</v>
      </c>
      <c r="AA1192" s="131" t="s">
        <v>383</v>
      </c>
      <c r="AB1192" s="130">
        <v>1563357.3105359999</v>
      </c>
      <c r="AC1192" s="130">
        <v>1563357.3105359999</v>
      </c>
    </row>
    <row r="1193" spans="1:29" x14ac:dyDescent="0.25">
      <c r="A1193" t="str">
        <f t="shared" si="19"/>
        <v xml:space="preserve">2000941CHIACB 07           </v>
      </c>
      <c r="B1193" s="96">
        <v>2000941</v>
      </c>
      <c r="C1193" s="96" t="s">
        <v>817</v>
      </c>
      <c r="D1193" s="96" t="s">
        <v>367</v>
      </c>
      <c r="E1193" s="96" t="s">
        <v>623</v>
      </c>
      <c r="F1193" s="96" t="s">
        <v>624</v>
      </c>
      <c r="G1193" s="99">
        <v>2670</v>
      </c>
      <c r="H1193" s="97">
        <v>700.65</v>
      </c>
      <c r="I1193" s="98">
        <v>1870735.5</v>
      </c>
      <c r="J1193" s="97">
        <v>77.856460674157304</v>
      </c>
      <c r="K1193" s="98">
        <v>3533594.25</v>
      </c>
      <c r="L1193" s="99">
        <v>-2670</v>
      </c>
      <c r="M1193" s="98">
        <v>-1870735.5</v>
      </c>
      <c r="N1193" s="99">
        <v>0</v>
      </c>
      <c r="O1193" s="98">
        <v>0</v>
      </c>
      <c r="P1193" s="99">
        <v>0</v>
      </c>
      <c r="Q1193" s="98">
        <v>0</v>
      </c>
      <c r="R1193" s="96" t="s">
        <v>625</v>
      </c>
      <c r="S1193" s="96">
        <v>7414000005</v>
      </c>
      <c r="AA1193" s="131" t="s">
        <v>397</v>
      </c>
      <c r="AB1193" s="130">
        <v>308442.112715</v>
      </c>
      <c r="AC1193" s="130">
        <v>308442.112715</v>
      </c>
    </row>
    <row r="1194" spans="1:29" x14ac:dyDescent="0.25">
      <c r="A1194" t="str">
        <f t="shared" si="19"/>
        <v xml:space="preserve">2000941EEM *               </v>
      </c>
      <c r="B1194" s="96">
        <v>2000941</v>
      </c>
      <c r="C1194" s="96" t="s">
        <v>817</v>
      </c>
      <c r="D1194" s="96" t="s">
        <v>368</v>
      </c>
      <c r="E1194" s="96" t="s">
        <v>623</v>
      </c>
      <c r="F1194" s="96" t="s">
        <v>624</v>
      </c>
      <c r="G1194" s="99">
        <v>4570</v>
      </c>
      <c r="H1194" s="97">
        <v>1151</v>
      </c>
      <c r="I1194" s="98">
        <v>5260070</v>
      </c>
      <c r="J1194" s="97">
        <v>75.800722100656458</v>
      </c>
      <c r="K1194" s="98">
        <v>10866549.300000001</v>
      </c>
      <c r="L1194" s="99">
        <v>-4570</v>
      </c>
      <c r="M1194" s="98">
        <v>-5298549.4000000004</v>
      </c>
      <c r="N1194" s="99">
        <v>0</v>
      </c>
      <c r="O1194" s="98">
        <v>0</v>
      </c>
      <c r="P1194" s="99">
        <v>0</v>
      </c>
      <c r="Q1194" s="98">
        <v>-38479.4</v>
      </c>
      <c r="R1194" s="96" t="s">
        <v>625</v>
      </c>
      <c r="S1194" s="96">
        <v>7414000005</v>
      </c>
      <c r="AA1194" s="131" t="s">
        <v>499</v>
      </c>
      <c r="AB1194" s="130">
        <v>346720.29619000002</v>
      </c>
      <c r="AC1194" s="130">
        <v>346720.29619000002</v>
      </c>
    </row>
    <row r="1195" spans="1:29" x14ac:dyDescent="0.25">
      <c r="A1195" t="str">
        <f t="shared" si="19"/>
        <v xml:space="preserve">2000941EPP *               </v>
      </c>
      <c r="B1195" s="96">
        <v>2000941</v>
      </c>
      <c r="C1195" s="96" t="s">
        <v>817</v>
      </c>
      <c r="D1195" s="96" t="s">
        <v>369</v>
      </c>
      <c r="E1195" s="96" t="s">
        <v>623</v>
      </c>
      <c r="F1195" s="96" t="s">
        <v>624</v>
      </c>
      <c r="G1195" s="99">
        <v>155000</v>
      </c>
      <c r="H1195" s="97">
        <v>207.81</v>
      </c>
      <c r="I1195" s="98">
        <v>32210550</v>
      </c>
      <c r="J1195" s="97">
        <v>30.196602516129033</v>
      </c>
      <c r="K1195" s="98">
        <v>69101573.390000001</v>
      </c>
      <c r="L1195" s="99">
        <v>-155000</v>
      </c>
      <c r="M1195" s="98">
        <v>-32234583.870000001</v>
      </c>
      <c r="N1195" s="99">
        <v>0</v>
      </c>
      <c r="O1195" s="98">
        <v>0</v>
      </c>
      <c r="P1195" s="99">
        <v>0</v>
      </c>
      <c r="Q1195" s="98">
        <v>-24033.87</v>
      </c>
      <c r="R1195" s="96" t="s">
        <v>625</v>
      </c>
      <c r="S1195" s="96">
        <v>7414000005</v>
      </c>
      <c r="AA1195" s="131" t="s">
        <v>501</v>
      </c>
      <c r="AB1195" s="130">
        <v>933045.85</v>
      </c>
      <c r="AC1195" s="130">
        <v>933045.85</v>
      </c>
    </row>
    <row r="1196" spans="1:29" x14ac:dyDescent="0.25">
      <c r="A1196" t="str">
        <f t="shared" si="19"/>
        <v xml:space="preserve">2000941EWJ *               </v>
      </c>
      <c r="B1196" s="96">
        <v>2000941</v>
      </c>
      <c r="C1196" s="96" t="s">
        <v>817</v>
      </c>
      <c r="D1196" s="96" t="s">
        <v>576</v>
      </c>
      <c r="E1196" s="96" t="s">
        <v>623</v>
      </c>
      <c r="F1196" s="96" t="s">
        <v>624</v>
      </c>
      <c r="G1196" s="99">
        <v>72893</v>
      </c>
      <c r="H1196" s="97">
        <v>30.9</v>
      </c>
      <c r="I1196" s="98">
        <v>2252393.7000000002</v>
      </c>
      <c r="J1196" s="97">
        <v>1.0095289876942917</v>
      </c>
      <c r="K1196" s="98">
        <v>4431199.8035000004</v>
      </c>
      <c r="L1196" s="99">
        <v>-72893</v>
      </c>
      <c r="M1196" s="98">
        <v>-2254848.7400000002</v>
      </c>
      <c r="N1196" s="99">
        <v>0</v>
      </c>
      <c r="O1196" s="98">
        <v>0</v>
      </c>
      <c r="P1196" s="99">
        <v>0</v>
      </c>
      <c r="Q1196" s="98">
        <v>-2455.04</v>
      </c>
      <c r="R1196" s="96" t="s">
        <v>625</v>
      </c>
      <c r="S1196" s="96">
        <v>7414000005</v>
      </c>
      <c r="AA1196" s="131" t="s">
        <v>507</v>
      </c>
      <c r="AB1196" s="130">
        <v>618514.37535999995</v>
      </c>
      <c r="AC1196" s="130">
        <v>618514.37535999995</v>
      </c>
    </row>
    <row r="1197" spans="1:29" x14ac:dyDescent="0.25">
      <c r="A1197" t="str">
        <f t="shared" si="19"/>
        <v xml:space="preserve">2000941FEMSA UBD           </v>
      </c>
      <c r="B1197" s="96">
        <v>2000941</v>
      </c>
      <c r="C1197" s="96" t="s">
        <v>817</v>
      </c>
      <c r="D1197" s="96" t="s">
        <v>577</v>
      </c>
      <c r="E1197" s="96" t="s">
        <v>623</v>
      </c>
      <c r="F1197" s="96" t="s">
        <v>624</v>
      </c>
      <c r="G1197" s="99">
        <v>26599</v>
      </c>
      <c r="H1197" s="97">
        <v>68.83</v>
      </c>
      <c r="I1197" s="98">
        <v>1830809.17</v>
      </c>
      <c r="J1197" s="97">
        <v>6.5107834993796763</v>
      </c>
      <c r="K1197" s="98">
        <v>3834729.8402999998</v>
      </c>
      <c r="L1197" s="99">
        <v>-26598</v>
      </c>
      <c r="M1197" s="98">
        <v>-1828025</v>
      </c>
      <c r="N1197" s="99">
        <v>0</v>
      </c>
      <c r="O1197" s="98">
        <v>0</v>
      </c>
      <c r="P1197" s="99">
        <v>1</v>
      </c>
      <c r="Q1197" s="98">
        <v>2784.17</v>
      </c>
      <c r="R1197" s="96" t="s">
        <v>625</v>
      </c>
      <c r="S1197" s="96">
        <v>7414000005</v>
      </c>
      <c r="AA1197" s="129">
        <v>75017</v>
      </c>
      <c r="AB1197" s="130">
        <v>76147.907980999997</v>
      </c>
      <c r="AC1197" s="130">
        <v>76147.907980999997</v>
      </c>
    </row>
    <row r="1198" spans="1:29" x14ac:dyDescent="0.25">
      <c r="A1198" t="str">
        <f t="shared" si="19"/>
        <v xml:space="preserve">2000941FIBRAMQ 12          </v>
      </c>
      <c r="B1198" s="96">
        <v>2000941</v>
      </c>
      <c r="C1198" s="96" t="s">
        <v>817</v>
      </c>
      <c r="D1198" s="96" t="s">
        <v>370</v>
      </c>
      <c r="E1198" s="96" t="s">
        <v>623</v>
      </c>
      <c r="F1198" s="96" t="s">
        <v>624</v>
      </c>
      <c r="G1198" s="99">
        <v>25500</v>
      </c>
      <c r="H1198" s="97">
        <v>271.94</v>
      </c>
      <c r="I1198" s="98">
        <v>6934470</v>
      </c>
      <c r="J1198" s="97">
        <v>25.367385490196078</v>
      </c>
      <c r="K1198" s="98">
        <v>13222071.67</v>
      </c>
      <c r="L1198" s="99">
        <v>-25500</v>
      </c>
      <c r="M1198" s="98">
        <v>-6935048.9100000001</v>
      </c>
      <c r="N1198" s="99">
        <v>0</v>
      </c>
      <c r="O1198" s="98">
        <v>0</v>
      </c>
      <c r="P1198" s="99">
        <v>0</v>
      </c>
      <c r="Q1198" s="98">
        <v>-578.91</v>
      </c>
      <c r="R1198" s="96" t="s">
        <v>625</v>
      </c>
      <c r="S1198" s="96">
        <v>7414000005</v>
      </c>
      <c r="AA1198" s="131" t="s">
        <v>376</v>
      </c>
      <c r="AB1198" s="130">
        <v>793.97998399999994</v>
      </c>
      <c r="AC1198" s="130">
        <v>793.97998399999994</v>
      </c>
    </row>
    <row r="1199" spans="1:29" x14ac:dyDescent="0.25">
      <c r="A1199" t="str">
        <f t="shared" si="19"/>
        <v xml:space="preserve">2000941FIBRAPL 14          </v>
      </c>
      <c r="B1199" s="96">
        <v>2000941</v>
      </c>
      <c r="C1199" s="96" t="s">
        <v>817</v>
      </c>
      <c r="D1199" s="96" t="s">
        <v>371</v>
      </c>
      <c r="E1199" s="96" t="s">
        <v>623</v>
      </c>
      <c r="F1199" s="96" t="s">
        <v>624</v>
      </c>
      <c r="G1199" s="99">
        <v>28100</v>
      </c>
      <c r="H1199" s="97">
        <v>193.15</v>
      </c>
      <c r="I1199" s="98">
        <v>5427515</v>
      </c>
      <c r="J1199" s="97">
        <v>38.678827758007117</v>
      </c>
      <c r="K1199" s="98">
        <v>11941905.060000001</v>
      </c>
      <c r="L1199" s="99">
        <v>-28100</v>
      </c>
      <c r="M1199" s="98">
        <v>-5382315.4100000001</v>
      </c>
      <c r="N1199" s="99">
        <v>0</v>
      </c>
      <c r="O1199" s="98">
        <v>0</v>
      </c>
      <c r="P1199" s="99">
        <v>0</v>
      </c>
      <c r="Q1199" s="98">
        <v>45199.59</v>
      </c>
      <c r="R1199" s="96" t="s">
        <v>625</v>
      </c>
      <c r="S1199" s="96">
        <v>7414000005</v>
      </c>
      <c r="AA1199" s="131" t="s">
        <v>378</v>
      </c>
      <c r="AB1199" s="130">
        <v>91.911821000000003</v>
      </c>
      <c r="AC1199" s="130">
        <v>91.911821000000003</v>
      </c>
    </row>
    <row r="1200" spans="1:29" x14ac:dyDescent="0.25">
      <c r="A1200" t="str">
        <f t="shared" si="19"/>
        <v xml:space="preserve">2000941GAP B               </v>
      </c>
      <c r="B1200" s="96">
        <v>2000941</v>
      </c>
      <c r="C1200" s="96" t="s">
        <v>817</v>
      </c>
      <c r="D1200" s="96" t="s">
        <v>372</v>
      </c>
      <c r="E1200" s="96" t="s">
        <v>623</v>
      </c>
      <c r="F1200" s="96" t="s">
        <v>624</v>
      </c>
      <c r="G1200" s="99">
        <v>187500</v>
      </c>
      <c r="H1200" s="97">
        <v>27.12</v>
      </c>
      <c r="I1200" s="98">
        <v>5085000</v>
      </c>
      <c r="J1200" s="97">
        <v>6.719973173333333</v>
      </c>
      <c r="K1200" s="98">
        <v>11429994.970000001</v>
      </c>
      <c r="L1200" s="99">
        <v>-187500</v>
      </c>
      <c r="M1200" s="98">
        <v>-5128199.6900000004</v>
      </c>
      <c r="N1200" s="99">
        <v>0</v>
      </c>
      <c r="O1200" s="98">
        <v>0</v>
      </c>
      <c r="P1200" s="99">
        <v>0</v>
      </c>
      <c r="Q1200" s="98">
        <v>-43199.69</v>
      </c>
      <c r="R1200" s="96" t="s">
        <v>625</v>
      </c>
      <c r="S1200" s="96">
        <v>7414000005</v>
      </c>
      <c r="AA1200" s="131" t="s">
        <v>380</v>
      </c>
      <c r="AB1200" s="130">
        <v>1866.2838400000001</v>
      </c>
      <c r="AC1200" s="130">
        <v>1866.2838400000001</v>
      </c>
    </row>
    <row r="1201" spans="1:29" x14ac:dyDescent="0.25">
      <c r="A1201" t="str">
        <f t="shared" si="19"/>
        <v xml:space="preserve">2000941GCC *               </v>
      </c>
      <c r="B1201" s="96">
        <v>2000941</v>
      </c>
      <c r="C1201" s="96" t="s">
        <v>817</v>
      </c>
      <c r="D1201" s="96" t="s">
        <v>373</v>
      </c>
      <c r="E1201" s="96" t="s">
        <v>623</v>
      </c>
      <c r="F1201" s="96" t="s">
        <v>624</v>
      </c>
      <c r="G1201" s="99">
        <v>208400</v>
      </c>
      <c r="H1201" s="97">
        <v>176.44</v>
      </c>
      <c r="I1201" s="98">
        <v>36770096</v>
      </c>
      <c r="J1201" s="97">
        <v>27.264970681381957</v>
      </c>
      <c r="K1201" s="98">
        <v>79222211.890000001</v>
      </c>
      <c r="L1201" s="99">
        <v>-208400</v>
      </c>
      <c r="M1201" s="98">
        <v>-36743086.380000003</v>
      </c>
      <c r="N1201" s="99">
        <v>0</v>
      </c>
      <c r="O1201" s="98">
        <v>0</v>
      </c>
      <c r="P1201" s="99">
        <v>0</v>
      </c>
      <c r="Q1201" s="98">
        <v>27009.62</v>
      </c>
      <c r="R1201" s="96" t="s">
        <v>625</v>
      </c>
      <c r="S1201" s="96">
        <v>7414000005</v>
      </c>
      <c r="AA1201" s="131" t="s">
        <v>382</v>
      </c>
      <c r="AB1201" s="130">
        <v>984.38411499999995</v>
      </c>
      <c r="AC1201" s="130">
        <v>984.38411499999995</v>
      </c>
    </row>
    <row r="1202" spans="1:29" x14ac:dyDescent="0.25">
      <c r="A1202" t="str">
        <f t="shared" si="19"/>
        <v xml:space="preserve">2000941GENTERA *           </v>
      </c>
      <c r="B1202" s="96">
        <v>2000941</v>
      </c>
      <c r="C1202" s="96" t="s">
        <v>817</v>
      </c>
      <c r="D1202" s="96" t="s">
        <v>374</v>
      </c>
      <c r="E1202" s="96" t="s">
        <v>623</v>
      </c>
      <c r="F1202" s="96" t="s">
        <v>624</v>
      </c>
      <c r="G1202" s="99">
        <v>249100</v>
      </c>
      <c r="H1202" s="97">
        <v>104.12</v>
      </c>
      <c r="I1202" s="98">
        <v>25936292</v>
      </c>
      <c r="J1202" s="97">
        <v>3.2896445202729829</v>
      </c>
      <c r="K1202" s="98">
        <v>48362204.25</v>
      </c>
      <c r="L1202" s="99">
        <v>-207515</v>
      </c>
      <c r="M1202" s="98">
        <v>-21709658.379999999</v>
      </c>
      <c r="N1202" s="99">
        <v>0</v>
      </c>
      <c r="O1202" s="98">
        <v>0</v>
      </c>
      <c r="P1202" s="99">
        <v>41585</v>
      </c>
      <c r="Q1202" s="98">
        <v>4226633.62</v>
      </c>
      <c r="R1202" s="96" t="s">
        <v>625</v>
      </c>
      <c r="S1202" s="96">
        <v>7414000005</v>
      </c>
      <c r="AA1202" s="131" t="s">
        <v>427</v>
      </c>
      <c r="AB1202" s="130">
        <v>1210.570956</v>
      </c>
      <c r="AC1202" s="130">
        <v>1210.570956</v>
      </c>
    </row>
    <row r="1203" spans="1:29" x14ac:dyDescent="0.25">
      <c r="A1203" t="str">
        <f t="shared" si="19"/>
        <v xml:space="preserve">2000941GFNORTE O           </v>
      </c>
      <c r="B1203" s="96">
        <v>2000941</v>
      </c>
      <c r="C1203" s="96" t="s">
        <v>817</v>
      </c>
      <c r="D1203" s="96" t="s">
        <v>499</v>
      </c>
      <c r="E1203" s="96" t="s">
        <v>623</v>
      </c>
      <c r="F1203" s="96" t="s">
        <v>624</v>
      </c>
      <c r="G1203" s="99">
        <v>112820</v>
      </c>
      <c r="H1203" s="97">
        <v>92.954503000000003</v>
      </c>
      <c r="I1203" s="98">
        <v>10487127.02846</v>
      </c>
      <c r="J1203" s="97">
        <v>2.8213604009927319E-2</v>
      </c>
      <c r="K1203" s="98">
        <v>20971070.998115599</v>
      </c>
      <c r="L1203" s="99">
        <v>-112820</v>
      </c>
      <c r="M1203" s="98">
        <v>-10586971.74</v>
      </c>
      <c r="N1203" s="99">
        <v>0</v>
      </c>
      <c r="O1203" s="98">
        <v>0</v>
      </c>
      <c r="P1203" s="99">
        <v>0</v>
      </c>
      <c r="Q1203" s="98">
        <v>-99844.711540000004</v>
      </c>
      <c r="R1203" s="96" t="s">
        <v>625</v>
      </c>
      <c r="S1203" s="96">
        <v>7414000005</v>
      </c>
      <c r="AA1203" s="131" t="s">
        <v>418</v>
      </c>
      <c r="AB1203" s="130">
        <v>304.35289799999998</v>
      </c>
      <c r="AC1203" s="130">
        <v>304.35289799999998</v>
      </c>
    </row>
    <row r="1204" spans="1:29" x14ac:dyDescent="0.25">
      <c r="A1204" t="str">
        <f t="shared" si="19"/>
        <v xml:space="preserve">2000941GMEXICO B           </v>
      </c>
      <c r="B1204" s="96">
        <v>2000941</v>
      </c>
      <c r="C1204" s="96" t="s">
        <v>817</v>
      </c>
      <c r="D1204" s="96" t="s">
        <v>380</v>
      </c>
      <c r="E1204" s="96" t="s">
        <v>623</v>
      </c>
      <c r="F1204" s="96" t="s">
        <v>624</v>
      </c>
      <c r="G1204" s="99">
        <v>0</v>
      </c>
      <c r="H1204" s="97">
        <v>0</v>
      </c>
      <c r="I1204" s="98">
        <v>0</v>
      </c>
      <c r="J1204" s="97">
        <v>0</v>
      </c>
      <c r="K1204" s="98">
        <v>-187237.269</v>
      </c>
      <c r="L1204" s="99">
        <v>1700000</v>
      </c>
      <c r="M1204" s="98">
        <v>163460947.00999999</v>
      </c>
      <c r="N1204" s="99">
        <v>0</v>
      </c>
      <c r="O1204" s="98">
        <v>0</v>
      </c>
      <c r="P1204" s="99">
        <v>1700000</v>
      </c>
      <c r="Q1204" s="98">
        <v>163460947.00999999</v>
      </c>
      <c r="R1204" s="96" t="s">
        <v>625</v>
      </c>
      <c r="S1204" s="96">
        <v>7414000005</v>
      </c>
      <c r="AA1204" s="131" t="s">
        <v>384</v>
      </c>
      <c r="AB1204" s="130">
        <v>2615.6435200000001</v>
      </c>
      <c r="AC1204" s="130">
        <v>2615.6435200000001</v>
      </c>
    </row>
    <row r="1205" spans="1:29" x14ac:dyDescent="0.25">
      <c r="A1205" t="str">
        <f t="shared" si="19"/>
        <v xml:space="preserve">2000941GOBFED 260903       </v>
      </c>
      <c r="B1205" s="96">
        <v>2000941</v>
      </c>
      <c r="C1205" s="96" t="s">
        <v>817</v>
      </c>
      <c r="D1205" s="96" t="s">
        <v>507</v>
      </c>
      <c r="E1205" s="96" t="s">
        <v>623</v>
      </c>
      <c r="F1205" s="96" t="s">
        <v>624</v>
      </c>
      <c r="G1205" s="99">
        <v>40310</v>
      </c>
      <c r="H1205" s="97">
        <v>94.864168000000006</v>
      </c>
      <c r="I1205" s="98">
        <v>3823974.6120799999</v>
      </c>
      <c r="J1205" s="97">
        <v>1.27952157</v>
      </c>
      <c r="K1205" s="98">
        <v>7596371.7096733004</v>
      </c>
      <c r="L1205" s="99">
        <v>-40310</v>
      </c>
      <c r="M1205" s="98">
        <v>-3866855.95</v>
      </c>
      <c r="N1205" s="99">
        <v>0</v>
      </c>
      <c r="O1205" s="98">
        <v>0</v>
      </c>
      <c r="P1205" s="99">
        <v>0</v>
      </c>
      <c r="Q1205" s="98">
        <v>-42881.337919999998</v>
      </c>
      <c r="R1205" s="96" t="s">
        <v>625</v>
      </c>
      <c r="S1205" s="96">
        <v>7414000005</v>
      </c>
      <c r="AA1205" s="131" t="s">
        <v>389</v>
      </c>
      <c r="AB1205" s="130">
        <v>16579.644132000001</v>
      </c>
      <c r="AC1205" s="130">
        <v>16579.644132000001</v>
      </c>
    </row>
    <row r="1206" spans="1:29" x14ac:dyDescent="0.25">
      <c r="A1206" t="str">
        <f t="shared" si="19"/>
        <v xml:space="preserve">2000941GOBFED 270603       </v>
      </c>
      <c r="B1206" s="96">
        <v>2000941</v>
      </c>
      <c r="C1206" s="96" t="s">
        <v>817</v>
      </c>
      <c r="D1206" s="96" t="s">
        <v>381</v>
      </c>
      <c r="E1206" s="96" t="s">
        <v>623</v>
      </c>
      <c r="F1206" s="96" t="s">
        <v>624</v>
      </c>
      <c r="G1206" s="99">
        <v>100000</v>
      </c>
      <c r="H1206" s="97">
        <v>94.870157000000006</v>
      </c>
      <c r="I1206" s="98">
        <v>9487015.6999999993</v>
      </c>
      <c r="J1206" s="97">
        <v>3.5547954499999999</v>
      </c>
      <c r="K1206" s="98">
        <v>18618551.855</v>
      </c>
      <c r="L1206" s="99">
        <v>-100000</v>
      </c>
      <c r="M1206" s="98">
        <v>-9795321.1300000008</v>
      </c>
      <c r="N1206" s="99">
        <v>0</v>
      </c>
      <c r="O1206" s="98">
        <v>0</v>
      </c>
      <c r="P1206" s="99">
        <v>0</v>
      </c>
      <c r="Q1206" s="98">
        <v>-308305.43</v>
      </c>
      <c r="R1206" s="96" t="s">
        <v>625</v>
      </c>
      <c r="S1206" s="96">
        <v>7414000005</v>
      </c>
      <c r="AA1206" s="131" t="s">
        <v>391</v>
      </c>
      <c r="AB1206" s="130">
        <v>1551.383574</v>
      </c>
      <c r="AC1206" s="130">
        <v>1551.383574</v>
      </c>
    </row>
    <row r="1207" spans="1:29" x14ac:dyDescent="0.25">
      <c r="A1207" t="str">
        <f t="shared" si="19"/>
        <v xml:space="preserve">2000941GOBFED 290301       </v>
      </c>
      <c r="B1207" s="96">
        <v>2000941</v>
      </c>
      <c r="C1207" s="96" t="s">
        <v>817</v>
      </c>
      <c r="D1207" s="96" t="s">
        <v>382</v>
      </c>
      <c r="E1207" s="96" t="s">
        <v>623</v>
      </c>
      <c r="F1207" s="96" t="s">
        <v>624</v>
      </c>
      <c r="G1207" s="99">
        <v>26947</v>
      </c>
      <c r="H1207" s="97">
        <v>89.489464999999996</v>
      </c>
      <c r="I1207" s="98">
        <v>2411472.613355</v>
      </c>
      <c r="J1207" s="97">
        <v>5750.4020487202688</v>
      </c>
      <c r="K1207" s="98">
        <v>-412520.89351009001</v>
      </c>
      <c r="L1207" s="99">
        <v>1700000</v>
      </c>
      <c r="M1207" s="98">
        <v>157269859.53999999</v>
      </c>
      <c r="N1207" s="99">
        <v>0</v>
      </c>
      <c r="O1207" s="98">
        <v>0</v>
      </c>
      <c r="P1207" s="99">
        <v>1726947</v>
      </c>
      <c r="Q1207" s="98">
        <v>159681332.153355</v>
      </c>
      <c r="R1207" s="96" t="s">
        <v>625</v>
      </c>
      <c r="S1207" s="96">
        <v>7414000005</v>
      </c>
      <c r="AA1207" s="131" t="s">
        <v>395</v>
      </c>
      <c r="AB1207" s="130">
        <v>772.926965</v>
      </c>
      <c r="AC1207" s="130">
        <v>772.926965</v>
      </c>
    </row>
    <row r="1208" spans="1:29" x14ac:dyDescent="0.25">
      <c r="A1208" t="str">
        <f t="shared" si="19"/>
        <v xml:space="preserve">2000941GOBFED 290531       </v>
      </c>
      <c r="B1208" s="96">
        <v>2000941</v>
      </c>
      <c r="C1208" s="96" t="s">
        <v>817</v>
      </c>
      <c r="D1208" s="96" t="s">
        <v>383</v>
      </c>
      <c r="E1208" s="96" t="s">
        <v>623</v>
      </c>
      <c r="F1208" s="96" t="s">
        <v>624</v>
      </c>
      <c r="G1208" s="99">
        <v>67810</v>
      </c>
      <c r="H1208" s="97">
        <v>86.197128000000006</v>
      </c>
      <c r="I1208" s="98">
        <v>5845027.2496800004</v>
      </c>
      <c r="J1208" s="97">
        <v>3.7868230498982451</v>
      </c>
      <c r="K1208" s="98">
        <v>11433270.028346401</v>
      </c>
      <c r="L1208" s="99">
        <v>-67810</v>
      </c>
      <c r="M1208" s="98">
        <v>-6038229.0300000003</v>
      </c>
      <c r="N1208" s="99">
        <v>0</v>
      </c>
      <c r="O1208" s="98">
        <v>0</v>
      </c>
      <c r="P1208" s="99">
        <v>0</v>
      </c>
      <c r="Q1208" s="98">
        <v>-193201.78031999999</v>
      </c>
      <c r="R1208" s="96" t="s">
        <v>625</v>
      </c>
      <c r="S1208" s="96">
        <v>7414000005</v>
      </c>
      <c r="AA1208" s="131" t="s">
        <v>396</v>
      </c>
      <c r="AB1208" s="130">
        <v>1443.1892800000001</v>
      </c>
      <c r="AC1208" s="130">
        <v>1443.1892800000001</v>
      </c>
    </row>
    <row r="1209" spans="1:29" x14ac:dyDescent="0.25">
      <c r="A1209" t="str">
        <f t="shared" si="19"/>
        <v xml:space="preserve">2000941GOBFED 310529       </v>
      </c>
      <c r="B1209" s="96">
        <v>2000941</v>
      </c>
      <c r="C1209" s="96" t="s">
        <v>817</v>
      </c>
      <c r="D1209" s="96" t="s">
        <v>408</v>
      </c>
      <c r="E1209" s="96" t="s">
        <v>623</v>
      </c>
      <c r="F1209" s="96" t="s">
        <v>624</v>
      </c>
      <c r="G1209" s="99">
        <v>100000</v>
      </c>
      <c r="H1209" s="97">
        <v>89.643172000000007</v>
      </c>
      <c r="I1209" s="98">
        <v>8964317.1999999993</v>
      </c>
      <c r="J1209" s="97">
        <v>1629.3763166599999</v>
      </c>
      <c r="K1209" s="98">
        <v>-1579922.0660000001</v>
      </c>
      <c r="L1209" s="99">
        <v>1700000</v>
      </c>
      <c r="M1209" s="98">
        <v>158510544.72999999</v>
      </c>
      <c r="N1209" s="99">
        <v>0</v>
      </c>
      <c r="O1209" s="98">
        <v>0</v>
      </c>
      <c r="P1209" s="99">
        <v>1800000</v>
      </c>
      <c r="Q1209" s="98">
        <v>167474861.93000001</v>
      </c>
      <c r="R1209" s="96" t="s">
        <v>625</v>
      </c>
      <c r="S1209" s="96">
        <v>7414000005</v>
      </c>
      <c r="AA1209" s="131" t="s">
        <v>398</v>
      </c>
      <c r="AB1209" s="130">
        <v>709.36974099999998</v>
      </c>
      <c r="AC1209" s="130">
        <v>709.36974099999998</v>
      </c>
    </row>
    <row r="1210" spans="1:29" x14ac:dyDescent="0.25">
      <c r="A1210" t="str">
        <f t="shared" si="19"/>
        <v xml:space="preserve">2000941GOBFED 330526       </v>
      </c>
      <c r="B1210" s="96">
        <v>2000941</v>
      </c>
      <c r="C1210" s="96" t="s">
        <v>817</v>
      </c>
      <c r="D1210" s="96" t="s">
        <v>384</v>
      </c>
      <c r="E1210" s="96" t="s">
        <v>623</v>
      </c>
      <c r="F1210" s="96" t="s">
        <v>624</v>
      </c>
      <c r="G1210" s="99">
        <v>52046</v>
      </c>
      <c r="H1210" s="97">
        <v>81.738860000000003</v>
      </c>
      <c r="I1210" s="98">
        <v>4254180.70756</v>
      </c>
      <c r="J1210" s="97">
        <v>3.6395684427425739</v>
      </c>
      <c r="K1210" s="98">
        <v>8318936.4359490201</v>
      </c>
      <c r="L1210" s="99">
        <v>-52046</v>
      </c>
      <c r="M1210" s="98">
        <v>-4410656</v>
      </c>
      <c r="N1210" s="99">
        <v>0</v>
      </c>
      <c r="O1210" s="98">
        <v>0</v>
      </c>
      <c r="P1210" s="99">
        <v>0</v>
      </c>
      <c r="Q1210" s="98">
        <v>-156475.29243999999</v>
      </c>
      <c r="R1210" s="96" t="s">
        <v>625</v>
      </c>
      <c r="S1210" s="96">
        <v>7414000005</v>
      </c>
      <c r="AA1210" s="131" t="s">
        <v>358</v>
      </c>
      <c r="AB1210" s="130">
        <v>14292</v>
      </c>
      <c r="AC1210" s="130">
        <v>14292</v>
      </c>
    </row>
    <row r="1211" spans="1:29" x14ac:dyDescent="0.25">
      <c r="A1211" t="str">
        <f t="shared" si="19"/>
        <v xml:space="preserve">2000941GOBFED 381118       </v>
      </c>
      <c r="B1211" s="96">
        <v>2000941</v>
      </c>
      <c r="C1211" s="96" t="s">
        <v>817</v>
      </c>
      <c r="D1211" s="96" t="s">
        <v>385</v>
      </c>
      <c r="E1211" s="96" t="s">
        <v>623</v>
      </c>
      <c r="F1211" s="96" t="s">
        <v>624</v>
      </c>
      <c r="G1211" s="99">
        <v>21353</v>
      </c>
      <c r="H1211" s="97">
        <v>83.200761</v>
      </c>
      <c r="I1211" s="98">
        <v>1776585.8496330001</v>
      </c>
      <c r="J1211" s="97">
        <v>6.0626566799999999</v>
      </c>
      <c r="K1211" s="98">
        <v>3423715.7911779601</v>
      </c>
      <c r="L1211" s="99">
        <v>-21353</v>
      </c>
      <c r="M1211" s="98">
        <v>-1839649.01</v>
      </c>
      <c r="N1211" s="99">
        <v>0</v>
      </c>
      <c r="O1211" s="98">
        <v>0</v>
      </c>
      <c r="P1211" s="99">
        <v>0</v>
      </c>
      <c r="Q1211" s="98">
        <v>-63063.160366999997</v>
      </c>
      <c r="R1211" s="96" t="s">
        <v>625</v>
      </c>
      <c r="S1211" s="96">
        <v>7414000005</v>
      </c>
      <c r="AA1211" s="131" t="s">
        <v>381</v>
      </c>
      <c r="AB1211" s="130">
        <v>3035.8450240000002</v>
      </c>
      <c r="AC1211" s="130">
        <v>3035.8450240000002</v>
      </c>
    </row>
    <row r="1212" spans="1:29" x14ac:dyDescent="0.25">
      <c r="A1212" t="str">
        <f t="shared" si="19"/>
        <v xml:space="preserve">2000941GOBFED 421113       </v>
      </c>
      <c r="B1212" s="96">
        <v>2000941</v>
      </c>
      <c r="C1212" s="96" t="s">
        <v>817</v>
      </c>
      <c r="D1212" s="96" t="s">
        <v>386</v>
      </c>
      <c r="E1212" s="96" t="s">
        <v>623</v>
      </c>
      <c r="F1212" s="96" t="s">
        <v>624</v>
      </c>
      <c r="G1212" s="99">
        <v>20529</v>
      </c>
      <c r="H1212" s="97">
        <v>82.159907000000004</v>
      </c>
      <c r="I1212" s="98">
        <v>1686660.730803</v>
      </c>
      <c r="J1212" s="97">
        <v>6.2834505600000004</v>
      </c>
      <c r="K1212" s="98">
        <v>3244328.5050597601</v>
      </c>
      <c r="L1212" s="99">
        <v>-20529</v>
      </c>
      <c r="M1212" s="98">
        <v>-1710713.91</v>
      </c>
      <c r="N1212" s="99">
        <v>0</v>
      </c>
      <c r="O1212" s="98">
        <v>0</v>
      </c>
      <c r="P1212" s="99">
        <v>0</v>
      </c>
      <c r="Q1212" s="98">
        <v>-24053.179197000001</v>
      </c>
      <c r="R1212" s="96" t="s">
        <v>625</v>
      </c>
      <c r="S1212" s="96">
        <v>7414000005</v>
      </c>
      <c r="AA1212" s="131" t="s">
        <v>430</v>
      </c>
      <c r="AB1212" s="130">
        <v>15287.1248</v>
      </c>
      <c r="AC1212" s="130">
        <v>15287.1248</v>
      </c>
    </row>
    <row r="1213" spans="1:29" x14ac:dyDescent="0.25">
      <c r="A1213" t="str">
        <f t="shared" si="19"/>
        <v xml:space="preserve">2000941GOBFED 471107       </v>
      </c>
      <c r="B1213" s="96">
        <v>2000941</v>
      </c>
      <c r="C1213" s="96" t="s">
        <v>817</v>
      </c>
      <c r="D1213" s="96" t="s">
        <v>387</v>
      </c>
      <c r="E1213" s="96" t="s">
        <v>623</v>
      </c>
      <c r="F1213" s="96" t="s">
        <v>624</v>
      </c>
      <c r="G1213" s="99">
        <v>23400</v>
      </c>
      <c r="H1213" s="97">
        <v>314.42</v>
      </c>
      <c r="I1213" s="98">
        <v>7357428</v>
      </c>
      <c r="J1213" s="97">
        <v>47.647804273504271</v>
      </c>
      <c r="K1213" s="98">
        <v>15829814.619999999</v>
      </c>
      <c r="L1213" s="99">
        <v>-23400</v>
      </c>
      <c r="M1213" s="98">
        <v>-7440317.6200000001</v>
      </c>
      <c r="N1213" s="99">
        <v>0</v>
      </c>
      <c r="O1213" s="98">
        <v>0</v>
      </c>
      <c r="P1213" s="99">
        <v>0</v>
      </c>
      <c r="Q1213" s="98">
        <v>-82889.62</v>
      </c>
      <c r="R1213" s="96" t="s">
        <v>625</v>
      </c>
      <c r="S1213" s="96">
        <v>7414000005</v>
      </c>
      <c r="AA1213" s="131" t="s">
        <v>385</v>
      </c>
      <c r="AB1213" s="130">
        <v>166.401522</v>
      </c>
      <c r="AC1213" s="130">
        <v>166.401522</v>
      </c>
    </row>
    <row r="1214" spans="1:29" x14ac:dyDescent="0.25">
      <c r="A1214" t="str">
        <f t="shared" si="19"/>
        <v xml:space="preserve">2000941GOBFED 530731       </v>
      </c>
      <c r="B1214" s="96">
        <v>2000941</v>
      </c>
      <c r="C1214" s="96" t="s">
        <v>817</v>
      </c>
      <c r="D1214" s="96" t="s">
        <v>419</v>
      </c>
      <c r="E1214" s="96" t="s">
        <v>623</v>
      </c>
      <c r="F1214" s="96" t="s">
        <v>624</v>
      </c>
      <c r="G1214" s="99">
        <v>0</v>
      </c>
      <c r="H1214" s="97">
        <v>0</v>
      </c>
      <c r="I1214" s="98">
        <v>0</v>
      </c>
      <c r="J1214" s="97">
        <v>0</v>
      </c>
      <c r="K1214" s="98">
        <v>0</v>
      </c>
      <c r="L1214" s="99">
        <v>0</v>
      </c>
      <c r="M1214" s="98">
        <v>0</v>
      </c>
      <c r="N1214" s="99">
        <v>0</v>
      </c>
      <c r="O1214" s="98">
        <v>0</v>
      </c>
      <c r="P1214" s="99">
        <v>0</v>
      </c>
      <c r="Q1214" s="98">
        <v>0</v>
      </c>
      <c r="R1214" s="96" t="s">
        <v>625</v>
      </c>
      <c r="S1214" s="96">
        <v>7414000005</v>
      </c>
      <c r="AA1214" s="131" t="s">
        <v>375</v>
      </c>
      <c r="AB1214" s="130">
        <v>888.57314099999996</v>
      </c>
      <c r="AC1214" s="130">
        <v>888.57314099999996</v>
      </c>
    </row>
    <row r="1215" spans="1:29" x14ac:dyDescent="0.25">
      <c r="A1215" t="str">
        <f t="shared" si="19"/>
        <v xml:space="preserve">2000941GRUMA B             </v>
      </c>
      <c r="B1215" s="96">
        <v>2000941</v>
      </c>
      <c r="C1215" s="96" t="s">
        <v>817</v>
      </c>
      <c r="D1215" s="96" t="s">
        <v>388</v>
      </c>
      <c r="E1215" s="96" t="s">
        <v>623</v>
      </c>
      <c r="F1215" s="96" t="s">
        <v>624</v>
      </c>
      <c r="G1215" s="99">
        <v>4450</v>
      </c>
      <c r="H1215" s="97">
        <v>8532.5</v>
      </c>
      <c r="I1215" s="98">
        <v>37969625</v>
      </c>
      <c r="J1215" s="97">
        <v>749.31582022471912</v>
      </c>
      <c r="K1215" s="98">
        <v>79273705.400000006</v>
      </c>
      <c r="L1215" s="99">
        <v>-4450</v>
      </c>
      <c r="M1215" s="98">
        <v>-38402610</v>
      </c>
      <c r="N1215" s="99">
        <v>0</v>
      </c>
      <c r="O1215" s="98">
        <v>0</v>
      </c>
      <c r="P1215" s="99">
        <v>0</v>
      </c>
      <c r="Q1215" s="98">
        <v>-432985</v>
      </c>
      <c r="R1215" s="96" t="s">
        <v>625</v>
      </c>
      <c r="S1215" s="96">
        <v>7414000005</v>
      </c>
      <c r="AA1215" s="131" t="s">
        <v>399</v>
      </c>
      <c r="AB1215" s="130">
        <v>2083.233561</v>
      </c>
      <c r="AC1215" s="130">
        <v>2083.233561</v>
      </c>
    </row>
    <row r="1216" spans="1:29" x14ac:dyDescent="0.25">
      <c r="A1216" t="str">
        <f t="shared" si="19"/>
        <v xml:space="preserve">2000941IENOVA *            </v>
      </c>
      <c r="B1216" s="96">
        <v>2000941</v>
      </c>
      <c r="C1216" s="96" t="s">
        <v>817</v>
      </c>
      <c r="D1216" s="96" t="s">
        <v>578</v>
      </c>
      <c r="E1216" s="96" t="s">
        <v>623</v>
      </c>
      <c r="F1216" s="96" t="s">
        <v>624</v>
      </c>
      <c r="G1216" s="99">
        <v>114687</v>
      </c>
      <c r="H1216" s="97">
        <v>12.29</v>
      </c>
      <c r="I1216" s="98">
        <v>1409503.23</v>
      </c>
      <c r="J1216" s="97">
        <v>18.874792522256229</v>
      </c>
      <c r="K1216" s="98">
        <v>-755190.1</v>
      </c>
      <c r="L1216" s="99">
        <v>0</v>
      </c>
      <c r="M1216" s="98">
        <v>0</v>
      </c>
      <c r="N1216" s="99">
        <v>0</v>
      </c>
      <c r="O1216" s="98">
        <v>0</v>
      </c>
      <c r="P1216" s="99">
        <v>114687</v>
      </c>
      <c r="Q1216" s="98">
        <v>1409503.23</v>
      </c>
      <c r="R1216" s="96" t="s">
        <v>625</v>
      </c>
      <c r="S1216" s="96">
        <v>7414000005</v>
      </c>
      <c r="AA1216" s="131" t="s">
        <v>394</v>
      </c>
      <c r="AB1216" s="130">
        <v>684.88915799999995</v>
      </c>
      <c r="AC1216" s="130">
        <v>684.88915799999995</v>
      </c>
    </row>
    <row r="1217" spans="1:29" x14ac:dyDescent="0.25">
      <c r="A1217" t="str">
        <f t="shared" si="19"/>
        <v xml:space="preserve">2000941IVV *               </v>
      </c>
      <c r="B1217" s="96">
        <v>2000941</v>
      </c>
      <c r="C1217" s="96" t="s">
        <v>817</v>
      </c>
      <c r="D1217" s="96" t="s">
        <v>579</v>
      </c>
      <c r="E1217" s="96" t="s">
        <v>623</v>
      </c>
      <c r="F1217" s="96" t="s">
        <v>624</v>
      </c>
      <c r="G1217" s="99">
        <v>268750</v>
      </c>
      <c r="H1217" s="97">
        <v>92.873472000000007</v>
      </c>
      <c r="I1217" s="98">
        <v>24959745.600000001</v>
      </c>
      <c r="J1217" s="97">
        <v>100</v>
      </c>
      <c r="K1217" s="98">
        <v>-1915254.4</v>
      </c>
      <c r="L1217" s="99">
        <v>0</v>
      </c>
      <c r="M1217" s="98">
        <v>0</v>
      </c>
      <c r="N1217" s="99">
        <v>0</v>
      </c>
      <c r="O1217" s="98">
        <v>0</v>
      </c>
      <c r="P1217" s="99">
        <v>268750</v>
      </c>
      <c r="Q1217" s="98">
        <v>24959745.600000001</v>
      </c>
      <c r="R1217" s="96" t="s">
        <v>625</v>
      </c>
      <c r="S1217" s="96">
        <v>7414000005</v>
      </c>
      <c r="AA1217" s="131" t="s">
        <v>379</v>
      </c>
      <c r="AB1217" s="130">
        <v>354.79249199999998</v>
      </c>
      <c r="AC1217" s="130">
        <v>354.79249199999998</v>
      </c>
    </row>
    <row r="1218" spans="1:29" x14ac:dyDescent="0.25">
      <c r="A1218" t="str">
        <f t="shared" si="19"/>
        <v xml:space="preserve">2000941JAVER *             </v>
      </c>
      <c r="B1218" s="96">
        <v>2000941</v>
      </c>
      <c r="C1218" s="96" t="s">
        <v>817</v>
      </c>
      <c r="D1218" s="96" t="s">
        <v>580</v>
      </c>
      <c r="E1218" s="96" t="s">
        <v>623</v>
      </c>
      <c r="F1218" s="96" t="s">
        <v>624</v>
      </c>
      <c r="G1218" s="99">
        <v>178200</v>
      </c>
      <c r="H1218" s="97">
        <v>38.369999999999997</v>
      </c>
      <c r="I1218" s="98">
        <v>6837534</v>
      </c>
      <c r="J1218" s="97">
        <v>3.9521592592592594</v>
      </c>
      <c r="K1218" s="98">
        <v>14379342.779999999</v>
      </c>
      <c r="L1218" s="99">
        <v>-178200</v>
      </c>
      <c r="M1218" s="98">
        <v>-6831524.3899999997</v>
      </c>
      <c r="N1218" s="99">
        <v>0</v>
      </c>
      <c r="O1218" s="98">
        <v>0</v>
      </c>
      <c r="P1218" s="99">
        <v>0</v>
      </c>
      <c r="Q1218" s="98">
        <v>6009.61</v>
      </c>
      <c r="R1218" s="96" t="s">
        <v>625</v>
      </c>
      <c r="S1218" s="96">
        <v>7414000005</v>
      </c>
      <c r="AA1218" s="131" t="s">
        <v>422</v>
      </c>
      <c r="AB1218" s="130">
        <v>97.654420999999999</v>
      </c>
      <c r="AC1218" s="130">
        <v>97.654420999999999</v>
      </c>
    </row>
    <row r="1219" spans="1:29" x14ac:dyDescent="0.25">
      <c r="A1219" t="str">
        <f t="shared" si="19"/>
        <v xml:space="preserve">2000941KIMBER 22           </v>
      </c>
      <c r="B1219" s="96">
        <v>2000941</v>
      </c>
      <c r="C1219" s="96" t="s">
        <v>817</v>
      </c>
      <c r="D1219" s="96" t="s">
        <v>581</v>
      </c>
      <c r="E1219" s="96" t="s">
        <v>623</v>
      </c>
      <c r="F1219" s="96" t="s">
        <v>624</v>
      </c>
      <c r="G1219" s="99">
        <v>15425</v>
      </c>
      <c r="H1219" s="97">
        <v>99.998991000000004</v>
      </c>
      <c r="I1219" s="98">
        <v>1542484.4361749999</v>
      </c>
      <c r="J1219" s="97">
        <v>100</v>
      </c>
      <c r="K1219" s="98">
        <v>-15.563825</v>
      </c>
      <c r="L1219" s="99">
        <v>0</v>
      </c>
      <c r="M1219" s="98">
        <v>0</v>
      </c>
      <c r="N1219" s="99">
        <v>0</v>
      </c>
      <c r="O1219" s="98">
        <v>0</v>
      </c>
      <c r="P1219" s="99">
        <v>15425</v>
      </c>
      <c r="Q1219" s="98">
        <v>1542484.4361749999</v>
      </c>
      <c r="R1219" s="96" t="s">
        <v>625</v>
      </c>
      <c r="S1219" s="96">
        <v>7414000005</v>
      </c>
      <c r="AA1219" s="131" t="s">
        <v>392</v>
      </c>
      <c r="AB1219" s="130">
        <v>747.17843200000004</v>
      </c>
      <c r="AC1219" s="130">
        <v>747.17843200000004</v>
      </c>
    </row>
    <row r="1220" spans="1:29" x14ac:dyDescent="0.25">
      <c r="A1220" t="str">
        <f t="shared" si="19"/>
        <v xml:space="preserve">2000941KIMBER A            </v>
      </c>
      <c r="B1220" s="96">
        <v>2000941</v>
      </c>
      <c r="C1220" s="96" t="s">
        <v>817</v>
      </c>
      <c r="D1220" s="96" t="s">
        <v>539</v>
      </c>
      <c r="E1220" s="96" t="s">
        <v>623</v>
      </c>
      <c r="F1220" s="96" t="s">
        <v>624</v>
      </c>
      <c r="G1220" s="99">
        <v>35990</v>
      </c>
      <c r="H1220" s="97">
        <v>158.63</v>
      </c>
      <c r="I1220" s="98">
        <v>5709093.7000000002</v>
      </c>
      <c r="J1220" s="97">
        <v>23.735027507641011</v>
      </c>
      <c r="K1220" s="98">
        <v>12272411.039999999</v>
      </c>
      <c r="L1220" s="99">
        <v>-35990</v>
      </c>
      <c r="M1220" s="98">
        <v>-5774051.8499999996</v>
      </c>
      <c r="N1220" s="99">
        <v>0</v>
      </c>
      <c r="O1220" s="98">
        <v>0</v>
      </c>
      <c r="P1220" s="99">
        <v>0</v>
      </c>
      <c r="Q1220" s="98">
        <v>-64958.15</v>
      </c>
      <c r="R1220" s="96" t="s">
        <v>625</v>
      </c>
      <c r="S1220" s="96">
        <v>7414000005</v>
      </c>
      <c r="AA1220" s="131" t="s">
        <v>386</v>
      </c>
      <c r="AB1220" s="130">
        <v>164.31981400000001</v>
      </c>
      <c r="AC1220" s="130">
        <v>164.31981400000001</v>
      </c>
    </row>
    <row r="1221" spans="1:29" x14ac:dyDescent="0.25">
      <c r="A1221" t="str">
        <f t="shared" si="19"/>
        <v xml:space="preserve">2000941KOF 21-2L           </v>
      </c>
      <c r="B1221" s="96">
        <v>2000941</v>
      </c>
      <c r="C1221" s="96" t="s">
        <v>817</v>
      </c>
      <c r="D1221" s="96" t="s">
        <v>541</v>
      </c>
      <c r="E1221" s="96" t="s">
        <v>623</v>
      </c>
      <c r="F1221" s="96" t="s">
        <v>624</v>
      </c>
      <c r="G1221" s="99">
        <v>32400</v>
      </c>
      <c r="H1221" s="97">
        <v>156</v>
      </c>
      <c r="I1221" s="98">
        <v>5054400</v>
      </c>
      <c r="J1221" s="97">
        <v>17.806790432098765</v>
      </c>
      <c r="K1221" s="98">
        <v>10685740.01</v>
      </c>
      <c r="L1221" s="99">
        <v>-32400</v>
      </c>
      <c r="M1221" s="98">
        <v>-5059432.07</v>
      </c>
      <c r="N1221" s="99">
        <v>0</v>
      </c>
      <c r="O1221" s="98">
        <v>0</v>
      </c>
      <c r="P1221" s="99">
        <v>0</v>
      </c>
      <c r="Q1221" s="98">
        <v>-5032.07</v>
      </c>
      <c r="R1221" s="96" t="s">
        <v>625</v>
      </c>
      <c r="S1221" s="96">
        <v>7414000005</v>
      </c>
      <c r="AA1221" s="131" t="s">
        <v>363</v>
      </c>
      <c r="AB1221" s="130">
        <v>1424.0382</v>
      </c>
      <c r="AC1221" s="130">
        <v>1424.0382</v>
      </c>
    </row>
    <row r="1222" spans="1:29" x14ac:dyDescent="0.25">
      <c r="A1222" t="str">
        <f t="shared" si="19"/>
        <v xml:space="preserve">2000941KOF UBL             </v>
      </c>
      <c r="B1222" s="96">
        <v>2000941</v>
      </c>
      <c r="C1222" s="96" t="s">
        <v>817</v>
      </c>
      <c r="D1222" s="96" t="s">
        <v>501</v>
      </c>
      <c r="E1222" s="96" t="s">
        <v>623</v>
      </c>
      <c r="F1222" s="96" t="s">
        <v>624</v>
      </c>
      <c r="G1222" s="99">
        <v>17410</v>
      </c>
      <c r="H1222" s="97">
        <v>682.55</v>
      </c>
      <c r="I1222" s="98">
        <v>11883195.5</v>
      </c>
      <c r="J1222" s="97">
        <v>22.827044801838024</v>
      </c>
      <c r="K1222" s="98">
        <v>23368972.149999999</v>
      </c>
      <c r="L1222" s="99">
        <v>-17410</v>
      </c>
      <c r="M1222" s="98">
        <v>-11883195.5</v>
      </c>
      <c r="N1222" s="99">
        <v>0</v>
      </c>
      <c r="O1222" s="98">
        <v>0</v>
      </c>
      <c r="P1222" s="99">
        <v>0</v>
      </c>
      <c r="Q1222" s="98">
        <v>0</v>
      </c>
      <c r="R1222" s="96" t="s">
        <v>625</v>
      </c>
      <c r="S1222" s="96">
        <v>7414000005</v>
      </c>
      <c r="AA1222" s="131" t="s">
        <v>409</v>
      </c>
      <c r="AB1222" s="130">
        <v>2241.1591199999998</v>
      </c>
      <c r="AC1222" s="130">
        <v>2241.1591199999998</v>
      </c>
    </row>
    <row r="1223" spans="1:29" x14ac:dyDescent="0.25">
      <c r="A1223" t="str">
        <f t="shared" ref="A1223:A1286" si="20">B1221&amp;D1221</f>
        <v xml:space="preserve">2000941R A                 </v>
      </c>
      <c r="B1223" s="96">
        <v>2000941</v>
      </c>
      <c r="C1223" s="96" t="s">
        <v>817</v>
      </c>
      <c r="D1223" s="96" t="s">
        <v>568</v>
      </c>
      <c r="E1223" s="96" t="s">
        <v>623</v>
      </c>
      <c r="F1223" s="96" t="s">
        <v>624</v>
      </c>
      <c r="G1223" s="99">
        <v>758611</v>
      </c>
      <c r="H1223" s="97">
        <v>48.559412999999999</v>
      </c>
      <c r="I1223" s="98">
        <v>36837704.855342999</v>
      </c>
      <c r="J1223" s="97">
        <v>5.3953107719239508</v>
      </c>
      <c r="K1223" s="98">
        <v>77768351.810686007</v>
      </c>
      <c r="L1223" s="99">
        <v>-758611</v>
      </c>
      <c r="M1223" s="98">
        <v>-36837704.859999999</v>
      </c>
      <c r="N1223" s="99">
        <v>0</v>
      </c>
      <c r="O1223" s="98">
        <v>0</v>
      </c>
      <c r="P1223" s="99">
        <v>0</v>
      </c>
      <c r="Q1223" s="98">
        <v>-4.6569999999999997E-3</v>
      </c>
      <c r="R1223" s="96" t="s">
        <v>625</v>
      </c>
      <c r="S1223" s="96">
        <v>7414000005</v>
      </c>
      <c r="AA1223" s="131" t="s">
        <v>383</v>
      </c>
      <c r="AB1223" s="130">
        <v>3878.8707599999998</v>
      </c>
      <c r="AC1223" s="130">
        <v>3878.8707599999998</v>
      </c>
    </row>
    <row r="1224" spans="1:29" x14ac:dyDescent="0.25">
      <c r="A1224" t="str">
        <f t="shared" si="20"/>
        <v xml:space="preserve">2000941SPSM *              </v>
      </c>
      <c r="B1224" s="96">
        <v>2000941</v>
      </c>
      <c r="C1224" s="96" t="s">
        <v>817</v>
      </c>
      <c r="D1224" s="96" t="s">
        <v>569</v>
      </c>
      <c r="E1224" s="96" t="s">
        <v>623</v>
      </c>
      <c r="F1224" s="96" t="s">
        <v>624</v>
      </c>
      <c r="G1224" s="99">
        <v>11339728</v>
      </c>
      <c r="H1224" s="97">
        <v>3.5281129999999998</v>
      </c>
      <c r="I1224" s="98">
        <v>40007841.773263998</v>
      </c>
      <c r="J1224" s="97">
        <v>0.48951742846036517</v>
      </c>
      <c r="K1224" s="98">
        <v>85566678.036528006</v>
      </c>
      <c r="L1224" s="99">
        <v>-11339728</v>
      </c>
      <c r="M1224" s="98">
        <v>-40007841.770000003</v>
      </c>
      <c r="N1224" s="99">
        <v>0</v>
      </c>
      <c r="O1224" s="98">
        <v>0</v>
      </c>
      <c r="P1224" s="99">
        <v>0</v>
      </c>
      <c r="Q1224" s="98">
        <v>3.264E-3</v>
      </c>
      <c r="R1224" s="96" t="s">
        <v>625</v>
      </c>
      <c r="S1224" s="96">
        <v>7414000005</v>
      </c>
      <c r="AA1224" s="131" t="s">
        <v>499</v>
      </c>
      <c r="AB1224" s="130">
        <v>929.54503</v>
      </c>
      <c r="AC1224" s="130">
        <v>929.54503</v>
      </c>
    </row>
    <row r="1225" spans="1:29" x14ac:dyDescent="0.25">
      <c r="A1225" t="str">
        <f t="shared" si="20"/>
        <v xml:space="preserve">2000941ST&amp;ER-7 ED          </v>
      </c>
      <c r="B1225" s="96">
        <v>2000941</v>
      </c>
      <c r="C1225" s="96" t="s">
        <v>817</v>
      </c>
      <c r="D1225" s="96" t="s">
        <v>389</v>
      </c>
      <c r="E1225" s="96" t="s">
        <v>623</v>
      </c>
      <c r="F1225" s="96" t="s">
        <v>624</v>
      </c>
      <c r="G1225" s="99">
        <v>43105121</v>
      </c>
      <c r="H1225" s="97">
        <v>3.3967719999999999</v>
      </c>
      <c r="I1225" s="98">
        <v>146418268.06941199</v>
      </c>
      <c r="J1225" s="97">
        <v>3.2661376435992375</v>
      </c>
      <c r="K1225" s="98">
        <v>5631009.7394120004</v>
      </c>
      <c r="L1225" s="99">
        <v>0</v>
      </c>
      <c r="M1225" s="98">
        <v>0</v>
      </c>
      <c r="N1225" s="99">
        <v>0</v>
      </c>
      <c r="O1225" s="98">
        <v>0</v>
      </c>
      <c r="P1225" s="99">
        <v>43105121</v>
      </c>
      <c r="Q1225" s="98">
        <v>146418268.06941199</v>
      </c>
      <c r="R1225" s="96" t="s">
        <v>625</v>
      </c>
      <c r="S1225" s="96">
        <v>7414000005</v>
      </c>
      <c r="AA1225" s="131" t="s">
        <v>507</v>
      </c>
      <c r="AB1225" s="130">
        <v>948.64167999999995</v>
      </c>
      <c r="AC1225" s="130">
        <v>948.64167999999995</v>
      </c>
    </row>
    <row r="1226" spans="1:29" x14ac:dyDescent="0.25">
      <c r="A1226" t="str">
        <f t="shared" si="20"/>
        <v xml:space="preserve">2000941STEREAL ED          </v>
      </c>
      <c r="B1226" s="96">
        <v>2000941</v>
      </c>
      <c r="C1226" s="96" t="s">
        <v>817</v>
      </c>
      <c r="D1226" s="96" t="s">
        <v>582</v>
      </c>
      <c r="E1226" s="96" t="s">
        <v>623</v>
      </c>
      <c r="F1226" s="96" t="s">
        <v>624</v>
      </c>
      <c r="G1226" s="99">
        <v>60600</v>
      </c>
      <c r="H1226" s="97">
        <v>42.3</v>
      </c>
      <c r="I1226" s="98">
        <v>2563380</v>
      </c>
      <c r="J1226" s="97">
        <v>8.8620757425742571</v>
      </c>
      <c r="K1226" s="98">
        <v>5663801.79</v>
      </c>
      <c r="L1226" s="99">
        <v>-60600</v>
      </c>
      <c r="M1226" s="98">
        <v>-2568177.39</v>
      </c>
      <c r="N1226" s="99">
        <v>0</v>
      </c>
      <c r="O1226" s="98">
        <v>0</v>
      </c>
      <c r="P1226" s="99">
        <v>0</v>
      </c>
      <c r="Q1226" s="98">
        <v>-4797.3900000000003</v>
      </c>
      <c r="R1226" s="96" t="s">
        <v>625</v>
      </c>
      <c r="S1226" s="96">
        <v>7414000005</v>
      </c>
      <c r="AA1226" s="129">
        <v>75218</v>
      </c>
      <c r="AB1226" s="130">
        <v>0</v>
      </c>
      <c r="AC1226" s="130">
        <v>0</v>
      </c>
    </row>
    <row r="1227" spans="1:29" x14ac:dyDescent="0.25">
      <c r="A1227" t="str">
        <f t="shared" si="20"/>
        <v xml:space="preserve">2000941STERGOB ED          </v>
      </c>
      <c r="B1227" s="96">
        <v>2000941</v>
      </c>
      <c r="C1227" s="96" t="s">
        <v>817</v>
      </c>
      <c r="D1227" s="96" t="s">
        <v>391</v>
      </c>
      <c r="E1227" s="96" t="s">
        <v>623</v>
      </c>
      <c r="F1227" s="96" t="s">
        <v>624</v>
      </c>
      <c r="G1227" s="99">
        <v>1586</v>
      </c>
      <c r="H1227" s="97">
        <v>775.69178699999998</v>
      </c>
      <c r="I1227" s="98">
        <v>1230247.1741820001</v>
      </c>
      <c r="J1227" s="97">
        <v>9.7748114000000008</v>
      </c>
      <c r="K1227" s="98">
        <v>2475997.1992444</v>
      </c>
      <c r="L1227" s="99">
        <v>-1586</v>
      </c>
      <c r="M1227" s="98">
        <v>-1252598.3799999999</v>
      </c>
      <c r="N1227" s="99">
        <v>0</v>
      </c>
      <c r="O1227" s="98">
        <v>0</v>
      </c>
      <c r="P1227" s="99">
        <v>0</v>
      </c>
      <c r="Q1227" s="98">
        <v>-22351.205817999999</v>
      </c>
      <c r="R1227" s="96" t="s">
        <v>625</v>
      </c>
      <c r="S1227" s="96">
        <v>7414000005</v>
      </c>
      <c r="AA1227" s="131" t="s">
        <v>376</v>
      </c>
      <c r="AB1227" s="130">
        <v>0</v>
      </c>
      <c r="AC1227" s="130">
        <v>0</v>
      </c>
    </row>
    <row r="1228" spans="1:29" x14ac:dyDescent="0.25">
      <c r="A1228" t="str">
        <f t="shared" si="20"/>
        <v xml:space="preserve">2000941TERRA 13            </v>
      </c>
      <c r="B1228" s="96">
        <v>2000941</v>
      </c>
      <c r="C1228" s="96" t="s">
        <v>817</v>
      </c>
      <c r="D1228" s="96" t="s">
        <v>392</v>
      </c>
      <c r="E1228" s="96" t="s">
        <v>623</v>
      </c>
      <c r="F1228" s="96" t="s">
        <v>624</v>
      </c>
      <c r="G1228" s="99">
        <v>1315</v>
      </c>
      <c r="H1228" s="97">
        <v>747.17843200000004</v>
      </c>
      <c r="I1228" s="98">
        <v>982539.63807999995</v>
      </c>
      <c r="J1228" s="97">
        <v>17.675020991346006</v>
      </c>
      <c r="K1228" s="98">
        <v>1988321.9287636201</v>
      </c>
      <c r="L1228" s="99">
        <v>-1315</v>
      </c>
      <c r="M1228" s="98">
        <v>-995203.6</v>
      </c>
      <c r="N1228" s="99">
        <v>0</v>
      </c>
      <c r="O1228" s="98">
        <v>0</v>
      </c>
      <c r="P1228" s="99">
        <v>0</v>
      </c>
      <c r="Q1228" s="98">
        <v>-12663.96192</v>
      </c>
      <c r="R1228" s="96" t="s">
        <v>625</v>
      </c>
      <c r="S1228" s="96">
        <v>7414000005</v>
      </c>
      <c r="AA1228" s="131" t="s">
        <v>382</v>
      </c>
      <c r="AB1228" s="130">
        <v>0</v>
      </c>
      <c r="AC1228" s="130">
        <v>0</v>
      </c>
    </row>
    <row r="1229" spans="1:29" x14ac:dyDescent="0.25">
      <c r="A1229" t="str">
        <f t="shared" si="20"/>
        <v xml:space="preserve">2000941UDIBONO 251204      </v>
      </c>
      <c r="B1229" s="96">
        <v>2000941</v>
      </c>
      <c r="C1229" s="96" t="s">
        <v>817</v>
      </c>
      <c r="D1229" s="96" t="s">
        <v>393</v>
      </c>
      <c r="E1229" s="96" t="s">
        <v>623</v>
      </c>
      <c r="F1229" s="96" t="s">
        <v>624</v>
      </c>
      <c r="G1229" s="99">
        <v>1432</v>
      </c>
      <c r="H1229" s="97">
        <v>765.92388300000005</v>
      </c>
      <c r="I1229" s="98">
        <v>1096803.000456</v>
      </c>
      <c r="J1229" s="97">
        <v>5.9096264666689944</v>
      </c>
      <c r="K1229" s="98">
        <v>2202068.5860122698</v>
      </c>
      <c r="L1229" s="99">
        <v>-1432</v>
      </c>
      <c r="M1229" s="98">
        <v>-1115649.07</v>
      </c>
      <c r="N1229" s="99">
        <v>0</v>
      </c>
      <c r="O1229" s="98">
        <v>0</v>
      </c>
      <c r="P1229" s="99">
        <v>0</v>
      </c>
      <c r="Q1229" s="98">
        <v>-18846.069544000002</v>
      </c>
      <c r="R1229" s="96" t="s">
        <v>625</v>
      </c>
      <c r="S1229" s="96">
        <v>7414000005</v>
      </c>
      <c r="AA1229" s="131" t="s">
        <v>396</v>
      </c>
      <c r="AB1229" s="130">
        <v>0</v>
      </c>
      <c r="AC1229" s="130">
        <v>0</v>
      </c>
    </row>
    <row r="1230" spans="1:29" x14ac:dyDescent="0.25">
      <c r="A1230" t="str">
        <f t="shared" si="20"/>
        <v xml:space="preserve">2000941UDIBONO 261203      </v>
      </c>
      <c r="B1230" s="96">
        <v>2000941</v>
      </c>
      <c r="C1230" s="96" t="s">
        <v>817</v>
      </c>
      <c r="D1230" s="96" t="s">
        <v>395</v>
      </c>
      <c r="E1230" s="96" t="s">
        <v>623</v>
      </c>
      <c r="F1230" s="96" t="s">
        <v>624</v>
      </c>
      <c r="G1230" s="99">
        <v>8909</v>
      </c>
      <c r="H1230" s="97">
        <v>772.926965</v>
      </c>
      <c r="I1230" s="98">
        <v>6886006.331185</v>
      </c>
      <c r="J1230" s="97">
        <v>31.998697119999999</v>
      </c>
      <c r="K1230" s="98">
        <v>13486936.269727919</v>
      </c>
      <c r="L1230" s="99">
        <v>-8909</v>
      </c>
      <c r="M1230" s="98">
        <v>-6992006.6399999997</v>
      </c>
      <c r="N1230" s="99">
        <v>0</v>
      </c>
      <c r="O1230" s="98">
        <v>0</v>
      </c>
      <c r="P1230" s="99">
        <v>0</v>
      </c>
      <c r="Q1230" s="98">
        <v>-106000.308815</v>
      </c>
      <c r="R1230" s="96" t="s">
        <v>625</v>
      </c>
      <c r="S1230" s="96">
        <v>7414000005</v>
      </c>
      <c r="AA1230" s="129">
        <v>75219</v>
      </c>
      <c r="AB1230" s="130">
        <v>25336545.785209</v>
      </c>
      <c r="AC1230" s="130">
        <v>25336545.785209</v>
      </c>
    </row>
    <row r="1231" spans="1:29" x14ac:dyDescent="0.25">
      <c r="A1231" t="str">
        <f t="shared" si="20"/>
        <v xml:space="preserve">2000941UDIBONO 281130      </v>
      </c>
      <c r="B1231" s="96">
        <v>2000941</v>
      </c>
      <c r="C1231" s="96" t="s">
        <v>817</v>
      </c>
      <c r="D1231" s="96" t="s">
        <v>396</v>
      </c>
      <c r="E1231" s="96" t="s">
        <v>623</v>
      </c>
      <c r="F1231" s="96" t="s">
        <v>624</v>
      </c>
      <c r="G1231" s="99">
        <v>11288</v>
      </c>
      <c r="H1231" s="97">
        <v>721.59464000000003</v>
      </c>
      <c r="I1231" s="98">
        <v>8145360.2963199997</v>
      </c>
      <c r="J1231" s="97">
        <v>25.376388410000001</v>
      </c>
      <c r="K1231" s="98">
        <v>16004271.920267919</v>
      </c>
      <c r="L1231" s="99">
        <v>-11288</v>
      </c>
      <c r="M1231" s="98">
        <v>-8264364.0300000003</v>
      </c>
      <c r="N1231" s="99">
        <v>0</v>
      </c>
      <c r="O1231" s="98">
        <v>0</v>
      </c>
      <c r="P1231" s="99">
        <v>0</v>
      </c>
      <c r="Q1231" s="98">
        <v>-119003.73368</v>
      </c>
      <c r="R1231" s="96" t="s">
        <v>625</v>
      </c>
      <c r="S1231" s="96">
        <v>7414000005</v>
      </c>
      <c r="AA1231" s="131" t="s">
        <v>376</v>
      </c>
      <c r="AB1231" s="130">
        <v>131105.944858</v>
      </c>
      <c r="AC1231" s="130">
        <v>131105.944858</v>
      </c>
    </row>
    <row r="1232" spans="1:29" x14ac:dyDescent="0.25">
      <c r="A1232" t="str">
        <f t="shared" si="20"/>
        <v xml:space="preserve">2000941UDIBONO 351122      </v>
      </c>
      <c r="B1232" s="96">
        <v>2000941</v>
      </c>
      <c r="C1232" s="96" t="s">
        <v>817</v>
      </c>
      <c r="D1232" s="96" t="s">
        <v>397</v>
      </c>
      <c r="E1232" s="96" t="s">
        <v>623</v>
      </c>
      <c r="F1232" s="96" t="s">
        <v>624</v>
      </c>
      <c r="G1232" s="99">
        <v>794</v>
      </c>
      <c r="H1232" s="97">
        <v>635.96311900000001</v>
      </c>
      <c r="I1232" s="98">
        <v>504954.71648599999</v>
      </c>
      <c r="J1232" s="97">
        <v>38.160738819999999</v>
      </c>
      <c r="K1232" s="98">
        <v>979609.80634891998</v>
      </c>
      <c r="L1232" s="99">
        <v>-794</v>
      </c>
      <c r="M1232" s="98">
        <v>-511907.61</v>
      </c>
      <c r="N1232" s="99">
        <v>0</v>
      </c>
      <c r="O1232" s="98">
        <v>0</v>
      </c>
      <c r="P1232" s="99">
        <v>0</v>
      </c>
      <c r="Q1232" s="98">
        <v>-6952.8935140000003</v>
      </c>
      <c r="R1232" s="96" t="s">
        <v>625</v>
      </c>
      <c r="S1232" s="96">
        <v>7414000005</v>
      </c>
      <c r="AA1232" s="131" t="s">
        <v>378</v>
      </c>
      <c r="AB1232" s="130">
        <v>280422.96587100002</v>
      </c>
      <c r="AC1232" s="130">
        <v>280422.96587100002</v>
      </c>
    </row>
    <row r="1233" spans="1:29" x14ac:dyDescent="0.25">
      <c r="A1233" t="str">
        <f t="shared" si="20"/>
        <v xml:space="preserve">2000941UDIBONO 401115      </v>
      </c>
      <c r="B1233" s="96">
        <v>2000941</v>
      </c>
      <c r="C1233" s="96" t="s">
        <v>817</v>
      </c>
      <c r="D1233" s="96" t="s">
        <v>398</v>
      </c>
      <c r="E1233" s="96" t="s">
        <v>623</v>
      </c>
      <c r="F1233" s="96" t="s">
        <v>624</v>
      </c>
      <c r="G1233" s="99">
        <v>7490</v>
      </c>
      <c r="H1233" s="97">
        <v>709.36974099999998</v>
      </c>
      <c r="I1233" s="98">
        <v>5313179.3600899996</v>
      </c>
      <c r="J1233" s="97">
        <v>58.809078419999999</v>
      </c>
      <c r="K1233" s="98">
        <v>10185878.7228142</v>
      </c>
      <c r="L1233" s="99">
        <v>-7490</v>
      </c>
      <c r="M1233" s="98">
        <v>-5397831.6100000003</v>
      </c>
      <c r="N1233" s="99">
        <v>0</v>
      </c>
      <c r="O1233" s="98">
        <v>0</v>
      </c>
      <c r="P1233" s="99">
        <v>0</v>
      </c>
      <c r="Q1233" s="98">
        <v>-84652.249909999999</v>
      </c>
      <c r="R1233" s="96" t="s">
        <v>625</v>
      </c>
      <c r="S1233" s="96">
        <v>7414000005</v>
      </c>
      <c r="AA1233" s="131" t="s">
        <v>380</v>
      </c>
      <c r="AB1233" s="130">
        <v>364765.17652799998</v>
      </c>
      <c r="AC1233" s="130">
        <v>364765.17652799998</v>
      </c>
    </row>
    <row r="1234" spans="1:29" x14ac:dyDescent="0.25">
      <c r="A1234" t="str">
        <f t="shared" si="20"/>
        <v xml:space="preserve">2000941UDIBONO 431112      </v>
      </c>
      <c r="B1234" s="96">
        <v>2000941</v>
      </c>
      <c r="C1234" s="96" t="s">
        <v>817</v>
      </c>
      <c r="D1234" s="96" t="s">
        <v>399</v>
      </c>
      <c r="E1234" s="96" t="s">
        <v>623</v>
      </c>
      <c r="F1234" s="96" t="s">
        <v>624</v>
      </c>
      <c r="G1234" s="99">
        <v>13932</v>
      </c>
      <c r="H1234" s="97">
        <v>694.41118700000004</v>
      </c>
      <c r="I1234" s="98">
        <v>9674536.6572840009</v>
      </c>
      <c r="J1234" s="97">
        <v>33.238675279839221</v>
      </c>
      <c r="K1234" s="98">
        <v>18885992.09056928</v>
      </c>
      <c r="L1234" s="99">
        <v>-13932</v>
      </c>
      <c r="M1234" s="98">
        <v>-9868932.3100000005</v>
      </c>
      <c r="N1234" s="99">
        <v>0</v>
      </c>
      <c r="O1234" s="98">
        <v>0</v>
      </c>
      <c r="P1234" s="99">
        <v>0</v>
      </c>
      <c r="Q1234" s="98">
        <v>-194395.65271600001</v>
      </c>
      <c r="R1234" s="96" t="s">
        <v>625</v>
      </c>
      <c r="S1234" s="96">
        <v>7414000005</v>
      </c>
      <c r="AA1234" s="131" t="s">
        <v>382</v>
      </c>
      <c r="AB1234" s="130">
        <v>5995.7941549999996</v>
      </c>
      <c r="AC1234" s="130">
        <v>5995.7941549999996</v>
      </c>
    </row>
    <row r="1235" spans="1:29" x14ac:dyDescent="0.25">
      <c r="A1235" t="str">
        <f t="shared" si="20"/>
        <v xml:space="preserve">2000941UDIBONO 461108      </v>
      </c>
      <c r="B1235" s="96">
        <v>2000941</v>
      </c>
      <c r="C1235" s="96" t="s">
        <v>817</v>
      </c>
      <c r="D1235" s="96" t="s">
        <v>400</v>
      </c>
      <c r="E1235" s="96" t="s">
        <v>623</v>
      </c>
      <c r="F1235" s="96" t="s">
        <v>624</v>
      </c>
      <c r="G1235" s="99">
        <v>110900</v>
      </c>
      <c r="H1235" s="97">
        <v>58.67</v>
      </c>
      <c r="I1235" s="98">
        <v>6506503</v>
      </c>
      <c r="J1235" s="97">
        <v>20.873057530207394</v>
      </c>
      <c r="K1235" s="98">
        <v>7795309.6599000003</v>
      </c>
      <c r="L1235" s="99">
        <v>-61422</v>
      </c>
      <c r="M1235" s="98">
        <v>-3695591.61</v>
      </c>
      <c r="N1235" s="99">
        <v>0</v>
      </c>
      <c r="O1235" s="98">
        <v>0</v>
      </c>
      <c r="P1235" s="99">
        <v>49478</v>
      </c>
      <c r="Q1235" s="98">
        <v>2810911.39</v>
      </c>
      <c r="R1235" s="96" t="s">
        <v>625</v>
      </c>
      <c r="S1235" s="96">
        <v>7414000005</v>
      </c>
      <c r="AA1235" s="131" t="s">
        <v>427</v>
      </c>
      <c r="AB1235" s="130">
        <v>1007540.912808</v>
      </c>
      <c r="AC1235" s="130">
        <v>1007540.912808</v>
      </c>
    </row>
    <row r="1236" spans="1:29" x14ac:dyDescent="0.25">
      <c r="A1236" t="str">
        <f t="shared" si="20"/>
        <v xml:space="preserve">2000941UDIBONO 501103      </v>
      </c>
      <c r="B1236" s="96">
        <v>2000941</v>
      </c>
      <c r="C1236" s="96" t="s">
        <v>817</v>
      </c>
      <c r="D1236" s="96" t="s">
        <v>401</v>
      </c>
      <c r="E1236" s="96" t="s">
        <v>623</v>
      </c>
      <c r="F1236" s="96" t="s">
        <v>624</v>
      </c>
      <c r="G1236" s="99">
        <v>10130</v>
      </c>
      <c r="H1236" s="97">
        <v>1090</v>
      </c>
      <c r="I1236" s="98">
        <v>11041700</v>
      </c>
      <c r="J1236" s="97">
        <v>9.3600236920039492</v>
      </c>
      <c r="K1236" s="98">
        <v>21988582.960000001</v>
      </c>
      <c r="L1236" s="99">
        <v>-10130</v>
      </c>
      <c r="M1236" s="98">
        <v>-11083334.300000001</v>
      </c>
      <c r="N1236" s="99">
        <v>0</v>
      </c>
      <c r="O1236" s="98">
        <v>0</v>
      </c>
      <c r="P1236" s="99">
        <v>0</v>
      </c>
      <c r="Q1236" s="98">
        <v>-41634.300000000003</v>
      </c>
      <c r="R1236" s="96" t="s">
        <v>625</v>
      </c>
      <c r="S1236" s="96">
        <v>7414000005</v>
      </c>
      <c r="AA1236" s="131" t="s">
        <v>418</v>
      </c>
      <c r="AB1236" s="130">
        <v>41696.347026000003</v>
      </c>
      <c r="AC1236" s="130">
        <v>41696.347026000003</v>
      </c>
    </row>
    <row r="1237" spans="1:29" x14ac:dyDescent="0.25">
      <c r="A1237" t="str">
        <f t="shared" si="20"/>
        <v xml:space="preserve">2000941VESTA *             </v>
      </c>
      <c r="B1237" s="96">
        <v>2000941</v>
      </c>
      <c r="C1237" s="96" t="s">
        <v>817</v>
      </c>
      <c r="D1237" s="96" t="s">
        <v>403</v>
      </c>
      <c r="E1237" s="96" t="s">
        <v>623</v>
      </c>
      <c r="F1237" s="96" t="s">
        <v>624</v>
      </c>
      <c r="G1237" s="99">
        <v>350800</v>
      </c>
      <c r="H1237" s="97">
        <v>65.260000000000005</v>
      </c>
      <c r="I1237" s="98">
        <v>22893208</v>
      </c>
      <c r="J1237" s="97">
        <v>3.3676709521094641</v>
      </c>
      <c r="K1237" s="98">
        <v>44605037.030000001</v>
      </c>
      <c r="L1237" s="99">
        <v>-350800</v>
      </c>
      <c r="M1237" s="98">
        <v>-22871663.629999999</v>
      </c>
      <c r="N1237" s="99">
        <v>0</v>
      </c>
      <c r="O1237" s="98">
        <v>0</v>
      </c>
      <c r="P1237" s="99">
        <v>0</v>
      </c>
      <c r="Q1237" s="98">
        <v>21544.37</v>
      </c>
      <c r="R1237" s="96" t="s">
        <v>625</v>
      </c>
      <c r="S1237" s="96">
        <v>7414000005</v>
      </c>
      <c r="AA1237" s="131" t="s">
        <v>408</v>
      </c>
      <c r="AB1237" s="130">
        <v>29313.317244000002</v>
      </c>
      <c r="AC1237" s="130">
        <v>29313.317244000002</v>
      </c>
    </row>
    <row r="1238" spans="1:29" x14ac:dyDescent="0.25">
      <c r="A1238" t="str">
        <f t="shared" si="20"/>
        <v xml:space="preserve">2000941VGK *               </v>
      </c>
      <c r="B1238" s="96">
        <v>2000942</v>
      </c>
      <c r="C1238" s="96" t="s">
        <v>818</v>
      </c>
      <c r="D1238" s="96" t="s">
        <v>357</v>
      </c>
      <c r="E1238" s="96" t="s">
        <v>623</v>
      </c>
      <c r="F1238" s="96" t="s">
        <v>624</v>
      </c>
      <c r="G1238" s="99">
        <v>1500</v>
      </c>
      <c r="H1238" s="97">
        <v>168.64</v>
      </c>
      <c r="I1238" s="98">
        <v>252960</v>
      </c>
      <c r="J1238" s="97">
        <v>0.58241333333333334</v>
      </c>
      <c r="K1238" s="98">
        <v>506793.62</v>
      </c>
      <c r="L1238" s="99">
        <v>-1500</v>
      </c>
      <c r="M1238" s="98">
        <v>-254108.89</v>
      </c>
      <c r="N1238" s="99">
        <v>0</v>
      </c>
      <c r="O1238" s="98">
        <v>0</v>
      </c>
      <c r="P1238" s="99">
        <v>0</v>
      </c>
      <c r="Q1238" s="98">
        <v>-1148.8900000000001</v>
      </c>
      <c r="R1238" s="96" t="s">
        <v>625</v>
      </c>
      <c r="S1238" s="96">
        <v>7414000005</v>
      </c>
      <c r="AA1238" s="131" t="s">
        <v>384</v>
      </c>
      <c r="AB1238" s="130">
        <v>678023.84369999997</v>
      </c>
      <c r="AC1238" s="130">
        <v>678023.84369999997</v>
      </c>
    </row>
    <row r="1239" spans="1:29" x14ac:dyDescent="0.25">
      <c r="A1239" t="str">
        <f t="shared" si="20"/>
        <v xml:space="preserve">2000941WALMEX *            </v>
      </c>
      <c r="B1239" s="96">
        <v>2000942</v>
      </c>
      <c r="C1239" s="96" t="s">
        <v>818</v>
      </c>
      <c r="D1239" s="96" t="s">
        <v>358</v>
      </c>
      <c r="E1239" s="96" t="s">
        <v>623</v>
      </c>
      <c r="F1239" s="96" t="s">
        <v>624</v>
      </c>
      <c r="G1239" s="99">
        <v>130</v>
      </c>
      <c r="H1239" s="97">
        <v>1786.5</v>
      </c>
      <c r="I1239" s="98">
        <v>232245</v>
      </c>
      <c r="J1239" s="97">
        <v>171.91230769230771</v>
      </c>
      <c r="K1239" s="98">
        <v>486838.6</v>
      </c>
      <c r="L1239" s="99">
        <v>-130</v>
      </c>
      <c r="M1239" s="98">
        <v>-234525.2</v>
      </c>
      <c r="N1239" s="99">
        <v>0</v>
      </c>
      <c r="O1239" s="98">
        <v>0</v>
      </c>
      <c r="P1239" s="99">
        <v>0</v>
      </c>
      <c r="Q1239" s="98">
        <v>-2280.1999999999998</v>
      </c>
      <c r="R1239" s="96" t="s">
        <v>625</v>
      </c>
      <c r="S1239" s="96">
        <v>7414000005</v>
      </c>
      <c r="AA1239" s="131" t="s">
        <v>389</v>
      </c>
      <c r="AB1239" s="130">
        <v>10782706.243256001</v>
      </c>
      <c r="AC1239" s="130">
        <v>10782706.243256001</v>
      </c>
    </row>
    <row r="1240" spans="1:29" x14ac:dyDescent="0.25">
      <c r="A1240" t="str">
        <f t="shared" si="20"/>
        <v xml:space="preserve">2000942AC *                </v>
      </c>
      <c r="B1240" s="96">
        <v>2000942</v>
      </c>
      <c r="C1240" s="96" t="s">
        <v>818</v>
      </c>
      <c r="D1240" s="96" t="s">
        <v>506</v>
      </c>
      <c r="E1240" s="96" t="s">
        <v>623</v>
      </c>
      <c r="F1240" s="96" t="s">
        <v>624</v>
      </c>
      <c r="G1240" s="99">
        <v>13800</v>
      </c>
      <c r="H1240" s="97">
        <v>12.48</v>
      </c>
      <c r="I1240" s="98">
        <v>172224</v>
      </c>
      <c r="J1240" s="97">
        <v>1.7722623188405797</v>
      </c>
      <c r="K1240" s="98">
        <v>368905.22</v>
      </c>
      <c r="L1240" s="99">
        <v>-13800</v>
      </c>
      <c r="M1240" s="98">
        <v>-172301.4</v>
      </c>
      <c r="N1240" s="99">
        <v>0</v>
      </c>
      <c r="O1240" s="98">
        <v>0</v>
      </c>
      <c r="P1240" s="99">
        <v>0</v>
      </c>
      <c r="Q1240" s="98">
        <v>-77.400000000000006</v>
      </c>
      <c r="R1240" s="96" t="s">
        <v>625</v>
      </c>
      <c r="S1240" s="96">
        <v>7414000005</v>
      </c>
      <c r="AA1240" s="131" t="s">
        <v>391</v>
      </c>
      <c r="AB1240" s="130">
        <v>75242.103338999994</v>
      </c>
      <c r="AC1240" s="130">
        <v>75242.103338999994</v>
      </c>
    </row>
    <row r="1241" spans="1:29" x14ac:dyDescent="0.25">
      <c r="A1241" t="str">
        <f t="shared" si="20"/>
        <v xml:space="preserve">2000942ACWI *              </v>
      </c>
      <c r="B1241" s="96">
        <v>2000942</v>
      </c>
      <c r="C1241" s="96" t="s">
        <v>818</v>
      </c>
      <c r="D1241" s="96" t="s">
        <v>359</v>
      </c>
      <c r="E1241" s="96" t="s">
        <v>623</v>
      </c>
      <c r="F1241" s="96" t="s">
        <v>624</v>
      </c>
      <c r="G1241" s="99">
        <v>2500</v>
      </c>
      <c r="H1241" s="97">
        <v>73.37</v>
      </c>
      <c r="I1241" s="98">
        <v>183425</v>
      </c>
      <c r="J1241" s="97">
        <v>14.841652</v>
      </c>
      <c r="K1241" s="98">
        <v>240454.58</v>
      </c>
      <c r="L1241" s="99">
        <v>-1283</v>
      </c>
      <c r="M1241" s="98">
        <v>-96584.42</v>
      </c>
      <c r="N1241" s="99">
        <v>0</v>
      </c>
      <c r="O1241" s="98">
        <v>0</v>
      </c>
      <c r="P1241" s="99">
        <v>1217</v>
      </c>
      <c r="Q1241" s="98">
        <v>86840.58</v>
      </c>
      <c r="R1241" s="96" t="s">
        <v>625</v>
      </c>
      <c r="S1241" s="96">
        <v>7414000005</v>
      </c>
      <c r="AA1241" s="131" t="s">
        <v>395</v>
      </c>
      <c r="AB1241" s="130">
        <v>159222.95478999999</v>
      </c>
      <c r="AC1241" s="130">
        <v>159222.95478999999</v>
      </c>
    </row>
    <row r="1242" spans="1:29" x14ac:dyDescent="0.25">
      <c r="A1242" t="str">
        <f t="shared" si="20"/>
        <v xml:space="preserve">2000942ALFA A              </v>
      </c>
      <c r="B1242" s="96">
        <v>2000942</v>
      </c>
      <c r="C1242" s="96" t="s">
        <v>818</v>
      </c>
      <c r="D1242" s="96" t="s">
        <v>360</v>
      </c>
      <c r="E1242" s="96" t="s">
        <v>623</v>
      </c>
      <c r="F1242" s="96" t="s">
        <v>624</v>
      </c>
      <c r="G1242" s="99">
        <v>51000</v>
      </c>
      <c r="H1242" s="97">
        <v>15.12</v>
      </c>
      <c r="I1242" s="98">
        <v>771120</v>
      </c>
      <c r="J1242" s="97">
        <v>1.3990358803921568</v>
      </c>
      <c r="K1242" s="98">
        <v>1470889.1701</v>
      </c>
      <c r="L1242" s="99">
        <v>-51000</v>
      </c>
      <c r="M1242" s="98">
        <v>-775660.09</v>
      </c>
      <c r="N1242" s="99">
        <v>0</v>
      </c>
      <c r="O1242" s="98">
        <v>0</v>
      </c>
      <c r="P1242" s="99">
        <v>0</v>
      </c>
      <c r="Q1242" s="98">
        <v>-4540.09</v>
      </c>
      <c r="R1242" s="96" t="s">
        <v>625</v>
      </c>
      <c r="S1242" s="96">
        <v>7414000005</v>
      </c>
      <c r="AA1242" s="131" t="s">
        <v>396</v>
      </c>
      <c r="AB1242" s="130">
        <v>66386.706879999998</v>
      </c>
      <c r="AC1242" s="130">
        <v>66386.706879999998</v>
      </c>
    </row>
    <row r="1243" spans="1:29" x14ac:dyDescent="0.25">
      <c r="A1243" t="str">
        <f t="shared" si="20"/>
        <v xml:space="preserve">2000942ALSEA *             </v>
      </c>
      <c r="B1243" s="96">
        <v>2000942</v>
      </c>
      <c r="C1243" s="96" t="s">
        <v>818</v>
      </c>
      <c r="D1243" s="96" t="s">
        <v>551</v>
      </c>
      <c r="E1243" s="96" t="s">
        <v>623</v>
      </c>
      <c r="F1243" s="96" t="s">
        <v>624</v>
      </c>
      <c r="G1243" s="99">
        <v>550</v>
      </c>
      <c r="H1243" s="97">
        <v>525.09</v>
      </c>
      <c r="I1243" s="98">
        <v>288799.5</v>
      </c>
      <c r="J1243" s="97">
        <v>25.065745454545453</v>
      </c>
      <c r="K1243" s="98">
        <v>591385.16</v>
      </c>
      <c r="L1243" s="99">
        <v>-550</v>
      </c>
      <c r="M1243" s="98">
        <v>-291950.15999999997</v>
      </c>
      <c r="N1243" s="99">
        <v>0</v>
      </c>
      <c r="O1243" s="98">
        <v>0</v>
      </c>
      <c r="P1243" s="99">
        <v>0</v>
      </c>
      <c r="Q1243" s="98">
        <v>-3150.66</v>
      </c>
      <c r="R1243" s="96" t="s">
        <v>625</v>
      </c>
      <c r="S1243" s="96">
        <v>7414000005</v>
      </c>
      <c r="AA1243" s="131" t="s">
        <v>398</v>
      </c>
      <c r="AB1243" s="130">
        <v>144002.05742299999</v>
      </c>
      <c r="AC1243" s="130">
        <v>144002.05742299999</v>
      </c>
    </row>
    <row r="1244" spans="1:29" x14ac:dyDescent="0.25">
      <c r="A1244" t="str">
        <f t="shared" si="20"/>
        <v xml:space="preserve">2000942AMX B               </v>
      </c>
      <c r="B1244" s="96">
        <v>2000942</v>
      </c>
      <c r="C1244" s="96" t="s">
        <v>818</v>
      </c>
      <c r="D1244" s="96" t="s">
        <v>361</v>
      </c>
      <c r="E1244" s="96" t="s">
        <v>623</v>
      </c>
      <c r="F1244" s="96" t="s">
        <v>624</v>
      </c>
      <c r="G1244" s="99">
        <v>2550</v>
      </c>
      <c r="H1244" s="97">
        <v>68.25</v>
      </c>
      <c r="I1244" s="98">
        <v>174037.5</v>
      </c>
      <c r="J1244" s="97">
        <v>11.36632156862745</v>
      </c>
      <c r="K1244" s="98">
        <v>319090.88</v>
      </c>
      <c r="L1244" s="99">
        <v>-2550</v>
      </c>
      <c r="M1244" s="98">
        <v>-175072.13</v>
      </c>
      <c r="N1244" s="99">
        <v>0</v>
      </c>
      <c r="O1244" s="98">
        <v>0</v>
      </c>
      <c r="P1244" s="99">
        <v>0</v>
      </c>
      <c r="Q1244" s="98">
        <v>-1034.6300000000001</v>
      </c>
      <c r="R1244" s="96" t="s">
        <v>625</v>
      </c>
      <c r="S1244" s="96">
        <v>7414000005</v>
      </c>
      <c r="AA1244" s="131" t="s">
        <v>357</v>
      </c>
      <c r="AB1244" s="130">
        <v>26982.400000000001</v>
      </c>
      <c r="AC1244" s="130">
        <v>26982.400000000001</v>
      </c>
    </row>
    <row r="1245" spans="1:29" x14ac:dyDescent="0.25">
      <c r="A1245" t="str">
        <f t="shared" si="20"/>
        <v xml:space="preserve">2000942ASUR B              </v>
      </c>
      <c r="B1245" s="96">
        <v>2000942</v>
      </c>
      <c r="C1245" s="96" t="s">
        <v>818</v>
      </c>
      <c r="D1245" s="96" t="s">
        <v>362</v>
      </c>
      <c r="E1245" s="96" t="s">
        <v>623</v>
      </c>
      <c r="F1245" s="96" t="s">
        <v>624</v>
      </c>
      <c r="G1245" s="99">
        <v>40000</v>
      </c>
      <c r="H1245" s="97">
        <v>14.33</v>
      </c>
      <c r="I1245" s="98">
        <v>573200</v>
      </c>
      <c r="J1245" s="97">
        <v>3.0078532500000001</v>
      </c>
      <c r="K1245" s="98">
        <v>1266714.1299999999</v>
      </c>
      <c r="L1245" s="99">
        <v>-40000</v>
      </c>
      <c r="M1245" s="98">
        <v>-574812.94999999995</v>
      </c>
      <c r="N1245" s="99">
        <v>0</v>
      </c>
      <c r="O1245" s="98">
        <v>0</v>
      </c>
      <c r="P1245" s="99">
        <v>0</v>
      </c>
      <c r="Q1245" s="98">
        <v>-1612.95</v>
      </c>
      <c r="R1245" s="96" t="s">
        <v>625</v>
      </c>
      <c r="S1245" s="96">
        <v>7414000005</v>
      </c>
      <c r="AA1245" s="131" t="s">
        <v>506</v>
      </c>
      <c r="AB1245" s="130">
        <v>48297.599999999999</v>
      </c>
      <c r="AC1245" s="130">
        <v>48297.599999999999</v>
      </c>
    </row>
    <row r="1246" spans="1:29" x14ac:dyDescent="0.25">
      <c r="A1246" t="str">
        <f t="shared" si="20"/>
        <v xml:space="preserve">2000942BIMBO A             </v>
      </c>
      <c r="B1246" s="96">
        <v>2000942</v>
      </c>
      <c r="C1246" s="96" t="s">
        <v>818</v>
      </c>
      <c r="D1246" s="96" t="s">
        <v>649</v>
      </c>
      <c r="E1246" s="96" t="s">
        <v>623</v>
      </c>
      <c r="F1246" s="96" t="s">
        <v>624</v>
      </c>
      <c r="G1246" s="99">
        <v>0</v>
      </c>
      <c r="H1246" s="97">
        <v>0</v>
      </c>
      <c r="I1246" s="98">
        <v>0</v>
      </c>
      <c r="J1246" s="97">
        <v>0</v>
      </c>
      <c r="K1246" s="98">
        <v>-1425.9675</v>
      </c>
      <c r="L1246" s="99">
        <v>250000</v>
      </c>
      <c r="M1246" s="98">
        <v>2254237.9700000002</v>
      </c>
      <c r="N1246" s="99">
        <v>0</v>
      </c>
      <c r="O1246" s="98">
        <v>0</v>
      </c>
      <c r="P1246" s="99">
        <v>250000</v>
      </c>
      <c r="Q1246" s="98">
        <v>2254237.9700000002</v>
      </c>
      <c r="R1246" s="96" t="s">
        <v>625</v>
      </c>
      <c r="S1246" s="96">
        <v>7414000005</v>
      </c>
      <c r="AA1246" s="131" t="s">
        <v>359</v>
      </c>
      <c r="AB1246" s="130">
        <v>78505.899999999994</v>
      </c>
      <c r="AC1246" s="130">
        <v>78505.899999999994</v>
      </c>
    </row>
    <row r="1247" spans="1:29" x14ac:dyDescent="0.25">
      <c r="A1247" t="str">
        <f t="shared" si="20"/>
        <v xml:space="preserve">2000942CEMEX CPO           </v>
      </c>
      <c r="B1247" s="96">
        <v>2000942</v>
      </c>
      <c r="C1247" s="96" t="s">
        <v>818</v>
      </c>
      <c r="D1247" s="96" t="s">
        <v>455</v>
      </c>
      <c r="E1247" s="96" t="s">
        <v>623</v>
      </c>
      <c r="F1247" s="96" t="s">
        <v>624</v>
      </c>
      <c r="G1247" s="99">
        <v>1704</v>
      </c>
      <c r="H1247" s="97">
        <v>72.270214999999993</v>
      </c>
      <c r="I1247" s="98">
        <v>123148.44636</v>
      </c>
      <c r="J1247" s="97">
        <v>94.414778179999999</v>
      </c>
      <c r="K1247" s="98">
        <v>-37734.335658720003</v>
      </c>
      <c r="L1247" s="99">
        <v>0</v>
      </c>
      <c r="M1247" s="98">
        <v>0</v>
      </c>
      <c r="N1247" s="99">
        <v>0</v>
      </c>
      <c r="O1247" s="98">
        <v>0</v>
      </c>
      <c r="P1247" s="99">
        <v>1704</v>
      </c>
      <c r="Q1247" s="98">
        <v>123148.44636</v>
      </c>
      <c r="R1247" s="96" t="s">
        <v>625</v>
      </c>
      <c r="S1247" s="96">
        <v>7414000005</v>
      </c>
      <c r="AA1247" s="131" t="s">
        <v>551</v>
      </c>
      <c r="AB1247" s="130">
        <v>99767.1</v>
      </c>
      <c r="AC1247" s="130">
        <v>99767.1</v>
      </c>
    </row>
    <row r="1248" spans="1:29" x14ac:dyDescent="0.25">
      <c r="A1248" t="str">
        <f t="shared" si="20"/>
        <v xml:space="preserve">2000942CETES 250403        </v>
      </c>
      <c r="B1248" s="96">
        <v>2000942</v>
      </c>
      <c r="C1248" s="96" t="s">
        <v>818</v>
      </c>
      <c r="D1248" s="96" t="s">
        <v>365</v>
      </c>
      <c r="E1248" s="96" t="s">
        <v>623</v>
      </c>
      <c r="F1248" s="96" t="s">
        <v>624</v>
      </c>
      <c r="G1248" s="99">
        <v>300</v>
      </c>
      <c r="H1248" s="97">
        <v>675.38</v>
      </c>
      <c r="I1248" s="98">
        <v>202614</v>
      </c>
      <c r="J1248" s="97">
        <v>104.20343333333334</v>
      </c>
      <c r="K1248" s="98">
        <v>373966.97</v>
      </c>
      <c r="L1248" s="99">
        <v>-300</v>
      </c>
      <c r="M1248" s="98">
        <v>-203781</v>
      </c>
      <c r="N1248" s="99">
        <v>0</v>
      </c>
      <c r="O1248" s="98">
        <v>0</v>
      </c>
      <c r="P1248" s="99">
        <v>0</v>
      </c>
      <c r="Q1248" s="98">
        <v>-1167</v>
      </c>
      <c r="R1248" s="96" t="s">
        <v>625</v>
      </c>
      <c r="S1248" s="96">
        <v>7414000005</v>
      </c>
      <c r="AA1248" s="131" t="s">
        <v>361</v>
      </c>
      <c r="AB1248" s="130">
        <v>35490</v>
      </c>
      <c r="AC1248" s="130">
        <v>35490</v>
      </c>
    </row>
    <row r="1249" spans="1:29" x14ac:dyDescent="0.25">
      <c r="A1249" t="str">
        <f t="shared" si="20"/>
        <v xml:space="preserve">2000942CHIACB 07           </v>
      </c>
      <c r="B1249" s="96">
        <v>2000942</v>
      </c>
      <c r="C1249" s="96" t="s">
        <v>818</v>
      </c>
      <c r="D1249" s="96" t="s">
        <v>367</v>
      </c>
      <c r="E1249" s="96" t="s">
        <v>623</v>
      </c>
      <c r="F1249" s="96" t="s">
        <v>624</v>
      </c>
      <c r="G1249" s="99">
        <v>68</v>
      </c>
      <c r="H1249" s="97">
        <v>700.65</v>
      </c>
      <c r="I1249" s="98">
        <v>47644.2</v>
      </c>
      <c r="J1249" s="97">
        <v>146.34470588235294</v>
      </c>
      <c r="K1249" s="98">
        <v>85336.960000000006</v>
      </c>
      <c r="L1249" s="99">
        <v>-68</v>
      </c>
      <c r="M1249" s="98">
        <v>-47644.2</v>
      </c>
      <c r="N1249" s="99">
        <v>0</v>
      </c>
      <c r="O1249" s="98">
        <v>0</v>
      </c>
      <c r="P1249" s="99">
        <v>0</v>
      </c>
      <c r="Q1249" s="98">
        <v>0</v>
      </c>
      <c r="R1249" s="96" t="s">
        <v>625</v>
      </c>
      <c r="S1249" s="96">
        <v>7414000005</v>
      </c>
      <c r="AA1249" s="131" t="s">
        <v>362</v>
      </c>
      <c r="AB1249" s="130">
        <v>188582.8</v>
      </c>
      <c r="AC1249" s="130">
        <v>188582.8</v>
      </c>
    </row>
    <row r="1250" spans="1:29" x14ac:dyDescent="0.25">
      <c r="A1250" t="str">
        <f t="shared" si="20"/>
        <v xml:space="preserve">2000942EEM *               </v>
      </c>
      <c r="B1250" s="96">
        <v>2000942</v>
      </c>
      <c r="C1250" s="96" t="s">
        <v>818</v>
      </c>
      <c r="D1250" s="96" t="s">
        <v>368</v>
      </c>
      <c r="E1250" s="96" t="s">
        <v>623</v>
      </c>
      <c r="F1250" s="96" t="s">
        <v>624</v>
      </c>
      <c r="G1250" s="99">
        <v>120</v>
      </c>
      <c r="H1250" s="97">
        <v>1151</v>
      </c>
      <c r="I1250" s="98">
        <v>138120</v>
      </c>
      <c r="J1250" s="97">
        <v>138.97916666666666</v>
      </c>
      <c r="K1250" s="98">
        <v>292917.5</v>
      </c>
      <c r="L1250" s="99">
        <v>-120</v>
      </c>
      <c r="M1250" s="98">
        <v>-139130.4</v>
      </c>
      <c r="N1250" s="99">
        <v>0</v>
      </c>
      <c r="O1250" s="98">
        <v>0</v>
      </c>
      <c r="P1250" s="99">
        <v>0</v>
      </c>
      <c r="Q1250" s="98">
        <v>-1010.4</v>
      </c>
      <c r="R1250" s="96" t="s">
        <v>625</v>
      </c>
      <c r="S1250" s="96">
        <v>7414000005</v>
      </c>
      <c r="AA1250" s="131" t="s">
        <v>370</v>
      </c>
      <c r="AB1250" s="130">
        <v>21755.200000000001</v>
      </c>
      <c r="AC1250" s="130">
        <v>21755.200000000001</v>
      </c>
    </row>
    <row r="1251" spans="1:29" x14ac:dyDescent="0.25">
      <c r="A1251" t="str">
        <f t="shared" si="20"/>
        <v xml:space="preserve">2000942EPP *               </v>
      </c>
      <c r="B1251" s="96">
        <v>2000942</v>
      </c>
      <c r="C1251" s="96" t="s">
        <v>818</v>
      </c>
      <c r="D1251" s="96" t="s">
        <v>369</v>
      </c>
      <c r="E1251" s="96" t="s">
        <v>623</v>
      </c>
      <c r="F1251" s="96" t="s">
        <v>624</v>
      </c>
      <c r="G1251" s="99">
        <v>4400</v>
      </c>
      <c r="H1251" s="97">
        <v>207.81</v>
      </c>
      <c r="I1251" s="98">
        <v>914364</v>
      </c>
      <c r="J1251" s="97">
        <v>37.16596818181818</v>
      </c>
      <c r="K1251" s="98">
        <v>1992258.26</v>
      </c>
      <c r="L1251" s="99">
        <v>-4400</v>
      </c>
      <c r="M1251" s="98">
        <v>-915045.88</v>
      </c>
      <c r="N1251" s="99">
        <v>0</v>
      </c>
      <c r="O1251" s="98">
        <v>0</v>
      </c>
      <c r="P1251" s="99">
        <v>0</v>
      </c>
      <c r="Q1251" s="98">
        <v>-681.88</v>
      </c>
      <c r="R1251" s="96" t="s">
        <v>625</v>
      </c>
      <c r="S1251" s="96">
        <v>7414000005</v>
      </c>
      <c r="AA1251" s="131" t="s">
        <v>372</v>
      </c>
      <c r="AB1251" s="130">
        <v>61833.599999999999</v>
      </c>
      <c r="AC1251" s="130">
        <v>61833.599999999999</v>
      </c>
    </row>
    <row r="1252" spans="1:29" x14ac:dyDescent="0.25">
      <c r="A1252" t="str">
        <f t="shared" si="20"/>
        <v xml:space="preserve">2000942EWJ *               </v>
      </c>
      <c r="B1252" s="96">
        <v>2000942</v>
      </c>
      <c r="C1252" s="96" t="s">
        <v>818</v>
      </c>
      <c r="D1252" s="96" t="s">
        <v>576</v>
      </c>
      <c r="E1252" s="96" t="s">
        <v>623</v>
      </c>
      <c r="F1252" s="96" t="s">
        <v>624</v>
      </c>
      <c r="G1252" s="99">
        <v>1885</v>
      </c>
      <c r="H1252" s="97">
        <v>30.9</v>
      </c>
      <c r="I1252" s="98">
        <v>58246.5</v>
      </c>
      <c r="J1252" s="97">
        <v>0.77649469496021217</v>
      </c>
      <c r="K1252" s="98">
        <v>115029.3075</v>
      </c>
      <c r="L1252" s="99">
        <v>-1885</v>
      </c>
      <c r="M1252" s="98">
        <v>-58310.29</v>
      </c>
      <c r="N1252" s="99">
        <v>0</v>
      </c>
      <c r="O1252" s="98">
        <v>0</v>
      </c>
      <c r="P1252" s="99">
        <v>0</v>
      </c>
      <c r="Q1252" s="98">
        <v>-63.79</v>
      </c>
      <c r="R1252" s="96" t="s">
        <v>625</v>
      </c>
      <c r="S1252" s="96">
        <v>7414000005</v>
      </c>
      <c r="AA1252" s="131" t="s">
        <v>373</v>
      </c>
      <c r="AB1252" s="130">
        <v>299948</v>
      </c>
      <c r="AC1252" s="130">
        <v>299948</v>
      </c>
    </row>
    <row r="1253" spans="1:29" x14ac:dyDescent="0.25">
      <c r="A1253" t="str">
        <f t="shared" si="20"/>
        <v xml:space="preserve">2000942FEMSA UBD           </v>
      </c>
      <c r="B1253" s="96">
        <v>2000942</v>
      </c>
      <c r="C1253" s="96" t="s">
        <v>818</v>
      </c>
      <c r="D1253" s="96" t="s">
        <v>577</v>
      </c>
      <c r="E1253" s="96" t="s">
        <v>623</v>
      </c>
      <c r="F1253" s="96" t="s">
        <v>624</v>
      </c>
      <c r="G1253" s="99">
        <v>819</v>
      </c>
      <c r="H1253" s="97">
        <v>68.83</v>
      </c>
      <c r="I1253" s="98">
        <v>56371.77</v>
      </c>
      <c r="J1253" s="97">
        <v>6.2951002442002446</v>
      </c>
      <c r="K1253" s="98">
        <v>117761.5671</v>
      </c>
      <c r="L1253" s="99">
        <v>-817</v>
      </c>
      <c r="M1253" s="98">
        <v>-56150.61</v>
      </c>
      <c r="N1253" s="99">
        <v>0</v>
      </c>
      <c r="O1253" s="98">
        <v>0</v>
      </c>
      <c r="P1253" s="99">
        <v>2</v>
      </c>
      <c r="Q1253" s="98">
        <v>221.16</v>
      </c>
      <c r="R1253" s="96" t="s">
        <v>625</v>
      </c>
      <c r="S1253" s="96">
        <v>7414000005</v>
      </c>
      <c r="AA1253" s="131" t="s">
        <v>374</v>
      </c>
      <c r="AB1253" s="130">
        <v>222816.8</v>
      </c>
      <c r="AC1253" s="130">
        <v>222816.8</v>
      </c>
    </row>
    <row r="1254" spans="1:29" x14ac:dyDescent="0.25">
      <c r="A1254" t="str">
        <f t="shared" si="20"/>
        <v xml:space="preserve">2000942FIBRAMQ 12          </v>
      </c>
      <c r="B1254" s="96">
        <v>2000942</v>
      </c>
      <c r="C1254" s="96" t="s">
        <v>818</v>
      </c>
      <c r="D1254" s="96" t="s">
        <v>370</v>
      </c>
      <c r="E1254" s="96" t="s">
        <v>623</v>
      </c>
      <c r="F1254" s="96" t="s">
        <v>624</v>
      </c>
      <c r="G1254" s="99">
        <v>700</v>
      </c>
      <c r="H1254" s="97">
        <v>271.94</v>
      </c>
      <c r="I1254" s="98">
        <v>190358</v>
      </c>
      <c r="J1254" s="97">
        <v>29.676600000000001</v>
      </c>
      <c r="K1254" s="98">
        <v>359942.38</v>
      </c>
      <c r="L1254" s="99">
        <v>-700</v>
      </c>
      <c r="M1254" s="98">
        <v>-190380.51</v>
      </c>
      <c r="N1254" s="99">
        <v>0</v>
      </c>
      <c r="O1254" s="98">
        <v>0</v>
      </c>
      <c r="P1254" s="99">
        <v>0</v>
      </c>
      <c r="Q1254" s="98">
        <v>-22.51</v>
      </c>
      <c r="R1254" s="96" t="s">
        <v>625</v>
      </c>
      <c r="S1254" s="96">
        <v>7414000005</v>
      </c>
      <c r="AA1254" s="131" t="s">
        <v>387</v>
      </c>
      <c r="AB1254" s="130">
        <v>84893.4</v>
      </c>
      <c r="AC1254" s="130">
        <v>84893.4</v>
      </c>
    </row>
    <row r="1255" spans="1:29" x14ac:dyDescent="0.25">
      <c r="A1255" t="str">
        <f t="shared" si="20"/>
        <v xml:space="preserve">2000942FIBRAPL 14          </v>
      </c>
      <c r="B1255" s="96">
        <v>2000942</v>
      </c>
      <c r="C1255" s="96" t="s">
        <v>818</v>
      </c>
      <c r="D1255" s="96" t="s">
        <v>371</v>
      </c>
      <c r="E1255" s="96" t="s">
        <v>623</v>
      </c>
      <c r="F1255" s="96" t="s">
        <v>624</v>
      </c>
      <c r="G1255" s="99">
        <v>800</v>
      </c>
      <c r="H1255" s="97">
        <v>193.15</v>
      </c>
      <c r="I1255" s="98">
        <v>154520</v>
      </c>
      <c r="J1255" s="97">
        <v>44.399075000000003</v>
      </c>
      <c r="K1255" s="98">
        <v>344559.26</v>
      </c>
      <c r="L1255" s="99">
        <v>-800</v>
      </c>
      <c r="M1255" s="98">
        <v>-153232.23000000001</v>
      </c>
      <c r="N1255" s="99">
        <v>0</v>
      </c>
      <c r="O1255" s="98">
        <v>0</v>
      </c>
      <c r="P1255" s="99">
        <v>0</v>
      </c>
      <c r="Q1255" s="98">
        <v>1287.77</v>
      </c>
      <c r="R1255" s="96" t="s">
        <v>625</v>
      </c>
      <c r="S1255" s="96">
        <v>7414000005</v>
      </c>
      <c r="AA1255" s="131" t="s">
        <v>419</v>
      </c>
      <c r="AB1255" s="130">
        <v>0</v>
      </c>
      <c r="AC1255" s="130">
        <v>0</v>
      </c>
    </row>
    <row r="1256" spans="1:29" x14ac:dyDescent="0.25">
      <c r="A1256" t="str">
        <f t="shared" si="20"/>
        <v xml:space="preserve">2000942GAP B               </v>
      </c>
      <c r="B1256" s="96">
        <v>2000942</v>
      </c>
      <c r="C1256" s="96" t="s">
        <v>818</v>
      </c>
      <c r="D1256" s="96" t="s">
        <v>372</v>
      </c>
      <c r="E1256" s="96" t="s">
        <v>623</v>
      </c>
      <c r="F1256" s="96" t="s">
        <v>624</v>
      </c>
      <c r="G1256" s="99">
        <v>5300</v>
      </c>
      <c r="H1256" s="97">
        <v>27.12</v>
      </c>
      <c r="I1256" s="98">
        <v>143736</v>
      </c>
      <c r="J1256" s="97">
        <v>7.5047886792452827</v>
      </c>
      <c r="K1256" s="98">
        <v>327247.38</v>
      </c>
      <c r="L1256" s="99">
        <v>-5300</v>
      </c>
      <c r="M1256" s="98">
        <v>-144956.94</v>
      </c>
      <c r="N1256" s="99">
        <v>0</v>
      </c>
      <c r="O1256" s="98">
        <v>0</v>
      </c>
      <c r="P1256" s="99">
        <v>0</v>
      </c>
      <c r="Q1256" s="98">
        <v>-1220.94</v>
      </c>
      <c r="R1256" s="96" t="s">
        <v>625</v>
      </c>
      <c r="S1256" s="96">
        <v>7414000005</v>
      </c>
      <c r="AA1256" s="131" t="s">
        <v>553</v>
      </c>
      <c r="AB1256" s="130">
        <v>38178</v>
      </c>
      <c r="AC1256" s="130">
        <v>38178</v>
      </c>
    </row>
    <row r="1257" spans="1:29" x14ac:dyDescent="0.25">
      <c r="A1257" t="str">
        <f t="shared" si="20"/>
        <v xml:space="preserve">2000942GCC *               </v>
      </c>
      <c r="B1257" s="96">
        <v>2000942</v>
      </c>
      <c r="C1257" s="96" t="s">
        <v>818</v>
      </c>
      <c r="D1257" s="96" t="s">
        <v>583</v>
      </c>
      <c r="E1257" s="96" t="s">
        <v>623</v>
      </c>
      <c r="F1257" s="96" t="s">
        <v>624</v>
      </c>
      <c r="G1257" s="99">
        <v>1000</v>
      </c>
      <c r="H1257" s="97">
        <v>50.75</v>
      </c>
      <c r="I1257" s="98">
        <v>50750</v>
      </c>
      <c r="J1257" s="97">
        <v>14.14744</v>
      </c>
      <c r="K1257" s="98">
        <v>115647.44</v>
      </c>
      <c r="L1257" s="99">
        <v>-1000</v>
      </c>
      <c r="M1257" s="98">
        <v>-50587.67</v>
      </c>
      <c r="N1257" s="99">
        <v>0</v>
      </c>
      <c r="O1257" s="98">
        <v>0</v>
      </c>
      <c r="P1257" s="99">
        <v>0</v>
      </c>
      <c r="Q1257" s="98">
        <v>162.33000000000001</v>
      </c>
      <c r="R1257" s="96" t="s">
        <v>625</v>
      </c>
      <c r="S1257" s="96">
        <v>7414000005</v>
      </c>
      <c r="AA1257" s="131" t="s">
        <v>544</v>
      </c>
      <c r="AB1257" s="130">
        <v>15045</v>
      </c>
      <c r="AC1257" s="130">
        <v>15045</v>
      </c>
    </row>
    <row r="1258" spans="1:29" x14ac:dyDescent="0.25">
      <c r="A1258" t="str">
        <f t="shared" si="20"/>
        <v xml:space="preserve">2000942GENTERA *           </v>
      </c>
      <c r="B1258" s="96">
        <v>2000942</v>
      </c>
      <c r="C1258" s="96" t="s">
        <v>818</v>
      </c>
      <c r="D1258" s="96" t="s">
        <v>373</v>
      </c>
      <c r="E1258" s="96" t="s">
        <v>623</v>
      </c>
      <c r="F1258" s="96" t="s">
        <v>624</v>
      </c>
      <c r="G1258" s="99">
        <v>5900</v>
      </c>
      <c r="H1258" s="97">
        <v>176.44</v>
      </c>
      <c r="I1258" s="98">
        <v>1040996</v>
      </c>
      <c r="J1258" s="97">
        <v>34.882522033898304</v>
      </c>
      <c r="K1258" s="98">
        <v>2287798.88</v>
      </c>
      <c r="L1258" s="99">
        <v>-5900</v>
      </c>
      <c r="M1258" s="98">
        <v>-1040230.97</v>
      </c>
      <c r="N1258" s="99">
        <v>0</v>
      </c>
      <c r="O1258" s="98">
        <v>0</v>
      </c>
      <c r="P1258" s="99">
        <v>0</v>
      </c>
      <c r="Q1258" s="98">
        <v>765.03</v>
      </c>
      <c r="R1258" s="96" t="s">
        <v>625</v>
      </c>
      <c r="S1258" s="96">
        <v>7414000005</v>
      </c>
      <c r="AA1258" s="131" t="s">
        <v>400</v>
      </c>
      <c r="AB1258" s="130">
        <v>113233.1</v>
      </c>
      <c r="AC1258" s="130">
        <v>113233.1</v>
      </c>
    </row>
    <row r="1259" spans="1:29" x14ac:dyDescent="0.25">
      <c r="A1259" t="str">
        <f t="shared" si="20"/>
        <v xml:space="preserve">2000942GFINBUR O           </v>
      </c>
      <c r="B1259" s="96">
        <v>2000942</v>
      </c>
      <c r="C1259" s="96" t="s">
        <v>818</v>
      </c>
      <c r="D1259" s="96" t="s">
        <v>374</v>
      </c>
      <c r="E1259" s="96" t="s">
        <v>623</v>
      </c>
      <c r="F1259" s="96" t="s">
        <v>624</v>
      </c>
      <c r="G1259" s="99">
        <v>7100</v>
      </c>
      <c r="H1259" s="97">
        <v>104.12</v>
      </c>
      <c r="I1259" s="98">
        <v>739252</v>
      </c>
      <c r="J1259" s="97">
        <v>4.7644338028169013</v>
      </c>
      <c r="K1259" s="98">
        <v>1388949.28</v>
      </c>
      <c r="L1259" s="99">
        <v>-5915</v>
      </c>
      <c r="M1259" s="98">
        <v>-618810.71</v>
      </c>
      <c r="N1259" s="99">
        <v>0</v>
      </c>
      <c r="O1259" s="98">
        <v>0</v>
      </c>
      <c r="P1259" s="99">
        <v>1185</v>
      </c>
      <c r="Q1259" s="98">
        <v>120441.29</v>
      </c>
      <c r="R1259" s="96" t="s">
        <v>625</v>
      </c>
      <c r="S1259" s="96">
        <v>7414000005</v>
      </c>
      <c r="AA1259" s="131" t="s">
        <v>403</v>
      </c>
      <c r="AB1259" s="130">
        <v>195780</v>
      </c>
      <c r="AC1259" s="130">
        <v>195780</v>
      </c>
    </row>
    <row r="1260" spans="1:29" x14ac:dyDescent="0.25">
      <c r="A1260" t="str">
        <f t="shared" si="20"/>
        <v xml:space="preserve">2000942GFNORTE O           </v>
      </c>
      <c r="B1260" s="96">
        <v>2000942</v>
      </c>
      <c r="C1260" s="96" t="s">
        <v>818</v>
      </c>
      <c r="D1260" s="96" t="s">
        <v>380</v>
      </c>
      <c r="E1260" s="96" t="s">
        <v>623</v>
      </c>
      <c r="F1260" s="96" t="s">
        <v>624</v>
      </c>
      <c r="G1260" s="99">
        <v>0</v>
      </c>
      <c r="H1260" s="97">
        <v>0</v>
      </c>
      <c r="I1260" s="98">
        <v>0</v>
      </c>
      <c r="J1260" s="97">
        <v>0</v>
      </c>
      <c r="K1260" s="98">
        <v>-2753.4892500000001</v>
      </c>
      <c r="L1260" s="99">
        <v>25000</v>
      </c>
      <c r="M1260" s="98">
        <v>2403837.46</v>
      </c>
      <c r="N1260" s="99">
        <v>0</v>
      </c>
      <c r="O1260" s="98">
        <v>0</v>
      </c>
      <c r="P1260" s="99">
        <v>25000</v>
      </c>
      <c r="Q1260" s="98">
        <v>2403837.46</v>
      </c>
      <c r="R1260" s="96" t="s">
        <v>625</v>
      </c>
      <c r="S1260" s="96">
        <v>7414000005</v>
      </c>
      <c r="AA1260" s="131" t="s">
        <v>381</v>
      </c>
      <c r="AB1260" s="130">
        <v>1394496.437743</v>
      </c>
      <c r="AC1260" s="130">
        <v>1394496.437743</v>
      </c>
    </row>
    <row r="1261" spans="1:29" x14ac:dyDescent="0.25">
      <c r="A1261" t="str">
        <f t="shared" si="20"/>
        <v xml:space="preserve">2000942GMEXICO B           </v>
      </c>
      <c r="B1261" s="96">
        <v>2000942</v>
      </c>
      <c r="C1261" s="96" t="s">
        <v>818</v>
      </c>
      <c r="D1261" s="96" t="s">
        <v>381</v>
      </c>
      <c r="E1261" s="96" t="s">
        <v>623</v>
      </c>
      <c r="F1261" s="96" t="s">
        <v>624</v>
      </c>
      <c r="G1261" s="99">
        <v>2190</v>
      </c>
      <c r="H1261" s="97">
        <v>94.870157000000006</v>
      </c>
      <c r="I1261" s="98">
        <v>207765.64382999999</v>
      </c>
      <c r="J1261" s="97">
        <v>1.9151646909589042</v>
      </c>
      <c r="K1261" s="98">
        <v>411337.07698680001</v>
      </c>
      <c r="L1261" s="99">
        <v>-2190</v>
      </c>
      <c r="M1261" s="98">
        <v>-214517.54</v>
      </c>
      <c r="N1261" s="99">
        <v>0</v>
      </c>
      <c r="O1261" s="98">
        <v>0</v>
      </c>
      <c r="P1261" s="99">
        <v>0</v>
      </c>
      <c r="Q1261" s="98">
        <v>-6751.89617</v>
      </c>
      <c r="R1261" s="96" t="s">
        <v>625</v>
      </c>
      <c r="S1261" s="96">
        <v>7414000005</v>
      </c>
      <c r="AA1261" s="131" t="s">
        <v>540</v>
      </c>
      <c r="AB1261" s="130">
        <v>29386.799999999999</v>
      </c>
      <c r="AC1261" s="130">
        <v>29386.799999999999</v>
      </c>
    </row>
    <row r="1262" spans="1:29" x14ac:dyDescent="0.25">
      <c r="A1262" t="str">
        <f t="shared" si="20"/>
        <v xml:space="preserve">2000942GOBFED 270603       </v>
      </c>
      <c r="B1262" s="96">
        <v>2000942</v>
      </c>
      <c r="C1262" s="96" t="s">
        <v>818</v>
      </c>
      <c r="D1262" s="96" t="s">
        <v>382</v>
      </c>
      <c r="E1262" s="96" t="s">
        <v>623</v>
      </c>
      <c r="F1262" s="96" t="s">
        <v>624</v>
      </c>
      <c r="G1262" s="99">
        <v>843</v>
      </c>
      <c r="H1262" s="97">
        <v>89.489464999999996</v>
      </c>
      <c r="I1262" s="98">
        <v>75439.618994999997</v>
      </c>
      <c r="J1262" s="97">
        <v>2752.6651877773429</v>
      </c>
      <c r="K1262" s="98">
        <v>-7820.5093012999996</v>
      </c>
      <c r="L1262" s="99">
        <v>25000</v>
      </c>
      <c r="M1262" s="98">
        <v>2312792.0499999998</v>
      </c>
      <c r="N1262" s="99">
        <v>0</v>
      </c>
      <c r="O1262" s="98">
        <v>0</v>
      </c>
      <c r="P1262" s="99">
        <v>25843</v>
      </c>
      <c r="Q1262" s="98">
        <v>2388231.668995</v>
      </c>
      <c r="R1262" s="96" t="s">
        <v>625</v>
      </c>
      <c r="S1262" s="96">
        <v>7414000005</v>
      </c>
      <c r="AA1262" s="131" t="s">
        <v>459</v>
      </c>
      <c r="AB1262" s="130">
        <v>3576203.28</v>
      </c>
      <c r="AC1262" s="130">
        <v>3576203.28</v>
      </c>
    </row>
    <row r="1263" spans="1:29" x14ac:dyDescent="0.25">
      <c r="A1263" t="str">
        <f t="shared" si="20"/>
        <v xml:space="preserve">2000942GOBFED 290531       </v>
      </c>
      <c r="B1263" s="96">
        <v>2000942</v>
      </c>
      <c r="C1263" s="96" t="s">
        <v>818</v>
      </c>
      <c r="D1263" s="96" t="s">
        <v>383</v>
      </c>
      <c r="E1263" s="96" t="s">
        <v>623</v>
      </c>
      <c r="F1263" s="96" t="s">
        <v>624</v>
      </c>
      <c r="G1263" s="99">
        <v>450</v>
      </c>
      <c r="H1263" s="97">
        <v>86.197128000000006</v>
      </c>
      <c r="I1263" s="98">
        <v>38788.707600000002</v>
      </c>
      <c r="J1263" s="97">
        <v>2.3665609500000002</v>
      </c>
      <c r="K1263" s="98">
        <v>76512.462772500003</v>
      </c>
      <c r="L1263" s="99">
        <v>-450</v>
      </c>
      <c r="M1263" s="98">
        <v>-40070.83</v>
      </c>
      <c r="N1263" s="99">
        <v>0</v>
      </c>
      <c r="O1263" s="98">
        <v>0</v>
      </c>
      <c r="P1263" s="99">
        <v>0</v>
      </c>
      <c r="Q1263" s="98">
        <v>-1282.1224</v>
      </c>
      <c r="R1263" s="96" t="s">
        <v>625</v>
      </c>
      <c r="S1263" s="96">
        <v>7414000005</v>
      </c>
      <c r="AA1263" s="131" t="s">
        <v>393</v>
      </c>
      <c r="AB1263" s="130">
        <v>251223.033624</v>
      </c>
      <c r="AC1263" s="130">
        <v>251223.033624</v>
      </c>
    </row>
    <row r="1264" spans="1:29" x14ac:dyDescent="0.25">
      <c r="A1264" t="str">
        <f t="shared" si="20"/>
        <v xml:space="preserve">2000942GOBFED 310529       </v>
      </c>
      <c r="B1264" s="96">
        <v>2000942</v>
      </c>
      <c r="C1264" s="96" t="s">
        <v>818</v>
      </c>
      <c r="D1264" s="96" t="s">
        <v>427</v>
      </c>
      <c r="E1264" s="96" t="s">
        <v>623</v>
      </c>
      <c r="F1264" s="96" t="s">
        <v>624</v>
      </c>
      <c r="G1264" s="99">
        <v>1660</v>
      </c>
      <c r="H1264" s="97">
        <v>86.469353999999996</v>
      </c>
      <c r="I1264" s="98">
        <v>143539.12763999999</v>
      </c>
      <c r="J1264" s="97">
        <v>89.3357706610241</v>
      </c>
      <c r="K1264" s="98">
        <v>-4758.2516573000003</v>
      </c>
      <c r="L1264" s="99">
        <v>0</v>
      </c>
      <c r="M1264" s="98">
        <v>0</v>
      </c>
      <c r="N1264" s="99">
        <v>0</v>
      </c>
      <c r="O1264" s="98">
        <v>0</v>
      </c>
      <c r="P1264" s="99">
        <v>1660</v>
      </c>
      <c r="Q1264" s="98">
        <v>143539.12763999999</v>
      </c>
      <c r="R1264" s="96" t="s">
        <v>625</v>
      </c>
      <c r="S1264" s="96">
        <v>7414000005</v>
      </c>
      <c r="AA1264" s="131" t="s">
        <v>503</v>
      </c>
      <c r="AB1264" s="130">
        <v>33326</v>
      </c>
      <c r="AC1264" s="130">
        <v>33326</v>
      </c>
    </row>
    <row r="1265" spans="1:29" x14ac:dyDescent="0.25">
      <c r="A1265" t="str">
        <f t="shared" si="20"/>
        <v xml:space="preserve">2000942GOBFED 330526       </v>
      </c>
      <c r="B1265" s="96">
        <v>2000942</v>
      </c>
      <c r="C1265" s="96" t="s">
        <v>818</v>
      </c>
      <c r="D1265" s="96" t="s">
        <v>408</v>
      </c>
      <c r="E1265" s="96" t="s">
        <v>623</v>
      </c>
      <c r="F1265" s="96" t="s">
        <v>624</v>
      </c>
      <c r="G1265" s="99">
        <v>0</v>
      </c>
      <c r="H1265" s="97">
        <v>0</v>
      </c>
      <c r="I1265" s="98">
        <v>0</v>
      </c>
      <c r="J1265" s="97">
        <v>0</v>
      </c>
      <c r="K1265" s="98">
        <v>-12631.7335</v>
      </c>
      <c r="L1265" s="99">
        <v>25000</v>
      </c>
      <c r="M1265" s="98">
        <v>2331037.42</v>
      </c>
      <c r="N1265" s="99">
        <v>0</v>
      </c>
      <c r="O1265" s="98">
        <v>0</v>
      </c>
      <c r="P1265" s="99">
        <v>25000</v>
      </c>
      <c r="Q1265" s="98">
        <v>2331037.42</v>
      </c>
      <c r="R1265" s="96" t="s">
        <v>625</v>
      </c>
      <c r="S1265" s="96">
        <v>7414000005</v>
      </c>
      <c r="AA1265" s="131" t="s">
        <v>385</v>
      </c>
      <c r="AB1265" s="130">
        <v>119809.09583999999</v>
      </c>
      <c r="AC1265" s="130">
        <v>119809.09583999999</v>
      </c>
    </row>
    <row r="1266" spans="1:29" x14ac:dyDescent="0.25">
      <c r="A1266" t="str">
        <f t="shared" si="20"/>
        <v xml:space="preserve">2000942GOBFED 341123       </v>
      </c>
      <c r="B1266" s="96">
        <v>2000942</v>
      </c>
      <c r="C1266" s="96" t="s">
        <v>818</v>
      </c>
      <c r="D1266" s="96" t="s">
        <v>384</v>
      </c>
      <c r="E1266" s="96" t="s">
        <v>623</v>
      </c>
      <c r="F1266" s="96" t="s">
        <v>624</v>
      </c>
      <c r="G1266" s="99">
        <v>398</v>
      </c>
      <c r="H1266" s="97">
        <v>81.738860000000003</v>
      </c>
      <c r="I1266" s="98">
        <v>32532.066279999999</v>
      </c>
      <c r="J1266" s="97">
        <v>5.5232792699999997</v>
      </c>
      <c r="K1266" s="98">
        <v>62865.867410539999</v>
      </c>
      <c r="L1266" s="99">
        <v>-398</v>
      </c>
      <c r="M1266" s="98">
        <v>-33728.65</v>
      </c>
      <c r="N1266" s="99">
        <v>0</v>
      </c>
      <c r="O1266" s="98">
        <v>0</v>
      </c>
      <c r="P1266" s="99">
        <v>0</v>
      </c>
      <c r="Q1266" s="98">
        <v>-1196.5837200000001</v>
      </c>
      <c r="R1266" s="96" t="s">
        <v>625</v>
      </c>
      <c r="S1266" s="96">
        <v>7414000005</v>
      </c>
      <c r="AA1266" s="131" t="s">
        <v>500</v>
      </c>
      <c r="AB1266" s="130">
        <v>37063.800000000003</v>
      </c>
      <c r="AC1266" s="130">
        <v>37063.800000000003</v>
      </c>
    </row>
    <row r="1267" spans="1:29" x14ac:dyDescent="0.25">
      <c r="A1267" t="str">
        <f t="shared" si="20"/>
        <v xml:space="preserve">2000942GOBFED 381118       </v>
      </c>
      <c r="B1267" s="96">
        <v>2000942</v>
      </c>
      <c r="C1267" s="96" t="s">
        <v>818</v>
      </c>
      <c r="D1267" s="96" t="s">
        <v>385</v>
      </c>
      <c r="E1267" s="96" t="s">
        <v>623</v>
      </c>
      <c r="F1267" s="96" t="s">
        <v>624</v>
      </c>
      <c r="G1267" s="99">
        <v>912</v>
      </c>
      <c r="H1267" s="97">
        <v>83.200761</v>
      </c>
      <c r="I1267" s="98">
        <v>75879.094031999994</v>
      </c>
      <c r="J1267" s="97">
        <v>6.0626566799999999</v>
      </c>
      <c r="K1267" s="98">
        <v>146229.04517184</v>
      </c>
      <c r="L1267" s="99">
        <v>-912</v>
      </c>
      <c r="M1267" s="98">
        <v>-78572.56</v>
      </c>
      <c r="N1267" s="99">
        <v>0</v>
      </c>
      <c r="O1267" s="98">
        <v>0</v>
      </c>
      <c r="P1267" s="99">
        <v>0</v>
      </c>
      <c r="Q1267" s="98">
        <v>-2693.465968</v>
      </c>
      <c r="R1267" s="96" t="s">
        <v>625</v>
      </c>
      <c r="S1267" s="96">
        <v>7414000005</v>
      </c>
      <c r="AA1267" s="131" t="s">
        <v>541</v>
      </c>
      <c r="AB1267" s="130">
        <v>70200</v>
      </c>
      <c r="AC1267" s="130">
        <v>70200</v>
      </c>
    </row>
    <row r="1268" spans="1:29" x14ac:dyDescent="0.25">
      <c r="A1268" t="str">
        <f t="shared" si="20"/>
        <v xml:space="preserve">2000942GOBFED 421113       </v>
      </c>
      <c r="B1268" s="96">
        <v>2000942</v>
      </c>
      <c r="C1268" s="96" t="s">
        <v>818</v>
      </c>
      <c r="D1268" s="96" t="s">
        <v>386</v>
      </c>
      <c r="E1268" s="96" t="s">
        <v>623</v>
      </c>
      <c r="F1268" s="96" t="s">
        <v>624</v>
      </c>
      <c r="G1268" s="99">
        <v>584</v>
      </c>
      <c r="H1268" s="97">
        <v>82.159907000000004</v>
      </c>
      <c r="I1268" s="98">
        <v>47981.385688000002</v>
      </c>
      <c r="J1268" s="97">
        <v>6.2834505600000004</v>
      </c>
      <c r="K1268" s="98">
        <v>92293.236248960005</v>
      </c>
      <c r="L1268" s="99">
        <v>-584</v>
      </c>
      <c r="M1268" s="98">
        <v>-48665.64</v>
      </c>
      <c r="N1268" s="99">
        <v>0</v>
      </c>
      <c r="O1268" s="98">
        <v>0</v>
      </c>
      <c r="P1268" s="99">
        <v>0</v>
      </c>
      <c r="Q1268" s="98">
        <v>-684.25431200000003</v>
      </c>
      <c r="R1268" s="96" t="s">
        <v>625</v>
      </c>
      <c r="S1268" s="96">
        <v>7414000005</v>
      </c>
      <c r="AA1268" s="131" t="s">
        <v>371</v>
      </c>
      <c r="AB1268" s="130">
        <v>98506.5</v>
      </c>
      <c r="AC1268" s="130">
        <v>98506.5</v>
      </c>
    </row>
    <row r="1269" spans="1:29" x14ac:dyDescent="0.25">
      <c r="A1269" t="str">
        <f t="shared" si="20"/>
        <v xml:space="preserve">2000942GOBFED 471107       </v>
      </c>
      <c r="B1269" s="96">
        <v>2000942</v>
      </c>
      <c r="C1269" s="96" t="s">
        <v>818</v>
      </c>
      <c r="D1269" s="96" t="s">
        <v>387</v>
      </c>
      <c r="E1269" s="96" t="s">
        <v>623</v>
      </c>
      <c r="F1269" s="96" t="s">
        <v>624</v>
      </c>
      <c r="G1269" s="99">
        <v>700</v>
      </c>
      <c r="H1269" s="97">
        <v>314.42</v>
      </c>
      <c r="I1269" s="98">
        <v>220094</v>
      </c>
      <c r="J1269" s="97">
        <v>55.431371428571431</v>
      </c>
      <c r="K1269" s="98">
        <v>478989.96</v>
      </c>
      <c r="L1269" s="99">
        <v>-700</v>
      </c>
      <c r="M1269" s="98">
        <v>-222571.02</v>
      </c>
      <c r="N1269" s="99">
        <v>0</v>
      </c>
      <c r="O1269" s="98">
        <v>0</v>
      </c>
      <c r="P1269" s="99">
        <v>0</v>
      </c>
      <c r="Q1269" s="98">
        <v>-2477.02</v>
      </c>
      <c r="R1269" s="96" t="s">
        <v>625</v>
      </c>
      <c r="S1269" s="96">
        <v>7414000005</v>
      </c>
      <c r="AA1269" s="131" t="s">
        <v>375</v>
      </c>
      <c r="AB1269" s="130">
        <v>492664.44150999998</v>
      </c>
      <c r="AC1269" s="130">
        <v>492664.44150999998</v>
      </c>
    </row>
    <row r="1270" spans="1:29" x14ac:dyDescent="0.25">
      <c r="A1270" t="str">
        <f t="shared" si="20"/>
        <v xml:space="preserve">2000942GOBFED 530731       </v>
      </c>
      <c r="B1270" s="96">
        <v>2000942</v>
      </c>
      <c r="C1270" s="96" t="s">
        <v>818</v>
      </c>
      <c r="D1270" s="96" t="s">
        <v>419</v>
      </c>
      <c r="E1270" s="96" t="s">
        <v>623</v>
      </c>
      <c r="F1270" s="96" t="s">
        <v>624</v>
      </c>
      <c r="G1270" s="99">
        <v>0</v>
      </c>
      <c r="H1270" s="97">
        <v>0</v>
      </c>
      <c r="I1270" s="98">
        <v>0</v>
      </c>
      <c r="J1270" s="97">
        <v>0</v>
      </c>
      <c r="K1270" s="98">
        <v>0</v>
      </c>
      <c r="L1270" s="99">
        <v>0</v>
      </c>
      <c r="M1270" s="98">
        <v>0</v>
      </c>
      <c r="N1270" s="99">
        <v>0</v>
      </c>
      <c r="O1270" s="98">
        <v>0</v>
      </c>
      <c r="P1270" s="99">
        <v>0</v>
      </c>
      <c r="Q1270" s="98">
        <v>0</v>
      </c>
      <c r="R1270" s="96" t="s">
        <v>625</v>
      </c>
      <c r="S1270" s="96">
        <v>7414000005</v>
      </c>
      <c r="AA1270" s="131" t="s">
        <v>429</v>
      </c>
      <c r="AB1270" s="130">
        <v>412122.94196999999</v>
      </c>
      <c r="AC1270" s="130">
        <v>412122.94196999999</v>
      </c>
    </row>
    <row r="1271" spans="1:29" x14ac:dyDescent="0.25">
      <c r="A1271" t="str">
        <f t="shared" si="20"/>
        <v xml:space="preserve">2000942GRUMA B             </v>
      </c>
      <c r="B1271" s="96">
        <v>2000942</v>
      </c>
      <c r="C1271" s="96" t="s">
        <v>818</v>
      </c>
      <c r="D1271" s="96" t="s">
        <v>388</v>
      </c>
      <c r="E1271" s="96" t="s">
        <v>623</v>
      </c>
      <c r="F1271" s="96" t="s">
        <v>624</v>
      </c>
      <c r="G1271" s="99">
        <v>106</v>
      </c>
      <c r="H1271" s="97">
        <v>8532.5</v>
      </c>
      <c r="I1271" s="98">
        <v>904445</v>
      </c>
      <c r="J1271" s="97">
        <v>3270.1701886792453</v>
      </c>
      <c r="K1271" s="98">
        <v>2155528.04</v>
      </c>
      <c r="L1271" s="99">
        <v>-106</v>
      </c>
      <c r="M1271" s="98">
        <v>-914758.8</v>
      </c>
      <c r="N1271" s="99">
        <v>0</v>
      </c>
      <c r="O1271" s="98">
        <v>0</v>
      </c>
      <c r="P1271" s="99">
        <v>0</v>
      </c>
      <c r="Q1271" s="98">
        <v>-10313.799999999999</v>
      </c>
      <c r="R1271" s="96" t="s">
        <v>625</v>
      </c>
      <c r="S1271" s="96">
        <v>7414000005</v>
      </c>
      <c r="AA1271" s="131" t="s">
        <v>394</v>
      </c>
      <c r="AB1271" s="130">
        <v>142456.94486399999</v>
      </c>
      <c r="AC1271" s="130">
        <v>142456.94486399999</v>
      </c>
    </row>
    <row r="1272" spans="1:29" x14ac:dyDescent="0.25">
      <c r="A1272" t="str">
        <f t="shared" si="20"/>
        <v xml:space="preserve">2000942IENOVA *            </v>
      </c>
      <c r="B1272" s="96">
        <v>2000942</v>
      </c>
      <c r="C1272" s="96" t="s">
        <v>818</v>
      </c>
      <c r="D1272" s="96" t="s">
        <v>580</v>
      </c>
      <c r="E1272" s="96" t="s">
        <v>623</v>
      </c>
      <c r="F1272" s="96" t="s">
        <v>624</v>
      </c>
      <c r="G1272" s="99">
        <v>5000</v>
      </c>
      <c r="H1272" s="97">
        <v>38.369999999999997</v>
      </c>
      <c r="I1272" s="98">
        <v>191850</v>
      </c>
      <c r="J1272" s="97">
        <v>4.390682</v>
      </c>
      <c r="K1272" s="98">
        <v>405653.41</v>
      </c>
      <c r="L1272" s="99">
        <v>-5000</v>
      </c>
      <c r="M1272" s="98">
        <v>-191681.14</v>
      </c>
      <c r="N1272" s="99">
        <v>0</v>
      </c>
      <c r="O1272" s="98">
        <v>0</v>
      </c>
      <c r="P1272" s="99">
        <v>0</v>
      </c>
      <c r="Q1272" s="98">
        <v>168.86</v>
      </c>
      <c r="R1272" s="96" t="s">
        <v>625</v>
      </c>
      <c r="S1272" s="96">
        <v>7414000005</v>
      </c>
      <c r="AA1272" s="131" t="s">
        <v>379</v>
      </c>
      <c r="AB1272" s="130">
        <v>493516.35637200001</v>
      </c>
      <c r="AC1272" s="130">
        <v>493516.35637200001</v>
      </c>
    </row>
    <row r="1273" spans="1:29" x14ac:dyDescent="0.25">
      <c r="A1273" t="str">
        <f t="shared" si="20"/>
        <v xml:space="preserve">2000942IVV *               </v>
      </c>
      <c r="B1273" s="96">
        <v>2000942</v>
      </c>
      <c r="C1273" s="96" t="s">
        <v>818</v>
      </c>
      <c r="D1273" s="96" t="s">
        <v>539</v>
      </c>
      <c r="E1273" s="96" t="s">
        <v>623</v>
      </c>
      <c r="F1273" s="96" t="s">
        <v>624</v>
      </c>
      <c r="G1273" s="99">
        <v>1020</v>
      </c>
      <c r="H1273" s="97">
        <v>158.63</v>
      </c>
      <c r="I1273" s="98">
        <v>161802.6</v>
      </c>
      <c r="J1273" s="97">
        <v>25.272147058823528</v>
      </c>
      <c r="K1273" s="98">
        <v>349382.79</v>
      </c>
      <c r="L1273" s="99">
        <v>-1020</v>
      </c>
      <c r="M1273" s="98">
        <v>-163642.03</v>
      </c>
      <c r="N1273" s="99">
        <v>0</v>
      </c>
      <c r="O1273" s="98">
        <v>0</v>
      </c>
      <c r="P1273" s="99">
        <v>0</v>
      </c>
      <c r="Q1273" s="98">
        <v>-1839.43</v>
      </c>
      <c r="R1273" s="96" t="s">
        <v>625</v>
      </c>
      <c r="S1273" s="96">
        <v>7414000005</v>
      </c>
      <c r="AA1273" s="131" t="s">
        <v>377</v>
      </c>
      <c r="AB1273" s="130">
        <v>505257.14204000001</v>
      </c>
      <c r="AC1273" s="130">
        <v>505257.14204000001</v>
      </c>
    </row>
    <row r="1274" spans="1:29" x14ac:dyDescent="0.25">
      <c r="A1274" t="str">
        <f t="shared" si="20"/>
        <v xml:space="preserve">2000942KIMBER A            </v>
      </c>
      <c r="B1274" s="96">
        <v>2000942</v>
      </c>
      <c r="C1274" s="96" t="s">
        <v>818</v>
      </c>
      <c r="D1274" s="96" t="s">
        <v>541</v>
      </c>
      <c r="E1274" s="96" t="s">
        <v>623</v>
      </c>
      <c r="F1274" s="96" t="s">
        <v>624</v>
      </c>
      <c r="G1274" s="99">
        <v>900</v>
      </c>
      <c r="H1274" s="97">
        <v>156</v>
      </c>
      <c r="I1274" s="98">
        <v>140400</v>
      </c>
      <c r="J1274" s="97">
        <v>20.82157777777778</v>
      </c>
      <c r="K1274" s="98">
        <v>299539.42</v>
      </c>
      <c r="L1274" s="99">
        <v>-900</v>
      </c>
      <c r="M1274" s="98">
        <v>-140539.99</v>
      </c>
      <c r="N1274" s="99">
        <v>0</v>
      </c>
      <c r="O1274" s="98">
        <v>0</v>
      </c>
      <c r="P1274" s="99">
        <v>0</v>
      </c>
      <c r="Q1274" s="98">
        <v>-139.99</v>
      </c>
      <c r="R1274" s="96" t="s">
        <v>625</v>
      </c>
      <c r="S1274" s="96">
        <v>7414000005</v>
      </c>
      <c r="AA1274" s="131" t="s">
        <v>392</v>
      </c>
      <c r="AB1274" s="130">
        <v>485665.98080000002</v>
      </c>
      <c r="AC1274" s="130">
        <v>485665.98080000002</v>
      </c>
    </row>
    <row r="1275" spans="1:29" x14ac:dyDescent="0.25">
      <c r="A1275" t="str">
        <f t="shared" si="20"/>
        <v xml:space="preserve">2000942KOF UBL             </v>
      </c>
      <c r="B1275" s="96">
        <v>2000942</v>
      </c>
      <c r="C1275" s="96" t="s">
        <v>818</v>
      </c>
      <c r="D1275" s="96" t="s">
        <v>501</v>
      </c>
      <c r="E1275" s="96" t="s">
        <v>623</v>
      </c>
      <c r="F1275" s="96" t="s">
        <v>624</v>
      </c>
      <c r="G1275" s="99">
        <v>558</v>
      </c>
      <c r="H1275" s="97">
        <v>682.55</v>
      </c>
      <c r="I1275" s="98">
        <v>380862.9</v>
      </c>
      <c r="J1275" s="97">
        <v>90.805448028673837</v>
      </c>
      <c r="K1275" s="98">
        <v>711056.36</v>
      </c>
      <c r="L1275" s="99">
        <v>-558</v>
      </c>
      <c r="M1275" s="98">
        <v>-380862.9</v>
      </c>
      <c r="N1275" s="99">
        <v>0</v>
      </c>
      <c r="O1275" s="98">
        <v>0</v>
      </c>
      <c r="P1275" s="99">
        <v>0</v>
      </c>
      <c r="Q1275" s="98">
        <v>0</v>
      </c>
      <c r="R1275" s="96" t="s">
        <v>625</v>
      </c>
      <c r="S1275" s="96">
        <v>7414000005</v>
      </c>
      <c r="AA1275" s="131" t="s">
        <v>386</v>
      </c>
      <c r="AB1275" s="130">
        <v>65234.966158000003</v>
      </c>
      <c r="AC1275" s="130">
        <v>65234.966158000003</v>
      </c>
    </row>
    <row r="1276" spans="1:29" x14ac:dyDescent="0.25">
      <c r="A1276" t="str">
        <f t="shared" si="20"/>
        <v xml:space="preserve">2000942R A                 </v>
      </c>
      <c r="B1276" s="96">
        <v>2000942</v>
      </c>
      <c r="C1276" s="96" t="s">
        <v>818</v>
      </c>
      <c r="D1276" s="96" t="s">
        <v>568</v>
      </c>
      <c r="E1276" s="96" t="s">
        <v>623</v>
      </c>
      <c r="F1276" s="96" t="s">
        <v>624</v>
      </c>
      <c r="G1276" s="99">
        <v>52794</v>
      </c>
      <c r="H1276" s="97">
        <v>48.559412999999999</v>
      </c>
      <c r="I1276" s="98">
        <v>2563645.6499219998</v>
      </c>
      <c r="J1276" s="97">
        <v>17.163661969163162</v>
      </c>
      <c r="K1276" s="98">
        <v>6033429.6698439997</v>
      </c>
      <c r="L1276" s="99">
        <v>-52794</v>
      </c>
      <c r="M1276" s="98">
        <v>-2563645.65</v>
      </c>
      <c r="N1276" s="99">
        <v>0</v>
      </c>
      <c r="O1276" s="98">
        <v>0</v>
      </c>
      <c r="P1276" s="99">
        <v>0</v>
      </c>
      <c r="Q1276" s="98">
        <v>-7.7999999999999999E-5</v>
      </c>
      <c r="R1276" s="96" t="s">
        <v>625</v>
      </c>
      <c r="S1276" s="96">
        <v>7414000005</v>
      </c>
      <c r="AA1276" s="131" t="s">
        <v>409</v>
      </c>
      <c r="AB1276" s="130">
        <v>867608.72433</v>
      </c>
      <c r="AC1276" s="130">
        <v>867608.72433</v>
      </c>
    </row>
    <row r="1277" spans="1:29" x14ac:dyDescent="0.25">
      <c r="A1277" t="str">
        <f t="shared" si="20"/>
        <v xml:space="preserve">2000942SPSM *              </v>
      </c>
      <c r="B1277" s="96">
        <v>2000942</v>
      </c>
      <c r="C1277" s="96" t="s">
        <v>818</v>
      </c>
      <c r="D1277" s="96" t="s">
        <v>569</v>
      </c>
      <c r="E1277" s="96" t="s">
        <v>623</v>
      </c>
      <c r="F1277" s="96" t="s">
        <v>624</v>
      </c>
      <c r="G1277" s="99">
        <v>785136</v>
      </c>
      <c r="H1277" s="97">
        <v>3.5281129999999998</v>
      </c>
      <c r="I1277" s="98">
        <v>2770048.5283679999</v>
      </c>
      <c r="J1277" s="97">
        <v>1.374879995312914</v>
      </c>
      <c r="K1277" s="98">
        <v>6619564.8367360001</v>
      </c>
      <c r="L1277" s="99">
        <v>-785136</v>
      </c>
      <c r="M1277" s="98">
        <v>-2770048.53</v>
      </c>
      <c r="N1277" s="99">
        <v>0</v>
      </c>
      <c r="O1277" s="98">
        <v>0</v>
      </c>
      <c r="P1277" s="99">
        <v>0</v>
      </c>
      <c r="Q1277" s="98">
        <v>-1.632E-3</v>
      </c>
      <c r="R1277" s="96" t="s">
        <v>625</v>
      </c>
      <c r="S1277" s="96">
        <v>7414000005</v>
      </c>
      <c r="AA1277" s="131" t="s">
        <v>383</v>
      </c>
      <c r="AB1277" s="130">
        <v>742157.27208000002</v>
      </c>
      <c r="AC1277" s="130">
        <v>742157.27208000002</v>
      </c>
    </row>
    <row r="1278" spans="1:29" x14ac:dyDescent="0.25">
      <c r="A1278" t="str">
        <f t="shared" si="20"/>
        <v xml:space="preserve">2000942ST&amp;ER-7 ED          </v>
      </c>
      <c r="B1278" s="96">
        <v>2000942</v>
      </c>
      <c r="C1278" s="96" t="s">
        <v>818</v>
      </c>
      <c r="D1278" s="96" t="s">
        <v>389</v>
      </c>
      <c r="E1278" s="96" t="s">
        <v>623</v>
      </c>
      <c r="F1278" s="96" t="s">
        <v>624</v>
      </c>
      <c r="G1278" s="99">
        <v>889529</v>
      </c>
      <c r="H1278" s="97">
        <v>3.3967719999999999</v>
      </c>
      <c r="I1278" s="98">
        <v>3021527.2003879999</v>
      </c>
      <c r="J1278" s="97">
        <v>3.1867618930917372</v>
      </c>
      <c r="K1278" s="98">
        <v>186810.080388</v>
      </c>
      <c r="L1278" s="99">
        <v>0</v>
      </c>
      <c r="M1278" s="98">
        <v>0</v>
      </c>
      <c r="N1278" s="99">
        <v>0</v>
      </c>
      <c r="O1278" s="98">
        <v>0</v>
      </c>
      <c r="P1278" s="99">
        <v>889529</v>
      </c>
      <c r="Q1278" s="98">
        <v>3021527.2003879999</v>
      </c>
      <c r="R1278" s="96" t="s">
        <v>625</v>
      </c>
      <c r="S1278" s="96">
        <v>7414000005</v>
      </c>
      <c r="AA1278" s="131" t="s">
        <v>360</v>
      </c>
      <c r="AB1278" s="130">
        <v>222112.8</v>
      </c>
      <c r="AC1278" s="130">
        <v>222112.8</v>
      </c>
    </row>
    <row r="1279" spans="1:29" x14ac:dyDescent="0.25">
      <c r="A1279" t="str">
        <f t="shared" si="20"/>
        <v xml:space="preserve">2000942STEREAL ED          </v>
      </c>
      <c r="B1279" s="96">
        <v>2000942</v>
      </c>
      <c r="C1279" s="96" t="s">
        <v>818</v>
      </c>
      <c r="D1279" s="96" t="s">
        <v>582</v>
      </c>
      <c r="E1279" s="96" t="s">
        <v>623</v>
      </c>
      <c r="F1279" s="96" t="s">
        <v>624</v>
      </c>
      <c r="G1279" s="99">
        <v>1700</v>
      </c>
      <c r="H1279" s="97">
        <v>42.3</v>
      </c>
      <c r="I1279" s="98">
        <v>71910</v>
      </c>
      <c r="J1279" s="97">
        <v>10.395082352941177</v>
      </c>
      <c r="K1279" s="98">
        <v>161491.64000000001</v>
      </c>
      <c r="L1279" s="99">
        <v>-1700</v>
      </c>
      <c r="M1279" s="98">
        <v>-72044.45</v>
      </c>
      <c r="N1279" s="99">
        <v>0</v>
      </c>
      <c r="O1279" s="98">
        <v>0</v>
      </c>
      <c r="P1279" s="99">
        <v>0</v>
      </c>
      <c r="Q1279" s="98">
        <v>-134.44999999999999</v>
      </c>
      <c r="R1279" s="96" t="s">
        <v>625</v>
      </c>
      <c r="S1279" s="96">
        <v>7414000005</v>
      </c>
      <c r="AA1279" s="129">
        <v>75220</v>
      </c>
      <c r="AB1279" s="130">
        <v>1741899.1168170003</v>
      </c>
      <c r="AC1279" s="130">
        <v>1741899.1168170003</v>
      </c>
    </row>
    <row r="1280" spans="1:29" x14ac:dyDescent="0.25">
      <c r="A1280" t="str">
        <f t="shared" si="20"/>
        <v xml:space="preserve">2000942STERGOB ED          </v>
      </c>
      <c r="B1280" s="96">
        <v>2000942</v>
      </c>
      <c r="C1280" s="96" t="s">
        <v>818</v>
      </c>
      <c r="D1280" s="96" t="s">
        <v>395</v>
      </c>
      <c r="E1280" s="96" t="s">
        <v>623</v>
      </c>
      <c r="F1280" s="96" t="s">
        <v>624</v>
      </c>
      <c r="G1280" s="99">
        <v>290</v>
      </c>
      <c r="H1280" s="97">
        <v>772.926965</v>
      </c>
      <c r="I1280" s="98">
        <v>224148.81985</v>
      </c>
      <c r="J1280" s="97">
        <v>31.998697119999999</v>
      </c>
      <c r="K1280" s="98">
        <v>439018.01753519999</v>
      </c>
      <c r="L1280" s="99">
        <v>-290</v>
      </c>
      <c r="M1280" s="98">
        <v>-227599.27</v>
      </c>
      <c r="N1280" s="99">
        <v>0</v>
      </c>
      <c r="O1280" s="98">
        <v>0</v>
      </c>
      <c r="P1280" s="99">
        <v>0</v>
      </c>
      <c r="Q1280" s="98">
        <v>-3450.4501500000001</v>
      </c>
      <c r="R1280" s="96" t="s">
        <v>625</v>
      </c>
      <c r="S1280" s="96">
        <v>7414000005</v>
      </c>
      <c r="AA1280" s="131" t="s">
        <v>376</v>
      </c>
      <c r="AB1280" s="130">
        <v>16177.342173999999</v>
      </c>
      <c r="AC1280" s="130">
        <v>16177.342173999999</v>
      </c>
    </row>
    <row r="1281" spans="1:29" x14ac:dyDescent="0.25">
      <c r="A1281" t="str">
        <f t="shared" si="20"/>
        <v xml:space="preserve">2000942TERRA 13            </v>
      </c>
      <c r="B1281" s="96">
        <v>2000942</v>
      </c>
      <c r="C1281" s="96" t="s">
        <v>818</v>
      </c>
      <c r="D1281" s="96" t="s">
        <v>396</v>
      </c>
      <c r="E1281" s="96" t="s">
        <v>623</v>
      </c>
      <c r="F1281" s="96" t="s">
        <v>624</v>
      </c>
      <c r="G1281" s="99">
        <v>233</v>
      </c>
      <c r="H1281" s="97">
        <v>721.59464000000003</v>
      </c>
      <c r="I1281" s="98">
        <v>168131.55111999999</v>
      </c>
      <c r="J1281" s="97">
        <v>35.7096655</v>
      </c>
      <c r="K1281" s="98">
        <v>327942.75017850002</v>
      </c>
      <c r="L1281" s="99">
        <v>-233</v>
      </c>
      <c r="M1281" s="98">
        <v>-170587.95</v>
      </c>
      <c r="N1281" s="99">
        <v>0</v>
      </c>
      <c r="O1281" s="98">
        <v>0</v>
      </c>
      <c r="P1281" s="99">
        <v>0</v>
      </c>
      <c r="Q1281" s="98">
        <v>-2456.3988800000002</v>
      </c>
      <c r="R1281" s="96" t="s">
        <v>625</v>
      </c>
      <c r="S1281" s="96">
        <v>7414000005</v>
      </c>
      <c r="AA1281" s="131" t="s">
        <v>378</v>
      </c>
      <c r="AB1281" s="130">
        <v>32261.049170999999</v>
      </c>
      <c r="AC1281" s="130">
        <v>32261.049170999999</v>
      </c>
    </row>
    <row r="1282" spans="1:29" x14ac:dyDescent="0.25">
      <c r="A1282" t="str">
        <f t="shared" si="20"/>
        <v xml:space="preserve">2000942UDIBONO 351122      </v>
      </c>
      <c r="B1282" s="96">
        <v>2000942</v>
      </c>
      <c r="C1282" s="96" t="s">
        <v>818</v>
      </c>
      <c r="D1282" s="96" t="s">
        <v>397</v>
      </c>
      <c r="E1282" s="96" t="s">
        <v>623</v>
      </c>
      <c r="F1282" s="96" t="s">
        <v>624</v>
      </c>
      <c r="G1282" s="99">
        <v>45</v>
      </c>
      <c r="H1282" s="97">
        <v>635.96311900000001</v>
      </c>
      <c r="I1282" s="98">
        <v>28618.340355</v>
      </c>
      <c r="J1282" s="97">
        <v>38.160738819999999</v>
      </c>
      <c r="K1282" s="98">
        <v>55519.447463099998</v>
      </c>
      <c r="L1282" s="99">
        <v>-45</v>
      </c>
      <c r="M1282" s="98">
        <v>-29012.400000000001</v>
      </c>
      <c r="N1282" s="99">
        <v>0</v>
      </c>
      <c r="O1282" s="98">
        <v>0</v>
      </c>
      <c r="P1282" s="99">
        <v>0</v>
      </c>
      <c r="Q1282" s="98">
        <v>-394.05964499999999</v>
      </c>
      <c r="R1282" s="96" t="s">
        <v>625</v>
      </c>
      <c r="S1282" s="96">
        <v>7414000005</v>
      </c>
      <c r="AA1282" s="131" t="s">
        <v>380</v>
      </c>
      <c r="AB1282" s="130">
        <v>33219.852352000002</v>
      </c>
      <c r="AC1282" s="130">
        <v>33219.852352000002</v>
      </c>
    </row>
    <row r="1283" spans="1:29" x14ac:dyDescent="0.25">
      <c r="A1283" t="str">
        <f t="shared" si="20"/>
        <v xml:space="preserve">2000942UDIBONO 401115      </v>
      </c>
      <c r="B1283" s="96">
        <v>2000942</v>
      </c>
      <c r="C1283" s="96" t="s">
        <v>818</v>
      </c>
      <c r="D1283" s="96" t="s">
        <v>398</v>
      </c>
      <c r="E1283" s="96" t="s">
        <v>623</v>
      </c>
      <c r="F1283" s="96" t="s">
        <v>624</v>
      </c>
      <c r="G1283" s="99">
        <v>232</v>
      </c>
      <c r="H1283" s="97">
        <v>709.36974099999998</v>
      </c>
      <c r="I1283" s="98">
        <v>164573.779912</v>
      </c>
      <c r="J1283" s="97">
        <v>58.809078419999999</v>
      </c>
      <c r="K1283" s="98">
        <v>315503.85363055998</v>
      </c>
      <c r="L1283" s="99">
        <v>-232</v>
      </c>
      <c r="M1283" s="98">
        <v>-167195.85</v>
      </c>
      <c r="N1283" s="99">
        <v>0</v>
      </c>
      <c r="O1283" s="98">
        <v>0</v>
      </c>
      <c r="P1283" s="99">
        <v>0</v>
      </c>
      <c r="Q1283" s="98">
        <v>-2622.0700879999999</v>
      </c>
      <c r="R1283" s="96" t="s">
        <v>625</v>
      </c>
      <c r="S1283" s="96">
        <v>7414000005</v>
      </c>
      <c r="AA1283" s="131" t="s">
        <v>382</v>
      </c>
      <c r="AB1283" s="130">
        <v>5369.3679000000002</v>
      </c>
      <c r="AC1283" s="130">
        <v>5369.3679000000002</v>
      </c>
    </row>
    <row r="1284" spans="1:29" x14ac:dyDescent="0.25">
      <c r="A1284" t="str">
        <f t="shared" si="20"/>
        <v xml:space="preserve">2000942UDIBONO 431112      </v>
      </c>
      <c r="B1284" s="96">
        <v>2000942</v>
      </c>
      <c r="C1284" s="96" t="s">
        <v>818</v>
      </c>
      <c r="D1284" s="96" t="s">
        <v>399</v>
      </c>
      <c r="E1284" s="96" t="s">
        <v>623</v>
      </c>
      <c r="F1284" s="96" t="s">
        <v>624</v>
      </c>
      <c r="G1284" s="99">
        <v>405</v>
      </c>
      <c r="H1284" s="97">
        <v>694.41118700000004</v>
      </c>
      <c r="I1284" s="98">
        <v>281236.53073499998</v>
      </c>
      <c r="J1284" s="97">
        <v>57.274829279999999</v>
      </c>
      <c r="K1284" s="98">
        <v>539276.75561160001</v>
      </c>
      <c r="L1284" s="99">
        <v>-405</v>
      </c>
      <c r="M1284" s="98">
        <v>-286887.57</v>
      </c>
      <c r="N1284" s="99">
        <v>0</v>
      </c>
      <c r="O1284" s="98">
        <v>0</v>
      </c>
      <c r="P1284" s="99">
        <v>0</v>
      </c>
      <c r="Q1284" s="98">
        <v>-5651.0392650000003</v>
      </c>
      <c r="R1284" s="96" t="s">
        <v>625</v>
      </c>
      <c r="S1284" s="96">
        <v>7414000005</v>
      </c>
      <c r="AA1284" s="131" t="s">
        <v>427</v>
      </c>
      <c r="AB1284" s="130">
        <v>67878.442890000006</v>
      </c>
      <c r="AC1284" s="130">
        <v>67878.442890000006</v>
      </c>
    </row>
    <row r="1285" spans="1:29" x14ac:dyDescent="0.25">
      <c r="A1285" t="str">
        <f t="shared" si="20"/>
        <v xml:space="preserve">2000942UDIBONO 461108      </v>
      </c>
      <c r="B1285" s="96">
        <v>2000942</v>
      </c>
      <c r="C1285" s="96" t="s">
        <v>818</v>
      </c>
      <c r="D1285" s="96" t="s">
        <v>400</v>
      </c>
      <c r="E1285" s="96" t="s">
        <v>623</v>
      </c>
      <c r="F1285" s="96" t="s">
        <v>624</v>
      </c>
      <c r="G1285" s="99">
        <v>3100</v>
      </c>
      <c r="H1285" s="97">
        <v>58.67</v>
      </c>
      <c r="I1285" s="98">
        <v>181877</v>
      </c>
      <c r="J1285" s="97">
        <v>9.4700709677419361</v>
      </c>
      <c r="K1285" s="98">
        <v>253256.17</v>
      </c>
      <c r="L1285" s="99">
        <v>-1717</v>
      </c>
      <c r="M1285" s="98">
        <v>-103307.1</v>
      </c>
      <c r="N1285" s="99">
        <v>0</v>
      </c>
      <c r="O1285" s="98">
        <v>0</v>
      </c>
      <c r="P1285" s="99">
        <v>1383</v>
      </c>
      <c r="Q1285" s="98">
        <v>78569.899999999994</v>
      </c>
      <c r="R1285" s="96" t="s">
        <v>625</v>
      </c>
      <c r="S1285" s="96">
        <v>7414000005</v>
      </c>
      <c r="AA1285" s="131" t="s">
        <v>418</v>
      </c>
      <c r="AB1285" s="130">
        <v>3449.332844</v>
      </c>
      <c r="AC1285" s="130">
        <v>3449.332844</v>
      </c>
    </row>
    <row r="1286" spans="1:29" x14ac:dyDescent="0.25">
      <c r="A1286" t="str">
        <f t="shared" si="20"/>
        <v xml:space="preserve">2000942UDIBONO 501103      </v>
      </c>
      <c r="B1286" s="96">
        <v>2000942</v>
      </c>
      <c r="C1286" s="96" t="s">
        <v>818</v>
      </c>
      <c r="D1286" s="96" t="s">
        <v>401</v>
      </c>
      <c r="E1286" s="96" t="s">
        <v>623</v>
      </c>
      <c r="F1286" s="96" t="s">
        <v>624</v>
      </c>
      <c r="G1286" s="99">
        <v>260</v>
      </c>
      <c r="H1286" s="97">
        <v>1090</v>
      </c>
      <c r="I1286" s="98">
        <v>283400</v>
      </c>
      <c r="J1286" s="97">
        <v>6.2521538461538464</v>
      </c>
      <c r="K1286" s="98">
        <v>568425.56000000006</v>
      </c>
      <c r="L1286" s="99">
        <v>-260</v>
      </c>
      <c r="M1286" s="98">
        <v>-284468.59999999998</v>
      </c>
      <c r="N1286" s="99">
        <v>0</v>
      </c>
      <c r="O1286" s="98">
        <v>0</v>
      </c>
      <c r="P1286" s="99">
        <v>0</v>
      </c>
      <c r="Q1286" s="98">
        <v>-1068.5999999999999</v>
      </c>
      <c r="R1286" s="96" t="s">
        <v>625</v>
      </c>
      <c r="S1286" s="96">
        <v>7414000005</v>
      </c>
      <c r="AA1286" s="131" t="s">
        <v>408</v>
      </c>
      <c r="AB1286" s="130">
        <v>2510.008816</v>
      </c>
      <c r="AC1286" s="130">
        <v>2510.008816</v>
      </c>
    </row>
    <row r="1287" spans="1:29" x14ac:dyDescent="0.25">
      <c r="A1287" t="str">
        <f t="shared" ref="A1287:A1350" si="21">B1285&amp;D1285</f>
        <v xml:space="preserve">2000942VESTA *             </v>
      </c>
      <c r="B1287" s="96">
        <v>2000942</v>
      </c>
      <c r="C1287" s="96" t="s">
        <v>818</v>
      </c>
      <c r="D1287" s="96" t="s">
        <v>403</v>
      </c>
      <c r="E1287" s="96" t="s">
        <v>623</v>
      </c>
      <c r="F1287" s="96" t="s">
        <v>624</v>
      </c>
      <c r="G1287" s="99">
        <v>9900</v>
      </c>
      <c r="H1287" s="97">
        <v>65.260000000000005</v>
      </c>
      <c r="I1287" s="98">
        <v>646074</v>
      </c>
      <c r="J1287" s="97">
        <v>4.5554383838383838</v>
      </c>
      <c r="K1287" s="98">
        <v>1247049.1599999999</v>
      </c>
      <c r="L1287" s="99">
        <v>-9900</v>
      </c>
      <c r="M1287" s="98">
        <v>-645466.18000000005</v>
      </c>
      <c r="N1287" s="99">
        <v>0</v>
      </c>
      <c r="O1287" s="98">
        <v>0</v>
      </c>
      <c r="P1287" s="99">
        <v>0</v>
      </c>
      <c r="Q1287" s="98">
        <v>607.82000000000005</v>
      </c>
      <c r="R1287" s="96" t="s">
        <v>625</v>
      </c>
      <c r="S1287" s="96">
        <v>7414000005</v>
      </c>
      <c r="AA1287" s="131" t="s">
        <v>384</v>
      </c>
      <c r="AB1287" s="130">
        <v>19290.37096</v>
      </c>
      <c r="AC1287" s="130">
        <v>19290.37096</v>
      </c>
    </row>
    <row r="1288" spans="1:29" x14ac:dyDescent="0.25">
      <c r="A1288" t="str">
        <f t="shared" si="21"/>
        <v xml:space="preserve">2000942VGK *               </v>
      </c>
      <c r="B1288" s="96">
        <v>2000947</v>
      </c>
      <c r="C1288" s="96" t="s">
        <v>819</v>
      </c>
      <c r="D1288" s="96" t="s">
        <v>389</v>
      </c>
      <c r="E1288" s="96" t="s">
        <v>623</v>
      </c>
      <c r="F1288" s="96" t="s">
        <v>624</v>
      </c>
      <c r="G1288" s="99">
        <v>3886</v>
      </c>
      <c r="H1288" s="97">
        <v>3.3967719999999999</v>
      </c>
      <c r="I1288" s="98">
        <v>13199.855992000001</v>
      </c>
      <c r="J1288" s="97">
        <v>3.3601878538342769</v>
      </c>
      <c r="K1288" s="98">
        <v>142.16599199999999</v>
      </c>
      <c r="L1288" s="99">
        <v>0</v>
      </c>
      <c r="M1288" s="98">
        <v>0</v>
      </c>
      <c r="N1288" s="99">
        <v>0</v>
      </c>
      <c r="O1288" s="98">
        <v>0</v>
      </c>
      <c r="P1288" s="99">
        <v>3886</v>
      </c>
      <c r="Q1288" s="98">
        <v>13199.855992000001</v>
      </c>
      <c r="R1288" s="96" t="s">
        <v>625</v>
      </c>
      <c r="S1288" s="96">
        <v>7414000005</v>
      </c>
      <c r="AA1288" s="131" t="s">
        <v>389</v>
      </c>
      <c r="AB1288" s="130">
        <v>691188.75364799995</v>
      </c>
      <c r="AC1288" s="130">
        <v>691188.75364799995</v>
      </c>
    </row>
    <row r="1289" spans="1:29" x14ac:dyDescent="0.25">
      <c r="A1289" t="str">
        <f t="shared" si="21"/>
        <v xml:space="preserve">2000942WALMEX *            </v>
      </c>
      <c r="B1289" s="96">
        <v>2000947</v>
      </c>
      <c r="C1289" s="96" t="s">
        <v>819</v>
      </c>
      <c r="D1289" s="96" t="s">
        <v>407</v>
      </c>
      <c r="E1289" s="96" t="s">
        <v>623</v>
      </c>
      <c r="F1289" s="96" t="s">
        <v>624</v>
      </c>
      <c r="G1289" s="99">
        <v>8000411</v>
      </c>
      <c r="H1289" s="97">
        <v>2.7668819999999998</v>
      </c>
      <c r="I1289" s="98">
        <v>22136193.188501999</v>
      </c>
      <c r="J1289" s="97">
        <v>1.8965170014390511</v>
      </c>
      <c r="K1289" s="98">
        <v>6963277.7085020002</v>
      </c>
      <c r="L1289" s="99">
        <v>0</v>
      </c>
      <c r="M1289" s="98">
        <v>0</v>
      </c>
      <c r="N1289" s="99">
        <v>0</v>
      </c>
      <c r="O1289" s="98">
        <v>0</v>
      </c>
      <c r="P1289" s="99">
        <v>8000411</v>
      </c>
      <c r="Q1289" s="98">
        <v>22136193.188501999</v>
      </c>
      <c r="R1289" s="96" t="s">
        <v>625</v>
      </c>
      <c r="S1289" s="96">
        <v>7414000005</v>
      </c>
      <c r="AA1289" s="131" t="s">
        <v>391</v>
      </c>
      <c r="AB1289" s="130">
        <v>6981.2260829999996</v>
      </c>
      <c r="AC1289" s="130">
        <v>6981.2260829999996</v>
      </c>
    </row>
    <row r="1290" spans="1:29" x14ac:dyDescent="0.25">
      <c r="A1290" t="str">
        <f t="shared" si="21"/>
        <v xml:space="preserve">2000947STERGOB ED          </v>
      </c>
      <c r="B1290" s="96">
        <v>2001046</v>
      </c>
      <c r="C1290" s="96" t="s">
        <v>820</v>
      </c>
      <c r="D1290" s="96" t="s">
        <v>480</v>
      </c>
      <c r="E1290" s="96" t="s">
        <v>623</v>
      </c>
      <c r="F1290" s="96" t="s">
        <v>624</v>
      </c>
      <c r="G1290" s="99">
        <v>27192</v>
      </c>
      <c r="H1290" s="97">
        <v>3.612981</v>
      </c>
      <c r="I1290" s="98">
        <v>98244.179352000006</v>
      </c>
      <c r="J1290" s="97">
        <v>3.6023749632244777</v>
      </c>
      <c r="K1290" s="98">
        <v>288.39935200000002</v>
      </c>
      <c r="L1290" s="99">
        <v>0</v>
      </c>
      <c r="M1290" s="98">
        <v>0</v>
      </c>
      <c r="N1290" s="99">
        <v>0</v>
      </c>
      <c r="O1290" s="98">
        <v>0</v>
      </c>
      <c r="P1290" s="99">
        <v>27192</v>
      </c>
      <c r="Q1290" s="98">
        <v>98244.179352000006</v>
      </c>
      <c r="R1290" s="96" t="s">
        <v>625</v>
      </c>
      <c r="S1290" s="96">
        <v>7414000005</v>
      </c>
      <c r="AA1290" s="131" t="s">
        <v>395</v>
      </c>
      <c r="AB1290" s="130">
        <v>15458.5393</v>
      </c>
      <c r="AC1290" s="130">
        <v>15458.5393</v>
      </c>
    </row>
    <row r="1291" spans="1:29" x14ac:dyDescent="0.25">
      <c r="A1291" t="str">
        <f t="shared" si="21"/>
        <v xml:space="preserve">2000947SVIVE60 ED          </v>
      </c>
      <c r="B1291" s="96">
        <v>2001046</v>
      </c>
      <c r="C1291" s="96" t="s">
        <v>820</v>
      </c>
      <c r="D1291" s="96" t="s">
        <v>413</v>
      </c>
      <c r="E1291" s="96" t="s">
        <v>623</v>
      </c>
      <c r="F1291" s="96" t="s">
        <v>624</v>
      </c>
      <c r="G1291" s="99">
        <v>16219</v>
      </c>
      <c r="H1291" s="97">
        <v>137.04691399999999</v>
      </c>
      <c r="I1291" s="98">
        <v>2222763.8981659999</v>
      </c>
      <c r="J1291" s="97">
        <v>119.13608483876935</v>
      </c>
      <c r="K1291" s="98">
        <v>290495.738166</v>
      </c>
      <c r="L1291" s="99">
        <v>0</v>
      </c>
      <c r="M1291" s="98">
        <v>0</v>
      </c>
      <c r="N1291" s="99">
        <v>0</v>
      </c>
      <c r="O1291" s="98">
        <v>0</v>
      </c>
      <c r="P1291" s="99">
        <v>16219</v>
      </c>
      <c r="Q1291" s="98">
        <v>2222763.8981659999</v>
      </c>
      <c r="R1291" s="96" t="s">
        <v>625</v>
      </c>
      <c r="S1291" s="96">
        <v>7414000005</v>
      </c>
      <c r="AA1291" s="131" t="s">
        <v>396</v>
      </c>
      <c r="AB1291" s="130">
        <v>4329.5678399999997</v>
      </c>
      <c r="AC1291" s="130">
        <v>4329.5678399999997</v>
      </c>
    </row>
    <row r="1292" spans="1:29" x14ac:dyDescent="0.25">
      <c r="A1292" t="str">
        <f t="shared" si="21"/>
        <v xml:space="preserve">2001046STERGOB B4          </v>
      </c>
      <c r="B1292" s="96">
        <v>2001046</v>
      </c>
      <c r="C1292" s="96" t="s">
        <v>820</v>
      </c>
      <c r="D1292" s="96" t="s">
        <v>414</v>
      </c>
      <c r="E1292" s="96" t="s">
        <v>623</v>
      </c>
      <c r="F1292" s="96" t="s">
        <v>624</v>
      </c>
      <c r="G1292" s="99">
        <v>2466349</v>
      </c>
      <c r="H1292" s="97">
        <v>3.6364960000000002</v>
      </c>
      <c r="I1292" s="98">
        <v>8968868.2731040008</v>
      </c>
      <c r="J1292" s="97">
        <v>3.048425775468111</v>
      </c>
      <c r="K1292" s="98">
        <v>1450386.4102040001</v>
      </c>
      <c r="L1292" s="99">
        <v>0</v>
      </c>
      <c r="M1292" s="98">
        <v>0</v>
      </c>
      <c r="N1292" s="99">
        <v>0</v>
      </c>
      <c r="O1292" s="98">
        <v>0</v>
      </c>
      <c r="P1292" s="99">
        <v>2466349</v>
      </c>
      <c r="Q1292" s="98">
        <v>8968868.2731040008</v>
      </c>
      <c r="R1292" s="96" t="s">
        <v>625</v>
      </c>
      <c r="S1292" s="96">
        <v>7414000005</v>
      </c>
      <c r="AA1292" s="131" t="s">
        <v>398</v>
      </c>
      <c r="AB1292" s="130">
        <v>10640.546114999999</v>
      </c>
      <c r="AC1292" s="130">
        <v>10640.546114999999</v>
      </c>
    </row>
    <row r="1293" spans="1:29" x14ac:dyDescent="0.25">
      <c r="A1293" t="str">
        <f t="shared" si="21"/>
        <v xml:space="preserve">2001046SVIVE20 S           </v>
      </c>
      <c r="B1293" s="96">
        <v>2001046</v>
      </c>
      <c r="C1293" s="96" t="s">
        <v>820</v>
      </c>
      <c r="D1293" s="96" t="s">
        <v>415</v>
      </c>
      <c r="E1293" s="96" t="s">
        <v>623</v>
      </c>
      <c r="F1293" s="96" t="s">
        <v>624</v>
      </c>
      <c r="G1293" s="99">
        <v>1218943</v>
      </c>
      <c r="H1293" s="97">
        <v>2.1315040000000001</v>
      </c>
      <c r="I1293" s="98">
        <v>2598181.8802720001</v>
      </c>
      <c r="J1293" s="97">
        <v>1.8717125371736003</v>
      </c>
      <c r="K1293" s="98">
        <v>316670.98507200001</v>
      </c>
      <c r="L1293" s="99">
        <v>0</v>
      </c>
      <c r="M1293" s="98">
        <v>0</v>
      </c>
      <c r="N1293" s="99">
        <v>0</v>
      </c>
      <c r="O1293" s="98">
        <v>0</v>
      </c>
      <c r="P1293" s="99">
        <v>1218943</v>
      </c>
      <c r="Q1293" s="98">
        <v>2598181.8802720001</v>
      </c>
      <c r="R1293" s="96" t="s">
        <v>625</v>
      </c>
      <c r="S1293" s="96">
        <v>7414000005</v>
      </c>
      <c r="AA1293" s="131" t="s">
        <v>357</v>
      </c>
      <c r="AB1293" s="130">
        <v>1855.04</v>
      </c>
      <c r="AC1293" s="130">
        <v>1855.04</v>
      </c>
    </row>
    <row r="1294" spans="1:29" x14ac:dyDescent="0.25">
      <c r="A1294" t="str">
        <f t="shared" si="21"/>
        <v xml:space="preserve">2001046SVIVE35 S           </v>
      </c>
      <c r="B1294" s="96">
        <v>2001046</v>
      </c>
      <c r="C1294" s="96" t="s">
        <v>820</v>
      </c>
      <c r="D1294" s="96" t="s">
        <v>416</v>
      </c>
      <c r="E1294" s="96" t="s">
        <v>623</v>
      </c>
      <c r="F1294" s="96" t="s">
        <v>624</v>
      </c>
      <c r="G1294" s="99">
        <v>144619</v>
      </c>
      <c r="H1294" s="97">
        <v>2.8149250000000001</v>
      </c>
      <c r="I1294" s="98">
        <v>407091.63857499999</v>
      </c>
      <c r="J1294" s="97">
        <v>2.6742709464178289</v>
      </c>
      <c r="K1294" s="98">
        <v>20341.248575000001</v>
      </c>
      <c r="L1294" s="99">
        <v>0</v>
      </c>
      <c r="M1294" s="98">
        <v>0</v>
      </c>
      <c r="N1294" s="99">
        <v>0</v>
      </c>
      <c r="O1294" s="98">
        <v>0</v>
      </c>
      <c r="P1294" s="99">
        <v>144619</v>
      </c>
      <c r="Q1294" s="98">
        <v>407091.63857499999</v>
      </c>
      <c r="R1294" s="96" t="s">
        <v>625</v>
      </c>
      <c r="S1294" s="96">
        <v>7414000005</v>
      </c>
      <c r="AA1294" s="131" t="s">
        <v>506</v>
      </c>
      <c r="AB1294" s="130">
        <v>3219.84</v>
      </c>
      <c r="AC1294" s="130">
        <v>3219.84</v>
      </c>
    </row>
    <row r="1295" spans="1:29" x14ac:dyDescent="0.25">
      <c r="A1295" t="str">
        <f t="shared" si="21"/>
        <v xml:space="preserve">2001046SVIVE50 S           </v>
      </c>
      <c r="B1295" s="96">
        <v>2001047</v>
      </c>
      <c r="C1295" s="96" t="s">
        <v>821</v>
      </c>
      <c r="D1295" s="96" t="s">
        <v>480</v>
      </c>
      <c r="E1295" s="96" t="s">
        <v>623</v>
      </c>
      <c r="F1295" s="96" t="s">
        <v>624</v>
      </c>
      <c r="G1295" s="99">
        <v>20826</v>
      </c>
      <c r="H1295" s="97">
        <v>3.612981</v>
      </c>
      <c r="I1295" s="98">
        <v>75243.942305999997</v>
      </c>
      <c r="J1295" s="97">
        <v>3.5988355901277251</v>
      </c>
      <c r="K1295" s="98">
        <v>294.59230600000001</v>
      </c>
      <c r="L1295" s="99">
        <v>0</v>
      </c>
      <c r="M1295" s="98">
        <v>0</v>
      </c>
      <c r="N1295" s="99">
        <v>0</v>
      </c>
      <c r="O1295" s="98">
        <v>0</v>
      </c>
      <c r="P1295" s="99">
        <v>20826</v>
      </c>
      <c r="Q1295" s="98">
        <v>75243.942305999997</v>
      </c>
      <c r="R1295" s="96" t="s">
        <v>625</v>
      </c>
      <c r="S1295" s="96">
        <v>7414000005</v>
      </c>
      <c r="AA1295" s="131" t="s">
        <v>359</v>
      </c>
      <c r="AB1295" s="130">
        <v>5209.2700000000004</v>
      </c>
      <c r="AC1295" s="130">
        <v>5209.2700000000004</v>
      </c>
    </row>
    <row r="1296" spans="1:29" x14ac:dyDescent="0.25">
      <c r="A1296" t="str">
        <f t="shared" si="21"/>
        <v xml:space="preserve">2001046SVIVE60 S           </v>
      </c>
      <c r="B1296" s="96">
        <v>2001047</v>
      </c>
      <c r="C1296" s="96" t="s">
        <v>821</v>
      </c>
      <c r="D1296" s="96" t="s">
        <v>413</v>
      </c>
      <c r="E1296" s="96" t="s">
        <v>623</v>
      </c>
      <c r="F1296" s="96" t="s">
        <v>624</v>
      </c>
      <c r="G1296" s="99">
        <v>7122</v>
      </c>
      <c r="H1296" s="97">
        <v>137.04691399999999</v>
      </c>
      <c r="I1296" s="98">
        <v>976048.12150799995</v>
      </c>
      <c r="J1296" s="97">
        <v>123.00674108396518</v>
      </c>
      <c r="K1296" s="98">
        <v>99994.111508000002</v>
      </c>
      <c r="L1296" s="99">
        <v>0</v>
      </c>
      <c r="M1296" s="98">
        <v>0</v>
      </c>
      <c r="N1296" s="99">
        <v>0</v>
      </c>
      <c r="O1296" s="98">
        <v>0</v>
      </c>
      <c r="P1296" s="99">
        <v>7122</v>
      </c>
      <c r="Q1296" s="98">
        <v>976048.12150799995</v>
      </c>
      <c r="R1296" s="96" t="s">
        <v>625</v>
      </c>
      <c r="S1296" s="96">
        <v>7414000005</v>
      </c>
      <c r="AA1296" s="131" t="s">
        <v>551</v>
      </c>
      <c r="AB1296" s="130">
        <v>6826.17</v>
      </c>
      <c r="AC1296" s="130">
        <v>6826.17</v>
      </c>
    </row>
    <row r="1297" spans="1:29" x14ac:dyDescent="0.25">
      <c r="A1297" t="str">
        <f t="shared" si="21"/>
        <v xml:space="preserve">2001047STERGOB B4          </v>
      </c>
      <c r="B1297" s="96">
        <v>2001047</v>
      </c>
      <c r="C1297" s="96" t="s">
        <v>821</v>
      </c>
      <c r="D1297" s="96" t="s">
        <v>414</v>
      </c>
      <c r="E1297" s="96" t="s">
        <v>623</v>
      </c>
      <c r="F1297" s="96" t="s">
        <v>624</v>
      </c>
      <c r="G1297" s="99">
        <v>1027729</v>
      </c>
      <c r="H1297" s="97">
        <v>3.6364960000000002</v>
      </c>
      <c r="I1297" s="98">
        <v>3737332.3975840001</v>
      </c>
      <c r="J1297" s="97">
        <v>3.2098839694121701</v>
      </c>
      <c r="K1297" s="98">
        <v>438441.55558400002</v>
      </c>
      <c r="L1297" s="99">
        <v>0</v>
      </c>
      <c r="M1297" s="98">
        <v>0</v>
      </c>
      <c r="N1297" s="99">
        <v>0</v>
      </c>
      <c r="O1297" s="98">
        <v>0</v>
      </c>
      <c r="P1297" s="99">
        <v>1027729</v>
      </c>
      <c r="Q1297" s="98">
        <v>3737332.3975840001</v>
      </c>
      <c r="R1297" s="96" t="s">
        <v>625</v>
      </c>
      <c r="S1297" s="96">
        <v>7414000005</v>
      </c>
      <c r="AA1297" s="131" t="s">
        <v>361</v>
      </c>
      <c r="AB1297" s="130">
        <v>2388.75</v>
      </c>
      <c r="AC1297" s="130">
        <v>2388.75</v>
      </c>
    </row>
    <row r="1298" spans="1:29" x14ac:dyDescent="0.25">
      <c r="A1298" t="str">
        <f t="shared" si="21"/>
        <v xml:space="preserve">2001047SVIVE20 S           </v>
      </c>
      <c r="B1298" s="96">
        <v>2001047</v>
      </c>
      <c r="C1298" s="96" t="s">
        <v>821</v>
      </c>
      <c r="D1298" s="96" t="s">
        <v>415</v>
      </c>
      <c r="E1298" s="96" t="s">
        <v>623</v>
      </c>
      <c r="F1298" s="96" t="s">
        <v>624</v>
      </c>
      <c r="G1298" s="99">
        <v>565222</v>
      </c>
      <c r="H1298" s="97">
        <v>2.1315040000000001</v>
      </c>
      <c r="I1298" s="98">
        <v>1204772.953888</v>
      </c>
      <c r="J1298" s="97">
        <v>1.8977766435135222</v>
      </c>
      <c r="K1298" s="98">
        <v>132107.843888</v>
      </c>
      <c r="L1298" s="99">
        <v>0</v>
      </c>
      <c r="M1298" s="98">
        <v>0</v>
      </c>
      <c r="N1298" s="99">
        <v>0</v>
      </c>
      <c r="O1298" s="98">
        <v>0</v>
      </c>
      <c r="P1298" s="99">
        <v>565222</v>
      </c>
      <c r="Q1298" s="98">
        <v>1204772.953888</v>
      </c>
      <c r="R1298" s="96" t="s">
        <v>625</v>
      </c>
      <c r="S1298" s="96">
        <v>7414000005</v>
      </c>
      <c r="AA1298" s="131" t="s">
        <v>362</v>
      </c>
      <c r="AB1298" s="130">
        <v>12567.41</v>
      </c>
      <c r="AC1298" s="130">
        <v>12567.41</v>
      </c>
    </row>
    <row r="1299" spans="1:29" x14ac:dyDescent="0.25">
      <c r="A1299" t="str">
        <f t="shared" si="21"/>
        <v xml:space="preserve">2001047SVIVE35 S           </v>
      </c>
      <c r="B1299" s="96">
        <v>2001047</v>
      </c>
      <c r="C1299" s="96" t="s">
        <v>821</v>
      </c>
      <c r="D1299" s="96" t="s">
        <v>416</v>
      </c>
      <c r="E1299" s="96" t="s">
        <v>623</v>
      </c>
      <c r="F1299" s="96" t="s">
        <v>624</v>
      </c>
      <c r="G1299" s="99">
        <v>38749</v>
      </c>
      <c r="H1299" s="97">
        <v>2.8149250000000001</v>
      </c>
      <c r="I1299" s="98">
        <v>109075.528825</v>
      </c>
      <c r="J1299" s="97">
        <v>2.7363645513432604</v>
      </c>
      <c r="K1299" s="98">
        <v>3044.138825</v>
      </c>
      <c r="L1299" s="99">
        <v>0</v>
      </c>
      <c r="M1299" s="98">
        <v>0</v>
      </c>
      <c r="N1299" s="99">
        <v>0</v>
      </c>
      <c r="O1299" s="98">
        <v>0</v>
      </c>
      <c r="P1299" s="99">
        <v>38749</v>
      </c>
      <c r="Q1299" s="98">
        <v>109075.528825</v>
      </c>
      <c r="R1299" s="96" t="s">
        <v>625</v>
      </c>
      <c r="S1299" s="96">
        <v>7414000005</v>
      </c>
      <c r="AA1299" s="131" t="s">
        <v>370</v>
      </c>
      <c r="AB1299" s="130">
        <v>1359.7</v>
      </c>
      <c r="AC1299" s="130">
        <v>1359.7</v>
      </c>
    </row>
    <row r="1300" spans="1:29" x14ac:dyDescent="0.25">
      <c r="A1300" t="str">
        <f t="shared" si="21"/>
        <v xml:space="preserve">2001047SVIVE50 S           </v>
      </c>
      <c r="B1300" s="96">
        <v>2001049</v>
      </c>
      <c r="C1300" s="96" t="s">
        <v>822</v>
      </c>
      <c r="D1300" s="96" t="s">
        <v>411</v>
      </c>
      <c r="E1300" s="96" t="s">
        <v>623</v>
      </c>
      <c r="F1300" s="96" t="s">
        <v>624</v>
      </c>
      <c r="G1300" s="99">
        <v>3072865</v>
      </c>
      <c r="H1300" s="97">
        <v>3.4985729999999999</v>
      </c>
      <c r="I1300" s="98">
        <v>10750642.521645</v>
      </c>
      <c r="J1300" s="97">
        <v>3.4482346735050191</v>
      </c>
      <c r="K1300" s="98">
        <v>154682.88164499999</v>
      </c>
      <c r="L1300" s="99">
        <v>0</v>
      </c>
      <c r="M1300" s="98">
        <v>0</v>
      </c>
      <c r="N1300" s="99">
        <v>0</v>
      </c>
      <c r="O1300" s="98">
        <v>0</v>
      </c>
      <c r="P1300" s="99">
        <v>3072865</v>
      </c>
      <c r="Q1300" s="98">
        <v>10750642.521645</v>
      </c>
      <c r="R1300" s="96" t="s">
        <v>625</v>
      </c>
      <c r="S1300" s="96">
        <v>7414000005</v>
      </c>
      <c r="AA1300" s="131" t="s">
        <v>372</v>
      </c>
      <c r="AB1300" s="130">
        <v>4095.12</v>
      </c>
      <c r="AC1300" s="130">
        <v>4095.12</v>
      </c>
    </row>
    <row r="1301" spans="1:29" x14ac:dyDescent="0.25">
      <c r="A1301" t="str">
        <f t="shared" si="21"/>
        <v xml:space="preserve">2001047SVIVE60 S           </v>
      </c>
      <c r="B1301" s="96">
        <v>2001050</v>
      </c>
      <c r="C1301" s="96" t="s">
        <v>823</v>
      </c>
      <c r="D1301" s="96" t="s">
        <v>411</v>
      </c>
      <c r="E1301" s="96" t="s">
        <v>623</v>
      </c>
      <c r="F1301" s="96" t="s">
        <v>624</v>
      </c>
      <c r="G1301" s="99">
        <v>1131329</v>
      </c>
      <c r="H1301" s="97">
        <v>3.4985729999999999</v>
      </c>
      <c r="I1301" s="98">
        <v>3958037.0935169999</v>
      </c>
      <c r="J1301" s="97">
        <v>3.4663218303428978</v>
      </c>
      <c r="K1301" s="98">
        <v>36486.683516999998</v>
      </c>
      <c r="L1301" s="99">
        <v>0</v>
      </c>
      <c r="M1301" s="98">
        <v>0</v>
      </c>
      <c r="N1301" s="99">
        <v>0</v>
      </c>
      <c r="O1301" s="98">
        <v>0</v>
      </c>
      <c r="P1301" s="99">
        <v>1131329</v>
      </c>
      <c r="Q1301" s="98">
        <v>3958037.0935169999</v>
      </c>
      <c r="R1301" s="96" t="s">
        <v>625</v>
      </c>
      <c r="S1301" s="96">
        <v>7414000005</v>
      </c>
      <c r="AA1301" s="131" t="s">
        <v>373</v>
      </c>
      <c r="AB1301" s="130">
        <v>19937.72</v>
      </c>
      <c r="AC1301" s="130">
        <v>19937.72</v>
      </c>
    </row>
    <row r="1302" spans="1:29" x14ac:dyDescent="0.25">
      <c r="A1302" t="str">
        <f t="shared" si="21"/>
        <v xml:space="preserve">2001049STERGOB B2          </v>
      </c>
      <c r="B1302" s="96">
        <v>2001140</v>
      </c>
      <c r="C1302" s="96" t="s">
        <v>824</v>
      </c>
      <c r="D1302" s="96" t="s">
        <v>584</v>
      </c>
      <c r="E1302" s="96" t="s">
        <v>623</v>
      </c>
      <c r="F1302" s="96" t="s">
        <v>624</v>
      </c>
      <c r="G1302" s="99">
        <v>0</v>
      </c>
      <c r="H1302" s="97">
        <v>0</v>
      </c>
      <c r="I1302" s="98">
        <v>0</v>
      </c>
      <c r="J1302" s="97">
        <v>0</v>
      </c>
      <c r="K1302" s="98">
        <v>0</v>
      </c>
      <c r="L1302" s="99">
        <v>0</v>
      </c>
      <c r="M1302" s="98">
        <v>0</v>
      </c>
      <c r="N1302" s="99">
        <v>0</v>
      </c>
      <c r="O1302" s="98">
        <v>0</v>
      </c>
      <c r="P1302" s="99">
        <v>0</v>
      </c>
      <c r="Q1302" s="98">
        <v>0</v>
      </c>
      <c r="R1302" s="96" t="s">
        <v>625</v>
      </c>
      <c r="S1302" s="96">
        <v>7414000005</v>
      </c>
      <c r="AA1302" s="131" t="s">
        <v>374</v>
      </c>
      <c r="AB1302" s="130">
        <v>14889.16</v>
      </c>
      <c r="AC1302" s="130">
        <v>14889.16</v>
      </c>
    </row>
    <row r="1303" spans="1:29" x14ac:dyDescent="0.25">
      <c r="A1303" t="str">
        <f t="shared" si="21"/>
        <v xml:space="preserve">2001050STERGOB B2          </v>
      </c>
      <c r="B1303" s="96">
        <v>2001140</v>
      </c>
      <c r="C1303" s="96" t="s">
        <v>824</v>
      </c>
      <c r="D1303" s="96" t="s">
        <v>471</v>
      </c>
      <c r="E1303" s="96" t="s">
        <v>623</v>
      </c>
      <c r="F1303" s="96" t="s">
        <v>624</v>
      </c>
      <c r="G1303" s="99">
        <v>0</v>
      </c>
      <c r="H1303" s="97">
        <v>0</v>
      </c>
      <c r="I1303" s="98">
        <v>0</v>
      </c>
      <c r="J1303" s="97">
        <v>0</v>
      </c>
      <c r="K1303" s="98">
        <v>0</v>
      </c>
      <c r="L1303" s="99">
        <v>0</v>
      </c>
      <c r="M1303" s="98">
        <v>0</v>
      </c>
      <c r="N1303" s="99">
        <v>0</v>
      </c>
      <c r="O1303" s="98">
        <v>0</v>
      </c>
      <c r="P1303" s="99">
        <v>0</v>
      </c>
      <c r="Q1303" s="98">
        <v>0</v>
      </c>
      <c r="R1303" s="96" t="s">
        <v>625</v>
      </c>
      <c r="S1303" s="96">
        <v>7414000005</v>
      </c>
      <c r="AA1303" s="131" t="s">
        <v>387</v>
      </c>
      <c r="AB1303" s="130">
        <v>5659.56</v>
      </c>
      <c r="AC1303" s="130">
        <v>5659.56</v>
      </c>
    </row>
    <row r="1304" spans="1:29" x14ac:dyDescent="0.25">
      <c r="A1304" t="str">
        <f t="shared" si="21"/>
        <v xml:space="preserve">2001140CETES 211118        </v>
      </c>
      <c r="B1304" s="96">
        <v>2001140</v>
      </c>
      <c r="C1304" s="96" t="s">
        <v>824</v>
      </c>
      <c r="D1304" s="96" t="s">
        <v>585</v>
      </c>
      <c r="E1304" s="96" t="s">
        <v>623</v>
      </c>
      <c r="F1304" s="96" t="s">
        <v>624</v>
      </c>
      <c r="G1304" s="99">
        <v>0</v>
      </c>
      <c r="H1304" s="97">
        <v>90.260495000000006</v>
      </c>
      <c r="I1304" s="98">
        <v>0</v>
      </c>
      <c r="J1304" s="97">
        <v>0</v>
      </c>
      <c r="K1304" s="98">
        <v>25508518.491950002</v>
      </c>
      <c r="L1304" s="99">
        <v>0</v>
      </c>
      <c r="M1304" s="98">
        <v>0</v>
      </c>
      <c r="N1304" s="99">
        <v>0</v>
      </c>
      <c r="O1304" s="98">
        <v>0</v>
      </c>
      <c r="P1304" s="99">
        <v>0</v>
      </c>
      <c r="Q1304" s="98">
        <v>0</v>
      </c>
      <c r="R1304" s="96" t="s">
        <v>625</v>
      </c>
      <c r="S1304" s="96">
        <v>7414000005</v>
      </c>
      <c r="AA1304" s="131" t="s">
        <v>419</v>
      </c>
      <c r="AB1304" s="130">
        <v>0</v>
      </c>
      <c r="AC1304" s="130">
        <v>0</v>
      </c>
    </row>
    <row r="1305" spans="1:29" x14ac:dyDescent="0.25">
      <c r="A1305" t="str">
        <f t="shared" si="21"/>
        <v xml:space="preserve">2001140CETES 230601        </v>
      </c>
      <c r="B1305" s="96">
        <v>2001140</v>
      </c>
      <c r="C1305" s="96" t="s">
        <v>824</v>
      </c>
      <c r="D1305" s="96" t="s">
        <v>366</v>
      </c>
      <c r="E1305" s="96" t="s">
        <v>623</v>
      </c>
      <c r="F1305" s="96" t="s">
        <v>624</v>
      </c>
      <c r="G1305" s="99">
        <v>0</v>
      </c>
      <c r="H1305" s="97">
        <v>0</v>
      </c>
      <c r="I1305" s="98">
        <v>-0.02</v>
      </c>
      <c r="J1305" s="97">
        <v>0</v>
      </c>
      <c r="K1305" s="98">
        <v>0</v>
      </c>
      <c r="L1305" s="99">
        <v>0</v>
      </c>
      <c r="M1305" s="98">
        <v>0</v>
      </c>
      <c r="N1305" s="99">
        <v>0</v>
      </c>
      <c r="O1305" s="98">
        <v>0</v>
      </c>
      <c r="P1305" s="99">
        <v>0</v>
      </c>
      <c r="Q1305" s="98">
        <v>-0.02</v>
      </c>
      <c r="R1305" s="96" t="s">
        <v>625</v>
      </c>
      <c r="S1305" s="96">
        <v>7414000005</v>
      </c>
      <c r="AA1305" s="131" t="s">
        <v>553</v>
      </c>
      <c r="AB1305" s="130">
        <v>2454.3000000000002</v>
      </c>
      <c r="AC1305" s="130">
        <v>2454.3000000000002</v>
      </c>
    </row>
    <row r="1306" spans="1:29" x14ac:dyDescent="0.25">
      <c r="A1306" t="str">
        <f t="shared" si="21"/>
        <v xml:space="preserve">2001140CFE 21-5            </v>
      </c>
      <c r="B1306" s="96">
        <v>2001140</v>
      </c>
      <c r="C1306" s="96" t="s">
        <v>824</v>
      </c>
      <c r="D1306" s="96" t="s">
        <v>426</v>
      </c>
      <c r="E1306" s="96" t="s">
        <v>623</v>
      </c>
      <c r="F1306" s="96" t="s">
        <v>624</v>
      </c>
      <c r="G1306" s="99">
        <v>0</v>
      </c>
      <c r="H1306" s="97">
        <v>0</v>
      </c>
      <c r="I1306" s="98">
        <v>0</v>
      </c>
      <c r="J1306" s="97">
        <v>0</v>
      </c>
      <c r="K1306" s="98">
        <v>124860.46386807</v>
      </c>
      <c r="L1306" s="99">
        <v>0</v>
      </c>
      <c r="M1306" s="98">
        <v>0</v>
      </c>
      <c r="N1306" s="99">
        <v>0</v>
      </c>
      <c r="O1306" s="98">
        <v>0</v>
      </c>
      <c r="P1306" s="99">
        <v>0</v>
      </c>
      <c r="Q1306" s="98">
        <v>0</v>
      </c>
      <c r="R1306" s="96" t="s">
        <v>625</v>
      </c>
      <c r="S1306" s="96">
        <v>7414000005</v>
      </c>
      <c r="AA1306" s="131" t="s">
        <v>544</v>
      </c>
      <c r="AB1306" s="130">
        <v>1150.5</v>
      </c>
      <c r="AC1306" s="130">
        <v>1150.5</v>
      </c>
    </row>
    <row r="1307" spans="1:29" x14ac:dyDescent="0.25">
      <c r="A1307" t="str">
        <f t="shared" si="21"/>
        <v>2001140EFECTIVO</v>
      </c>
      <c r="B1307" s="96">
        <v>2001140</v>
      </c>
      <c r="C1307" s="96" t="s">
        <v>824</v>
      </c>
      <c r="D1307" s="96" t="s">
        <v>380</v>
      </c>
      <c r="E1307" s="96" t="s">
        <v>623</v>
      </c>
      <c r="F1307" s="96" t="s">
        <v>624</v>
      </c>
      <c r="G1307" s="99">
        <v>0</v>
      </c>
      <c r="H1307" s="97">
        <v>93.314192000000006</v>
      </c>
      <c r="I1307" s="98">
        <v>0</v>
      </c>
      <c r="J1307" s="97">
        <v>0</v>
      </c>
      <c r="K1307" s="98">
        <v>370532934.571024</v>
      </c>
      <c r="L1307" s="99">
        <v>0</v>
      </c>
      <c r="M1307" s="98">
        <v>0</v>
      </c>
      <c r="N1307" s="99">
        <v>0</v>
      </c>
      <c r="O1307" s="98">
        <v>0</v>
      </c>
      <c r="P1307" s="99">
        <v>0</v>
      </c>
      <c r="Q1307" s="98">
        <v>0</v>
      </c>
      <c r="R1307" s="96" t="s">
        <v>625</v>
      </c>
      <c r="S1307" s="96">
        <v>7414000005</v>
      </c>
      <c r="AA1307" s="131" t="s">
        <v>400</v>
      </c>
      <c r="AB1307" s="130">
        <v>8213.7999999999993</v>
      </c>
      <c r="AC1307" s="130">
        <v>8213.7999999999993</v>
      </c>
    </row>
    <row r="1308" spans="1:29" x14ac:dyDescent="0.25">
      <c r="A1308" t="str">
        <f t="shared" si="21"/>
        <v xml:space="preserve">2001140GOBFED 231207       </v>
      </c>
      <c r="B1308" s="96">
        <v>2001140</v>
      </c>
      <c r="C1308" s="96" t="s">
        <v>824</v>
      </c>
      <c r="D1308" s="96" t="s">
        <v>383</v>
      </c>
      <c r="E1308" s="96" t="s">
        <v>623</v>
      </c>
      <c r="F1308" s="96" t="s">
        <v>624</v>
      </c>
      <c r="G1308" s="99">
        <v>0</v>
      </c>
      <c r="H1308" s="97">
        <v>86.197128000000006</v>
      </c>
      <c r="I1308" s="98">
        <v>0</v>
      </c>
      <c r="J1308" s="97">
        <v>0</v>
      </c>
      <c r="K1308" s="98">
        <v>482086576.81495911</v>
      </c>
      <c r="L1308" s="99">
        <v>0</v>
      </c>
      <c r="M1308" s="98">
        <v>0</v>
      </c>
      <c r="N1308" s="99">
        <v>0</v>
      </c>
      <c r="O1308" s="98">
        <v>0</v>
      </c>
      <c r="P1308" s="99">
        <v>0</v>
      </c>
      <c r="Q1308" s="98">
        <v>0</v>
      </c>
      <c r="R1308" s="96" t="s">
        <v>625</v>
      </c>
      <c r="S1308" s="96">
        <v>7414000005</v>
      </c>
      <c r="AA1308" s="131" t="s">
        <v>403</v>
      </c>
      <c r="AB1308" s="130">
        <v>13052</v>
      </c>
      <c r="AC1308" s="130">
        <v>13052</v>
      </c>
    </row>
    <row r="1309" spans="1:29" x14ac:dyDescent="0.25">
      <c r="A1309" t="str">
        <f t="shared" si="21"/>
        <v xml:space="preserve">2001140GOBFED 270603       </v>
      </c>
      <c r="B1309" s="96">
        <v>2001140</v>
      </c>
      <c r="C1309" s="96" t="s">
        <v>824</v>
      </c>
      <c r="D1309" s="96" t="s">
        <v>427</v>
      </c>
      <c r="E1309" s="96" t="s">
        <v>623</v>
      </c>
      <c r="F1309" s="96" t="s">
        <v>624</v>
      </c>
      <c r="G1309" s="99">
        <v>0</v>
      </c>
      <c r="H1309" s="97">
        <v>86.469353999999996</v>
      </c>
      <c r="I1309" s="98">
        <v>0</v>
      </c>
      <c r="J1309" s="97">
        <v>0</v>
      </c>
      <c r="K1309" s="98">
        <v>599021123.7226541</v>
      </c>
      <c r="L1309" s="99">
        <v>0</v>
      </c>
      <c r="M1309" s="98">
        <v>0</v>
      </c>
      <c r="N1309" s="99">
        <v>0</v>
      </c>
      <c r="O1309" s="98">
        <v>0</v>
      </c>
      <c r="P1309" s="99">
        <v>0</v>
      </c>
      <c r="Q1309" s="98">
        <v>0</v>
      </c>
      <c r="R1309" s="96" t="s">
        <v>625</v>
      </c>
      <c r="S1309" s="96">
        <v>7414000005</v>
      </c>
      <c r="AA1309" s="131" t="s">
        <v>381</v>
      </c>
      <c r="AB1309" s="130">
        <v>84434.439729999998</v>
      </c>
      <c r="AC1309" s="130">
        <v>84434.439729999998</v>
      </c>
    </row>
    <row r="1310" spans="1:29" x14ac:dyDescent="0.25">
      <c r="A1310" t="str">
        <f t="shared" si="21"/>
        <v xml:space="preserve">2001140GOBFED 330526       </v>
      </c>
      <c r="B1310" s="96">
        <v>2001140</v>
      </c>
      <c r="C1310" s="96" t="s">
        <v>824</v>
      </c>
      <c r="D1310" s="96" t="s">
        <v>384</v>
      </c>
      <c r="E1310" s="96" t="s">
        <v>623</v>
      </c>
      <c r="F1310" s="96" t="s">
        <v>624</v>
      </c>
      <c r="G1310" s="99">
        <v>0</v>
      </c>
      <c r="H1310" s="97">
        <v>81.738860000000003</v>
      </c>
      <c r="I1310" s="98">
        <v>0</v>
      </c>
      <c r="J1310" s="97">
        <v>0</v>
      </c>
      <c r="K1310" s="98">
        <v>86164394.783791006</v>
      </c>
      <c r="L1310" s="99">
        <v>0</v>
      </c>
      <c r="M1310" s="98">
        <v>0</v>
      </c>
      <c r="N1310" s="99">
        <v>0</v>
      </c>
      <c r="O1310" s="98">
        <v>0</v>
      </c>
      <c r="P1310" s="99">
        <v>0</v>
      </c>
      <c r="Q1310" s="98">
        <v>0</v>
      </c>
      <c r="R1310" s="96" t="s">
        <v>625</v>
      </c>
      <c r="S1310" s="96">
        <v>7414000005</v>
      </c>
      <c r="AA1310" s="131" t="s">
        <v>540</v>
      </c>
      <c r="AB1310" s="130">
        <v>1959.12</v>
      </c>
      <c r="AC1310" s="130">
        <v>1959.12</v>
      </c>
    </row>
    <row r="1311" spans="1:29" x14ac:dyDescent="0.25">
      <c r="A1311" t="str">
        <f t="shared" si="21"/>
        <v xml:space="preserve">2001140GOBFED 341123       </v>
      </c>
      <c r="B1311" s="96">
        <v>2001140</v>
      </c>
      <c r="C1311" s="96" t="s">
        <v>824</v>
      </c>
      <c r="D1311" s="96" t="s">
        <v>385</v>
      </c>
      <c r="E1311" s="96" t="s">
        <v>623</v>
      </c>
      <c r="F1311" s="96" t="s">
        <v>624</v>
      </c>
      <c r="G1311" s="99">
        <v>0</v>
      </c>
      <c r="H1311" s="97">
        <v>83.200761</v>
      </c>
      <c r="I1311" s="98">
        <v>0</v>
      </c>
      <c r="J1311" s="97">
        <v>0</v>
      </c>
      <c r="K1311" s="98">
        <v>40485698.615999997</v>
      </c>
      <c r="L1311" s="99">
        <v>0</v>
      </c>
      <c r="M1311" s="98">
        <v>0</v>
      </c>
      <c r="N1311" s="99">
        <v>0</v>
      </c>
      <c r="O1311" s="98">
        <v>0</v>
      </c>
      <c r="P1311" s="99">
        <v>0</v>
      </c>
      <c r="Q1311" s="98">
        <v>0</v>
      </c>
      <c r="R1311" s="96" t="s">
        <v>625</v>
      </c>
      <c r="S1311" s="96">
        <v>7414000005</v>
      </c>
      <c r="AA1311" s="131" t="s">
        <v>565</v>
      </c>
      <c r="AB1311" s="130">
        <v>0</v>
      </c>
      <c r="AC1311" s="130">
        <v>0</v>
      </c>
    </row>
    <row r="1312" spans="1:29" x14ac:dyDescent="0.25">
      <c r="A1312" t="str">
        <f t="shared" si="21"/>
        <v xml:space="preserve">2001140GOBFED 421113       </v>
      </c>
      <c r="B1312" s="96">
        <v>2001140</v>
      </c>
      <c r="C1312" s="96" t="s">
        <v>824</v>
      </c>
      <c r="D1312" s="96" t="s">
        <v>386</v>
      </c>
      <c r="E1312" s="96" t="s">
        <v>623</v>
      </c>
      <c r="F1312" s="96" t="s">
        <v>624</v>
      </c>
      <c r="G1312" s="99">
        <v>0</v>
      </c>
      <c r="H1312" s="97">
        <v>82.159907000000004</v>
      </c>
      <c r="I1312" s="98">
        <v>0</v>
      </c>
      <c r="J1312" s="97">
        <v>0</v>
      </c>
      <c r="K1312" s="98">
        <v>114909574.8617579</v>
      </c>
      <c r="L1312" s="99">
        <v>0</v>
      </c>
      <c r="M1312" s="98">
        <v>0</v>
      </c>
      <c r="N1312" s="99">
        <v>0</v>
      </c>
      <c r="O1312" s="98">
        <v>0</v>
      </c>
      <c r="P1312" s="99">
        <v>0</v>
      </c>
      <c r="Q1312" s="98">
        <v>0</v>
      </c>
      <c r="R1312" s="96" t="s">
        <v>625</v>
      </c>
      <c r="S1312" s="96">
        <v>7414000005</v>
      </c>
      <c r="AA1312" s="131" t="s">
        <v>459</v>
      </c>
      <c r="AB1312" s="130">
        <v>238413.552</v>
      </c>
      <c r="AC1312" s="130">
        <v>238413.552</v>
      </c>
    </row>
    <row r="1313" spans="1:29" x14ac:dyDescent="0.25">
      <c r="A1313" t="str">
        <f t="shared" si="21"/>
        <v xml:space="preserve">2001140GOBFED 471107       </v>
      </c>
      <c r="B1313" s="96">
        <v>2001140</v>
      </c>
      <c r="C1313" s="96" t="s">
        <v>824</v>
      </c>
      <c r="D1313" s="96" t="s">
        <v>825</v>
      </c>
      <c r="E1313" s="96" t="s">
        <v>623</v>
      </c>
      <c r="F1313" s="96" t="s">
        <v>624</v>
      </c>
      <c r="G1313" s="99">
        <v>0</v>
      </c>
      <c r="H1313" s="97">
        <v>6.1107189999999996</v>
      </c>
      <c r="I1313" s="98">
        <v>0</v>
      </c>
      <c r="J1313" s="97">
        <v>0</v>
      </c>
      <c r="K1313" s="98">
        <v>382672399.21622199</v>
      </c>
      <c r="L1313" s="99">
        <v>0</v>
      </c>
      <c r="M1313" s="98">
        <v>0</v>
      </c>
      <c r="N1313" s="99">
        <v>0</v>
      </c>
      <c r="O1313" s="98">
        <v>0</v>
      </c>
      <c r="P1313" s="99">
        <v>0</v>
      </c>
      <c r="Q1313" s="98">
        <v>0</v>
      </c>
      <c r="R1313" s="96" t="s">
        <v>625</v>
      </c>
      <c r="S1313" s="96">
        <v>7414000005</v>
      </c>
      <c r="AA1313" s="131" t="s">
        <v>393</v>
      </c>
      <c r="AB1313" s="130">
        <v>18382.173191999998</v>
      </c>
      <c r="AC1313" s="130">
        <v>18382.173191999998</v>
      </c>
    </row>
    <row r="1314" spans="1:29" x14ac:dyDescent="0.25">
      <c r="A1314" t="str">
        <f t="shared" si="21"/>
        <v xml:space="preserve">2001140GOBFED 530731       </v>
      </c>
      <c r="B1314" s="96">
        <v>2001140</v>
      </c>
      <c r="C1314" s="96" t="s">
        <v>824</v>
      </c>
      <c r="D1314" s="96" t="s">
        <v>826</v>
      </c>
      <c r="E1314" s="96" t="s">
        <v>623</v>
      </c>
      <c r="F1314" s="96" t="s">
        <v>624</v>
      </c>
      <c r="G1314" s="99">
        <v>0</v>
      </c>
      <c r="H1314" s="97">
        <v>0</v>
      </c>
      <c r="I1314" s="98">
        <v>0</v>
      </c>
      <c r="J1314" s="97">
        <v>0</v>
      </c>
      <c r="K1314" s="98">
        <v>-79887387.25</v>
      </c>
      <c r="L1314" s="99">
        <v>-21725</v>
      </c>
      <c r="M1314" s="98">
        <v>-39978562.25</v>
      </c>
      <c r="N1314" s="99">
        <v>0</v>
      </c>
      <c r="O1314" s="98">
        <v>0</v>
      </c>
      <c r="P1314" s="99">
        <v>-21725</v>
      </c>
      <c r="Q1314" s="98">
        <v>-39978562.25</v>
      </c>
      <c r="R1314" s="96" t="s">
        <v>625</v>
      </c>
      <c r="S1314" s="96">
        <v>7414000005</v>
      </c>
      <c r="AA1314" s="131" t="s">
        <v>503</v>
      </c>
      <c r="AB1314" s="130">
        <v>2192.5</v>
      </c>
      <c r="AC1314" s="130">
        <v>2192.5</v>
      </c>
    </row>
    <row r="1315" spans="1:29" x14ac:dyDescent="0.25">
      <c r="A1315" t="str">
        <f t="shared" si="21"/>
        <v xml:space="preserve">2001140MPGOBFED 290531     </v>
      </c>
      <c r="B1315" s="96">
        <v>2001140</v>
      </c>
      <c r="C1315" s="96" t="s">
        <v>824</v>
      </c>
      <c r="D1315" s="96" t="s">
        <v>586</v>
      </c>
      <c r="E1315" s="96" t="s">
        <v>623</v>
      </c>
      <c r="F1315" s="96" t="s">
        <v>624</v>
      </c>
      <c r="G1315" s="99">
        <v>0</v>
      </c>
      <c r="H1315" s="97">
        <v>480.305093</v>
      </c>
      <c r="I1315" s="98">
        <v>0</v>
      </c>
      <c r="J1315" s="97">
        <v>0</v>
      </c>
      <c r="K1315" s="98">
        <v>44531967.001197264</v>
      </c>
      <c r="L1315" s="99">
        <v>0</v>
      </c>
      <c r="M1315" s="98">
        <v>0</v>
      </c>
      <c r="N1315" s="99">
        <v>0</v>
      </c>
      <c r="O1315" s="98">
        <v>0</v>
      </c>
      <c r="P1315" s="99">
        <v>0</v>
      </c>
      <c r="Q1315" s="98">
        <v>0</v>
      </c>
      <c r="R1315" s="96" t="s">
        <v>625</v>
      </c>
      <c r="S1315" s="96">
        <v>7414000005</v>
      </c>
      <c r="AA1315" s="131" t="s">
        <v>385</v>
      </c>
      <c r="AB1315" s="130">
        <v>8320.0761000000002</v>
      </c>
      <c r="AC1315" s="130">
        <v>8320.0761000000002</v>
      </c>
    </row>
    <row r="1316" spans="1:29" x14ac:dyDescent="0.25">
      <c r="A1316" t="str">
        <f t="shared" si="21"/>
        <v xml:space="preserve">2001140SHV *               </v>
      </c>
      <c r="B1316" s="96">
        <v>2001140</v>
      </c>
      <c r="C1316" s="96" t="s">
        <v>824</v>
      </c>
      <c r="D1316" s="96" t="s">
        <v>392</v>
      </c>
      <c r="E1316" s="96" t="s">
        <v>623</v>
      </c>
      <c r="F1316" s="96" t="s">
        <v>624</v>
      </c>
      <c r="G1316" s="99">
        <v>0</v>
      </c>
      <c r="H1316" s="97">
        <v>0</v>
      </c>
      <c r="I1316" s="98">
        <v>0</v>
      </c>
      <c r="J1316" s="97">
        <v>0</v>
      </c>
      <c r="K1316" s="98">
        <v>0</v>
      </c>
      <c r="L1316" s="99">
        <v>0</v>
      </c>
      <c r="M1316" s="98">
        <v>0</v>
      </c>
      <c r="N1316" s="99">
        <v>0</v>
      </c>
      <c r="O1316" s="98">
        <v>0</v>
      </c>
      <c r="P1316" s="99">
        <v>0</v>
      </c>
      <c r="Q1316" s="98">
        <v>0</v>
      </c>
      <c r="R1316" s="96" t="s">
        <v>625</v>
      </c>
      <c r="S1316" s="96">
        <v>7414000005</v>
      </c>
      <c r="AA1316" s="131" t="s">
        <v>500</v>
      </c>
      <c r="AB1316" s="130">
        <v>2387.16</v>
      </c>
      <c r="AC1316" s="130">
        <v>2387.16</v>
      </c>
    </row>
    <row r="1317" spans="1:29" x14ac:dyDescent="0.25">
      <c r="A1317" t="str">
        <f t="shared" si="21"/>
        <v xml:space="preserve">2001140TFOVICB 20U         </v>
      </c>
      <c r="B1317" s="96">
        <v>2001140</v>
      </c>
      <c r="C1317" s="96" t="s">
        <v>824</v>
      </c>
      <c r="D1317" s="96" t="s">
        <v>394</v>
      </c>
      <c r="E1317" s="96" t="s">
        <v>623</v>
      </c>
      <c r="F1317" s="96" t="s">
        <v>624</v>
      </c>
      <c r="G1317" s="99">
        <v>0</v>
      </c>
      <c r="H1317" s="97">
        <v>684.88915799999995</v>
      </c>
      <c r="I1317" s="98">
        <v>0</v>
      </c>
      <c r="J1317" s="97">
        <v>0</v>
      </c>
      <c r="K1317" s="98">
        <v>140734698.83358991</v>
      </c>
      <c r="L1317" s="99">
        <v>0</v>
      </c>
      <c r="M1317" s="98">
        <v>0</v>
      </c>
      <c r="N1317" s="99">
        <v>0</v>
      </c>
      <c r="O1317" s="98">
        <v>0</v>
      </c>
      <c r="P1317" s="99">
        <v>0</v>
      </c>
      <c r="Q1317" s="98">
        <v>0</v>
      </c>
      <c r="R1317" s="96" t="s">
        <v>625</v>
      </c>
      <c r="S1317" s="96">
        <v>7414000005</v>
      </c>
      <c r="AA1317" s="131" t="s">
        <v>541</v>
      </c>
      <c r="AB1317" s="130">
        <v>4680</v>
      </c>
      <c r="AC1317" s="130">
        <v>4680</v>
      </c>
    </row>
    <row r="1318" spans="1:29" x14ac:dyDescent="0.25">
      <c r="A1318" t="str">
        <f t="shared" si="21"/>
        <v xml:space="preserve">2001140UDIBONO 261203      </v>
      </c>
      <c r="B1318" s="96">
        <v>2001140</v>
      </c>
      <c r="C1318" s="96" t="s">
        <v>824</v>
      </c>
      <c r="D1318" s="96" t="s">
        <v>618</v>
      </c>
      <c r="E1318" s="96" t="s">
        <v>623</v>
      </c>
      <c r="F1318" s="96" t="s">
        <v>624</v>
      </c>
      <c r="G1318" s="99">
        <v>0</v>
      </c>
      <c r="H1318" s="97">
        <v>736.86316999999997</v>
      </c>
      <c r="I1318" s="98">
        <v>0</v>
      </c>
      <c r="J1318" s="97">
        <v>0</v>
      </c>
      <c r="K1318" s="98">
        <v>42769408.587140001</v>
      </c>
      <c r="L1318" s="99">
        <v>0</v>
      </c>
      <c r="M1318" s="98">
        <v>0</v>
      </c>
      <c r="N1318" s="99">
        <v>0</v>
      </c>
      <c r="O1318" s="98">
        <v>0</v>
      </c>
      <c r="P1318" s="99">
        <v>0</v>
      </c>
      <c r="Q1318" s="98">
        <v>0</v>
      </c>
      <c r="R1318" s="96" t="s">
        <v>625</v>
      </c>
      <c r="S1318" s="96">
        <v>7414000005</v>
      </c>
      <c r="AA1318" s="131" t="s">
        <v>371</v>
      </c>
      <c r="AB1318" s="130">
        <v>6567.1</v>
      </c>
      <c r="AC1318" s="130">
        <v>6567.1</v>
      </c>
    </row>
    <row r="1319" spans="1:29" x14ac:dyDescent="0.25">
      <c r="A1319" t="str">
        <f t="shared" si="21"/>
        <v xml:space="preserve">2001140UDIBONO 311127      </v>
      </c>
      <c r="B1319" s="96">
        <v>2001140</v>
      </c>
      <c r="C1319" s="96" t="s">
        <v>824</v>
      </c>
      <c r="D1319" s="96" t="s">
        <v>395</v>
      </c>
      <c r="E1319" s="96" t="s">
        <v>623</v>
      </c>
      <c r="F1319" s="96" t="s">
        <v>624</v>
      </c>
      <c r="G1319" s="99">
        <v>0</v>
      </c>
      <c r="H1319" s="97">
        <v>772.926965</v>
      </c>
      <c r="I1319" s="98">
        <v>0</v>
      </c>
      <c r="J1319" s="97">
        <v>0</v>
      </c>
      <c r="K1319" s="98">
        <v>95904004.761646956</v>
      </c>
      <c r="L1319" s="99">
        <v>0</v>
      </c>
      <c r="M1319" s="98">
        <v>0</v>
      </c>
      <c r="N1319" s="99">
        <v>0</v>
      </c>
      <c r="O1319" s="98">
        <v>0</v>
      </c>
      <c r="P1319" s="99">
        <v>0</v>
      </c>
      <c r="Q1319" s="98">
        <v>0</v>
      </c>
      <c r="R1319" s="96" t="s">
        <v>625</v>
      </c>
      <c r="S1319" s="96">
        <v>7414000005</v>
      </c>
      <c r="AA1319" s="131" t="s">
        <v>375</v>
      </c>
      <c r="AB1319" s="130">
        <v>47390.567519999997</v>
      </c>
      <c r="AC1319" s="130">
        <v>47390.567519999997</v>
      </c>
    </row>
    <row r="1320" spans="1:29" x14ac:dyDescent="0.25">
      <c r="A1320" t="str">
        <f t="shared" si="21"/>
        <v xml:space="preserve">2001140UDIBONO 340824      </v>
      </c>
      <c r="B1320" s="96">
        <v>2001140</v>
      </c>
      <c r="C1320" s="96" t="s">
        <v>824</v>
      </c>
      <c r="D1320" s="96" t="s">
        <v>397</v>
      </c>
      <c r="E1320" s="96" t="s">
        <v>623</v>
      </c>
      <c r="F1320" s="96" t="s">
        <v>624</v>
      </c>
      <c r="G1320" s="99">
        <v>0</v>
      </c>
      <c r="H1320" s="97">
        <v>635.96311900000001</v>
      </c>
      <c r="I1320" s="98">
        <v>0</v>
      </c>
      <c r="J1320" s="97">
        <v>0</v>
      </c>
      <c r="K1320" s="98">
        <v>118682537.21480565</v>
      </c>
      <c r="L1320" s="99">
        <v>0</v>
      </c>
      <c r="M1320" s="98">
        <v>0</v>
      </c>
      <c r="N1320" s="99">
        <v>0</v>
      </c>
      <c r="O1320" s="98">
        <v>0</v>
      </c>
      <c r="P1320" s="99">
        <v>0</v>
      </c>
      <c r="Q1320" s="98">
        <v>0</v>
      </c>
      <c r="R1320" s="96" t="s">
        <v>625</v>
      </c>
      <c r="S1320" s="96">
        <v>7414000005</v>
      </c>
      <c r="AA1320" s="131" t="s">
        <v>429</v>
      </c>
      <c r="AB1320" s="130">
        <v>38713.094429999997</v>
      </c>
      <c r="AC1320" s="130">
        <v>38713.094429999997</v>
      </c>
    </row>
    <row r="1321" spans="1:29" x14ac:dyDescent="0.25">
      <c r="A1321" t="str">
        <f t="shared" si="21"/>
        <v xml:space="preserve">2001140UDIBONO 351122      </v>
      </c>
      <c r="B1321" s="96">
        <v>2001141</v>
      </c>
      <c r="C1321" s="96" t="s">
        <v>827</v>
      </c>
      <c r="D1321" s="96" t="s">
        <v>366</v>
      </c>
      <c r="E1321" s="96" t="s">
        <v>623</v>
      </c>
      <c r="F1321" s="96" t="s">
        <v>624</v>
      </c>
      <c r="G1321" s="99">
        <v>0</v>
      </c>
      <c r="H1321" s="97">
        <v>0</v>
      </c>
      <c r="I1321" s="98">
        <v>0</v>
      </c>
      <c r="J1321" s="97">
        <v>0</v>
      </c>
      <c r="K1321" s="98">
        <v>0</v>
      </c>
      <c r="L1321" s="99">
        <v>0</v>
      </c>
      <c r="M1321" s="98">
        <v>0</v>
      </c>
      <c r="N1321" s="99">
        <v>0</v>
      </c>
      <c r="O1321" s="98">
        <v>0</v>
      </c>
      <c r="P1321" s="99">
        <v>0</v>
      </c>
      <c r="Q1321" s="98">
        <v>0</v>
      </c>
      <c r="R1321" s="96" t="s">
        <v>625</v>
      </c>
      <c r="S1321" s="96">
        <v>7414000005</v>
      </c>
      <c r="AA1321" s="131" t="s">
        <v>394</v>
      </c>
      <c r="AB1321" s="130">
        <v>16437.339791999999</v>
      </c>
      <c r="AC1321" s="130">
        <v>16437.339791999999</v>
      </c>
    </row>
    <row r="1322" spans="1:29" x14ac:dyDescent="0.25">
      <c r="A1322" t="str">
        <f t="shared" si="21"/>
        <v xml:space="preserve">2001140UDIBONO 431112      </v>
      </c>
      <c r="B1322" s="96">
        <v>2001141</v>
      </c>
      <c r="C1322" s="96" t="s">
        <v>827</v>
      </c>
      <c r="D1322" s="96" t="s">
        <v>383</v>
      </c>
      <c r="E1322" s="96" t="s">
        <v>623</v>
      </c>
      <c r="F1322" s="96" t="s">
        <v>624</v>
      </c>
      <c r="G1322" s="99">
        <v>0</v>
      </c>
      <c r="H1322" s="97">
        <v>0</v>
      </c>
      <c r="I1322" s="98">
        <v>0</v>
      </c>
      <c r="J1322" s="97">
        <v>0</v>
      </c>
      <c r="K1322" s="98">
        <v>0</v>
      </c>
      <c r="L1322" s="99">
        <v>0</v>
      </c>
      <c r="M1322" s="98">
        <v>0</v>
      </c>
      <c r="N1322" s="99">
        <v>0</v>
      </c>
      <c r="O1322" s="98">
        <v>0</v>
      </c>
      <c r="P1322" s="99">
        <v>0</v>
      </c>
      <c r="Q1322" s="98">
        <v>0</v>
      </c>
      <c r="R1322" s="96" t="s">
        <v>625</v>
      </c>
      <c r="S1322" s="96">
        <v>7414000005</v>
      </c>
      <c r="AA1322" s="131" t="s">
        <v>379</v>
      </c>
      <c r="AB1322" s="130">
        <v>38583.683505000001</v>
      </c>
      <c r="AC1322" s="130">
        <v>38583.683505000001</v>
      </c>
    </row>
    <row r="1323" spans="1:29" x14ac:dyDescent="0.25">
      <c r="A1323" t="str">
        <f t="shared" si="21"/>
        <v>2001141EFECTIVO</v>
      </c>
      <c r="B1323" s="96">
        <v>2001141</v>
      </c>
      <c r="C1323" s="96" t="s">
        <v>827</v>
      </c>
      <c r="D1323" s="96" t="s">
        <v>427</v>
      </c>
      <c r="E1323" s="96" t="s">
        <v>623</v>
      </c>
      <c r="F1323" s="96" t="s">
        <v>624</v>
      </c>
      <c r="G1323" s="99">
        <v>0</v>
      </c>
      <c r="H1323" s="97">
        <v>86.469353999999996</v>
      </c>
      <c r="I1323" s="98">
        <v>0</v>
      </c>
      <c r="J1323" s="97">
        <v>0</v>
      </c>
      <c r="K1323" s="98">
        <v>35403369.963564783</v>
      </c>
      <c r="L1323" s="99">
        <v>0</v>
      </c>
      <c r="M1323" s="98">
        <v>0</v>
      </c>
      <c r="N1323" s="99">
        <v>0</v>
      </c>
      <c r="O1323" s="98">
        <v>0</v>
      </c>
      <c r="P1323" s="99">
        <v>0</v>
      </c>
      <c r="Q1323" s="98">
        <v>0</v>
      </c>
      <c r="R1323" s="96" t="s">
        <v>625</v>
      </c>
      <c r="S1323" s="96">
        <v>7414000005</v>
      </c>
      <c r="AA1323" s="131" t="s">
        <v>377</v>
      </c>
      <c r="AB1323" s="130">
        <v>41788.184679999998</v>
      </c>
      <c r="AC1323" s="130">
        <v>41788.184679999998</v>
      </c>
    </row>
    <row r="1324" spans="1:29" x14ac:dyDescent="0.25">
      <c r="A1324" t="str">
        <f t="shared" si="21"/>
        <v xml:space="preserve">2001141GOBFED 330526       </v>
      </c>
      <c r="B1324" s="96">
        <v>2001141</v>
      </c>
      <c r="C1324" s="96" t="s">
        <v>827</v>
      </c>
      <c r="D1324" s="96" t="s">
        <v>418</v>
      </c>
      <c r="E1324" s="96" t="s">
        <v>623</v>
      </c>
      <c r="F1324" s="96" t="s">
        <v>624</v>
      </c>
      <c r="G1324" s="99">
        <v>0</v>
      </c>
      <c r="H1324" s="97">
        <v>0</v>
      </c>
      <c r="I1324" s="98">
        <v>0</v>
      </c>
      <c r="J1324" s="97">
        <v>0</v>
      </c>
      <c r="K1324" s="98">
        <v>0</v>
      </c>
      <c r="L1324" s="99">
        <v>0</v>
      </c>
      <c r="M1324" s="98">
        <v>0</v>
      </c>
      <c r="N1324" s="99">
        <v>0</v>
      </c>
      <c r="O1324" s="98">
        <v>0</v>
      </c>
      <c r="P1324" s="99">
        <v>0</v>
      </c>
      <c r="Q1324" s="98">
        <v>0</v>
      </c>
      <c r="R1324" s="96" t="s">
        <v>625</v>
      </c>
      <c r="S1324" s="96">
        <v>7414000005</v>
      </c>
      <c r="AA1324" s="131" t="s">
        <v>392</v>
      </c>
      <c r="AB1324" s="130">
        <v>44830.70592</v>
      </c>
      <c r="AC1324" s="130">
        <v>44830.70592</v>
      </c>
    </row>
    <row r="1325" spans="1:29" x14ac:dyDescent="0.25">
      <c r="A1325" t="str">
        <f t="shared" si="21"/>
        <v xml:space="preserve">2001141GOBFED 341123       </v>
      </c>
      <c r="B1325" s="96">
        <v>2001141</v>
      </c>
      <c r="C1325" s="96" t="s">
        <v>827</v>
      </c>
      <c r="D1325" s="96" t="s">
        <v>384</v>
      </c>
      <c r="E1325" s="96" t="s">
        <v>623</v>
      </c>
      <c r="F1325" s="96" t="s">
        <v>624</v>
      </c>
      <c r="G1325" s="99">
        <v>0</v>
      </c>
      <c r="H1325" s="97">
        <v>81.738860000000003</v>
      </c>
      <c r="I1325" s="98">
        <v>0</v>
      </c>
      <c r="J1325" s="97">
        <v>0</v>
      </c>
      <c r="K1325" s="98">
        <v>8812406.5590076204</v>
      </c>
      <c r="L1325" s="99">
        <v>0</v>
      </c>
      <c r="M1325" s="98">
        <v>0</v>
      </c>
      <c r="N1325" s="99">
        <v>0</v>
      </c>
      <c r="O1325" s="98">
        <v>0</v>
      </c>
      <c r="P1325" s="99">
        <v>0</v>
      </c>
      <c r="Q1325" s="98">
        <v>0</v>
      </c>
      <c r="R1325" s="96" t="s">
        <v>625</v>
      </c>
      <c r="S1325" s="96">
        <v>7414000005</v>
      </c>
      <c r="AA1325" s="131" t="s">
        <v>386</v>
      </c>
      <c r="AB1325" s="130">
        <v>2875.5967449999998</v>
      </c>
      <c r="AC1325" s="130">
        <v>2875.5967449999998</v>
      </c>
    </row>
    <row r="1326" spans="1:29" x14ac:dyDescent="0.25">
      <c r="A1326" t="str">
        <f t="shared" si="21"/>
        <v xml:space="preserve">2001141GOBFED 361120       </v>
      </c>
      <c r="B1326" s="96">
        <v>2001141</v>
      </c>
      <c r="C1326" s="96" t="s">
        <v>827</v>
      </c>
      <c r="D1326" s="96" t="s">
        <v>385</v>
      </c>
      <c r="E1326" s="96" t="s">
        <v>623</v>
      </c>
      <c r="F1326" s="96" t="s">
        <v>624</v>
      </c>
      <c r="G1326" s="99">
        <v>0</v>
      </c>
      <c r="H1326" s="97">
        <v>83.200761</v>
      </c>
      <c r="I1326" s="98">
        <v>0</v>
      </c>
      <c r="J1326" s="97">
        <v>0</v>
      </c>
      <c r="K1326" s="98">
        <v>3205117.80748</v>
      </c>
      <c r="L1326" s="99">
        <v>0</v>
      </c>
      <c r="M1326" s="98">
        <v>0</v>
      </c>
      <c r="N1326" s="99">
        <v>0</v>
      </c>
      <c r="O1326" s="98">
        <v>0</v>
      </c>
      <c r="P1326" s="99">
        <v>0</v>
      </c>
      <c r="Q1326" s="98">
        <v>0</v>
      </c>
      <c r="R1326" s="96" t="s">
        <v>625</v>
      </c>
      <c r="S1326" s="96">
        <v>7414000005</v>
      </c>
      <c r="AA1326" s="131" t="s">
        <v>409</v>
      </c>
      <c r="AB1326" s="130">
        <v>74425.159109999993</v>
      </c>
      <c r="AC1326" s="130">
        <v>74425.159109999993</v>
      </c>
    </row>
    <row r="1327" spans="1:29" x14ac:dyDescent="0.25">
      <c r="A1327" t="str">
        <f t="shared" si="21"/>
        <v xml:space="preserve">2001141GOBFED 421113       </v>
      </c>
      <c r="B1327" s="96">
        <v>2001141</v>
      </c>
      <c r="C1327" s="96" t="s">
        <v>827</v>
      </c>
      <c r="D1327" s="96" t="s">
        <v>386</v>
      </c>
      <c r="E1327" s="96" t="s">
        <v>623</v>
      </c>
      <c r="F1327" s="96" t="s">
        <v>624</v>
      </c>
      <c r="G1327" s="99">
        <v>0</v>
      </c>
      <c r="H1327" s="97">
        <v>82.159907000000004</v>
      </c>
      <c r="I1327" s="98">
        <v>0</v>
      </c>
      <c r="J1327" s="97">
        <v>0</v>
      </c>
      <c r="K1327" s="98">
        <v>30233516.465893801</v>
      </c>
      <c r="L1327" s="99">
        <v>0</v>
      </c>
      <c r="M1327" s="98">
        <v>0</v>
      </c>
      <c r="N1327" s="99">
        <v>0</v>
      </c>
      <c r="O1327" s="98">
        <v>0</v>
      </c>
      <c r="P1327" s="99">
        <v>0</v>
      </c>
      <c r="Q1327" s="98">
        <v>0</v>
      </c>
      <c r="R1327" s="96" t="s">
        <v>625</v>
      </c>
      <c r="S1327" s="96">
        <v>7414000005</v>
      </c>
      <c r="AA1327" s="131" t="s">
        <v>383</v>
      </c>
      <c r="AB1327" s="130">
        <v>43098.563999999998</v>
      </c>
      <c r="AC1327" s="130">
        <v>43098.563999999998</v>
      </c>
    </row>
    <row r="1328" spans="1:29" x14ac:dyDescent="0.25">
      <c r="A1328" t="str">
        <f t="shared" si="21"/>
        <v xml:space="preserve">2001141GOBFED 471107       </v>
      </c>
      <c r="B1328" s="96">
        <v>2001141</v>
      </c>
      <c r="C1328" s="96" t="s">
        <v>827</v>
      </c>
      <c r="D1328" s="96" t="s">
        <v>392</v>
      </c>
      <c r="E1328" s="96" t="s">
        <v>623</v>
      </c>
      <c r="F1328" s="96" t="s">
        <v>624</v>
      </c>
      <c r="G1328" s="99">
        <v>0</v>
      </c>
      <c r="H1328" s="97">
        <v>0</v>
      </c>
      <c r="I1328" s="98">
        <v>0</v>
      </c>
      <c r="J1328" s="97">
        <v>0</v>
      </c>
      <c r="K1328" s="98">
        <v>0</v>
      </c>
      <c r="L1328" s="99">
        <v>0</v>
      </c>
      <c r="M1328" s="98">
        <v>0</v>
      </c>
      <c r="N1328" s="99">
        <v>0</v>
      </c>
      <c r="O1328" s="98">
        <v>0</v>
      </c>
      <c r="P1328" s="99">
        <v>0</v>
      </c>
      <c r="Q1328" s="98">
        <v>0</v>
      </c>
      <c r="R1328" s="96" t="s">
        <v>625</v>
      </c>
      <c r="S1328" s="96">
        <v>7414000005</v>
      </c>
      <c r="AA1328" s="131" t="s">
        <v>360</v>
      </c>
      <c r="AB1328" s="130">
        <v>14787.36</v>
      </c>
      <c r="AC1328" s="130">
        <v>14787.36</v>
      </c>
    </row>
    <row r="1329" spans="1:29" x14ac:dyDescent="0.25">
      <c r="A1329" t="str">
        <f t="shared" si="21"/>
        <v xml:space="preserve">2001141GOBFED 530731       </v>
      </c>
      <c r="B1329" s="96">
        <v>2001141</v>
      </c>
      <c r="C1329" s="96" t="s">
        <v>827</v>
      </c>
      <c r="D1329" s="96" t="s">
        <v>396</v>
      </c>
      <c r="E1329" s="96" t="s">
        <v>623</v>
      </c>
      <c r="F1329" s="96" t="s">
        <v>624</v>
      </c>
      <c r="G1329" s="99">
        <v>0</v>
      </c>
      <c r="H1329" s="97">
        <v>721.59464000000003</v>
      </c>
      <c r="I1329" s="98">
        <v>0</v>
      </c>
      <c r="J1329" s="97">
        <v>0</v>
      </c>
      <c r="K1329" s="98">
        <v>9858148.6092660502</v>
      </c>
      <c r="L1329" s="99">
        <v>0</v>
      </c>
      <c r="M1329" s="98">
        <v>0</v>
      </c>
      <c r="N1329" s="99">
        <v>0</v>
      </c>
      <c r="O1329" s="98">
        <v>0</v>
      </c>
      <c r="P1329" s="99">
        <v>0</v>
      </c>
      <c r="Q1329" s="98">
        <v>0</v>
      </c>
      <c r="R1329" s="96" t="s">
        <v>625</v>
      </c>
      <c r="S1329" s="96">
        <v>7414000005</v>
      </c>
      <c r="AA1329" s="129">
        <v>75221</v>
      </c>
      <c r="AB1329" s="130">
        <v>25513333.958753999</v>
      </c>
      <c r="AC1329" s="130">
        <v>25513333.958753999</v>
      </c>
    </row>
    <row r="1330" spans="1:29" x14ac:dyDescent="0.25">
      <c r="A1330" t="str">
        <f t="shared" si="21"/>
        <v xml:space="preserve">2001141UDIBONO 261203      </v>
      </c>
      <c r="B1330" s="96">
        <v>2001141</v>
      </c>
      <c r="C1330" s="96" t="s">
        <v>827</v>
      </c>
      <c r="D1330" s="96" t="s">
        <v>397</v>
      </c>
      <c r="E1330" s="96" t="s">
        <v>623</v>
      </c>
      <c r="F1330" s="96" t="s">
        <v>624</v>
      </c>
      <c r="G1330" s="99">
        <v>0</v>
      </c>
      <c r="H1330" s="97">
        <v>635.96311900000001</v>
      </c>
      <c r="I1330" s="98">
        <v>0</v>
      </c>
      <c r="J1330" s="97">
        <v>0</v>
      </c>
      <c r="K1330" s="98">
        <v>24215283.877147201</v>
      </c>
      <c r="L1330" s="99">
        <v>0</v>
      </c>
      <c r="M1330" s="98">
        <v>0</v>
      </c>
      <c r="N1330" s="99">
        <v>0</v>
      </c>
      <c r="O1330" s="98">
        <v>0</v>
      </c>
      <c r="P1330" s="99">
        <v>0</v>
      </c>
      <c r="Q1330" s="98">
        <v>0</v>
      </c>
      <c r="R1330" s="96" t="s">
        <v>625</v>
      </c>
      <c r="S1330" s="96">
        <v>7414000005</v>
      </c>
      <c r="AA1330" s="131" t="s">
        <v>376</v>
      </c>
      <c r="AB1330" s="130">
        <v>0</v>
      </c>
      <c r="AC1330" s="130">
        <v>0</v>
      </c>
    </row>
    <row r="1331" spans="1:29" x14ac:dyDescent="0.25">
      <c r="A1331" t="str">
        <f t="shared" si="21"/>
        <v xml:space="preserve">2001141UDIBONO 401115      </v>
      </c>
      <c r="B1331" s="96">
        <v>2001141</v>
      </c>
      <c r="C1331" s="96" t="s">
        <v>827</v>
      </c>
      <c r="D1331" s="96" t="s">
        <v>398</v>
      </c>
      <c r="E1331" s="96" t="s">
        <v>623</v>
      </c>
      <c r="F1331" s="96" t="s">
        <v>624</v>
      </c>
      <c r="G1331" s="99">
        <v>0</v>
      </c>
      <c r="H1331" s="97">
        <v>709.36974099999998</v>
      </c>
      <c r="I1331" s="98">
        <v>0</v>
      </c>
      <c r="J1331" s="97">
        <v>0</v>
      </c>
      <c r="K1331" s="98">
        <v>1717382.53867348</v>
      </c>
      <c r="L1331" s="99">
        <v>0</v>
      </c>
      <c r="M1331" s="98">
        <v>0</v>
      </c>
      <c r="N1331" s="99">
        <v>0</v>
      </c>
      <c r="O1331" s="98">
        <v>0</v>
      </c>
      <c r="P1331" s="99">
        <v>0</v>
      </c>
      <c r="Q1331" s="98">
        <v>0</v>
      </c>
      <c r="R1331" s="96" t="s">
        <v>625</v>
      </c>
      <c r="S1331" s="96">
        <v>7414000005</v>
      </c>
      <c r="AA1331" s="131" t="s">
        <v>382</v>
      </c>
      <c r="AB1331" s="130">
        <v>0</v>
      </c>
      <c r="AC1331" s="130">
        <v>0</v>
      </c>
    </row>
    <row r="1332" spans="1:29" x14ac:dyDescent="0.25">
      <c r="A1332" t="str">
        <f t="shared" si="21"/>
        <v xml:space="preserve">2001141UDIBONO 431112      </v>
      </c>
      <c r="B1332" s="96">
        <v>2001142</v>
      </c>
      <c r="C1332" s="96" t="s">
        <v>828</v>
      </c>
      <c r="D1332" s="96" t="s">
        <v>366</v>
      </c>
      <c r="E1332" s="96" t="s">
        <v>623</v>
      </c>
      <c r="F1332" s="96" t="s">
        <v>624</v>
      </c>
      <c r="G1332" s="99">
        <v>0</v>
      </c>
      <c r="H1332" s="97">
        <v>0</v>
      </c>
      <c r="I1332" s="98">
        <v>0</v>
      </c>
      <c r="J1332" s="97">
        <v>0</v>
      </c>
      <c r="K1332" s="98">
        <v>0</v>
      </c>
      <c r="L1332" s="99">
        <v>0</v>
      </c>
      <c r="M1332" s="98">
        <v>0</v>
      </c>
      <c r="N1332" s="99">
        <v>0</v>
      </c>
      <c r="O1332" s="98">
        <v>0</v>
      </c>
      <c r="P1332" s="99">
        <v>0</v>
      </c>
      <c r="Q1332" s="98">
        <v>0</v>
      </c>
      <c r="R1332" s="96" t="s">
        <v>625</v>
      </c>
      <c r="S1332" s="96">
        <v>7414000005</v>
      </c>
      <c r="AA1332" s="131" t="s">
        <v>384</v>
      </c>
      <c r="AB1332" s="130">
        <v>980866.32</v>
      </c>
      <c r="AC1332" s="130">
        <v>980866.32</v>
      </c>
    </row>
    <row r="1333" spans="1:29" x14ac:dyDescent="0.25">
      <c r="A1333" t="str">
        <f t="shared" si="21"/>
        <v xml:space="preserve">2001141UDIBONO 461108      </v>
      </c>
      <c r="B1333" s="96">
        <v>2001142</v>
      </c>
      <c r="C1333" s="96" t="s">
        <v>828</v>
      </c>
      <c r="D1333" s="96" t="s">
        <v>418</v>
      </c>
      <c r="E1333" s="96" t="s">
        <v>623</v>
      </c>
      <c r="F1333" s="96" t="s">
        <v>624</v>
      </c>
      <c r="G1333" s="99">
        <v>0</v>
      </c>
      <c r="H1333" s="97">
        <v>0</v>
      </c>
      <c r="I1333" s="98">
        <v>0</v>
      </c>
      <c r="J1333" s="97">
        <v>0</v>
      </c>
      <c r="K1333" s="98">
        <v>0</v>
      </c>
      <c r="L1333" s="99">
        <v>0</v>
      </c>
      <c r="M1333" s="98">
        <v>0</v>
      </c>
      <c r="N1333" s="99">
        <v>0</v>
      </c>
      <c r="O1333" s="98">
        <v>0</v>
      </c>
      <c r="P1333" s="99">
        <v>0</v>
      </c>
      <c r="Q1333" s="98">
        <v>0</v>
      </c>
      <c r="R1333" s="96" t="s">
        <v>625</v>
      </c>
      <c r="S1333" s="96">
        <v>7414000005</v>
      </c>
      <c r="AA1333" s="131" t="s">
        <v>389</v>
      </c>
      <c r="AB1333" s="130">
        <v>8355896.0749439998</v>
      </c>
      <c r="AC1333" s="130">
        <v>8355896.0749439998</v>
      </c>
    </row>
    <row r="1334" spans="1:29" x14ac:dyDescent="0.25">
      <c r="A1334" t="str">
        <f t="shared" si="21"/>
        <v>2001142EFECTIVO</v>
      </c>
      <c r="B1334" s="96">
        <v>2001142</v>
      </c>
      <c r="C1334" s="96" t="s">
        <v>828</v>
      </c>
      <c r="D1334" s="96" t="s">
        <v>384</v>
      </c>
      <c r="E1334" s="96" t="s">
        <v>623</v>
      </c>
      <c r="F1334" s="96" t="s">
        <v>624</v>
      </c>
      <c r="G1334" s="99">
        <v>0</v>
      </c>
      <c r="H1334" s="97">
        <v>81.738860000000003</v>
      </c>
      <c r="I1334" s="98">
        <v>0</v>
      </c>
      <c r="J1334" s="97">
        <v>0</v>
      </c>
      <c r="K1334" s="98">
        <v>3131648.4189956998</v>
      </c>
      <c r="L1334" s="99">
        <v>0</v>
      </c>
      <c r="M1334" s="98">
        <v>0</v>
      </c>
      <c r="N1334" s="99">
        <v>0</v>
      </c>
      <c r="O1334" s="98">
        <v>0</v>
      </c>
      <c r="P1334" s="99">
        <v>0</v>
      </c>
      <c r="Q1334" s="98">
        <v>0</v>
      </c>
      <c r="R1334" s="96" t="s">
        <v>625</v>
      </c>
      <c r="S1334" s="96">
        <v>7414000005</v>
      </c>
      <c r="AA1334" s="131" t="s">
        <v>396</v>
      </c>
      <c r="AB1334" s="130">
        <v>0</v>
      </c>
      <c r="AC1334" s="130">
        <v>0</v>
      </c>
    </row>
    <row r="1335" spans="1:29" x14ac:dyDescent="0.25">
      <c r="A1335" t="str">
        <f t="shared" si="21"/>
        <v xml:space="preserve">2001142GOBFED 361120       </v>
      </c>
      <c r="B1335" s="96">
        <v>2001142</v>
      </c>
      <c r="C1335" s="96" t="s">
        <v>828</v>
      </c>
      <c r="D1335" s="96" t="s">
        <v>392</v>
      </c>
      <c r="E1335" s="96" t="s">
        <v>623</v>
      </c>
      <c r="F1335" s="96" t="s">
        <v>624</v>
      </c>
      <c r="G1335" s="99">
        <v>0</v>
      </c>
      <c r="H1335" s="97">
        <v>0</v>
      </c>
      <c r="I1335" s="98">
        <v>0</v>
      </c>
      <c r="J1335" s="97">
        <v>0</v>
      </c>
      <c r="K1335" s="98">
        <v>0</v>
      </c>
      <c r="L1335" s="99">
        <v>0</v>
      </c>
      <c r="M1335" s="98">
        <v>0</v>
      </c>
      <c r="N1335" s="99">
        <v>0</v>
      </c>
      <c r="O1335" s="98">
        <v>0</v>
      </c>
      <c r="P1335" s="99">
        <v>0</v>
      </c>
      <c r="Q1335" s="98">
        <v>0</v>
      </c>
      <c r="R1335" s="96" t="s">
        <v>625</v>
      </c>
      <c r="S1335" s="96">
        <v>7414000005</v>
      </c>
      <c r="AA1335" s="131" t="s">
        <v>399</v>
      </c>
      <c r="AB1335" s="130">
        <v>2083233.561</v>
      </c>
      <c r="AC1335" s="130">
        <v>2083233.561</v>
      </c>
    </row>
    <row r="1336" spans="1:29" x14ac:dyDescent="0.25">
      <c r="A1336" t="str">
        <f t="shared" si="21"/>
        <v xml:space="preserve">2001142GOBFED 421113       </v>
      </c>
      <c r="B1336" s="96">
        <v>2111039</v>
      </c>
      <c r="C1336" s="96" t="s">
        <v>829</v>
      </c>
      <c r="D1336" s="96" t="s">
        <v>422</v>
      </c>
      <c r="E1336" s="96" t="s">
        <v>623</v>
      </c>
      <c r="F1336" s="96" t="s">
        <v>624</v>
      </c>
      <c r="G1336" s="99">
        <v>274</v>
      </c>
      <c r="H1336" s="97">
        <v>97.654420999999999</v>
      </c>
      <c r="I1336" s="98">
        <v>26757.311354000001</v>
      </c>
      <c r="J1336" s="97">
        <v>98.224185000000006</v>
      </c>
      <c r="K1336" s="98">
        <v>-156.11533600000001</v>
      </c>
      <c r="L1336" s="99">
        <v>0</v>
      </c>
      <c r="M1336" s="98">
        <v>0</v>
      </c>
      <c r="N1336" s="99">
        <v>0</v>
      </c>
      <c r="O1336" s="98">
        <v>0</v>
      </c>
      <c r="P1336" s="99">
        <v>274</v>
      </c>
      <c r="Q1336" s="98">
        <v>26757.311354000001</v>
      </c>
      <c r="R1336" s="96" t="s">
        <v>625</v>
      </c>
      <c r="S1336" s="96">
        <v>7414000005</v>
      </c>
      <c r="AA1336" s="131" t="s">
        <v>394</v>
      </c>
      <c r="AB1336" s="130">
        <v>4109334.9479999999</v>
      </c>
      <c r="AC1336" s="130">
        <v>4109334.9479999999</v>
      </c>
    </row>
    <row r="1337" spans="1:29" x14ac:dyDescent="0.25">
      <c r="A1337" t="str">
        <f t="shared" si="21"/>
        <v xml:space="preserve">2001142UDIBONO 261203      </v>
      </c>
      <c r="B1337" s="96">
        <v>2111039</v>
      </c>
      <c r="C1337" s="96" t="s">
        <v>829</v>
      </c>
      <c r="D1337" s="96" t="s">
        <v>365</v>
      </c>
      <c r="E1337" s="96" t="s">
        <v>623</v>
      </c>
      <c r="F1337" s="96" t="s">
        <v>624</v>
      </c>
      <c r="G1337" s="99">
        <v>198</v>
      </c>
      <c r="H1337" s="97">
        <v>675.38</v>
      </c>
      <c r="I1337" s="98">
        <v>133725.24</v>
      </c>
      <c r="J1337" s="97">
        <v>855.79191919191919</v>
      </c>
      <c r="K1337" s="98">
        <v>-35721.56</v>
      </c>
      <c r="L1337" s="99">
        <v>0</v>
      </c>
      <c r="M1337" s="98">
        <v>0</v>
      </c>
      <c r="N1337" s="99">
        <v>0</v>
      </c>
      <c r="O1337" s="98">
        <v>0</v>
      </c>
      <c r="P1337" s="99">
        <v>198</v>
      </c>
      <c r="Q1337" s="98">
        <v>133725.24</v>
      </c>
      <c r="R1337" s="96" t="s">
        <v>625</v>
      </c>
      <c r="S1337" s="96">
        <v>7414000005</v>
      </c>
      <c r="AA1337" s="131" t="s">
        <v>386</v>
      </c>
      <c r="AB1337" s="130">
        <v>2053997.675</v>
      </c>
      <c r="AC1337" s="130">
        <v>2053997.675</v>
      </c>
    </row>
    <row r="1338" spans="1:29" x14ac:dyDescent="0.25">
      <c r="A1338" t="str">
        <f t="shared" si="21"/>
        <v xml:space="preserve">2111039CETELEM 22          </v>
      </c>
      <c r="B1338" s="96">
        <v>2111039</v>
      </c>
      <c r="C1338" s="96" t="s">
        <v>829</v>
      </c>
      <c r="D1338" s="96" t="s">
        <v>367</v>
      </c>
      <c r="E1338" s="96" t="s">
        <v>623</v>
      </c>
      <c r="F1338" s="96" t="s">
        <v>624</v>
      </c>
      <c r="G1338" s="99">
        <v>46</v>
      </c>
      <c r="H1338" s="97">
        <v>700.65</v>
      </c>
      <c r="I1338" s="98">
        <v>32229.9</v>
      </c>
      <c r="J1338" s="97">
        <v>964.98043478260865</v>
      </c>
      <c r="K1338" s="98">
        <v>-12159.2</v>
      </c>
      <c r="L1338" s="99">
        <v>0</v>
      </c>
      <c r="M1338" s="98">
        <v>0</v>
      </c>
      <c r="N1338" s="99">
        <v>0</v>
      </c>
      <c r="O1338" s="98">
        <v>0</v>
      </c>
      <c r="P1338" s="99">
        <v>46</v>
      </c>
      <c r="Q1338" s="98">
        <v>32229.9</v>
      </c>
      <c r="R1338" s="96" t="s">
        <v>625</v>
      </c>
      <c r="S1338" s="96">
        <v>7414000005</v>
      </c>
      <c r="AA1338" s="131" t="s">
        <v>409</v>
      </c>
      <c r="AB1338" s="130">
        <v>7322707.2797100004</v>
      </c>
      <c r="AC1338" s="130">
        <v>7322707.2797100004</v>
      </c>
    </row>
    <row r="1339" spans="1:29" x14ac:dyDescent="0.25">
      <c r="A1339" t="str">
        <f t="shared" si="21"/>
        <v xml:space="preserve">2111039EEM *               </v>
      </c>
      <c r="B1339" s="96">
        <v>2111039</v>
      </c>
      <c r="C1339" s="96" t="s">
        <v>829</v>
      </c>
      <c r="D1339" s="96" t="s">
        <v>368</v>
      </c>
      <c r="E1339" s="96" t="s">
        <v>623</v>
      </c>
      <c r="F1339" s="96" t="s">
        <v>624</v>
      </c>
      <c r="G1339" s="99">
        <v>76</v>
      </c>
      <c r="H1339" s="97">
        <v>1151</v>
      </c>
      <c r="I1339" s="98">
        <v>87476</v>
      </c>
      <c r="J1339" s="97">
        <v>1103.3875</v>
      </c>
      <c r="K1339" s="98">
        <v>3618.55</v>
      </c>
      <c r="L1339" s="99">
        <v>0</v>
      </c>
      <c r="M1339" s="98">
        <v>0</v>
      </c>
      <c r="N1339" s="99">
        <v>0</v>
      </c>
      <c r="O1339" s="98">
        <v>0</v>
      </c>
      <c r="P1339" s="99">
        <v>76</v>
      </c>
      <c r="Q1339" s="98">
        <v>87476</v>
      </c>
      <c r="R1339" s="96" t="s">
        <v>625</v>
      </c>
      <c r="S1339" s="96">
        <v>7414000005</v>
      </c>
      <c r="AA1339" s="131" t="s">
        <v>613</v>
      </c>
      <c r="AB1339" s="130">
        <v>607298.10010000004</v>
      </c>
      <c r="AC1339" s="130">
        <v>607298.10010000004</v>
      </c>
    </row>
    <row r="1340" spans="1:29" x14ac:dyDescent="0.25">
      <c r="A1340" t="str">
        <f t="shared" si="21"/>
        <v xml:space="preserve">2111039EPP *               </v>
      </c>
      <c r="B1340" s="96">
        <v>2111039</v>
      </c>
      <c r="C1340" s="96" t="s">
        <v>829</v>
      </c>
      <c r="D1340" s="96" t="s">
        <v>375</v>
      </c>
      <c r="E1340" s="96" t="s">
        <v>623</v>
      </c>
      <c r="F1340" s="96" t="s">
        <v>624</v>
      </c>
      <c r="G1340" s="99">
        <v>714</v>
      </c>
      <c r="H1340" s="97">
        <v>98.730349000000004</v>
      </c>
      <c r="I1340" s="98">
        <v>70493.469186000002</v>
      </c>
      <c r="J1340" s="97">
        <v>104.81191507</v>
      </c>
      <c r="K1340" s="98">
        <v>-4342.2381739800003</v>
      </c>
      <c r="L1340" s="99">
        <v>0</v>
      </c>
      <c r="M1340" s="98">
        <v>0</v>
      </c>
      <c r="N1340" s="99">
        <v>0</v>
      </c>
      <c r="O1340" s="98">
        <v>0</v>
      </c>
      <c r="P1340" s="99">
        <v>714</v>
      </c>
      <c r="Q1340" s="98">
        <v>70493.469186000002</v>
      </c>
      <c r="R1340" s="96" t="s">
        <v>625</v>
      </c>
      <c r="S1340" s="96">
        <v>7414000005</v>
      </c>
      <c r="AA1340" s="129">
        <v>75222</v>
      </c>
      <c r="AB1340" s="130">
        <v>20441199.008911997</v>
      </c>
      <c r="AC1340" s="130">
        <v>20441199.008911997</v>
      </c>
    </row>
    <row r="1341" spans="1:29" x14ac:dyDescent="0.25">
      <c r="A1341" t="str">
        <f t="shared" si="21"/>
        <v xml:space="preserve">2111039EWJ *               </v>
      </c>
      <c r="B1341" s="96">
        <v>2111039</v>
      </c>
      <c r="C1341" s="96" t="s">
        <v>829</v>
      </c>
      <c r="D1341" s="96" t="s">
        <v>376</v>
      </c>
      <c r="E1341" s="96" t="s">
        <v>623</v>
      </c>
      <c r="F1341" s="96" t="s">
        <v>624</v>
      </c>
      <c r="G1341" s="99">
        <v>38</v>
      </c>
      <c r="H1341" s="97">
        <v>99.247497999999993</v>
      </c>
      <c r="I1341" s="98">
        <v>3771.4049239999999</v>
      </c>
      <c r="J1341" s="97">
        <v>101.04285588</v>
      </c>
      <c r="K1341" s="98">
        <v>-68.223599440000001</v>
      </c>
      <c r="L1341" s="99">
        <v>0</v>
      </c>
      <c r="M1341" s="98">
        <v>0</v>
      </c>
      <c r="N1341" s="99">
        <v>0</v>
      </c>
      <c r="O1341" s="98">
        <v>0</v>
      </c>
      <c r="P1341" s="99">
        <v>38</v>
      </c>
      <c r="Q1341" s="98">
        <v>3771.4049239999999</v>
      </c>
      <c r="R1341" s="96" t="s">
        <v>625</v>
      </c>
      <c r="S1341" s="96">
        <v>7414000005</v>
      </c>
      <c r="AA1341" s="131" t="s">
        <v>376</v>
      </c>
      <c r="AB1341" s="130">
        <v>137954.02222000001</v>
      </c>
      <c r="AC1341" s="130">
        <v>137954.02222000001</v>
      </c>
    </row>
    <row r="1342" spans="1:29" x14ac:dyDescent="0.25">
      <c r="A1342" t="str">
        <f t="shared" si="21"/>
        <v xml:space="preserve">2111039GOBFED 240905       </v>
      </c>
      <c r="B1342" s="96">
        <v>2111039</v>
      </c>
      <c r="C1342" s="96" t="s">
        <v>829</v>
      </c>
      <c r="D1342" s="96" t="s">
        <v>377</v>
      </c>
      <c r="E1342" s="96" t="s">
        <v>623</v>
      </c>
      <c r="F1342" s="96" t="s">
        <v>624</v>
      </c>
      <c r="G1342" s="99">
        <v>250</v>
      </c>
      <c r="H1342" s="97">
        <v>94.973146999999997</v>
      </c>
      <c r="I1342" s="98">
        <v>23743.286749999999</v>
      </c>
      <c r="J1342" s="97">
        <v>89.632459409999996</v>
      </c>
      <c r="K1342" s="98">
        <v>1335.1718974999999</v>
      </c>
      <c r="L1342" s="99">
        <v>0</v>
      </c>
      <c r="M1342" s="98">
        <v>0</v>
      </c>
      <c r="N1342" s="99">
        <v>0</v>
      </c>
      <c r="O1342" s="98">
        <v>0</v>
      </c>
      <c r="P1342" s="99">
        <v>250</v>
      </c>
      <c r="Q1342" s="98">
        <v>23743.286749999999</v>
      </c>
      <c r="R1342" s="96" t="s">
        <v>625</v>
      </c>
      <c r="S1342" s="96">
        <v>7414000005</v>
      </c>
      <c r="AA1342" s="131" t="s">
        <v>378</v>
      </c>
      <c r="AB1342" s="130">
        <v>56066.210809999997</v>
      </c>
      <c r="AC1342" s="130">
        <v>56066.210809999997</v>
      </c>
    </row>
    <row r="1343" spans="1:29" x14ac:dyDescent="0.25">
      <c r="A1343" t="str">
        <f t="shared" si="21"/>
        <v xml:space="preserve">2111039GOBFED 241205       </v>
      </c>
      <c r="B1343" s="96">
        <v>2111039</v>
      </c>
      <c r="C1343" s="96" t="s">
        <v>829</v>
      </c>
      <c r="D1343" s="96" t="s">
        <v>378</v>
      </c>
      <c r="E1343" s="96" t="s">
        <v>623</v>
      </c>
      <c r="F1343" s="96" t="s">
        <v>624</v>
      </c>
      <c r="G1343" s="99">
        <v>519</v>
      </c>
      <c r="H1343" s="97">
        <v>91.911821000000003</v>
      </c>
      <c r="I1343" s="98">
        <v>47702.235098999998</v>
      </c>
      <c r="J1343" s="97">
        <v>93.2088459</v>
      </c>
      <c r="K1343" s="98">
        <v>-673.1559231</v>
      </c>
      <c r="L1343" s="99">
        <v>0</v>
      </c>
      <c r="M1343" s="98">
        <v>0</v>
      </c>
      <c r="N1343" s="99">
        <v>0</v>
      </c>
      <c r="O1343" s="98">
        <v>0</v>
      </c>
      <c r="P1343" s="99">
        <v>519</v>
      </c>
      <c r="Q1343" s="98">
        <v>47702.235098999998</v>
      </c>
      <c r="R1343" s="96" t="s">
        <v>625</v>
      </c>
      <c r="S1343" s="96">
        <v>7414000005</v>
      </c>
      <c r="AA1343" s="131" t="s">
        <v>380</v>
      </c>
      <c r="AB1343" s="130">
        <v>1318529.53296</v>
      </c>
      <c r="AC1343" s="130">
        <v>1318529.53296</v>
      </c>
    </row>
    <row r="1344" spans="1:29" x14ac:dyDescent="0.25">
      <c r="A1344" t="str">
        <f t="shared" si="21"/>
        <v xml:space="preserve">2111039GOBFED 250306       </v>
      </c>
      <c r="B1344" s="96">
        <v>2111039</v>
      </c>
      <c r="C1344" s="96" t="s">
        <v>829</v>
      </c>
      <c r="D1344" s="96" t="s">
        <v>499</v>
      </c>
      <c r="E1344" s="96" t="s">
        <v>623</v>
      </c>
      <c r="F1344" s="96" t="s">
        <v>624</v>
      </c>
      <c r="G1344" s="99">
        <v>430</v>
      </c>
      <c r="H1344" s="97">
        <v>92.954503000000003</v>
      </c>
      <c r="I1344" s="98">
        <v>39970.436289999998</v>
      </c>
      <c r="J1344" s="97">
        <v>93.158888947906973</v>
      </c>
      <c r="K1344" s="98">
        <v>-87.885957599999998</v>
      </c>
      <c r="L1344" s="99">
        <v>0</v>
      </c>
      <c r="M1344" s="98">
        <v>0</v>
      </c>
      <c r="N1344" s="99">
        <v>0</v>
      </c>
      <c r="O1344" s="98">
        <v>0</v>
      </c>
      <c r="P1344" s="99">
        <v>430</v>
      </c>
      <c r="Q1344" s="98">
        <v>39970.436289999998</v>
      </c>
      <c r="R1344" s="96" t="s">
        <v>625</v>
      </c>
      <c r="S1344" s="96">
        <v>7414000005</v>
      </c>
      <c r="AA1344" s="131" t="s">
        <v>382</v>
      </c>
      <c r="AB1344" s="130">
        <v>974361.29492000001</v>
      </c>
      <c r="AC1344" s="130">
        <v>974361.29492000001</v>
      </c>
    </row>
    <row r="1345" spans="1:29" x14ac:dyDescent="0.25">
      <c r="A1345" t="str">
        <f t="shared" si="21"/>
        <v xml:space="preserve">2111039GOBFED 260305       </v>
      </c>
      <c r="B1345" s="96">
        <v>2111039</v>
      </c>
      <c r="C1345" s="96" t="s">
        <v>829</v>
      </c>
      <c r="D1345" s="96" t="s">
        <v>379</v>
      </c>
      <c r="E1345" s="96" t="s">
        <v>623</v>
      </c>
      <c r="F1345" s="96" t="s">
        <v>624</v>
      </c>
      <c r="G1345" s="99">
        <v>1088</v>
      </c>
      <c r="H1345" s="97">
        <v>88.698122999999995</v>
      </c>
      <c r="I1345" s="98">
        <v>96503.557824000003</v>
      </c>
      <c r="J1345" s="97">
        <v>85.318791529999999</v>
      </c>
      <c r="K1345" s="98">
        <v>3676.7126393600001</v>
      </c>
      <c r="L1345" s="99">
        <v>0</v>
      </c>
      <c r="M1345" s="98">
        <v>0</v>
      </c>
      <c r="N1345" s="99">
        <v>0</v>
      </c>
      <c r="O1345" s="98">
        <v>0</v>
      </c>
      <c r="P1345" s="99">
        <v>1088</v>
      </c>
      <c r="Q1345" s="98">
        <v>96503.557824000003</v>
      </c>
      <c r="R1345" s="96" t="s">
        <v>625</v>
      </c>
      <c r="S1345" s="96">
        <v>7414000005</v>
      </c>
      <c r="AA1345" s="131" t="s">
        <v>427</v>
      </c>
      <c r="AB1345" s="130">
        <v>1395183.02679</v>
      </c>
      <c r="AC1345" s="130">
        <v>1395183.02679</v>
      </c>
    </row>
    <row r="1346" spans="1:29" x14ac:dyDescent="0.25">
      <c r="A1346" t="str">
        <f t="shared" si="21"/>
        <v xml:space="preserve">2111039GOBFED 260903       </v>
      </c>
      <c r="B1346" s="96">
        <v>2111039</v>
      </c>
      <c r="C1346" s="96" t="s">
        <v>829</v>
      </c>
      <c r="D1346" s="96" t="s">
        <v>380</v>
      </c>
      <c r="E1346" s="96" t="s">
        <v>623</v>
      </c>
      <c r="F1346" s="96" t="s">
        <v>624</v>
      </c>
      <c r="G1346" s="99">
        <v>470</v>
      </c>
      <c r="H1346" s="97">
        <v>93.314192000000006</v>
      </c>
      <c r="I1346" s="98">
        <v>43857.670239999999</v>
      </c>
      <c r="J1346" s="97">
        <v>93.409382949999994</v>
      </c>
      <c r="K1346" s="98">
        <v>-44.739746500000003</v>
      </c>
      <c r="L1346" s="99">
        <v>0</v>
      </c>
      <c r="M1346" s="98">
        <v>0</v>
      </c>
      <c r="N1346" s="99">
        <v>0</v>
      </c>
      <c r="O1346" s="98">
        <v>0</v>
      </c>
      <c r="P1346" s="99">
        <v>470</v>
      </c>
      <c r="Q1346" s="98">
        <v>43857.670239999999</v>
      </c>
      <c r="R1346" s="96" t="s">
        <v>625</v>
      </c>
      <c r="S1346" s="96">
        <v>7414000005</v>
      </c>
      <c r="AA1346" s="131" t="s">
        <v>408</v>
      </c>
      <c r="AB1346" s="130">
        <v>32271.54192</v>
      </c>
      <c r="AC1346" s="130">
        <v>32271.54192</v>
      </c>
    </row>
    <row r="1347" spans="1:29" x14ac:dyDescent="0.25">
      <c r="A1347" t="str">
        <f t="shared" si="21"/>
        <v xml:space="preserve">2111039GOBFED 270304       </v>
      </c>
      <c r="B1347" s="96">
        <v>2111039</v>
      </c>
      <c r="C1347" s="96" t="s">
        <v>829</v>
      </c>
      <c r="D1347" s="96" t="s">
        <v>507</v>
      </c>
      <c r="E1347" s="96" t="s">
        <v>623</v>
      </c>
      <c r="F1347" s="96" t="s">
        <v>624</v>
      </c>
      <c r="G1347" s="99">
        <v>1980</v>
      </c>
      <c r="H1347" s="97">
        <v>94.864168000000006</v>
      </c>
      <c r="I1347" s="98">
        <v>187831.05264000001</v>
      </c>
      <c r="J1347" s="97">
        <v>96.33213069449495</v>
      </c>
      <c r="K1347" s="98">
        <v>-2906.5661350999999</v>
      </c>
      <c r="L1347" s="99">
        <v>0</v>
      </c>
      <c r="M1347" s="98">
        <v>0</v>
      </c>
      <c r="N1347" s="99">
        <v>0</v>
      </c>
      <c r="O1347" s="98">
        <v>0</v>
      </c>
      <c r="P1347" s="99">
        <v>1980</v>
      </c>
      <c r="Q1347" s="98">
        <v>187831.05264000001</v>
      </c>
      <c r="R1347" s="96" t="s">
        <v>625</v>
      </c>
      <c r="S1347" s="96">
        <v>7414000005</v>
      </c>
      <c r="AA1347" s="131" t="s">
        <v>384</v>
      </c>
      <c r="AB1347" s="130">
        <v>1369616.33816</v>
      </c>
      <c r="AC1347" s="130">
        <v>1369616.33816</v>
      </c>
    </row>
    <row r="1348" spans="1:29" x14ac:dyDescent="0.25">
      <c r="A1348" t="str">
        <f t="shared" si="21"/>
        <v xml:space="preserve">2111039GOBFED 270603       </v>
      </c>
      <c r="B1348" s="96">
        <v>2111039</v>
      </c>
      <c r="C1348" s="96" t="s">
        <v>829</v>
      </c>
      <c r="D1348" s="96" t="s">
        <v>382</v>
      </c>
      <c r="E1348" s="96" t="s">
        <v>623</v>
      </c>
      <c r="F1348" s="96" t="s">
        <v>624</v>
      </c>
      <c r="G1348" s="99">
        <v>273</v>
      </c>
      <c r="H1348" s="97">
        <v>89.489464999999996</v>
      </c>
      <c r="I1348" s="98">
        <v>24430.623944999999</v>
      </c>
      <c r="J1348" s="97">
        <v>92.049600470000001</v>
      </c>
      <c r="K1348" s="98">
        <v>-698.91698330999998</v>
      </c>
      <c r="L1348" s="99">
        <v>0</v>
      </c>
      <c r="M1348" s="98">
        <v>0</v>
      </c>
      <c r="N1348" s="99">
        <v>0</v>
      </c>
      <c r="O1348" s="98">
        <v>0</v>
      </c>
      <c r="P1348" s="99">
        <v>273</v>
      </c>
      <c r="Q1348" s="98">
        <v>24430.623944999999</v>
      </c>
      <c r="R1348" s="96" t="s">
        <v>625</v>
      </c>
      <c r="S1348" s="96">
        <v>7414000005</v>
      </c>
      <c r="AA1348" s="131" t="s">
        <v>389</v>
      </c>
      <c r="AB1348" s="130">
        <v>98676.226599999995</v>
      </c>
      <c r="AC1348" s="130">
        <v>98676.226599999995</v>
      </c>
    </row>
    <row r="1349" spans="1:29" x14ac:dyDescent="0.25">
      <c r="A1349" t="str">
        <f t="shared" si="21"/>
        <v xml:space="preserve">2111039GOBFED 290301       </v>
      </c>
      <c r="B1349" s="96">
        <v>2111039</v>
      </c>
      <c r="C1349" s="96" t="s">
        <v>829</v>
      </c>
      <c r="D1349" s="96" t="s">
        <v>383</v>
      </c>
      <c r="E1349" s="96" t="s">
        <v>623</v>
      </c>
      <c r="F1349" s="96" t="s">
        <v>624</v>
      </c>
      <c r="G1349" s="99">
        <v>591</v>
      </c>
      <c r="H1349" s="97">
        <v>86.197128000000006</v>
      </c>
      <c r="I1349" s="98">
        <v>50942.502648000001</v>
      </c>
      <c r="J1349" s="97">
        <v>88.982927140000001</v>
      </c>
      <c r="K1349" s="98">
        <v>-1646.4072917399999</v>
      </c>
      <c r="L1349" s="99">
        <v>0</v>
      </c>
      <c r="M1349" s="98">
        <v>0</v>
      </c>
      <c r="N1349" s="99">
        <v>0</v>
      </c>
      <c r="O1349" s="98">
        <v>0</v>
      </c>
      <c r="P1349" s="99">
        <v>591</v>
      </c>
      <c r="Q1349" s="98">
        <v>50942.502648000001</v>
      </c>
      <c r="R1349" s="96" t="s">
        <v>625</v>
      </c>
      <c r="S1349" s="96">
        <v>7414000005</v>
      </c>
      <c r="AA1349" s="131" t="s">
        <v>391</v>
      </c>
      <c r="AB1349" s="130">
        <v>1260499.1538750001</v>
      </c>
      <c r="AC1349" s="130">
        <v>1260499.1538750001</v>
      </c>
    </row>
    <row r="1350" spans="1:29" x14ac:dyDescent="0.25">
      <c r="A1350" t="str">
        <f t="shared" si="21"/>
        <v xml:space="preserve">2111039GOBFED 310529       </v>
      </c>
      <c r="B1350" s="96">
        <v>2111039</v>
      </c>
      <c r="C1350" s="96" t="s">
        <v>829</v>
      </c>
      <c r="D1350" s="96" t="s">
        <v>427</v>
      </c>
      <c r="E1350" s="96" t="s">
        <v>623</v>
      </c>
      <c r="F1350" s="96" t="s">
        <v>624</v>
      </c>
      <c r="G1350" s="99">
        <v>1890</v>
      </c>
      <c r="H1350" s="97">
        <v>86.469353999999996</v>
      </c>
      <c r="I1350" s="98">
        <v>163427.07905999999</v>
      </c>
      <c r="J1350" s="97">
        <v>101.00812326962964</v>
      </c>
      <c r="K1350" s="98">
        <v>-27478.2739196</v>
      </c>
      <c r="L1350" s="99">
        <v>0</v>
      </c>
      <c r="M1350" s="98">
        <v>0</v>
      </c>
      <c r="N1350" s="99">
        <v>0</v>
      </c>
      <c r="O1350" s="98">
        <v>0</v>
      </c>
      <c r="P1350" s="99">
        <v>1890</v>
      </c>
      <c r="Q1350" s="98">
        <v>163427.07905999999</v>
      </c>
      <c r="R1350" s="96" t="s">
        <v>625</v>
      </c>
      <c r="S1350" s="96">
        <v>7414000005</v>
      </c>
      <c r="AA1350" s="131" t="s">
        <v>395</v>
      </c>
      <c r="AB1350" s="130">
        <v>1305473.6438849999</v>
      </c>
      <c r="AC1350" s="130">
        <v>1305473.6438849999</v>
      </c>
    </row>
    <row r="1351" spans="1:29" x14ac:dyDescent="0.25">
      <c r="A1351" t="str">
        <f t="shared" ref="A1351:A1414" si="22">B1349&amp;D1349</f>
        <v xml:space="preserve">2111039GOBFED 330526       </v>
      </c>
      <c r="B1351" s="96">
        <v>2111039</v>
      </c>
      <c r="C1351" s="96" t="s">
        <v>829</v>
      </c>
      <c r="D1351" s="96" t="s">
        <v>418</v>
      </c>
      <c r="E1351" s="96" t="s">
        <v>623</v>
      </c>
      <c r="F1351" s="96" t="s">
        <v>624</v>
      </c>
      <c r="G1351" s="99">
        <v>450</v>
      </c>
      <c r="H1351" s="97">
        <v>101.45096599999999</v>
      </c>
      <c r="I1351" s="98">
        <v>45652.934699999998</v>
      </c>
      <c r="J1351" s="97">
        <v>114.11447106</v>
      </c>
      <c r="K1351" s="98">
        <v>-5698.5772770000003</v>
      </c>
      <c r="L1351" s="99">
        <v>0</v>
      </c>
      <c r="M1351" s="98">
        <v>0</v>
      </c>
      <c r="N1351" s="99">
        <v>0</v>
      </c>
      <c r="O1351" s="98">
        <v>0</v>
      </c>
      <c r="P1351" s="99">
        <v>450</v>
      </c>
      <c r="Q1351" s="98">
        <v>45652.934699999998</v>
      </c>
      <c r="R1351" s="96" t="s">
        <v>625</v>
      </c>
      <c r="S1351" s="96">
        <v>7414000005</v>
      </c>
      <c r="AA1351" s="131" t="s">
        <v>396</v>
      </c>
      <c r="AB1351" s="130">
        <v>1097545.44744</v>
      </c>
      <c r="AC1351" s="130">
        <v>1097545.44744</v>
      </c>
    </row>
    <row r="1352" spans="1:29" x14ac:dyDescent="0.25">
      <c r="A1352" t="str">
        <f t="shared" si="22"/>
        <v xml:space="preserve">2111039GOBFED 341123       </v>
      </c>
      <c r="B1352" s="96">
        <v>2111039</v>
      </c>
      <c r="C1352" s="96" t="s">
        <v>829</v>
      </c>
      <c r="D1352" s="96" t="s">
        <v>408</v>
      </c>
      <c r="E1352" s="96" t="s">
        <v>623</v>
      </c>
      <c r="F1352" s="96" t="s">
        <v>624</v>
      </c>
      <c r="G1352" s="99">
        <v>985</v>
      </c>
      <c r="H1352" s="97">
        <v>89.643172000000007</v>
      </c>
      <c r="I1352" s="98">
        <v>88298.524420000002</v>
      </c>
      <c r="J1352" s="97">
        <v>108.47711812999999</v>
      </c>
      <c r="K1352" s="98">
        <v>-18551.436938049999</v>
      </c>
      <c r="L1352" s="99">
        <v>0</v>
      </c>
      <c r="M1352" s="98">
        <v>0</v>
      </c>
      <c r="N1352" s="99">
        <v>0</v>
      </c>
      <c r="O1352" s="98">
        <v>0</v>
      </c>
      <c r="P1352" s="99">
        <v>985</v>
      </c>
      <c r="Q1352" s="98">
        <v>88298.524420000002</v>
      </c>
      <c r="R1352" s="96" t="s">
        <v>625</v>
      </c>
      <c r="S1352" s="96">
        <v>7414000005</v>
      </c>
      <c r="AA1352" s="131" t="s">
        <v>398</v>
      </c>
      <c r="AB1352" s="130">
        <v>90089.957106999995</v>
      </c>
      <c r="AC1352" s="130">
        <v>90089.957106999995</v>
      </c>
    </row>
    <row r="1353" spans="1:29" x14ac:dyDescent="0.25">
      <c r="A1353" t="str">
        <f t="shared" si="22"/>
        <v xml:space="preserve">2111039GOBFED 361120       </v>
      </c>
      <c r="B1353" s="96">
        <v>2111039</v>
      </c>
      <c r="C1353" s="96" t="s">
        <v>829</v>
      </c>
      <c r="D1353" s="96" t="s">
        <v>384</v>
      </c>
      <c r="E1353" s="96" t="s">
        <v>623</v>
      </c>
      <c r="F1353" s="96" t="s">
        <v>624</v>
      </c>
      <c r="G1353" s="99">
        <v>1049</v>
      </c>
      <c r="H1353" s="97">
        <v>81.738860000000003</v>
      </c>
      <c r="I1353" s="98">
        <v>85744.064140000002</v>
      </c>
      <c r="J1353" s="97">
        <v>86.108971888846526</v>
      </c>
      <c r="K1353" s="98">
        <v>-4584.2473713999998</v>
      </c>
      <c r="L1353" s="99">
        <v>0</v>
      </c>
      <c r="M1353" s="98">
        <v>0</v>
      </c>
      <c r="N1353" s="99">
        <v>0</v>
      </c>
      <c r="O1353" s="98">
        <v>0</v>
      </c>
      <c r="P1353" s="99">
        <v>1049</v>
      </c>
      <c r="Q1353" s="98">
        <v>85744.064140000002</v>
      </c>
      <c r="R1353" s="96" t="s">
        <v>625</v>
      </c>
      <c r="S1353" s="96">
        <v>7414000005</v>
      </c>
      <c r="AA1353" s="131" t="s">
        <v>381</v>
      </c>
      <c r="AB1353" s="130">
        <v>2250320.1240400001</v>
      </c>
      <c r="AC1353" s="130">
        <v>2250320.1240400001</v>
      </c>
    </row>
    <row r="1354" spans="1:29" x14ac:dyDescent="0.25">
      <c r="A1354" t="str">
        <f t="shared" si="22"/>
        <v xml:space="preserve">2111039GOBFED 381118       </v>
      </c>
      <c r="B1354" s="96">
        <v>2111039</v>
      </c>
      <c r="C1354" s="96" t="s">
        <v>829</v>
      </c>
      <c r="D1354" s="96" t="s">
        <v>386</v>
      </c>
      <c r="E1354" s="96" t="s">
        <v>623</v>
      </c>
      <c r="F1354" s="96" t="s">
        <v>624</v>
      </c>
      <c r="G1354" s="99">
        <v>1636</v>
      </c>
      <c r="H1354" s="97">
        <v>82.159907000000004</v>
      </c>
      <c r="I1354" s="98">
        <v>134413.60785199999</v>
      </c>
      <c r="J1354" s="97">
        <v>86.196740725611249</v>
      </c>
      <c r="K1354" s="98">
        <v>-6604.2599750999998</v>
      </c>
      <c r="L1354" s="99">
        <v>0</v>
      </c>
      <c r="M1354" s="98">
        <v>0</v>
      </c>
      <c r="N1354" s="99">
        <v>0</v>
      </c>
      <c r="O1354" s="98">
        <v>0</v>
      </c>
      <c r="P1354" s="99">
        <v>1636</v>
      </c>
      <c r="Q1354" s="98">
        <v>134413.60785199999</v>
      </c>
      <c r="R1354" s="96" t="s">
        <v>625</v>
      </c>
      <c r="S1354" s="96">
        <v>7414000005</v>
      </c>
      <c r="AA1354" s="131" t="s">
        <v>385</v>
      </c>
      <c r="AB1354" s="130">
        <v>117313.07300999999</v>
      </c>
      <c r="AC1354" s="130">
        <v>117313.07300999999</v>
      </c>
    </row>
    <row r="1355" spans="1:29" x14ac:dyDescent="0.25">
      <c r="A1355" t="str">
        <f t="shared" si="22"/>
        <v xml:space="preserve">2111039GOBFED 421113       </v>
      </c>
      <c r="B1355" s="96">
        <v>2111039</v>
      </c>
      <c r="C1355" s="96" t="s">
        <v>829</v>
      </c>
      <c r="D1355" s="96" t="s">
        <v>388</v>
      </c>
      <c r="E1355" s="96" t="s">
        <v>623</v>
      </c>
      <c r="F1355" s="96" t="s">
        <v>624</v>
      </c>
      <c r="G1355" s="99">
        <v>80</v>
      </c>
      <c r="H1355" s="97">
        <v>8532.5</v>
      </c>
      <c r="I1355" s="98">
        <v>682600</v>
      </c>
      <c r="J1355" s="97">
        <v>5867.5510000000004</v>
      </c>
      <c r="K1355" s="98">
        <v>213195.92</v>
      </c>
      <c r="L1355" s="99">
        <v>0</v>
      </c>
      <c r="M1355" s="98">
        <v>0</v>
      </c>
      <c r="N1355" s="99">
        <v>0</v>
      </c>
      <c r="O1355" s="98">
        <v>0</v>
      </c>
      <c r="P1355" s="99">
        <v>80</v>
      </c>
      <c r="Q1355" s="98">
        <v>682600</v>
      </c>
      <c r="R1355" s="96" t="s">
        <v>625</v>
      </c>
      <c r="S1355" s="96">
        <v>7414000005</v>
      </c>
      <c r="AA1355" s="131" t="s">
        <v>375</v>
      </c>
      <c r="AB1355" s="130">
        <v>320873.63425</v>
      </c>
      <c r="AC1355" s="130">
        <v>320873.63425</v>
      </c>
    </row>
    <row r="1356" spans="1:29" x14ac:dyDescent="0.25">
      <c r="A1356" t="str">
        <f t="shared" si="22"/>
        <v xml:space="preserve">2111039GOBFED 530731       </v>
      </c>
      <c r="B1356" s="96">
        <v>2111039</v>
      </c>
      <c r="C1356" s="96" t="s">
        <v>829</v>
      </c>
      <c r="D1356" s="96" t="s">
        <v>429</v>
      </c>
      <c r="E1356" s="96" t="s">
        <v>623</v>
      </c>
      <c r="F1356" s="96" t="s">
        <v>624</v>
      </c>
      <c r="G1356" s="99">
        <v>612</v>
      </c>
      <c r="H1356" s="97">
        <v>98.007834000000003</v>
      </c>
      <c r="I1356" s="98">
        <v>59980.794408000002</v>
      </c>
      <c r="J1356" s="97">
        <v>93.280048030000003</v>
      </c>
      <c r="K1356" s="98">
        <v>2893.4050136400001</v>
      </c>
      <c r="L1356" s="99">
        <v>0</v>
      </c>
      <c r="M1356" s="98">
        <v>0</v>
      </c>
      <c r="N1356" s="99">
        <v>0</v>
      </c>
      <c r="O1356" s="98">
        <v>0</v>
      </c>
      <c r="P1356" s="99">
        <v>612</v>
      </c>
      <c r="Q1356" s="98">
        <v>59980.794408000002</v>
      </c>
      <c r="R1356" s="96" t="s">
        <v>625</v>
      </c>
      <c r="S1356" s="96">
        <v>7414000005</v>
      </c>
      <c r="AA1356" s="131" t="s">
        <v>399</v>
      </c>
      <c r="AB1356" s="130">
        <v>1242996.0247299999</v>
      </c>
      <c r="AC1356" s="130">
        <v>1242996.0247299999</v>
      </c>
    </row>
    <row r="1357" spans="1:29" x14ac:dyDescent="0.25">
      <c r="A1357" t="str">
        <f t="shared" si="22"/>
        <v xml:space="preserve">2111039IVV *               </v>
      </c>
      <c r="B1357" s="96">
        <v>2111039</v>
      </c>
      <c r="C1357" s="96" t="s">
        <v>829</v>
      </c>
      <c r="D1357" s="96" t="s">
        <v>501</v>
      </c>
      <c r="E1357" s="96" t="s">
        <v>623</v>
      </c>
      <c r="F1357" s="96" t="s">
        <v>624</v>
      </c>
      <c r="G1357" s="99">
        <v>259</v>
      </c>
      <c r="H1357" s="97">
        <v>682.55</v>
      </c>
      <c r="I1357" s="98">
        <v>176780.45</v>
      </c>
      <c r="J1357" s="97">
        <v>770.93235521235522</v>
      </c>
      <c r="K1357" s="98">
        <v>-22891.03</v>
      </c>
      <c r="L1357" s="99">
        <v>0</v>
      </c>
      <c r="M1357" s="98">
        <v>0</v>
      </c>
      <c r="N1357" s="99">
        <v>0</v>
      </c>
      <c r="O1357" s="98">
        <v>0</v>
      </c>
      <c r="P1357" s="99">
        <v>259</v>
      </c>
      <c r="Q1357" s="98">
        <v>176780.45</v>
      </c>
      <c r="R1357" s="96" t="s">
        <v>625</v>
      </c>
      <c r="S1357" s="96">
        <v>7414000005</v>
      </c>
      <c r="AA1357" s="131" t="s">
        <v>394</v>
      </c>
      <c r="AB1357" s="130">
        <v>1247183.1567180001</v>
      </c>
      <c r="AC1357" s="130">
        <v>1247183.1567180001</v>
      </c>
    </row>
    <row r="1358" spans="1:29" x14ac:dyDescent="0.25">
      <c r="A1358" t="str">
        <f t="shared" si="22"/>
        <v xml:space="preserve">2111039PEMEX 13-2          </v>
      </c>
      <c r="B1358" s="96">
        <v>2111039</v>
      </c>
      <c r="C1358" s="96" t="s">
        <v>829</v>
      </c>
      <c r="D1358" s="96" t="s">
        <v>430</v>
      </c>
      <c r="E1358" s="96" t="s">
        <v>623</v>
      </c>
      <c r="F1358" s="96" t="s">
        <v>624</v>
      </c>
      <c r="G1358" s="99">
        <v>425160</v>
      </c>
      <c r="H1358" s="97">
        <v>3.1390400000000001</v>
      </c>
      <c r="I1358" s="98">
        <v>1334594.2464000001</v>
      </c>
      <c r="J1358" s="97">
        <v>2.7610731724527238</v>
      </c>
      <c r="K1358" s="98">
        <v>160696.37640000001</v>
      </c>
      <c r="L1358" s="99">
        <v>0</v>
      </c>
      <c r="M1358" s="98">
        <v>0</v>
      </c>
      <c r="N1358" s="99">
        <v>0</v>
      </c>
      <c r="O1358" s="98">
        <v>0</v>
      </c>
      <c r="P1358" s="99">
        <v>425160</v>
      </c>
      <c r="Q1358" s="98">
        <v>1334594.2464000001</v>
      </c>
      <c r="R1358" s="96" t="s">
        <v>625</v>
      </c>
      <c r="S1358" s="96">
        <v>7414000005</v>
      </c>
      <c r="AA1358" s="131" t="s">
        <v>379</v>
      </c>
      <c r="AB1358" s="130">
        <v>301396.22195400001</v>
      </c>
      <c r="AC1358" s="130">
        <v>301396.22195400001</v>
      </c>
    </row>
    <row r="1359" spans="1:29" x14ac:dyDescent="0.25">
      <c r="A1359" t="str">
        <f t="shared" si="22"/>
        <v xml:space="preserve">2111039SPSM *              </v>
      </c>
      <c r="B1359" s="96">
        <v>2111039</v>
      </c>
      <c r="C1359" s="96" t="s">
        <v>829</v>
      </c>
      <c r="D1359" s="96" t="s">
        <v>389</v>
      </c>
      <c r="E1359" s="96" t="s">
        <v>623</v>
      </c>
      <c r="F1359" s="96" t="s">
        <v>624</v>
      </c>
      <c r="G1359" s="99">
        <v>609520</v>
      </c>
      <c r="H1359" s="97">
        <v>3.3967719999999999</v>
      </c>
      <c r="I1359" s="98">
        <v>2070400.4694399999</v>
      </c>
      <c r="J1359" s="97">
        <v>3.3023570678566743</v>
      </c>
      <c r="K1359" s="98">
        <v>57547.78944</v>
      </c>
      <c r="L1359" s="99">
        <v>0</v>
      </c>
      <c r="M1359" s="98">
        <v>0</v>
      </c>
      <c r="N1359" s="99">
        <v>0</v>
      </c>
      <c r="O1359" s="98">
        <v>0</v>
      </c>
      <c r="P1359" s="99">
        <v>609520</v>
      </c>
      <c r="Q1359" s="98">
        <v>2070400.4694399999</v>
      </c>
      <c r="R1359" s="96" t="s">
        <v>625</v>
      </c>
      <c r="S1359" s="96">
        <v>7414000005</v>
      </c>
      <c r="AA1359" s="131" t="s">
        <v>377</v>
      </c>
      <c r="AB1359" s="130">
        <v>224136.62692000001</v>
      </c>
      <c r="AC1359" s="130">
        <v>224136.62692000001</v>
      </c>
    </row>
    <row r="1360" spans="1:29" x14ac:dyDescent="0.25">
      <c r="A1360" t="str">
        <f t="shared" si="22"/>
        <v xml:space="preserve">2111039ST&amp;ER-C ED          </v>
      </c>
      <c r="B1360" s="96">
        <v>2111039</v>
      </c>
      <c r="C1360" s="96" t="s">
        <v>829</v>
      </c>
      <c r="D1360" s="96" t="s">
        <v>392</v>
      </c>
      <c r="E1360" s="96" t="s">
        <v>623</v>
      </c>
      <c r="F1360" s="96" t="s">
        <v>624</v>
      </c>
      <c r="G1360" s="99">
        <v>31</v>
      </c>
      <c r="H1360" s="97">
        <v>747.17843200000004</v>
      </c>
      <c r="I1360" s="98">
        <v>23162.531392000001</v>
      </c>
      <c r="J1360" s="97">
        <v>730.99471579999999</v>
      </c>
      <c r="K1360" s="98">
        <v>501.69520219999998</v>
      </c>
      <c r="L1360" s="99">
        <v>0</v>
      </c>
      <c r="M1360" s="98">
        <v>0</v>
      </c>
      <c r="N1360" s="99">
        <v>0</v>
      </c>
      <c r="O1360" s="98">
        <v>0</v>
      </c>
      <c r="P1360" s="99">
        <v>31</v>
      </c>
      <c r="Q1360" s="98">
        <v>23162.531392000001</v>
      </c>
      <c r="R1360" s="96" t="s">
        <v>625</v>
      </c>
      <c r="S1360" s="96">
        <v>7414000005</v>
      </c>
      <c r="AA1360" s="131" t="s">
        <v>392</v>
      </c>
      <c r="AB1360" s="130">
        <v>1490620.97184</v>
      </c>
      <c r="AC1360" s="130">
        <v>1490620.97184</v>
      </c>
    </row>
    <row r="1361" spans="1:29" x14ac:dyDescent="0.25">
      <c r="A1361" t="str">
        <f t="shared" si="22"/>
        <v xml:space="preserve">2111039STERGOB ED          </v>
      </c>
      <c r="B1361" s="96">
        <v>2111039</v>
      </c>
      <c r="C1361" s="96" t="s">
        <v>829</v>
      </c>
      <c r="D1361" s="96" t="s">
        <v>393</v>
      </c>
      <c r="E1361" s="96" t="s">
        <v>623</v>
      </c>
      <c r="F1361" s="96" t="s">
        <v>624</v>
      </c>
      <c r="G1361" s="99">
        <v>158</v>
      </c>
      <c r="H1361" s="97">
        <v>765.92388300000005</v>
      </c>
      <c r="I1361" s="98">
        <v>121015.973514</v>
      </c>
      <c r="J1361" s="97">
        <v>770.8356037525316</v>
      </c>
      <c r="K1361" s="98">
        <v>-776.05187890000002</v>
      </c>
      <c r="L1361" s="99">
        <v>0</v>
      </c>
      <c r="M1361" s="98">
        <v>0</v>
      </c>
      <c r="N1361" s="99">
        <v>0</v>
      </c>
      <c r="O1361" s="98">
        <v>0</v>
      </c>
      <c r="P1361" s="99">
        <v>158</v>
      </c>
      <c r="Q1361" s="98">
        <v>121015.973514</v>
      </c>
      <c r="R1361" s="96" t="s">
        <v>625</v>
      </c>
      <c r="S1361" s="96">
        <v>7414000005</v>
      </c>
      <c r="AA1361" s="131" t="s">
        <v>386</v>
      </c>
      <c r="AB1361" s="130">
        <v>402008.42495100002</v>
      </c>
      <c r="AC1361" s="130">
        <v>402008.42495100002</v>
      </c>
    </row>
    <row r="1362" spans="1:29" x14ac:dyDescent="0.25">
      <c r="A1362" t="str">
        <f t="shared" si="22"/>
        <v xml:space="preserve">2111039UDIBONO 261203      </v>
      </c>
      <c r="B1362" s="96">
        <v>2111039</v>
      </c>
      <c r="C1362" s="96" t="s">
        <v>829</v>
      </c>
      <c r="D1362" s="96" t="s">
        <v>394</v>
      </c>
      <c r="E1362" s="96" t="s">
        <v>623</v>
      </c>
      <c r="F1362" s="96" t="s">
        <v>624</v>
      </c>
      <c r="G1362" s="99">
        <v>50</v>
      </c>
      <c r="H1362" s="97">
        <v>684.88915799999995</v>
      </c>
      <c r="I1362" s="98">
        <v>34244.457900000001</v>
      </c>
      <c r="J1362" s="97">
        <v>700.97292315000004</v>
      </c>
      <c r="K1362" s="98">
        <v>-804.18825749999996</v>
      </c>
      <c r="L1362" s="99">
        <v>0</v>
      </c>
      <c r="M1362" s="98">
        <v>0</v>
      </c>
      <c r="N1362" s="99">
        <v>0</v>
      </c>
      <c r="O1362" s="98">
        <v>0</v>
      </c>
      <c r="P1362" s="99">
        <v>50</v>
      </c>
      <c r="Q1362" s="98">
        <v>34244.457900000001</v>
      </c>
      <c r="R1362" s="96" t="s">
        <v>625</v>
      </c>
      <c r="S1362" s="96">
        <v>7414000005</v>
      </c>
      <c r="AA1362" s="131" t="s">
        <v>409</v>
      </c>
      <c r="AB1362" s="130">
        <v>879094.66481999995</v>
      </c>
      <c r="AC1362" s="130">
        <v>879094.66481999995</v>
      </c>
    </row>
    <row r="1363" spans="1:29" x14ac:dyDescent="0.25">
      <c r="A1363" t="str">
        <f t="shared" si="22"/>
        <v xml:space="preserve">2111039UDIBONO 281130      </v>
      </c>
      <c r="B1363" s="96">
        <v>2111039</v>
      </c>
      <c r="C1363" s="96" t="s">
        <v>829</v>
      </c>
      <c r="D1363" s="96" t="s">
        <v>395</v>
      </c>
      <c r="E1363" s="96" t="s">
        <v>623</v>
      </c>
      <c r="F1363" s="96" t="s">
        <v>624</v>
      </c>
      <c r="G1363" s="99">
        <v>7</v>
      </c>
      <c r="H1363" s="97">
        <v>772.926965</v>
      </c>
      <c r="I1363" s="98">
        <v>5410.4887550000003</v>
      </c>
      <c r="J1363" s="97">
        <v>798.93664675000002</v>
      </c>
      <c r="K1363" s="98">
        <v>-182.06777224999999</v>
      </c>
      <c r="L1363" s="99">
        <v>0</v>
      </c>
      <c r="M1363" s="98">
        <v>0</v>
      </c>
      <c r="N1363" s="99">
        <v>0</v>
      </c>
      <c r="O1363" s="98">
        <v>0</v>
      </c>
      <c r="P1363" s="99">
        <v>7</v>
      </c>
      <c r="Q1363" s="98">
        <v>5410.4887550000003</v>
      </c>
      <c r="R1363" s="96" t="s">
        <v>625</v>
      </c>
      <c r="S1363" s="96">
        <v>7414000005</v>
      </c>
      <c r="AA1363" s="131" t="s">
        <v>383</v>
      </c>
      <c r="AB1363" s="130">
        <v>1998049.42704</v>
      </c>
      <c r="AC1363" s="130">
        <v>1998049.42704</v>
      </c>
    </row>
    <row r="1364" spans="1:29" x14ac:dyDescent="0.25">
      <c r="A1364" t="str">
        <f t="shared" si="22"/>
        <v xml:space="preserve">2111039UDIBONO 311127      </v>
      </c>
      <c r="B1364" s="96">
        <v>2111039</v>
      </c>
      <c r="C1364" s="96" t="s">
        <v>829</v>
      </c>
      <c r="D1364" s="96" t="s">
        <v>396</v>
      </c>
      <c r="E1364" s="96" t="s">
        <v>623</v>
      </c>
      <c r="F1364" s="96" t="s">
        <v>624</v>
      </c>
      <c r="G1364" s="99">
        <v>143</v>
      </c>
      <c r="H1364" s="97">
        <v>721.59464000000003</v>
      </c>
      <c r="I1364" s="98">
        <v>103188.03352</v>
      </c>
      <c r="J1364" s="97">
        <v>758.77574809999999</v>
      </c>
      <c r="K1364" s="98">
        <v>-5316.8984583000001</v>
      </c>
      <c r="L1364" s="99">
        <v>0</v>
      </c>
      <c r="M1364" s="98">
        <v>0</v>
      </c>
      <c r="N1364" s="99">
        <v>0</v>
      </c>
      <c r="O1364" s="98">
        <v>0</v>
      </c>
      <c r="P1364" s="99">
        <v>143</v>
      </c>
      <c r="Q1364" s="98">
        <v>103188.03352</v>
      </c>
      <c r="R1364" s="96" t="s">
        <v>625</v>
      </c>
      <c r="S1364" s="96">
        <v>7414000005</v>
      </c>
      <c r="AA1364" s="131" t="s">
        <v>397</v>
      </c>
      <c r="AB1364" s="130">
        <v>323069.26445199997</v>
      </c>
      <c r="AC1364" s="130">
        <v>323069.26445199997</v>
      </c>
    </row>
    <row r="1365" spans="1:29" x14ac:dyDescent="0.25">
      <c r="A1365" t="str">
        <f t="shared" si="22"/>
        <v xml:space="preserve">2111039UDIBONO 351122      </v>
      </c>
      <c r="B1365" s="96">
        <v>2111039</v>
      </c>
      <c r="C1365" s="96" t="s">
        <v>829</v>
      </c>
      <c r="D1365" s="96" t="s">
        <v>397</v>
      </c>
      <c r="E1365" s="96" t="s">
        <v>623</v>
      </c>
      <c r="F1365" s="96" t="s">
        <v>624</v>
      </c>
      <c r="G1365" s="99">
        <v>77</v>
      </c>
      <c r="H1365" s="97">
        <v>635.96311900000001</v>
      </c>
      <c r="I1365" s="98">
        <v>48969.160163</v>
      </c>
      <c r="J1365" s="97">
        <v>647.93802047999998</v>
      </c>
      <c r="K1365" s="98">
        <v>-922.06741395999995</v>
      </c>
      <c r="L1365" s="99">
        <v>0</v>
      </c>
      <c r="M1365" s="98">
        <v>0</v>
      </c>
      <c r="N1365" s="99">
        <v>0</v>
      </c>
      <c r="O1365" s="98">
        <v>0</v>
      </c>
      <c r="P1365" s="99">
        <v>77</v>
      </c>
      <c r="Q1365" s="98">
        <v>48969.160163</v>
      </c>
      <c r="R1365" s="96" t="s">
        <v>625</v>
      </c>
      <c r="S1365" s="96">
        <v>7414000005</v>
      </c>
      <c r="AA1365" s="131" t="s">
        <v>613</v>
      </c>
      <c r="AB1365" s="130">
        <v>507870.9975</v>
      </c>
      <c r="AC1365" s="130">
        <v>507870.9975</v>
      </c>
    </row>
    <row r="1366" spans="1:29" x14ac:dyDescent="0.25">
      <c r="A1366" t="str">
        <f t="shared" si="22"/>
        <v xml:space="preserve">2111039UDIBONO 401115      </v>
      </c>
      <c r="B1366" s="96">
        <v>2111039</v>
      </c>
      <c r="C1366" s="96" t="s">
        <v>829</v>
      </c>
      <c r="D1366" s="96" t="s">
        <v>398</v>
      </c>
      <c r="E1366" s="96" t="s">
        <v>623</v>
      </c>
      <c r="F1366" s="96" t="s">
        <v>624</v>
      </c>
      <c r="G1366" s="99">
        <v>233</v>
      </c>
      <c r="H1366" s="97">
        <v>709.36974099999998</v>
      </c>
      <c r="I1366" s="98">
        <v>165283.149653</v>
      </c>
      <c r="J1366" s="97">
        <v>724.63651936999997</v>
      </c>
      <c r="K1366" s="98">
        <v>-3557.1593602100002</v>
      </c>
      <c r="L1366" s="99">
        <v>0</v>
      </c>
      <c r="M1366" s="98">
        <v>0</v>
      </c>
      <c r="N1366" s="99">
        <v>0</v>
      </c>
      <c r="O1366" s="98">
        <v>0</v>
      </c>
      <c r="P1366" s="99">
        <v>233</v>
      </c>
      <c r="Q1366" s="98">
        <v>165283.149653</v>
      </c>
      <c r="R1366" s="96" t="s">
        <v>625</v>
      </c>
      <c r="S1366" s="96">
        <v>7414000005</v>
      </c>
      <c r="AA1366" s="129">
        <v>75223</v>
      </c>
      <c r="AB1366" s="130">
        <v>0</v>
      </c>
      <c r="AC1366" s="130">
        <v>0</v>
      </c>
    </row>
    <row r="1367" spans="1:29" x14ac:dyDescent="0.25">
      <c r="A1367" t="str">
        <f t="shared" si="22"/>
        <v xml:space="preserve">2111039UDIBONO 431112      </v>
      </c>
      <c r="B1367" s="96">
        <v>2111039</v>
      </c>
      <c r="C1367" s="96" t="s">
        <v>829</v>
      </c>
      <c r="D1367" s="96" t="s">
        <v>399</v>
      </c>
      <c r="E1367" s="96" t="s">
        <v>623</v>
      </c>
      <c r="F1367" s="96" t="s">
        <v>624</v>
      </c>
      <c r="G1367" s="99">
        <v>378</v>
      </c>
      <c r="H1367" s="97">
        <v>694.41118700000004</v>
      </c>
      <c r="I1367" s="98">
        <v>262487.428686</v>
      </c>
      <c r="J1367" s="97">
        <v>714.8753082628042</v>
      </c>
      <c r="K1367" s="98">
        <v>-7735.4378373400004</v>
      </c>
      <c r="L1367" s="99">
        <v>0</v>
      </c>
      <c r="M1367" s="98">
        <v>0</v>
      </c>
      <c r="N1367" s="99">
        <v>0</v>
      </c>
      <c r="O1367" s="98">
        <v>0</v>
      </c>
      <c r="P1367" s="99">
        <v>378</v>
      </c>
      <c r="Q1367" s="98">
        <v>262487.428686</v>
      </c>
      <c r="R1367" s="96" t="s">
        <v>625</v>
      </c>
      <c r="S1367" s="96">
        <v>7414000005</v>
      </c>
      <c r="AA1367" s="131" t="s">
        <v>376</v>
      </c>
      <c r="AB1367" s="130">
        <v>0</v>
      </c>
      <c r="AC1367" s="130">
        <v>0</v>
      </c>
    </row>
    <row r="1368" spans="1:29" x14ac:dyDescent="0.25">
      <c r="A1368" t="str">
        <f t="shared" si="22"/>
        <v xml:space="preserve">2111039UDIBONO 461108      </v>
      </c>
      <c r="B1368" s="96">
        <v>2111039</v>
      </c>
      <c r="C1368" s="96" t="s">
        <v>829</v>
      </c>
      <c r="D1368" s="96" t="s">
        <v>401</v>
      </c>
      <c r="E1368" s="96" t="s">
        <v>623</v>
      </c>
      <c r="F1368" s="96" t="s">
        <v>624</v>
      </c>
      <c r="G1368" s="99">
        <v>175</v>
      </c>
      <c r="H1368" s="97">
        <v>1090</v>
      </c>
      <c r="I1368" s="98">
        <v>190750</v>
      </c>
      <c r="J1368" s="97">
        <v>1153.8654285714285</v>
      </c>
      <c r="K1368" s="98">
        <v>-11176.45</v>
      </c>
      <c r="L1368" s="99">
        <v>0</v>
      </c>
      <c r="M1368" s="98">
        <v>0</v>
      </c>
      <c r="N1368" s="99">
        <v>0</v>
      </c>
      <c r="O1368" s="98">
        <v>0</v>
      </c>
      <c r="P1368" s="99">
        <v>175</v>
      </c>
      <c r="Q1368" s="98">
        <v>190750</v>
      </c>
      <c r="R1368" s="96" t="s">
        <v>625</v>
      </c>
      <c r="S1368" s="96">
        <v>7414000005</v>
      </c>
      <c r="AA1368" s="131" t="s">
        <v>382</v>
      </c>
      <c r="AB1368" s="130">
        <v>0</v>
      </c>
      <c r="AC1368" s="130">
        <v>0</v>
      </c>
    </row>
    <row r="1369" spans="1:29" x14ac:dyDescent="0.25">
      <c r="A1369" t="str">
        <f t="shared" si="22"/>
        <v xml:space="preserve">2111039UDIBONO 501103      </v>
      </c>
      <c r="B1369" s="96">
        <v>2111047</v>
      </c>
      <c r="C1369" s="96" t="s">
        <v>830</v>
      </c>
      <c r="D1369" s="96" t="s">
        <v>357</v>
      </c>
      <c r="E1369" s="96" t="s">
        <v>623</v>
      </c>
      <c r="F1369" s="96" t="s">
        <v>624</v>
      </c>
      <c r="G1369" s="99">
        <v>7000</v>
      </c>
      <c r="H1369" s="97">
        <v>168.64</v>
      </c>
      <c r="I1369" s="98">
        <v>1180480</v>
      </c>
      <c r="J1369" s="97">
        <v>178.26642142857142</v>
      </c>
      <c r="K1369" s="98">
        <v>-67384.95</v>
      </c>
      <c r="L1369" s="99">
        <v>0</v>
      </c>
      <c r="M1369" s="98">
        <v>0</v>
      </c>
      <c r="N1369" s="99">
        <v>0</v>
      </c>
      <c r="O1369" s="98">
        <v>0</v>
      </c>
      <c r="P1369" s="99">
        <v>7000</v>
      </c>
      <c r="Q1369" s="98">
        <v>1180480</v>
      </c>
      <c r="R1369" s="96" t="s">
        <v>625</v>
      </c>
      <c r="S1369" s="96">
        <v>7414000005</v>
      </c>
      <c r="AA1369" s="131" t="s">
        <v>396</v>
      </c>
      <c r="AB1369" s="130">
        <v>0</v>
      </c>
      <c r="AC1369" s="130">
        <v>0</v>
      </c>
    </row>
    <row r="1370" spans="1:29" x14ac:dyDescent="0.25">
      <c r="A1370" t="str">
        <f t="shared" si="22"/>
        <v xml:space="preserve">2111039VGK *               </v>
      </c>
      <c r="B1370" s="96">
        <v>2111047</v>
      </c>
      <c r="C1370" s="96" t="s">
        <v>830</v>
      </c>
      <c r="D1370" s="96" t="s">
        <v>617</v>
      </c>
      <c r="E1370" s="96" t="s">
        <v>623</v>
      </c>
      <c r="F1370" s="96" t="s">
        <v>624</v>
      </c>
      <c r="G1370" s="99">
        <v>22000</v>
      </c>
      <c r="H1370" s="97">
        <v>11.86</v>
      </c>
      <c r="I1370" s="98">
        <v>260920</v>
      </c>
      <c r="J1370" s="97">
        <v>12.184018636363636</v>
      </c>
      <c r="K1370" s="98">
        <v>-7128.41</v>
      </c>
      <c r="L1370" s="99">
        <v>0</v>
      </c>
      <c r="M1370" s="98">
        <v>0</v>
      </c>
      <c r="N1370" s="99">
        <v>0</v>
      </c>
      <c r="O1370" s="98">
        <v>0</v>
      </c>
      <c r="P1370" s="99">
        <v>22000</v>
      </c>
      <c r="Q1370" s="98">
        <v>260920</v>
      </c>
      <c r="R1370" s="96" t="s">
        <v>625</v>
      </c>
      <c r="S1370" s="96">
        <v>7414000005</v>
      </c>
      <c r="AA1370" s="129">
        <v>75224</v>
      </c>
      <c r="AB1370" s="130">
        <v>0</v>
      </c>
      <c r="AC1370" s="130">
        <v>0</v>
      </c>
    </row>
    <row r="1371" spans="1:29" x14ac:dyDescent="0.25">
      <c r="A1371" t="str">
        <f t="shared" si="22"/>
        <v xml:space="preserve">2111047AC *                </v>
      </c>
      <c r="B1371" s="96">
        <v>2111047</v>
      </c>
      <c r="C1371" s="96" t="s">
        <v>830</v>
      </c>
      <c r="D1371" s="96" t="s">
        <v>359</v>
      </c>
      <c r="E1371" s="96" t="s">
        <v>623</v>
      </c>
      <c r="F1371" s="96" t="s">
        <v>624</v>
      </c>
      <c r="G1371" s="99">
        <v>19300</v>
      </c>
      <c r="H1371" s="97">
        <v>73.37</v>
      </c>
      <c r="I1371" s="98">
        <v>1416041</v>
      </c>
      <c r="J1371" s="97">
        <v>62.082834715025903</v>
      </c>
      <c r="K1371" s="98">
        <v>217842.29</v>
      </c>
      <c r="L1371" s="99">
        <v>0</v>
      </c>
      <c r="M1371" s="98">
        <v>0</v>
      </c>
      <c r="N1371" s="99">
        <v>0</v>
      </c>
      <c r="O1371" s="98">
        <v>0</v>
      </c>
      <c r="P1371" s="99">
        <v>19300</v>
      </c>
      <c r="Q1371" s="98">
        <v>1416041</v>
      </c>
      <c r="R1371" s="96" t="s">
        <v>625</v>
      </c>
      <c r="S1371" s="96">
        <v>7414000005</v>
      </c>
      <c r="AA1371" s="131" t="s">
        <v>376</v>
      </c>
      <c r="AB1371" s="130">
        <v>0</v>
      </c>
      <c r="AC1371" s="130">
        <v>0</v>
      </c>
    </row>
    <row r="1372" spans="1:29" x14ac:dyDescent="0.25">
      <c r="A1372" t="str">
        <f t="shared" si="22"/>
        <v xml:space="preserve">2111047ALPEK A             </v>
      </c>
      <c r="B1372" s="96">
        <v>2111047</v>
      </c>
      <c r="C1372" s="96" t="s">
        <v>830</v>
      </c>
      <c r="D1372" s="96" t="s">
        <v>360</v>
      </c>
      <c r="E1372" s="96" t="s">
        <v>623</v>
      </c>
      <c r="F1372" s="96" t="s">
        <v>624</v>
      </c>
      <c r="G1372" s="99">
        <v>295000</v>
      </c>
      <c r="H1372" s="97">
        <v>15.12</v>
      </c>
      <c r="I1372" s="98">
        <v>4460400</v>
      </c>
      <c r="J1372" s="97">
        <v>16.053986748813561</v>
      </c>
      <c r="K1372" s="98">
        <v>-275526.09090000001</v>
      </c>
      <c r="L1372" s="99">
        <v>0</v>
      </c>
      <c r="M1372" s="98">
        <v>0</v>
      </c>
      <c r="N1372" s="99">
        <v>0</v>
      </c>
      <c r="O1372" s="98">
        <v>0</v>
      </c>
      <c r="P1372" s="99">
        <v>295000</v>
      </c>
      <c r="Q1372" s="98">
        <v>4460400</v>
      </c>
      <c r="R1372" s="96" t="s">
        <v>625</v>
      </c>
      <c r="S1372" s="96">
        <v>7414000005</v>
      </c>
      <c r="AA1372" s="131" t="s">
        <v>382</v>
      </c>
      <c r="AB1372" s="130">
        <v>0</v>
      </c>
      <c r="AC1372" s="130">
        <v>0</v>
      </c>
    </row>
    <row r="1373" spans="1:29" x14ac:dyDescent="0.25">
      <c r="A1373" t="str">
        <f t="shared" si="22"/>
        <v xml:space="preserve">2111047ALSEA *             </v>
      </c>
      <c r="B1373" s="96">
        <v>2111047</v>
      </c>
      <c r="C1373" s="96" t="s">
        <v>830</v>
      </c>
      <c r="D1373" s="96" t="s">
        <v>551</v>
      </c>
      <c r="E1373" s="96" t="s">
        <v>623</v>
      </c>
      <c r="F1373" s="96" t="s">
        <v>624</v>
      </c>
      <c r="G1373" s="99">
        <v>5500</v>
      </c>
      <c r="H1373" s="97">
        <v>525.09</v>
      </c>
      <c r="I1373" s="98">
        <v>2887995</v>
      </c>
      <c r="J1373" s="97">
        <v>490.90909818181819</v>
      </c>
      <c r="K1373" s="98">
        <v>187994.96</v>
      </c>
      <c r="L1373" s="99">
        <v>0</v>
      </c>
      <c r="M1373" s="98">
        <v>0</v>
      </c>
      <c r="N1373" s="99">
        <v>0</v>
      </c>
      <c r="O1373" s="98">
        <v>0</v>
      </c>
      <c r="P1373" s="99">
        <v>5500</v>
      </c>
      <c r="Q1373" s="98">
        <v>2887995</v>
      </c>
      <c r="R1373" s="96" t="s">
        <v>625</v>
      </c>
      <c r="S1373" s="96">
        <v>7414000005</v>
      </c>
      <c r="AA1373" s="131" t="s">
        <v>396</v>
      </c>
      <c r="AB1373" s="130">
        <v>0</v>
      </c>
      <c r="AC1373" s="130">
        <v>0</v>
      </c>
    </row>
    <row r="1374" spans="1:29" x14ac:dyDescent="0.25">
      <c r="A1374" t="str">
        <f t="shared" si="22"/>
        <v xml:space="preserve">2111047AMX B               </v>
      </c>
      <c r="B1374" s="96">
        <v>2111047</v>
      </c>
      <c r="C1374" s="96" t="s">
        <v>830</v>
      </c>
      <c r="D1374" s="96" t="s">
        <v>361</v>
      </c>
      <c r="E1374" s="96" t="s">
        <v>623</v>
      </c>
      <c r="F1374" s="96" t="s">
        <v>624</v>
      </c>
      <c r="G1374" s="99">
        <v>12800</v>
      </c>
      <c r="H1374" s="97">
        <v>68.25</v>
      </c>
      <c r="I1374" s="98">
        <v>873600</v>
      </c>
      <c r="J1374" s="97">
        <v>78.649984375000003</v>
      </c>
      <c r="K1374" s="98">
        <v>-133119.79999999999</v>
      </c>
      <c r="L1374" s="99">
        <v>0</v>
      </c>
      <c r="M1374" s="98">
        <v>0</v>
      </c>
      <c r="N1374" s="99">
        <v>0</v>
      </c>
      <c r="O1374" s="98">
        <v>0</v>
      </c>
      <c r="P1374" s="99">
        <v>12800</v>
      </c>
      <c r="Q1374" s="98">
        <v>873600</v>
      </c>
      <c r="R1374" s="96" t="s">
        <v>625</v>
      </c>
      <c r="S1374" s="96">
        <v>7414000005</v>
      </c>
      <c r="AA1374" s="129">
        <v>75225</v>
      </c>
      <c r="AB1374" s="130">
        <v>0</v>
      </c>
      <c r="AC1374" s="130">
        <v>0</v>
      </c>
    </row>
    <row r="1375" spans="1:29" x14ac:dyDescent="0.25">
      <c r="A1375" t="str">
        <f t="shared" si="22"/>
        <v xml:space="preserve">2111047ASUR B              </v>
      </c>
      <c r="B1375" s="96">
        <v>2111047</v>
      </c>
      <c r="C1375" s="96" t="s">
        <v>830</v>
      </c>
      <c r="D1375" s="96" t="s">
        <v>362</v>
      </c>
      <c r="E1375" s="96" t="s">
        <v>623</v>
      </c>
      <c r="F1375" s="96" t="s">
        <v>624</v>
      </c>
      <c r="G1375" s="99">
        <v>358800</v>
      </c>
      <c r="H1375" s="97">
        <v>14.33</v>
      </c>
      <c r="I1375" s="98">
        <v>5141604</v>
      </c>
      <c r="J1375" s="97">
        <v>11.913910953177258</v>
      </c>
      <c r="K1375" s="98">
        <v>866892.75</v>
      </c>
      <c r="L1375" s="99">
        <v>0</v>
      </c>
      <c r="M1375" s="98">
        <v>0</v>
      </c>
      <c r="N1375" s="99">
        <v>0</v>
      </c>
      <c r="O1375" s="98">
        <v>0</v>
      </c>
      <c r="P1375" s="99">
        <v>358800</v>
      </c>
      <c r="Q1375" s="98">
        <v>5141604</v>
      </c>
      <c r="R1375" s="96" t="s">
        <v>625</v>
      </c>
      <c r="S1375" s="96">
        <v>7414000005</v>
      </c>
      <c r="AA1375" s="131" t="s">
        <v>376</v>
      </c>
      <c r="AB1375" s="130">
        <v>0</v>
      </c>
      <c r="AC1375" s="130">
        <v>0</v>
      </c>
    </row>
    <row r="1376" spans="1:29" x14ac:dyDescent="0.25">
      <c r="A1376" t="str">
        <f t="shared" si="22"/>
        <v xml:space="preserve">2111047BIMBO A             </v>
      </c>
      <c r="B1376" s="96">
        <v>2111047</v>
      </c>
      <c r="C1376" s="96" t="s">
        <v>830</v>
      </c>
      <c r="D1376" s="96" t="s">
        <v>422</v>
      </c>
      <c r="E1376" s="96" t="s">
        <v>623</v>
      </c>
      <c r="F1376" s="96" t="s">
        <v>624</v>
      </c>
      <c r="G1376" s="99">
        <v>4144</v>
      </c>
      <c r="H1376" s="97">
        <v>97.654420999999999</v>
      </c>
      <c r="I1376" s="98">
        <v>404679.92062400002</v>
      </c>
      <c r="J1376" s="97">
        <v>98.224185000000006</v>
      </c>
      <c r="K1376" s="98">
        <v>-2361.1020159999998</v>
      </c>
      <c r="L1376" s="99">
        <v>0</v>
      </c>
      <c r="M1376" s="98">
        <v>0</v>
      </c>
      <c r="N1376" s="99">
        <v>0</v>
      </c>
      <c r="O1376" s="98">
        <v>0</v>
      </c>
      <c r="P1376" s="99">
        <v>4144</v>
      </c>
      <c r="Q1376" s="98">
        <v>404679.92062400002</v>
      </c>
      <c r="R1376" s="96" t="s">
        <v>625</v>
      </c>
      <c r="S1376" s="96">
        <v>7414000005</v>
      </c>
      <c r="AA1376" s="131" t="s">
        <v>382</v>
      </c>
      <c r="AB1376" s="130">
        <v>0</v>
      </c>
      <c r="AC1376" s="130">
        <v>0</v>
      </c>
    </row>
    <row r="1377" spans="1:29" x14ac:dyDescent="0.25">
      <c r="A1377" t="str">
        <f t="shared" si="22"/>
        <v xml:space="preserve">2111047CEMEX CPO           </v>
      </c>
      <c r="B1377" s="96">
        <v>2111047</v>
      </c>
      <c r="C1377" s="96" t="s">
        <v>830</v>
      </c>
      <c r="D1377" s="96" t="s">
        <v>363</v>
      </c>
      <c r="E1377" s="96" t="s">
        <v>623</v>
      </c>
      <c r="F1377" s="96" t="s">
        <v>624</v>
      </c>
      <c r="G1377" s="99">
        <v>496336</v>
      </c>
      <c r="H1377" s="97">
        <v>9.4935880000000008</v>
      </c>
      <c r="I1377" s="98">
        <v>4712009.4935680004</v>
      </c>
      <c r="J1377" s="97">
        <v>8.4405498100000003</v>
      </c>
      <c r="K1377" s="98">
        <v>522660.76307183999</v>
      </c>
      <c r="L1377" s="99">
        <v>0</v>
      </c>
      <c r="M1377" s="98">
        <v>0</v>
      </c>
      <c r="N1377" s="99">
        <v>0</v>
      </c>
      <c r="O1377" s="98">
        <v>0</v>
      </c>
      <c r="P1377" s="99">
        <v>496336</v>
      </c>
      <c r="Q1377" s="98">
        <v>4712009.4935680004</v>
      </c>
      <c r="R1377" s="96" t="s">
        <v>625</v>
      </c>
      <c r="S1377" s="96">
        <v>7414000005</v>
      </c>
      <c r="AA1377" s="131" t="s">
        <v>396</v>
      </c>
      <c r="AB1377" s="130">
        <v>0</v>
      </c>
      <c r="AC1377" s="130">
        <v>0</v>
      </c>
    </row>
    <row r="1378" spans="1:29" x14ac:dyDescent="0.25">
      <c r="A1378" t="str">
        <f t="shared" si="22"/>
        <v xml:space="preserve">2111047CETELEM 22          </v>
      </c>
      <c r="B1378" s="96">
        <v>2111047</v>
      </c>
      <c r="C1378" s="96" t="s">
        <v>830</v>
      </c>
      <c r="D1378" s="96" t="s">
        <v>365</v>
      </c>
      <c r="E1378" s="96" t="s">
        <v>623</v>
      </c>
      <c r="F1378" s="96" t="s">
        <v>624</v>
      </c>
      <c r="G1378" s="99">
        <v>7900</v>
      </c>
      <c r="H1378" s="97">
        <v>675.38</v>
      </c>
      <c r="I1378" s="98">
        <v>5335502</v>
      </c>
      <c r="J1378" s="97">
        <v>796.61193670886075</v>
      </c>
      <c r="K1378" s="98">
        <v>-957732.3</v>
      </c>
      <c r="L1378" s="99">
        <v>0</v>
      </c>
      <c r="M1378" s="98">
        <v>0</v>
      </c>
      <c r="N1378" s="99">
        <v>0</v>
      </c>
      <c r="O1378" s="98">
        <v>0</v>
      </c>
      <c r="P1378" s="99">
        <v>7900</v>
      </c>
      <c r="Q1378" s="98">
        <v>5335502</v>
      </c>
      <c r="R1378" s="96" t="s">
        <v>625</v>
      </c>
      <c r="S1378" s="96">
        <v>7414000005</v>
      </c>
      <c r="AA1378" s="129">
        <v>75226</v>
      </c>
      <c r="AB1378" s="130">
        <v>0</v>
      </c>
      <c r="AC1378" s="130">
        <v>0</v>
      </c>
    </row>
    <row r="1379" spans="1:29" x14ac:dyDescent="0.25">
      <c r="A1379" t="str">
        <f t="shared" si="22"/>
        <v xml:space="preserve">2111047CETES 241003        </v>
      </c>
      <c r="B1379" s="96">
        <v>2111047</v>
      </c>
      <c r="C1379" s="96" t="s">
        <v>830</v>
      </c>
      <c r="D1379" s="96" t="s">
        <v>587</v>
      </c>
      <c r="E1379" s="96" t="s">
        <v>623</v>
      </c>
      <c r="F1379" s="96" t="s">
        <v>624</v>
      </c>
      <c r="G1379" s="99">
        <v>0</v>
      </c>
      <c r="H1379" s="97">
        <v>0</v>
      </c>
      <c r="I1379" s="98">
        <v>0</v>
      </c>
      <c r="J1379" s="97">
        <v>0</v>
      </c>
      <c r="K1379" s="98">
        <v>0</v>
      </c>
      <c r="L1379" s="99">
        <v>0</v>
      </c>
      <c r="M1379" s="98">
        <v>0</v>
      </c>
      <c r="N1379" s="99">
        <v>0</v>
      </c>
      <c r="O1379" s="98">
        <v>0</v>
      </c>
      <c r="P1379" s="99">
        <v>0</v>
      </c>
      <c r="Q1379" s="98">
        <v>0</v>
      </c>
      <c r="R1379" s="96" t="s">
        <v>625</v>
      </c>
      <c r="S1379" s="96">
        <v>7414000005</v>
      </c>
      <c r="AA1379" s="131" t="s">
        <v>376</v>
      </c>
      <c r="AB1379" s="130">
        <v>0</v>
      </c>
      <c r="AC1379" s="130">
        <v>0</v>
      </c>
    </row>
    <row r="1380" spans="1:29" x14ac:dyDescent="0.25">
      <c r="A1380" t="str">
        <f t="shared" si="22"/>
        <v xml:space="preserve">2111047EEM *               </v>
      </c>
      <c r="B1380" s="96">
        <v>2111047</v>
      </c>
      <c r="C1380" s="96" t="s">
        <v>830</v>
      </c>
      <c r="D1380" s="96" t="s">
        <v>367</v>
      </c>
      <c r="E1380" s="96" t="s">
        <v>623</v>
      </c>
      <c r="F1380" s="96" t="s">
        <v>624</v>
      </c>
      <c r="G1380" s="99">
        <v>1840</v>
      </c>
      <c r="H1380" s="97">
        <v>700.65</v>
      </c>
      <c r="I1380" s="98">
        <v>1289196</v>
      </c>
      <c r="J1380" s="97">
        <v>813.60809782608692</v>
      </c>
      <c r="K1380" s="98">
        <v>-207842.9</v>
      </c>
      <c r="L1380" s="99">
        <v>0</v>
      </c>
      <c r="M1380" s="98">
        <v>0</v>
      </c>
      <c r="N1380" s="99">
        <v>0</v>
      </c>
      <c r="O1380" s="98">
        <v>0</v>
      </c>
      <c r="P1380" s="99">
        <v>1840</v>
      </c>
      <c r="Q1380" s="98">
        <v>1289196</v>
      </c>
      <c r="R1380" s="96" t="s">
        <v>625</v>
      </c>
      <c r="S1380" s="96">
        <v>7414000005</v>
      </c>
      <c r="AA1380" s="131" t="s">
        <v>382</v>
      </c>
      <c r="AB1380" s="130">
        <v>0</v>
      </c>
      <c r="AC1380" s="130">
        <v>0</v>
      </c>
    </row>
    <row r="1381" spans="1:29" x14ac:dyDescent="0.25">
      <c r="A1381" t="str">
        <f t="shared" si="22"/>
        <v xml:space="preserve">2111047ELEKTRA *           </v>
      </c>
      <c r="B1381" s="96">
        <v>2111047</v>
      </c>
      <c r="C1381" s="96" t="s">
        <v>830</v>
      </c>
      <c r="D1381" s="96" t="s">
        <v>368</v>
      </c>
      <c r="E1381" s="96" t="s">
        <v>623</v>
      </c>
      <c r="F1381" s="96" t="s">
        <v>624</v>
      </c>
      <c r="G1381" s="99">
        <v>3240</v>
      </c>
      <c r="H1381" s="97">
        <v>1151</v>
      </c>
      <c r="I1381" s="98">
        <v>3729240</v>
      </c>
      <c r="J1381" s="97">
        <v>1007.5558302469136</v>
      </c>
      <c r="K1381" s="98">
        <v>464759.11</v>
      </c>
      <c r="L1381" s="99">
        <v>0</v>
      </c>
      <c r="M1381" s="98">
        <v>0</v>
      </c>
      <c r="N1381" s="99">
        <v>0</v>
      </c>
      <c r="O1381" s="98">
        <v>0</v>
      </c>
      <c r="P1381" s="99">
        <v>3240</v>
      </c>
      <c r="Q1381" s="98">
        <v>3729240</v>
      </c>
      <c r="R1381" s="96" t="s">
        <v>625</v>
      </c>
      <c r="S1381" s="96">
        <v>7414000005</v>
      </c>
      <c r="AA1381" s="131" t="s">
        <v>396</v>
      </c>
      <c r="AB1381" s="130">
        <v>0</v>
      </c>
      <c r="AC1381" s="130">
        <v>0</v>
      </c>
    </row>
    <row r="1382" spans="1:29" x14ac:dyDescent="0.25">
      <c r="A1382" t="str">
        <f t="shared" si="22"/>
        <v xml:space="preserve">2111047EPP *               </v>
      </c>
      <c r="B1382" s="96">
        <v>2111047</v>
      </c>
      <c r="C1382" s="96" t="s">
        <v>830</v>
      </c>
      <c r="D1382" s="96" t="s">
        <v>369</v>
      </c>
      <c r="E1382" s="96" t="s">
        <v>623</v>
      </c>
      <c r="F1382" s="96" t="s">
        <v>624</v>
      </c>
      <c r="G1382" s="99">
        <v>26700</v>
      </c>
      <c r="H1382" s="97">
        <v>207.81</v>
      </c>
      <c r="I1382" s="98">
        <v>5548527</v>
      </c>
      <c r="J1382" s="97">
        <v>174.63543595505618</v>
      </c>
      <c r="K1382" s="98">
        <v>885760.86</v>
      </c>
      <c r="L1382" s="99">
        <v>0</v>
      </c>
      <c r="M1382" s="98">
        <v>0</v>
      </c>
      <c r="N1382" s="99">
        <v>0</v>
      </c>
      <c r="O1382" s="98">
        <v>0</v>
      </c>
      <c r="P1382" s="99">
        <v>26700</v>
      </c>
      <c r="Q1382" s="98">
        <v>5548527</v>
      </c>
      <c r="R1382" s="96" t="s">
        <v>625</v>
      </c>
      <c r="S1382" s="96">
        <v>7414000005</v>
      </c>
      <c r="AA1382" s="129">
        <v>75227</v>
      </c>
      <c r="AB1382" s="130">
        <v>0</v>
      </c>
      <c r="AC1382" s="130">
        <v>0</v>
      </c>
    </row>
    <row r="1383" spans="1:29" x14ac:dyDescent="0.25">
      <c r="A1383" t="str">
        <f t="shared" si="22"/>
        <v xml:space="preserve">2111047EWJ *               </v>
      </c>
      <c r="B1383" s="96">
        <v>2111047</v>
      </c>
      <c r="C1383" s="96" t="s">
        <v>830</v>
      </c>
      <c r="D1383" s="96" t="s">
        <v>588</v>
      </c>
      <c r="E1383" s="96" t="s">
        <v>623</v>
      </c>
      <c r="F1383" s="96" t="s">
        <v>624</v>
      </c>
      <c r="G1383" s="99">
        <v>26</v>
      </c>
      <c r="H1383" s="97">
        <v>29</v>
      </c>
      <c r="I1383" s="98">
        <v>754</v>
      </c>
      <c r="J1383" s="97">
        <v>47.323461538461537</v>
      </c>
      <c r="K1383" s="98">
        <v>-476.41</v>
      </c>
      <c r="L1383" s="99">
        <v>0</v>
      </c>
      <c r="M1383" s="98">
        <v>0</v>
      </c>
      <c r="N1383" s="99">
        <v>0</v>
      </c>
      <c r="O1383" s="98">
        <v>0</v>
      </c>
      <c r="P1383" s="99">
        <v>26</v>
      </c>
      <c r="Q1383" s="98">
        <v>754</v>
      </c>
      <c r="R1383" s="96" t="s">
        <v>625</v>
      </c>
      <c r="S1383" s="96">
        <v>7414000005</v>
      </c>
      <c r="AA1383" s="131" t="s">
        <v>376</v>
      </c>
      <c r="AB1383" s="130">
        <v>0</v>
      </c>
      <c r="AC1383" s="130">
        <v>0</v>
      </c>
    </row>
    <row r="1384" spans="1:29" x14ac:dyDescent="0.25">
      <c r="A1384" t="str">
        <f t="shared" si="22"/>
        <v xml:space="preserve">2111047FEMSA UBD           </v>
      </c>
      <c r="B1384" s="96">
        <v>2111047</v>
      </c>
      <c r="C1384" s="96" t="s">
        <v>830</v>
      </c>
      <c r="D1384" s="96" t="s">
        <v>370</v>
      </c>
      <c r="E1384" s="96" t="s">
        <v>623</v>
      </c>
      <c r="F1384" s="96" t="s">
        <v>624</v>
      </c>
      <c r="G1384" s="99">
        <v>2800</v>
      </c>
      <c r="H1384" s="97">
        <v>271.94</v>
      </c>
      <c r="I1384" s="98">
        <v>761432</v>
      </c>
      <c r="J1384" s="97">
        <v>295.71850000000001</v>
      </c>
      <c r="K1384" s="98">
        <v>-66579.8</v>
      </c>
      <c r="L1384" s="99">
        <v>0</v>
      </c>
      <c r="M1384" s="98">
        <v>0</v>
      </c>
      <c r="N1384" s="99">
        <v>0</v>
      </c>
      <c r="O1384" s="98">
        <v>0</v>
      </c>
      <c r="P1384" s="99">
        <v>2800</v>
      </c>
      <c r="Q1384" s="98">
        <v>761432</v>
      </c>
      <c r="R1384" s="96" t="s">
        <v>625</v>
      </c>
      <c r="S1384" s="96">
        <v>7414000005</v>
      </c>
      <c r="AA1384" s="131" t="s">
        <v>382</v>
      </c>
      <c r="AB1384" s="130">
        <v>0</v>
      </c>
      <c r="AC1384" s="130">
        <v>0</v>
      </c>
    </row>
    <row r="1385" spans="1:29" x14ac:dyDescent="0.25">
      <c r="A1385" t="str">
        <f t="shared" si="22"/>
        <v xml:space="preserve">2111047FINAMEX O           </v>
      </c>
      <c r="B1385" s="96">
        <v>2111047</v>
      </c>
      <c r="C1385" s="96" t="s">
        <v>830</v>
      </c>
      <c r="D1385" s="96" t="s">
        <v>371</v>
      </c>
      <c r="E1385" s="96" t="s">
        <v>623</v>
      </c>
      <c r="F1385" s="96" t="s">
        <v>624</v>
      </c>
      <c r="G1385" s="99">
        <v>10000</v>
      </c>
      <c r="H1385" s="97">
        <v>193.15</v>
      </c>
      <c r="I1385" s="98">
        <v>1931500</v>
      </c>
      <c r="J1385" s="97">
        <v>162.51302699999999</v>
      </c>
      <c r="K1385" s="98">
        <v>306369.73</v>
      </c>
      <c r="L1385" s="99">
        <v>0</v>
      </c>
      <c r="M1385" s="98">
        <v>0</v>
      </c>
      <c r="N1385" s="99">
        <v>0</v>
      </c>
      <c r="O1385" s="98">
        <v>0</v>
      </c>
      <c r="P1385" s="99">
        <v>10000</v>
      </c>
      <c r="Q1385" s="98">
        <v>1931500</v>
      </c>
      <c r="R1385" s="96" t="s">
        <v>625</v>
      </c>
      <c r="S1385" s="96">
        <v>7414000005</v>
      </c>
      <c r="AA1385" s="131" t="s">
        <v>396</v>
      </c>
      <c r="AB1385" s="130">
        <v>0</v>
      </c>
      <c r="AC1385" s="130">
        <v>0</v>
      </c>
    </row>
    <row r="1386" spans="1:29" x14ac:dyDescent="0.25">
      <c r="A1386" t="str">
        <f t="shared" si="22"/>
        <v xml:space="preserve">2111047GAP B               </v>
      </c>
      <c r="B1386" s="96">
        <v>2111047</v>
      </c>
      <c r="C1386" s="96" t="s">
        <v>830</v>
      </c>
      <c r="D1386" s="96" t="s">
        <v>372</v>
      </c>
      <c r="E1386" s="96" t="s">
        <v>623</v>
      </c>
      <c r="F1386" s="96" t="s">
        <v>624</v>
      </c>
      <c r="G1386" s="99">
        <v>70000</v>
      </c>
      <c r="H1386" s="97">
        <v>27.12</v>
      </c>
      <c r="I1386" s="98">
        <v>1898400</v>
      </c>
      <c r="J1386" s="97">
        <v>22.283150857142857</v>
      </c>
      <c r="K1386" s="98">
        <v>338579.44</v>
      </c>
      <c r="L1386" s="99">
        <v>0</v>
      </c>
      <c r="M1386" s="98">
        <v>0</v>
      </c>
      <c r="N1386" s="99">
        <v>0</v>
      </c>
      <c r="O1386" s="98">
        <v>0</v>
      </c>
      <c r="P1386" s="99">
        <v>70000</v>
      </c>
      <c r="Q1386" s="98">
        <v>1898400</v>
      </c>
      <c r="R1386" s="96" t="s">
        <v>625</v>
      </c>
      <c r="S1386" s="96">
        <v>7414000005</v>
      </c>
      <c r="AA1386" s="129">
        <v>75228</v>
      </c>
      <c r="AB1386" s="130">
        <v>0</v>
      </c>
      <c r="AC1386" s="130">
        <v>0</v>
      </c>
    </row>
    <row r="1387" spans="1:29" x14ac:dyDescent="0.25">
      <c r="A1387" t="str">
        <f t="shared" si="22"/>
        <v xml:space="preserve">2111047GCC *               </v>
      </c>
      <c r="B1387" s="96">
        <v>2111047</v>
      </c>
      <c r="C1387" s="96" t="s">
        <v>830</v>
      </c>
      <c r="D1387" s="96" t="s">
        <v>373</v>
      </c>
      <c r="E1387" s="96" t="s">
        <v>623</v>
      </c>
      <c r="F1387" s="96" t="s">
        <v>624</v>
      </c>
      <c r="G1387" s="99">
        <v>42000</v>
      </c>
      <c r="H1387" s="97">
        <v>176.44</v>
      </c>
      <c r="I1387" s="98">
        <v>7410480</v>
      </c>
      <c r="J1387" s="97">
        <v>149.58617595238096</v>
      </c>
      <c r="K1387" s="98">
        <v>1127860.6100000001</v>
      </c>
      <c r="L1387" s="99">
        <v>0</v>
      </c>
      <c r="M1387" s="98">
        <v>0</v>
      </c>
      <c r="N1387" s="99">
        <v>0</v>
      </c>
      <c r="O1387" s="98">
        <v>0</v>
      </c>
      <c r="P1387" s="99">
        <v>42000</v>
      </c>
      <c r="Q1387" s="98">
        <v>7410480</v>
      </c>
      <c r="R1387" s="96" t="s">
        <v>625</v>
      </c>
      <c r="S1387" s="96">
        <v>7414000005</v>
      </c>
      <c r="AA1387" s="131" t="s">
        <v>376</v>
      </c>
      <c r="AB1387" s="130">
        <v>0</v>
      </c>
      <c r="AC1387" s="130">
        <v>0</v>
      </c>
    </row>
    <row r="1388" spans="1:29" x14ac:dyDescent="0.25">
      <c r="A1388" t="str">
        <f t="shared" si="22"/>
        <v xml:space="preserve">2111047GENTERA *           </v>
      </c>
      <c r="B1388" s="96">
        <v>2111047</v>
      </c>
      <c r="C1388" s="96" t="s">
        <v>830</v>
      </c>
      <c r="D1388" s="96" t="s">
        <v>589</v>
      </c>
      <c r="E1388" s="96" t="s">
        <v>623</v>
      </c>
      <c r="F1388" s="96" t="s">
        <v>624</v>
      </c>
      <c r="G1388" s="99">
        <v>0</v>
      </c>
      <c r="H1388" s="97">
        <v>0</v>
      </c>
      <c r="I1388" s="98">
        <v>0</v>
      </c>
      <c r="J1388" s="97">
        <v>0</v>
      </c>
      <c r="K1388" s="98">
        <v>0</v>
      </c>
      <c r="L1388" s="99">
        <v>0</v>
      </c>
      <c r="M1388" s="98">
        <v>0</v>
      </c>
      <c r="N1388" s="99">
        <v>0</v>
      </c>
      <c r="O1388" s="98">
        <v>0</v>
      </c>
      <c r="P1388" s="99">
        <v>0</v>
      </c>
      <c r="Q1388" s="98">
        <v>0</v>
      </c>
      <c r="R1388" s="96" t="s">
        <v>625</v>
      </c>
      <c r="S1388" s="96">
        <v>7414000005</v>
      </c>
      <c r="AA1388" s="131" t="s">
        <v>382</v>
      </c>
      <c r="AB1388" s="130">
        <v>0</v>
      </c>
      <c r="AC1388" s="130">
        <v>0</v>
      </c>
    </row>
    <row r="1389" spans="1:29" x14ac:dyDescent="0.25">
      <c r="A1389" t="str">
        <f t="shared" si="22"/>
        <v xml:space="preserve">2111047GFNORTE O           </v>
      </c>
      <c r="B1389" s="96">
        <v>2111047</v>
      </c>
      <c r="C1389" s="96" t="s">
        <v>830</v>
      </c>
      <c r="D1389" s="96" t="s">
        <v>374</v>
      </c>
      <c r="E1389" s="96" t="s">
        <v>623</v>
      </c>
      <c r="F1389" s="96" t="s">
        <v>624</v>
      </c>
      <c r="G1389" s="99">
        <v>53500</v>
      </c>
      <c r="H1389" s="97">
        <v>104.12</v>
      </c>
      <c r="I1389" s="98">
        <v>5570420</v>
      </c>
      <c r="J1389" s="97">
        <v>83.734060747663548</v>
      </c>
      <c r="K1389" s="98">
        <v>1090647.75</v>
      </c>
      <c r="L1389" s="99">
        <v>0</v>
      </c>
      <c r="M1389" s="98">
        <v>0</v>
      </c>
      <c r="N1389" s="99">
        <v>0</v>
      </c>
      <c r="O1389" s="98">
        <v>0</v>
      </c>
      <c r="P1389" s="99">
        <v>53500</v>
      </c>
      <c r="Q1389" s="98">
        <v>5570420</v>
      </c>
      <c r="R1389" s="96" t="s">
        <v>625</v>
      </c>
      <c r="S1389" s="96">
        <v>7414000005</v>
      </c>
      <c r="AA1389" s="131" t="s">
        <v>396</v>
      </c>
      <c r="AB1389" s="130">
        <v>0</v>
      </c>
      <c r="AC1389" s="130">
        <v>0</v>
      </c>
    </row>
    <row r="1390" spans="1:29" x14ac:dyDescent="0.25">
      <c r="A1390" t="str">
        <f t="shared" si="22"/>
        <v xml:space="preserve">2111047GFREGIO O           </v>
      </c>
      <c r="B1390" s="96">
        <v>2111047</v>
      </c>
      <c r="C1390" s="96" t="s">
        <v>830</v>
      </c>
      <c r="D1390" s="96" t="s">
        <v>375</v>
      </c>
      <c r="E1390" s="96" t="s">
        <v>623</v>
      </c>
      <c r="F1390" s="96" t="s">
        <v>624</v>
      </c>
      <c r="G1390" s="99">
        <v>16870</v>
      </c>
      <c r="H1390" s="97">
        <v>98.730349000000004</v>
      </c>
      <c r="I1390" s="98">
        <v>1665580.9876300001</v>
      </c>
      <c r="J1390" s="97">
        <v>104.81191507</v>
      </c>
      <c r="K1390" s="98">
        <v>-102596.01960090001</v>
      </c>
      <c r="L1390" s="99">
        <v>0</v>
      </c>
      <c r="M1390" s="98">
        <v>0</v>
      </c>
      <c r="N1390" s="99">
        <v>0</v>
      </c>
      <c r="O1390" s="98">
        <v>0</v>
      </c>
      <c r="P1390" s="99">
        <v>16870</v>
      </c>
      <c r="Q1390" s="98">
        <v>1665580.9876300001</v>
      </c>
      <c r="R1390" s="96" t="s">
        <v>625</v>
      </c>
      <c r="S1390" s="96">
        <v>7414000005</v>
      </c>
      <c r="AA1390" s="129">
        <v>77704</v>
      </c>
      <c r="AB1390" s="130">
        <v>0</v>
      </c>
      <c r="AC1390" s="130">
        <v>0</v>
      </c>
    </row>
    <row r="1391" spans="1:29" x14ac:dyDescent="0.25">
      <c r="A1391" t="str">
        <f t="shared" si="22"/>
        <v xml:space="preserve">2111047GMEXICO B           </v>
      </c>
      <c r="B1391" s="96">
        <v>2111047</v>
      </c>
      <c r="C1391" s="96" t="s">
        <v>830</v>
      </c>
      <c r="D1391" s="96" t="s">
        <v>376</v>
      </c>
      <c r="E1391" s="96" t="s">
        <v>623</v>
      </c>
      <c r="F1391" s="96" t="s">
        <v>624</v>
      </c>
      <c r="G1391" s="99">
        <v>61213</v>
      </c>
      <c r="H1391" s="97">
        <v>99.247497999999993</v>
      </c>
      <c r="I1391" s="98">
        <v>6075237.0950739998</v>
      </c>
      <c r="J1391" s="97">
        <v>112.18854429897604</v>
      </c>
      <c r="K1391" s="98">
        <v>-792160.26709921996</v>
      </c>
      <c r="L1391" s="99">
        <v>0</v>
      </c>
      <c r="M1391" s="98">
        <v>0</v>
      </c>
      <c r="N1391" s="99">
        <v>0</v>
      </c>
      <c r="O1391" s="98">
        <v>0</v>
      </c>
      <c r="P1391" s="99">
        <v>61213</v>
      </c>
      <c r="Q1391" s="98">
        <v>6075237.0950739998</v>
      </c>
      <c r="R1391" s="96" t="s">
        <v>625</v>
      </c>
      <c r="S1391" s="96">
        <v>7414000005</v>
      </c>
      <c r="AA1391" s="131" t="s">
        <v>376</v>
      </c>
      <c r="AB1391" s="130">
        <v>0</v>
      </c>
      <c r="AC1391" s="130">
        <v>0</v>
      </c>
    </row>
    <row r="1392" spans="1:29" x14ac:dyDescent="0.25">
      <c r="A1392" t="str">
        <f t="shared" si="22"/>
        <v xml:space="preserve">2111047GOBFED 240905       </v>
      </c>
      <c r="B1392" s="96">
        <v>2111047</v>
      </c>
      <c r="C1392" s="96" t="s">
        <v>830</v>
      </c>
      <c r="D1392" s="96" t="s">
        <v>377</v>
      </c>
      <c r="E1392" s="96" t="s">
        <v>623</v>
      </c>
      <c r="F1392" s="96" t="s">
        <v>624</v>
      </c>
      <c r="G1392" s="99">
        <v>15900</v>
      </c>
      <c r="H1392" s="97">
        <v>94.973146999999997</v>
      </c>
      <c r="I1392" s="98">
        <v>1510073.0373</v>
      </c>
      <c r="J1392" s="97">
        <v>89.738008707484283</v>
      </c>
      <c r="K1392" s="98">
        <v>83238.698850999994</v>
      </c>
      <c r="L1392" s="99">
        <v>0</v>
      </c>
      <c r="M1392" s="98">
        <v>0</v>
      </c>
      <c r="N1392" s="99">
        <v>0</v>
      </c>
      <c r="O1392" s="98">
        <v>0</v>
      </c>
      <c r="P1392" s="99">
        <v>15900</v>
      </c>
      <c r="Q1392" s="98">
        <v>1510073.0373</v>
      </c>
      <c r="R1392" s="96" t="s">
        <v>625</v>
      </c>
      <c r="S1392" s="96">
        <v>7414000005</v>
      </c>
      <c r="AA1392" s="129">
        <v>78665</v>
      </c>
      <c r="AB1392" s="130">
        <v>530545967.33873898</v>
      </c>
      <c r="AC1392" s="130">
        <v>530545967.33873898</v>
      </c>
    </row>
    <row r="1393" spans="1:29" x14ac:dyDescent="0.25">
      <c r="A1393" t="str">
        <f t="shared" si="22"/>
        <v xml:space="preserve">2111047GOBFED 241205       </v>
      </c>
      <c r="B1393" s="96">
        <v>2111047</v>
      </c>
      <c r="C1393" s="96" t="s">
        <v>830</v>
      </c>
      <c r="D1393" s="96" t="s">
        <v>378</v>
      </c>
      <c r="E1393" s="96" t="s">
        <v>623</v>
      </c>
      <c r="F1393" s="96" t="s">
        <v>624</v>
      </c>
      <c r="G1393" s="99">
        <v>81931</v>
      </c>
      <c r="H1393" s="97">
        <v>91.911821000000003</v>
      </c>
      <c r="I1393" s="98">
        <v>7530427.4063510001</v>
      </c>
      <c r="J1393" s="97">
        <v>93.2088459</v>
      </c>
      <c r="K1393" s="98">
        <v>-106266.5470819</v>
      </c>
      <c r="L1393" s="99">
        <v>0</v>
      </c>
      <c r="M1393" s="98">
        <v>0</v>
      </c>
      <c r="N1393" s="99">
        <v>0</v>
      </c>
      <c r="O1393" s="98">
        <v>0</v>
      </c>
      <c r="P1393" s="99">
        <v>81931</v>
      </c>
      <c r="Q1393" s="98">
        <v>7530427.4063510001</v>
      </c>
      <c r="R1393" s="96" t="s">
        <v>625</v>
      </c>
      <c r="S1393" s="96">
        <v>7414000005</v>
      </c>
      <c r="AA1393" s="131" t="s">
        <v>480</v>
      </c>
      <c r="AB1393" s="130">
        <v>2413756.7334989998</v>
      </c>
      <c r="AC1393" s="130">
        <v>2413756.7334989998</v>
      </c>
    </row>
    <row r="1394" spans="1:29" x14ac:dyDescent="0.25">
      <c r="A1394" t="str">
        <f t="shared" si="22"/>
        <v xml:space="preserve">2111047GOBFED 250306       </v>
      </c>
      <c r="B1394" s="96">
        <v>2111047</v>
      </c>
      <c r="C1394" s="96" t="s">
        <v>830</v>
      </c>
      <c r="D1394" s="96" t="s">
        <v>499</v>
      </c>
      <c r="E1394" s="96" t="s">
        <v>623</v>
      </c>
      <c r="F1394" s="96" t="s">
        <v>624</v>
      </c>
      <c r="G1394" s="99">
        <v>27710</v>
      </c>
      <c r="H1394" s="97">
        <v>92.954503000000003</v>
      </c>
      <c r="I1394" s="98">
        <v>2575769.27813</v>
      </c>
      <c r="J1394" s="97">
        <v>93.326365911183686</v>
      </c>
      <c r="K1394" s="98">
        <v>-10304.321268899999</v>
      </c>
      <c r="L1394" s="99">
        <v>0</v>
      </c>
      <c r="M1394" s="98">
        <v>0</v>
      </c>
      <c r="N1394" s="99">
        <v>0</v>
      </c>
      <c r="O1394" s="98">
        <v>0</v>
      </c>
      <c r="P1394" s="99">
        <v>27710</v>
      </c>
      <c r="Q1394" s="98">
        <v>2575769.27813</v>
      </c>
      <c r="R1394" s="96" t="s">
        <v>625</v>
      </c>
      <c r="S1394" s="96">
        <v>7414000005</v>
      </c>
      <c r="AA1394" s="131" t="s">
        <v>413</v>
      </c>
      <c r="AB1394" s="130">
        <v>528132210.60523999</v>
      </c>
      <c r="AC1394" s="130">
        <v>528132210.60523999</v>
      </c>
    </row>
    <row r="1395" spans="1:29" x14ac:dyDescent="0.25">
      <c r="A1395" t="str">
        <f t="shared" si="22"/>
        <v xml:space="preserve">2111047GOBFED 260305       </v>
      </c>
      <c r="B1395" s="96">
        <v>2111047</v>
      </c>
      <c r="C1395" s="96" t="s">
        <v>830</v>
      </c>
      <c r="D1395" s="96" t="s">
        <v>379</v>
      </c>
      <c r="E1395" s="96" t="s">
        <v>623</v>
      </c>
      <c r="F1395" s="96" t="s">
        <v>624</v>
      </c>
      <c r="G1395" s="99">
        <v>33345</v>
      </c>
      <c r="H1395" s="97">
        <v>88.698122999999995</v>
      </c>
      <c r="I1395" s="98">
        <v>2957638.9114350001</v>
      </c>
      <c r="J1395" s="97">
        <v>85.578866967004046</v>
      </c>
      <c r="K1395" s="98">
        <v>104011.59242025</v>
      </c>
      <c r="L1395" s="99">
        <v>0</v>
      </c>
      <c r="M1395" s="98">
        <v>0</v>
      </c>
      <c r="N1395" s="99">
        <v>0</v>
      </c>
      <c r="O1395" s="98">
        <v>0</v>
      </c>
      <c r="P1395" s="99">
        <v>33345</v>
      </c>
      <c r="Q1395" s="98">
        <v>2957638.9114350001</v>
      </c>
      <c r="R1395" s="96" t="s">
        <v>625</v>
      </c>
      <c r="S1395" s="96">
        <v>7414000005</v>
      </c>
      <c r="AA1395" s="129">
        <v>78666</v>
      </c>
      <c r="AB1395" s="130">
        <v>1539821985.9903059</v>
      </c>
      <c r="AC1395" s="130">
        <v>1539821985.9903059</v>
      </c>
    </row>
    <row r="1396" spans="1:29" x14ac:dyDescent="0.25">
      <c r="A1396" t="str">
        <f t="shared" si="22"/>
        <v xml:space="preserve">2111047GOBFED 260903       </v>
      </c>
      <c r="B1396" s="96">
        <v>2111047</v>
      </c>
      <c r="C1396" s="96" t="s">
        <v>830</v>
      </c>
      <c r="D1396" s="96" t="s">
        <v>380</v>
      </c>
      <c r="E1396" s="96" t="s">
        <v>623</v>
      </c>
      <c r="F1396" s="96" t="s">
        <v>624</v>
      </c>
      <c r="G1396" s="99">
        <v>70810</v>
      </c>
      <c r="H1396" s="97">
        <v>93.314192000000006</v>
      </c>
      <c r="I1396" s="98">
        <v>6607577.9355199998</v>
      </c>
      <c r="J1396" s="97">
        <v>99.815062490608668</v>
      </c>
      <c r="K1396" s="98">
        <v>-460326.63944</v>
      </c>
      <c r="L1396" s="99">
        <v>0</v>
      </c>
      <c r="M1396" s="98">
        <v>0</v>
      </c>
      <c r="N1396" s="99">
        <v>0</v>
      </c>
      <c r="O1396" s="98">
        <v>0</v>
      </c>
      <c r="P1396" s="99">
        <v>70810</v>
      </c>
      <c r="Q1396" s="98">
        <v>6607577.9355199998</v>
      </c>
      <c r="R1396" s="96" t="s">
        <v>625</v>
      </c>
      <c r="S1396" s="96">
        <v>7414000005</v>
      </c>
      <c r="AA1396" s="131" t="s">
        <v>413</v>
      </c>
      <c r="AB1396" s="130">
        <v>1539821985.9903059</v>
      </c>
      <c r="AC1396" s="130">
        <v>1539821985.9903059</v>
      </c>
    </row>
    <row r="1397" spans="1:29" x14ac:dyDescent="0.25">
      <c r="A1397" t="str">
        <f t="shared" si="22"/>
        <v xml:space="preserve">2111047GOBFED 270304       </v>
      </c>
      <c r="B1397" s="96">
        <v>2111047</v>
      </c>
      <c r="C1397" s="96" t="s">
        <v>830</v>
      </c>
      <c r="D1397" s="96" t="s">
        <v>507</v>
      </c>
      <c r="E1397" s="96" t="s">
        <v>623</v>
      </c>
      <c r="F1397" s="96" t="s">
        <v>624</v>
      </c>
      <c r="G1397" s="99">
        <v>15230</v>
      </c>
      <c r="H1397" s="97">
        <v>94.864168000000006</v>
      </c>
      <c r="I1397" s="98">
        <v>1444781.2786399999</v>
      </c>
      <c r="J1397" s="97">
        <v>96.596719710000002</v>
      </c>
      <c r="K1397" s="98">
        <v>-26386.762543299999</v>
      </c>
      <c r="L1397" s="99">
        <v>0</v>
      </c>
      <c r="M1397" s="98">
        <v>0</v>
      </c>
      <c r="N1397" s="99">
        <v>0</v>
      </c>
      <c r="O1397" s="98">
        <v>0</v>
      </c>
      <c r="P1397" s="99">
        <v>15230</v>
      </c>
      <c r="Q1397" s="98">
        <v>1444781.2786399999</v>
      </c>
      <c r="R1397" s="96" t="s">
        <v>625</v>
      </c>
      <c r="S1397" s="96">
        <v>7414000005</v>
      </c>
      <c r="AA1397" s="129">
        <v>78669</v>
      </c>
      <c r="AB1397" s="130">
        <v>1728508607.6036758</v>
      </c>
      <c r="AC1397" s="130">
        <v>1728508607.6036758</v>
      </c>
    </row>
    <row r="1398" spans="1:29" x14ac:dyDescent="0.25">
      <c r="A1398" t="str">
        <f t="shared" si="22"/>
        <v xml:space="preserve">2111047GOBFED 270603       </v>
      </c>
      <c r="B1398" s="96">
        <v>2111047</v>
      </c>
      <c r="C1398" s="96" t="s">
        <v>830</v>
      </c>
      <c r="D1398" s="96" t="s">
        <v>381</v>
      </c>
      <c r="E1398" s="96" t="s">
        <v>623</v>
      </c>
      <c r="F1398" s="96" t="s">
        <v>624</v>
      </c>
      <c r="G1398" s="99">
        <v>123071</v>
      </c>
      <c r="H1398" s="97">
        <v>94.870157000000006</v>
      </c>
      <c r="I1398" s="98">
        <v>11675765.092147</v>
      </c>
      <c r="J1398" s="97">
        <v>96.987526756170098</v>
      </c>
      <c r="K1398" s="98">
        <v>-260586.81326160999</v>
      </c>
      <c r="L1398" s="99">
        <v>0</v>
      </c>
      <c r="M1398" s="98">
        <v>0</v>
      </c>
      <c r="N1398" s="99">
        <v>0</v>
      </c>
      <c r="O1398" s="98">
        <v>0</v>
      </c>
      <c r="P1398" s="99">
        <v>123071</v>
      </c>
      <c r="Q1398" s="98">
        <v>11675765.092147</v>
      </c>
      <c r="R1398" s="96" t="s">
        <v>625</v>
      </c>
      <c r="S1398" s="96">
        <v>7414000005</v>
      </c>
      <c r="AA1398" s="131" t="s">
        <v>366</v>
      </c>
      <c r="AB1398" s="130">
        <v>44802929.479999997</v>
      </c>
      <c r="AC1398" s="130">
        <v>44802929.479999997</v>
      </c>
    </row>
    <row r="1399" spans="1:29" x14ac:dyDescent="0.25">
      <c r="A1399" t="str">
        <f t="shared" si="22"/>
        <v xml:space="preserve">2111047GOBFED 290301       </v>
      </c>
      <c r="B1399" s="96">
        <v>2111047</v>
      </c>
      <c r="C1399" s="96" t="s">
        <v>830</v>
      </c>
      <c r="D1399" s="96" t="s">
        <v>382</v>
      </c>
      <c r="E1399" s="96" t="s">
        <v>623</v>
      </c>
      <c r="F1399" s="96" t="s">
        <v>624</v>
      </c>
      <c r="G1399" s="99">
        <v>57611</v>
      </c>
      <c r="H1399" s="97">
        <v>89.489464999999996</v>
      </c>
      <c r="I1399" s="98">
        <v>5155577.5681149997</v>
      </c>
      <c r="J1399" s="97">
        <v>92.773634099999995</v>
      </c>
      <c r="K1399" s="98">
        <v>-189204.26602010001</v>
      </c>
      <c r="L1399" s="99">
        <v>0</v>
      </c>
      <c r="M1399" s="98">
        <v>0</v>
      </c>
      <c r="N1399" s="99">
        <v>0</v>
      </c>
      <c r="O1399" s="98">
        <v>0</v>
      </c>
      <c r="P1399" s="99">
        <v>57611</v>
      </c>
      <c r="Q1399" s="98">
        <v>5155577.5681149997</v>
      </c>
      <c r="R1399" s="96" t="s">
        <v>625</v>
      </c>
      <c r="S1399" s="96">
        <v>7414000005</v>
      </c>
      <c r="AA1399" s="131" t="s">
        <v>427</v>
      </c>
      <c r="AB1399" s="130">
        <v>90223161.595847994</v>
      </c>
      <c r="AC1399" s="130">
        <v>90223161.595847994</v>
      </c>
    </row>
    <row r="1400" spans="1:29" x14ac:dyDescent="0.25">
      <c r="A1400" t="str">
        <f t="shared" si="22"/>
        <v xml:space="preserve">2111047GOBFED 290531       </v>
      </c>
      <c r="B1400" s="96">
        <v>2111047</v>
      </c>
      <c r="C1400" s="96" t="s">
        <v>830</v>
      </c>
      <c r="D1400" s="96" t="s">
        <v>383</v>
      </c>
      <c r="E1400" s="96" t="s">
        <v>623</v>
      </c>
      <c r="F1400" s="96" t="s">
        <v>624</v>
      </c>
      <c r="G1400" s="99">
        <v>101568</v>
      </c>
      <c r="H1400" s="97">
        <v>86.197128000000006</v>
      </c>
      <c r="I1400" s="98">
        <v>8754869.8967039995</v>
      </c>
      <c r="J1400" s="97">
        <v>89.792510955853814</v>
      </c>
      <c r="K1400" s="98">
        <v>-365175.85606015997</v>
      </c>
      <c r="L1400" s="99">
        <v>0</v>
      </c>
      <c r="M1400" s="98">
        <v>0</v>
      </c>
      <c r="N1400" s="99">
        <v>0</v>
      </c>
      <c r="O1400" s="98">
        <v>0</v>
      </c>
      <c r="P1400" s="99">
        <v>101568</v>
      </c>
      <c r="Q1400" s="98">
        <v>8754869.8967039995</v>
      </c>
      <c r="R1400" s="96" t="s">
        <v>625</v>
      </c>
      <c r="S1400" s="96">
        <v>7414000005</v>
      </c>
      <c r="AA1400" s="131" t="s">
        <v>418</v>
      </c>
      <c r="AB1400" s="130">
        <v>61333196.004960001</v>
      </c>
      <c r="AC1400" s="130">
        <v>61333196.004960001</v>
      </c>
    </row>
    <row r="1401" spans="1:29" x14ac:dyDescent="0.25">
      <c r="A1401" t="str">
        <f t="shared" si="22"/>
        <v xml:space="preserve">2111047GOBFED 310529       </v>
      </c>
      <c r="B1401" s="96">
        <v>2111047</v>
      </c>
      <c r="C1401" s="96" t="s">
        <v>830</v>
      </c>
      <c r="D1401" s="96" t="s">
        <v>427</v>
      </c>
      <c r="E1401" s="96" t="s">
        <v>623</v>
      </c>
      <c r="F1401" s="96" t="s">
        <v>624</v>
      </c>
      <c r="G1401" s="99">
        <v>81398</v>
      </c>
      <c r="H1401" s="97">
        <v>86.469353999999996</v>
      </c>
      <c r="I1401" s="98">
        <v>7038432.4768920001</v>
      </c>
      <c r="J1401" s="97">
        <v>91.628784022628807</v>
      </c>
      <c r="K1401" s="98">
        <v>-419967.28498194</v>
      </c>
      <c r="L1401" s="99">
        <v>0</v>
      </c>
      <c r="M1401" s="98">
        <v>0</v>
      </c>
      <c r="N1401" s="99">
        <v>0</v>
      </c>
      <c r="O1401" s="98">
        <v>0</v>
      </c>
      <c r="P1401" s="99">
        <v>81398</v>
      </c>
      <c r="Q1401" s="98">
        <v>7038432.4768920001</v>
      </c>
      <c r="R1401" s="96" t="s">
        <v>625</v>
      </c>
      <c r="S1401" s="96">
        <v>7414000005</v>
      </c>
      <c r="AA1401" s="131" t="s">
        <v>408</v>
      </c>
      <c r="AB1401" s="130">
        <v>130341172.088</v>
      </c>
      <c r="AC1401" s="130">
        <v>130341172.088</v>
      </c>
    </row>
    <row r="1402" spans="1:29" x14ac:dyDescent="0.25">
      <c r="A1402" t="str">
        <f t="shared" si="22"/>
        <v xml:space="preserve">2111047GOBFED 330526       </v>
      </c>
      <c r="B1402" s="96">
        <v>2111047</v>
      </c>
      <c r="C1402" s="96" t="s">
        <v>830</v>
      </c>
      <c r="D1402" s="96" t="s">
        <v>418</v>
      </c>
      <c r="E1402" s="96" t="s">
        <v>623</v>
      </c>
      <c r="F1402" s="96" t="s">
        <v>624</v>
      </c>
      <c r="G1402" s="99">
        <v>6218</v>
      </c>
      <c r="H1402" s="97">
        <v>101.45096599999999</v>
      </c>
      <c r="I1402" s="98">
        <v>630822.10658799997</v>
      </c>
      <c r="J1402" s="97">
        <v>114.11447106</v>
      </c>
      <c r="K1402" s="98">
        <v>-78741.674463079995</v>
      </c>
      <c r="L1402" s="99">
        <v>0</v>
      </c>
      <c r="M1402" s="98">
        <v>0</v>
      </c>
      <c r="N1402" s="99">
        <v>0</v>
      </c>
      <c r="O1402" s="98">
        <v>0</v>
      </c>
      <c r="P1402" s="99">
        <v>6218</v>
      </c>
      <c r="Q1402" s="98">
        <v>630822.10658799997</v>
      </c>
      <c r="R1402" s="96" t="s">
        <v>625</v>
      </c>
      <c r="S1402" s="96">
        <v>7414000005</v>
      </c>
      <c r="AA1402" s="131" t="s">
        <v>384</v>
      </c>
      <c r="AB1402" s="130">
        <v>202033041.13453999</v>
      </c>
      <c r="AC1402" s="130">
        <v>202033041.13453999</v>
      </c>
    </row>
    <row r="1403" spans="1:29" x14ac:dyDescent="0.25">
      <c r="A1403" t="str">
        <f t="shared" si="22"/>
        <v xml:space="preserve">2111047GOBFED 341123       </v>
      </c>
      <c r="B1403" s="96">
        <v>2111047</v>
      </c>
      <c r="C1403" s="96" t="s">
        <v>830</v>
      </c>
      <c r="D1403" s="96" t="s">
        <v>408</v>
      </c>
      <c r="E1403" s="96" t="s">
        <v>623</v>
      </c>
      <c r="F1403" s="96" t="s">
        <v>624</v>
      </c>
      <c r="G1403" s="99">
        <v>8901</v>
      </c>
      <c r="H1403" s="97">
        <v>89.643172000000007</v>
      </c>
      <c r="I1403" s="98">
        <v>797913.87397199997</v>
      </c>
      <c r="J1403" s="97">
        <v>108.51503560664307</v>
      </c>
      <c r="K1403" s="98">
        <v>-167978.45796273</v>
      </c>
      <c r="L1403" s="99">
        <v>0</v>
      </c>
      <c r="M1403" s="98">
        <v>0</v>
      </c>
      <c r="N1403" s="99">
        <v>0</v>
      </c>
      <c r="O1403" s="98">
        <v>0</v>
      </c>
      <c r="P1403" s="99">
        <v>8901</v>
      </c>
      <c r="Q1403" s="98">
        <v>797913.87397199997</v>
      </c>
      <c r="R1403" s="96" t="s">
        <v>625</v>
      </c>
      <c r="S1403" s="96">
        <v>7414000005</v>
      </c>
      <c r="AA1403" s="131" t="s">
        <v>395</v>
      </c>
      <c r="AB1403" s="130">
        <v>50378606.651735</v>
      </c>
      <c r="AC1403" s="130">
        <v>50378606.651735</v>
      </c>
    </row>
    <row r="1404" spans="1:29" x14ac:dyDescent="0.25">
      <c r="A1404" t="str">
        <f t="shared" si="22"/>
        <v xml:space="preserve">2111047GOBFED 361120       </v>
      </c>
      <c r="B1404" s="96">
        <v>2111047</v>
      </c>
      <c r="C1404" s="96" t="s">
        <v>830</v>
      </c>
      <c r="D1404" s="96" t="s">
        <v>384</v>
      </c>
      <c r="E1404" s="96" t="s">
        <v>623</v>
      </c>
      <c r="F1404" s="96" t="s">
        <v>624</v>
      </c>
      <c r="G1404" s="99">
        <v>44784</v>
      </c>
      <c r="H1404" s="97">
        <v>81.738860000000003</v>
      </c>
      <c r="I1404" s="98">
        <v>3660593.1062400001</v>
      </c>
      <c r="J1404" s="97">
        <v>86.36497088574491</v>
      </c>
      <c r="K1404" s="98">
        <v>-207175.74990719999</v>
      </c>
      <c r="L1404" s="99">
        <v>0</v>
      </c>
      <c r="M1404" s="98">
        <v>0</v>
      </c>
      <c r="N1404" s="99">
        <v>0</v>
      </c>
      <c r="O1404" s="98">
        <v>0</v>
      </c>
      <c r="P1404" s="99">
        <v>44784</v>
      </c>
      <c r="Q1404" s="98">
        <v>3660593.1062400001</v>
      </c>
      <c r="R1404" s="96" t="s">
        <v>625</v>
      </c>
      <c r="S1404" s="96">
        <v>7414000005</v>
      </c>
      <c r="AA1404" s="131" t="s">
        <v>396</v>
      </c>
      <c r="AB1404" s="130">
        <v>36457847.591360003</v>
      </c>
      <c r="AC1404" s="130">
        <v>36457847.591360003</v>
      </c>
    </row>
    <row r="1405" spans="1:29" x14ac:dyDescent="0.25">
      <c r="A1405" t="str">
        <f t="shared" si="22"/>
        <v xml:space="preserve">2111047GOBFED 381118       </v>
      </c>
      <c r="B1405" s="96">
        <v>2111047</v>
      </c>
      <c r="C1405" s="96" t="s">
        <v>830</v>
      </c>
      <c r="D1405" s="96" t="s">
        <v>385</v>
      </c>
      <c r="E1405" s="96" t="s">
        <v>623</v>
      </c>
      <c r="F1405" s="96" t="s">
        <v>624</v>
      </c>
      <c r="G1405" s="99">
        <v>25156</v>
      </c>
      <c r="H1405" s="97">
        <v>83.200761</v>
      </c>
      <c r="I1405" s="98">
        <v>2092998.343716</v>
      </c>
      <c r="J1405" s="97">
        <v>94.635641742949588</v>
      </c>
      <c r="K1405" s="98">
        <v>-287655.85996963998</v>
      </c>
      <c r="L1405" s="99">
        <v>0</v>
      </c>
      <c r="M1405" s="98">
        <v>0</v>
      </c>
      <c r="N1405" s="99">
        <v>0</v>
      </c>
      <c r="O1405" s="98">
        <v>0</v>
      </c>
      <c r="P1405" s="99">
        <v>25156</v>
      </c>
      <c r="Q1405" s="98">
        <v>2092998.343716</v>
      </c>
      <c r="R1405" s="96" t="s">
        <v>625</v>
      </c>
      <c r="S1405" s="96">
        <v>7414000005</v>
      </c>
      <c r="AA1405" s="131" t="s">
        <v>398</v>
      </c>
      <c r="AB1405" s="130">
        <v>44570410.196771003</v>
      </c>
      <c r="AC1405" s="130">
        <v>44570410.196771003</v>
      </c>
    </row>
    <row r="1406" spans="1:29" x14ac:dyDescent="0.25">
      <c r="A1406" t="str">
        <f t="shared" si="22"/>
        <v xml:space="preserve">2111047GOBFED 421113       </v>
      </c>
      <c r="B1406" s="96">
        <v>2111047</v>
      </c>
      <c r="C1406" s="96" t="s">
        <v>830</v>
      </c>
      <c r="D1406" s="96" t="s">
        <v>386</v>
      </c>
      <c r="E1406" s="96" t="s">
        <v>623</v>
      </c>
      <c r="F1406" s="96" t="s">
        <v>624</v>
      </c>
      <c r="G1406" s="99">
        <v>91319</v>
      </c>
      <c r="H1406" s="97">
        <v>82.159907000000004</v>
      </c>
      <c r="I1406" s="98">
        <v>7502760.5473330002</v>
      </c>
      <c r="J1406" s="97">
        <v>84.284051838287539</v>
      </c>
      <c r="K1406" s="98">
        <v>-193974.78248758</v>
      </c>
      <c r="L1406" s="99">
        <v>0</v>
      </c>
      <c r="M1406" s="98">
        <v>0</v>
      </c>
      <c r="N1406" s="99">
        <v>0</v>
      </c>
      <c r="O1406" s="98">
        <v>0</v>
      </c>
      <c r="P1406" s="99">
        <v>91319</v>
      </c>
      <c r="Q1406" s="98">
        <v>7502760.5473330002</v>
      </c>
      <c r="R1406" s="96" t="s">
        <v>625</v>
      </c>
      <c r="S1406" s="96">
        <v>7414000005</v>
      </c>
      <c r="AA1406" s="131" t="s">
        <v>357</v>
      </c>
      <c r="AB1406" s="130">
        <v>2613920</v>
      </c>
      <c r="AC1406" s="130">
        <v>2613920</v>
      </c>
    </row>
    <row r="1407" spans="1:29" x14ac:dyDescent="0.25">
      <c r="A1407" t="str">
        <f t="shared" si="22"/>
        <v xml:space="preserve">2111047GOBFED 471107       </v>
      </c>
      <c r="B1407" s="96">
        <v>2111047</v>
      </c>
      <c r="C1407" s="96" t="s">
        <v>830</v>
      </c>
      <c r="D1407" s="96" t="s">
        <v>387</v>
      </c>
      <c r="E1407" s="96" t="s">
        <v>623</v>
      </c>
      <c r="F1407" s="96" t="s">
        <v>624</v>
      </c>
      <c r="G1407" s="99">
        <v>4600</v>
      </c>
      <c r="H1407" s="97">
        <v>314.42</v>
      </c>
      <c r="I1407" s="98">
        <v>1446332</v>
      </c>
      <c r="J1407" s="97">
        <v>287.3367108695652</v>
      </c>
      <c r="K1407" s="98">
        <v>124583.13</v>
      </c>
      <c r="L1407" s="99">
        <v>0</v>
      </c>
      <c r="M1407" s="98">
        <v>0</v>
      </c>
      <c r="N1407" s="99">
        <v>0</v>
      </c>
      <c r="O1407" s="98">
        <v>0</v>
      </c>
      <c r="P1407" s="99">
        <v>4600</v>
      </c>
      <c r="Q1407" s="98">
        <v>1446332</v>
      </c>
      <c r="R1407" s="96" t="s">
        <v>625</v>
      </c>
      <c r="S1407" s="96">
        <v>7414000005</v>
      </c>
      <c r="AA1407" s="131" t="s">
        <v>506</v>
      </c>
      <c r="AB1407" s="130">
        <v>998400</v>
      </c>
      <c r="AC1407" s="130">
        <v>998400</v>
      </c>
    </row>
    <row r="1408" spans="1:29" x14ac:dyDescent="0.25">
      <c r="A1408" t="str">
        <f t="shared" si="22"/>
        <v xml:space="preserve">2111047GOBFED 530731       </v>
      </c>
      <c r="B1408" s="96">
        <v>2111047</v>
      </c>
      <c r="C1408" s="96" t="s">
        <v>830</v>
      </c>
      <c r="D1408" s="96" t="s">
        <v>503</v>
      </c>
      <c r="E1408" s="96" t="s">
        <v>623</v>
      </c>
      <c r="F1408" s="96" t="s">
        <v>624</v>
      </c>
      <c r="G1408" s="99">
        <v>30700</v>
      </c>
      <c r="H1408" s="97">
        <v>43.85</v>
      </c>
      <c r="I1408" s="98">
        <v>1346195</v>
      </c>
      <c r="J1408" s="97">
        <v>40.844398371335508</v>
      </c>
      <c r="K1408" s="98">
        <v>92271.97</v>
      </c>
      <c r="L1408" s="99">
        <v>0</v>
      </c>
      <c r="M1408" s="98">
        <v>0</v>
      </c>
      <c r="N1408" s="99">
        <v>0</v>
      </c>
      <c r="O1408" s="98">
        <v>0</v>
      </c>
      <c r="P1408" s="99">
        <v>30700</v>
      </c>
      <c r="Q1408" s="98">
        <v>1346195</v>
      </c>
      <c r="R1408" s="96" t="s">
        <v>625</v>
      </c>
      <c r="S1408" s="96">
        <v>7414000005</v>
      </c>
      <c r="AA1408" s="131" t="s">
        <v>617</v>
      </c>
      <c r="AB1408" s="130">
        <v>399172.02</v>
      </c>
      <c r="AC1408" s="130">
        <v>399172.02</v>
      </c>
    </row>
    <row r="1409" spans="1:29" x14ac:dyDescent="0.25">
      <c r="A1409" t="str">
        <f t="shared" si="22"/>
        <v xml:space="preserve">2111047GRUMA B             </v>
      </c>
      <c r="B1409" s="96">
        <v>2111047</v>
      </c>
      <c r="C1409" s="96" t="s">
        <v>830</v>
      </c>
      <c r="D1409" s="96" t="s">
        <v>419</v>
      </c>
      <c r="E1409" s="96" t="s">
        <v>623</v>
      </c>
      <c r="F1409" s="96" t="s">
        <v>624</v>
      </c>
      <c r="G1409" s="99">
        <v>0</v>
      </c>
      <c r="H1409" s="97">
        <v>0</v>
      </c>
      <c r="I1409" s="98">
        <v>0</v>
      </c>
      <c r="J1409" s="97">
        <v>0</v>
      </c>
      <c r="K1409" s="98">
        <v>0</v>
      </c>
      <c r="L1409" s="99">
        <v>0</v>
      </c>
      <c r="M1409" s="98">
        <v>0</v>
      </c>
      <c r="N1409" s="99">
        <v>0</v>
      </c>
      <c r="O1409" s="98">
        <v>0</v>
      </c>
      <c r="P1409" s="99">
        <v>0</v>
      </c>
      <c r="Q1409" s="98">
        <v>0</v>
      </c>
      <c r="R1409" s="96" t="s">
        <v>625</v>
      </c>
      <c r="S1409" s="96">
        <v>7414000005</v>
      </c>
      <c r="AA1409" s="131" t="s">
        <v>359</v>
      </c>
      <c r="AB1409" s="130">
        <v>2201100</v>
      </c>
      <c r="AC1409" s="130">
        <v>2201100</v>
      </c>
    </row>
    <row r="1410" spans="1:29" x14ac:dyDescent="0.25">
      <c r="A1410" t="str">
        <f t="shared" si="22"/>
        <v xml:space="preserve">2111047HERDEZ *            </v>
      </c>
      <c r="B1410" s="96">
        <v>2111047</v>
      </c>
      <c r="C1410" s="96" t="s">
        <v>830</v>
      </c>
      <c r="D1410" s="96" t="s">
        <v>388</v>
      </c>
      <c r="E1410" s="96" t="s">
        <v>623</v>
      </c>
      <c r="F1410" s="96" t="s">
        <v>624</v>
      </c>
      <c r="G1410" s="99">
        <v>3330</v>
      </c>
      <c r="H1410" s="97">
        <v>8532.5</v>
      </c>
      <c r="I1410" s="98">
        <v>28413225</v>
      </c>
      <c r="J1410" s="97">
        <v>5514.3290570570571</v>
      </c>
      <c r="K1410" s="98">
        <v>10050509.24</v>
      </c>
      <c r="L1410" s="99">
        <v>0</v>
      </c>
      <c r="M1410" s="98">
        <v>0</v>
      </c>
      <c r="N1410" s="99">
        <v>0</v>
      </c>
      <c r="O1410" s="98">
        <v>0</v>
      </c>
      <c r="P1410" s="99">
        <v>3330</v>
      </c>
      <c r="Q1410" s="98">
        <v>28413225</v>
      </c>
      <c r="R1410" s="96" t="s">
        <v>625</v>
      </c>
      <c r="S1410" s="96">
        <v>7414000005</v>
      </c>
      <c r="AA1410" s="131" t="s">
        <v>551</v>
      </c>
      <c r="AB1410" s="130">
        <v>4305738</v>
      </c>
      <c r="AC1410" s="130">
        <v>4305738</v>
      </c>
    </row>
    <row r="1411" spans="1:29" x14ac:dyDescent="0.25">
      <c r="A1411" t="str">
        <f t="shared" si="22"/>
        <v xml:space="preserve">2111047IENOVA *            </v>
      </c>
      <c r="B1411" s="96">
        <v>2111047</v>
      </c>
      <c r="C1411" s="96" t="s">
        <v>830</v>
      </c>
      <c r="D1411" s="96" t="s">
        <v>540</v>
      </c>
      <c r="E1411" s="96" t="s">
        <v>623</v>
      </c>
      <c r="F1411" s="96" t="s">
        <v>624</v>
      </c>
      <c r="G1411" s="99">
        <v>33000</v>
      </c>
      <c r="H1411" s="97">
        <v>36.28</v>
      </c>
      <c r="I1411" s="98">
        <v>1197240</v>
      </c>
      <c r="J1411" s="97">
        <v>39.186360000000001</v>
      </c>
      <c r="K1411" s="98">
        <v>-95909.88</v>
      </c>
      <c r="L1411" s="99">
        <v>0</v>
      </c>
      <c r="M1411" s="98">
        <v>0</v>
      </c>
      <c r="N1411" s="99">
        <v>0</v>
      </c>
      <c r="O1411" s="98">
        <v>0</v>
      </c>
      <c r="P1411" s="99">
        <v>33000</v>
      </c>
      <c r="Q1411" s="98">
        <v>1197240</v>
      </c>
      <c r="R1411" s="96" t="s">
        <v>625</v>
      </c>
      <c r="S1411" s="96">
        <v>7414000005</v>
      </c>
      <c r="AA1411" s="131" t="s">
        <v>361</v>
      </c>
      <c r="AB1411" s="130">
        <v>1958775</v>
      </c>
      <c r="AC1411" s="130">
        <v>1958775</v>
      </c>
    </row>
    <row r="1412" spans="1:29" x14ac:dyDescent="0.25">
      <c r="A1412" t="str">
        <f t="shared" si="22"/>
        <v xml:space="preserve">2111047IVV *               </v>
      </c>
      <c r="B1412" s="96">
        <v>2111047</v>
      </c>
      <c r="C1412" s="96" t="s">
        <v>830</v>
      </c>
      <c r="D1412" s="96" t="s">
        <v>553</v>
      </c>
      <c r="E1412" s="96" t="s">
        <v>623</v>
      </c>
      <c r="F1412" s="96" t="s">
        <v>624</v>
      </c>
      <c r="G1412" s="99">
        <v>4600</v>
      </c>
      <c r="H1412" s="97">
        <v>136.35</v>
      </c>
      <c r="I1412" s="98">
        <v>627210</v>
      </c>
      <c r="J1412" s="97">
        <v>118.93737826086956</v>
      </c>
      <c r="K1412" s="98">
        <v>80098.06</v>
      </c>
      <c r="L1412" s="99">
        <v>0</v>
      </c>
      <c r="M1412" s="98">
        <v>0</v>
      </c>
      <c r="N1412" s="99">
        <v>0</v>
      </c>
      <c r="O1412" s="98">
        <v>0</v>
      </c>
      <c r="P1412" s="99">
        <v>4600</v>
      </c>
      <c r="Q1412" s="98">
        <v>627210</v>
      </c>
      <c r="R1412" s="96" t="s">
        <v>625</v>
      </c>
      <c r="S1412" s="96">
        <v>7414000005</v>
      </c>
      <c r="AA1412" s="131" t="s">
        <v>362</v>
      </c>
      <c r="AB1412" s="130">
        <v>8884600</v>
      </c>
      <c r="AC1412" s="130">
        <v>8884600</v>
      </c>
    </row>
    <row r="1413" spans="1:29" x14ac:dyDescent="0.25">
      <c r="A1413" t="str">
        <f t="shared" si="22"/>
        <v xml:space="preserve">2111047LACOMER UBC         </v>
      </c>
      <c r="B1413" s="96">
        <v>2111047</v>
      </c>
      <c r="C1413" s="96" t="s">
        <v>830</v>
      </c>
      <c r="D1413" s="96" t="s">
        <v>590</v>
      </c>
      <c r="E1413" s="96" t="s">
        <v>623</v>
      </c>
      <c r="F1413" s="96" t="s">
        <v>624</v>
      </c>
      <c r="G1413" s="99">
        <v>0</v>
      </c>
      <c r="H1413" s="97">
        <v>0</v>
      </c>
      <c r="I1413" s="98">
        <v>0</v>
      </c>
      <c r="J1413" s="97">
        <v>0</v>
      </c>
      <c r="K1413" s="98">
        <v>0</v>
      </c>
      <c r="L1413" s="99">
        <v>0</v>
      </c>
      <c r="M1413" s="98">
        <v>0</v>
      </c>
      <c r="N1413" s="99">
        <v>0</v>
      </c>
      <c r="O1413" s="98">
        <v>0</v>
      </c>
      <c r="P1413" s="99">
        <v>0</v>
      </c>
      <c r="Q1413" s="98">
        <v>0</v>
      </c>
      <c r="R1413" s="96" t="s">
        <v>625</v>
      </c>
      <c r="S1413" s="96">
        <v>7414000005</v>
      </c>
      <c r="AA1413" s="131" t="s">
        <v>369</v>
      </c>
      <c r="AB1413" s="130">
        <v>10141128</v>
      </c>
      <c r="AC1413" s="130">
        <v>10141128</v>
      </c>
    </row>
    <row r="1414" spans="1:29" x14ac:dyDescent="0.25">
      <c r="A1414" t="str">
        <f t="shared" si="22"/>
        <v xml:space="preserve">2111047LIVEPOL C-1         </v>
      </c>
      <c r="B1414" s="96">
        <v>2111047</v>
      </c>
      <c r="C1414" s="96" t="s">
        <v>830</v>
      </c>
      <c r="D1414" s="96" t="s">
        <v>429</v>
      </c>
      <c r="E1414" s="96" t="s">
        <v>623</v>
      </c>
      <c r="F1414" s="96" t="s">
        <v>624</v>
      </c>
      <c r="G1414" s="99">
        <v>118588</v>
      </c>
      <c r="H1414" s="97">
        <v>98.007834000000003</v>
      </c>
      <c r="I1414" s="98">
        <v>11622553.018392</v>
      </c>
      <c r="J1414" s="97">
        <v>92.071456745435285</v>
      </c>
      <c r="K1414" s="98">
        <v>703983.10586431995</v>
      </c>
      <c r="L1414" s="99">
        <v>0</v>
      </c>
      <c r="M1414" s="98">
        <v>0</v>
      </c>
      <c r="N1414" s="99">
        <v>0</v>
      </c>
      <c r="O1414" s="98">
        <v>0</v>
      </c>
      <c r="P1414" s="99">
        <v>118588</v>
      </c>
      <c r="Q1414" s="98">
        <v>11622553.018392</v>
      </c>
      <c r="R1414" s="96" t="s">
        <v>625</v>
      </c>
      <c r="S1414" s="96">
        <v>7414000005</v>
      </c>
      <c r="AA1414" s="131" t="s">
        <v>370</v>
      </c>
      <c r="AB1414" s="130">
        <v>870208</v>
      </c>
      <c r="AC1414" s="130">
        <v>870208</v>
      </c>
    </row>
    <row r="1415" spans="1:29" x14ac:dyDescent="0.25">
      <c r="A1415" t="str">
        <f t="shared" ref="A1415:A1478" si="23">B1413&amp;D1413</f>
        <v xml:space="preserve">2111047OHLMEX *            </v>
      </c>
      <c r="B1415" s="96">
        <v>2111047</v>
      </c>
      <c r="C1415" s="96" t="s">
        <v>830</v>
      </c>
      <c r="D1415" s="96" t="s">
        <v>541</v>
      </c>
      <c r="E1415" s="96" t="s">
        <v>623</v>
      </c>
      <c r="F1415" s="96" t="s">
        <v>624</v>
      </c>
      <c r="G1415" s="99">
        <v>10700</v>
      </c>
      <c r="H1415" s="97">
        <v>156</v>
      </c>
      <c r="I1415" s="98">
        <v>1669200</v>
      </c>
      <c r="J1415" s="97">
        <v>134.10337850467289</v>
      </c>
      <c r="K1415" s="98">
        <v>234293.85</v>
      </c>
      <c r="L1415" s="99">
        <v>0</v>
      </c>
      <c r="M1415" s="98">
        <v>0</v>
      </c>
      <c r="N1415" s="99">
        <v>0</v>
      </c>
      <c r="O1415" s="98">
        <v>0</v>
      </c>
      <c r="P1415" s="99">
        <v>10700</v>
      </c>
      <c r="Q1415" s="98">
        <v>1669200</v>
      </c>
      <c r="R1415" s="96" t="s">
        <v>625</v>
      </c>
      <c r="S1415" s="96">
        <v>7414000005</v>
      </c>
      <c r="AA1415" s="131" t="s">
        <v>372</v>
      </c>
      <c r="AB1415" s="130">
        <v>2847600</v>
      </c>
      <c r="AC1415" s="130">
        <v>2847600</v>
      </c>
    </row>
    <row r="1416" spans="1:29" x14ac:dyDescent="0.25">
      <c r="A1416" t="str">
        <f t="shared" si="23"/>
        <v xml:space="preserve">2111047PEMEX 13-2          </v>
      </c>
      <c r="B1416" s="96">
        <v>2111047</v>
      </c>
      <c r="C1416" s="96" t="s">
        <v>830</v>
      </c>
      <c r="D1416" s="96" t="s">
        <v>501</v>
      </c>
      <c r="E1416" s="96" t="s">
        <v>623</v>
      </c>
      <c r="F1416" s="96" t="s">
        <v>624</v>
      </c>
      <c r="G1416" s="99">
        <v>9130</v>
      </c>
      <c r="H1416" s="97">
        <v>682.55</v>
      </c>
      <c r="I1416" s="98">
        <v>6231681.5</v>
      </c>
      <c r="J1416" s="97">
        <v>884.47982037239865</v>
      </c>
      <c r="K1416" s="98">
        <v>-1843619.26</v>
      </c>
      <c r="L1416" s="99">
        <v>0</v>
      </c>
      <c r="M1416" s="98">
        <v>0</v>
      </c>
      <c r="N1416" s="99">
        <v>0</v>
      </c>
      <c r="O1416" s="98">
        <v>0</v>
      </c>
      <c r="P1416" s="99">
        <v>9130</v>
      </c>
      <c r="Q1416" s="98">
        <v>6231681.5</v>
      </c>
      <c r="R1416" s="96" t="s">
        <v>625</v>
      </c>
      <c r="S1416" s="96">
        <v>7414000005</v>
      </c>
      <c r="AA1416" s="131" t="s">
        <v>373</v>
      </c>
      <c r="AB1416" s="130">
        <v>14062268</v>
      </c>
      <c r="AC1416" s="130">
        <v>14062268</v>
      </c>
    </row>
    <row r="1417" spans="1:29" x14ac:dyDescent="0.25">
      <c r="A1417" t="str">
        <f t="shared" si="23"/>
        <v xml:space="preserve">2111047R A                 </v>
      </c>
      <c r="B1417" s="96">
        <v>2111047</v>
      </c>
      <c r="C1417" s="96" t="s">
        <v>830</v>
      </c>
      <c r="D1417" s="96" t="s">
        <v>389</v>
      </c>
      <c r="E1417" s="96" t="s">
        <v>623</v>
      </c>
      <c r="F1417" s="96" t="s">
        <v>624</v>
      </c>
      <c r="G1417" s="99">
        <v>508260</v>
      </c>
      <c r="H1417" s="97">
        <v>3.3967719999999999</v>
      </c>
      <c r="I1417" s="98">
        <v>1726443.33672</v>
      </c>
      <c r="J1417" s="97">
        <v>3.3867270491480737</v>
      </c>
      <c r="K1417" s="98">
        <v>5105.4467199999999</v>
      </c>
      <c r="L1417" s="99">
        <v>0</v>
      </c>
      <c r="M1417" s="98">
        <v>0</v>
      </c>
      <c r="N1417" s="99">
        <v>0</v>
      </c>
      <c r="O1417" s="98">
        <v>0</v>
      </c>
      <c r="P1417" s="99">
        <v>508260</v>
      </c>
      <c r="Q1417" s="98">
        <v>1726443.33672</v>
      </c>
      <c r="R1417" s="96" t="s">
        <v>625</v>
      </c>
      <c r="S1417" s="96">
        <v>7414000005</v>
      </c>
      <c r="AA1417" s="131" t="s">
        <v>374</v>
      </c>
      <c r="AB1417" s="130">
        <v>9370800</v>
      </c>
      <c r="AC1417" s="130">
        <v>9370800</v>
      </c>
    </row>
    <row r="1418" spans="1:29" x14ac:dyDescent="0.25">
      <c r="A1418" t="str">
        <f t="shared" si="23"/>
        <v xml:space="preserve">2111047SPSM *              </v>
      </c>
      <c r="B1418" s="96">
        <v>2111047</v>
      </c>
      <c r="C1418" s="96" t="s">
        <v>830</v>
      </c>
      <c r="D1418" s="96" t="s">
        <v>500</v>
      </c>
      <c r="E1418" s="96" t="s">
        <v>623</v>
      </c>
      <c r="F1418" s="96" t="s">
        <v>624</v>
      </c>
      <c r="G1418" s="99">
        <v>44000</v>
      </c>
      <c r="H1418" s="97">
        <v>31.41</v>
      </c>
      <c r="I1418" s="98">
        <v>1382040</v>
      </c>
      <c r="J1418" s="97">
        <v>32.24076454090909</v>
      </c>
      <c r="K1418" s="98">
        <v>-36553.639799999997</v>
      </c>
      <c r="L1418" s="99">
        <v>0</v>
      </c>
      <c r="M1418" s="98">
        <v>0</v>
      </c>
      <c r="N1418" s="99">
        <v>0</v>
      </c>
      <c r="O1418" s="98">
        <v>0</v>
      </c>
      <c r="P1418" s="99">
        <v>44000</v>
      </c>
      <c r="Q1418" s="98">
        <v>1382040</v>
      </c>
      <c r="R1418" s="96" t="s">
        <v>625</v>
      </c>
      <c r="S1418" s="96">
        <v>7414000005</v>
      </c>
      <c r="AA1418" s="131" t="s">
        <v>387</v>
      </c>
      <c r="AB1418" s="130">
        <v>3364294</v>
      </c>
      <c r="AC1418" s="130">
        <v>3364294</v>
      </c>
    </row>
    <row r="1419" spans="1:29" x14ac:dyDescent="0.25">
      <c r="A1419" t="str">
        <f t="shared" si="23"/>
        <v xml:space="preserve">2111047STERGOB ED          </v>
      </c>
      <c r="B1419" s="96">
        <v>2111047</v>
      </c>
      <c r="C1419" s="96" t="s">
        <v>830</v>
      </c>
      <c r="D1419" s="96" t="s">
        <v>391</v>
      </c>
      <c r="E1419" s="96" t="s">
        <v>623</v>
      </c>
      <c r="F1419" s="96" t="s">
        <v>624</v>
      </c>
      <c r="G1419" s="99">
        <v>6904</v>
      </c>
      <c r="H1419" s="97">
        <v>775.69178699999998</v>
      </c>
      <c r="I1419" s="98">
        <v>5355376.0974479998</v>
      </c>
      <c r="J1419" s="97">
        <v>766.69784126000002</v>
      </c>
      <c r="K1419" s="98">
        <v>62094.201388959998</v>
      </c>
      <c r="L1419" s="99">
        <v>0</v>
      </c>
      <c r="M1419" s="98">
        <v>0</v>
      </c>
      <c r="N1419" s="99">
        <v>0</v>
      </c>
      <c r="O1419" s="98">
        <v>0</v>
      </c>
      <c r="P1419" s="99">
        <v>6904</v>
      </c>
      <c r="Q1419" s="98">
        <v>5355376.0974479998</v>
      </c>
      <c r="R1419" s="96" t="s">
        <v>625</v>
      </c>
      <c r="S1419" s="96">
        <v>7414000005</v>
      </c>
      <c r="AA1419" s="131" t="s">
        <v>419</v>
      </c>
      <c r="AB1419" s="130">
        <v>0</v>
      </c>
      <c r="AC1419" s="130">
        <v>0</v>
      </c>
    </row>
    <row r="1420" spans="1:29" x14ac:dyDescent="0.25">
      <c r="A1420" t="str">
        <f t="shared" si="23"/>
        <v xml:space="preserve">2111047TRAXION A           </v>
      </c>
      <c r="B1420" s="96">
        <v>2111047</v>
      </c>
      <c r="C1420" s="96" t="s">
        <v>830</v>
      </c>
      <c r="D1420" s="96" t="s">
        <v>392</v>
      </c>
      <c r="E1420" s="96" t="s">
        <v>623</v>
      </c>
      <c r="F1420" s="96" t="s">
        <v>624</v>
      </c>
      <c r="G1420" s="99">
        <v>18689</v>
      </c>
      <c r="H1420" s="97">
        <v>747.17843200000004</v>
      </c>
      <c r="I1420" s="98">
        <v>13964017.715647999</v>
      </c>
      <c r="J1420" s="97">
        <v>722.34527569465456</v>
      </c>
      <c r="K1420" s="98">
        <v>464106.8581906</v>
      </c>
      <c r="L1420" s="99">
        <v>0</v>
      </c>
      <c r="M1420" s="98">
        <v>0</v>
      </c>
      <c r="N1420" s="99">
        <v>0</v>
      </c>
      <c r="O1420" s="98">
        <v>0</v>
      </c>
      <c r="P1420" s="99">
        <v>18689</v>
      </c>
      <c r="Q1420" s="98">
        <v>13964017.715647999</v>
      </c>
      <c r="R1420" s="96" t="s">
        <v>625</v>
      </c>
      <c r="S1420" s="96">
        <v>7414000005</v>
      </c>
      <c r="AA1420" s="131" t="s">
        <v>553</v>
      </c>
      <c r="AB1420" s="130">
        <v>272700</v>
      </c>
      <c r="AC1420" s="130">
        <v>272700</v>
      </c>
    </row>
    <row r="1421" spans="1:29" x14ac:dyDescent="0.25">
      <c r="A1421" t="str">
        <f t="shared" si="23"/>
        <v xml:space="preserve">2111047UDIBONO 251204      </v>
      </c>
      <c r="B1421" s="96">
        <v>2111047</v>
      </c>
      <c r="C1421" s="96" t="s">
        <v>830</v>
      </c>
      <c r="D1421" s="96" t="s">
        <v>393</v>
      </c>
      <c r="E1421" s="96" t="s">
        <v>623</v>
      </c>
      <c r="F1421" s="96" t="s">
        <v>624</v>
      </c>
      <c r="G1421" s="99">
        <v>7111</v>
      </c>
      <c r="H1421" s="97">
        <v>765.92388300000005</v>
      </c>
      <c r="I1421" s="98">
        <v>5446484.7320130002</v>
      </c>
      <c r="J1421" s="97">
        <v>758.40105674026017</v>
      </c>
      <c r="K1421" s="98">
        <v>53494.817533009998</v>
      </c>
      <c r="L1421" s="99">
        <v>0</v>
      </c>
      <c r="M1421" s="98">
        <v>0</v>
      </c>
      <c r="N1421" s="99">
        <v>0</v>
      </c>
      <c r="O1421" s="98">
        <v>0</v>
      </c>
      <c r="P1421" s="99">
        <v>7111</v>
      </c>
      <c r="Q1421" s="98">
        <v>5446484.7320130002</v>
      </c>
      <c r="R1421" s="96" t="s">
        <v>625</v>
      </c>
      <c r="S1421" s="96">
        <v>7414000005</v>
      </c>
      <c r="AA1421" s="131" t="s">
        <v>400</v>
      </c>
      <c r="AB1421" s="130">
        <v>3813550</v>
      </c>
      <c r="AC1421" s="130">
        <v>3813550</v>
      </c>
    </row>
    <row r="1422" spans="1:29" x14ac:dyDescent="0.25">
      <c r="A1422" t="str">
        <f t="shared" si="23"/>
        <v xml:space="preserve">2111047UDIBONO 261203      </v>
      </c>
      <c r="B1422" s="96">
        <v>2111047</v>
      </c>
      <c r="C1422" s="96" t="s">
        <v>830</v>
      </c>
      <c r="D1422" s="96" t="s">
        <v>394</v>
      </c>
      <c r="E1422" s="96" t="s">
        <v>623</v>
      </c>
      <c r="F1422" s="96" t="s">
        <v>624</v>
      </c>
      <c r="G1422" s="99">
        <v>9323</v>
      </c>
      <c r="H1422" s="97">
        <v>684.88915799999995</v>
      </c>
      <c r="I1422" s="98">
        <v>6385221.6200339999</v>
      </c>
      <c r="J1422" s="97">
        <v>680.54355096886195</v>
      </c>
      <c r="K1422" s="98">
        <v>40514.094351300002</v>
      </c>
      <c r="L1422" s="99">
        <v>0</v>
      </c>
      <c r="M1422" s="98">
        <v>0</v>
      </c>
      <c r="N1422" s="99">
        <v>0</v>
      </c>
      <c r="O1422" s="98">
        <v>0</v>
      </c>
      <c r="P1422" s="99">
        <v>9323</v>
      </c>
      <c r="Q1422" s="98">
        <v>6385221.6200339999</v>
      </c>
      <c r="R1422" s="96" t="s">
        <v>625</v>
      </c>
      <c r="S1422" s="96">
        <v>7414000005</v>
      </c>
      <c r="AA1422" s="131" t="s">
        <v>861</v>
      </c>
      <c r="AB1422" s="130">
        <v>967200</v>
      </c>
      <c r="AC1422" s="130">
        <v>967200</v>
      </c>
    </row>
    <row r="1423" spans="1:29" x14ac:dyDescent="0.25">
      <c r="A1423" t="str">
        <f t="shared" si="23"/>
        <v xml:space="preserve">2111047UDIBONO 281130      </v>
      </c>
      <c r="B1423" s="96">
        <v>2111047</v>
      </c>
      <c r="C1423" s="96" t="s">
        <v>830</v>
      </c>
      <c r="D1423" s="96" t="s">
        <v>395</v>
      </c>
      <c r="E1423" s="96" t="s">
        <v>623</v>
      </c>
      <c r="F1423" s="96" t="s">
        <v>624</v>
      </c>
      <c r="G1423" s="99">
        <v>3822</v>
      </c>
      <c r="H1423" s="97">
        <v>772.926965</v>
      </c>
      <c r="I1423" s="98">
        <v>2954126.8602300002</v>
      </c>
      <c r="J1423" s="97">
        <v>798.93664675000002</v>
      </c>
      <c r="K1423" s="98">
        <v>-99409.003648500002</v>
      </c>
      <c r="L1423" s="99">
        <v>0</v>
      </c>
      <c r="M1423" s="98">
        <v>0</v>
      </c>
      <c r="N1423" s="99">
        <v>0</v>
      </c>
      <c r="O1423" s="98">
        <v>0</v>
      </c>
      <c r="P1423" s="99">
        <v>3822</v>
      </c>
      <c r="Q1423" s="98">
        <v>2954126.8602300002</v>
      </c>
      <c r="R1423" s="96" t="s">
        <v>625</v>
      </c>
      <c r="S1423" s="96">
        <v>7414000005</v>
      </c>
      <c r="AA1423" s="131" t="s">
        <v>403</v>
      </c>
      <c r="AB1423" s="130">
        <v>9397440</v>
      </c>
      <c r="AC1423" s="130">
        <v>9397440</v>
      </c>
    </row>
    <row r="1424" spans="1:29" x14ac:dyDescent="0.25">
      <c r="A1424" t="str">
        <f t="shared" si="23"/>
        <v xml:space="preserve">2111047UDIBONO 311127      </v>
      </c>
      <c r="B1424" s="96">
        <v>2111047</v>
      </c>
      <c r="C1424" s="96" t="s">
        <v>830</v>
      </c>
      <c r="D1424" s="96" t="s">
        <v>396</v>
      </c>
      <c r="E1424" s="96" t="s">
        <v>623</v>
      </c>
      <c r="F1424" s="96" t="s">
        <v>624</v>
      </c>
      <c r="G1424" s="99">
        <v>9412</v>
      </c>
      <c r="H1424" s="97">
        <v>721.59464000000003</v>
      </c>
      <c r="I1424" s="98">
        <v>6791648.7516799998</v>
      </c>
      <c r="J1424" s="97">
        <v>756.80876154499254</v>
      </c>
      <c r="K1424" s="98">
        <v>-331435.31198146997</v>
      </c>
      <c r="L1424" s="99">
        <v>0</v>
      </c>
      <c r="M1424" s="98">
        <v>0</v>
      </c>
      <c r="N1424" s="99">
        <v>0</v>
      </c>
      <c r="O1424" s="98">
        <v>0</v>
      </c>
      <c r="P1424" s="99">
        <v>9412</v>
      </c>
      <c r="Q1424" s="98">
        <v>6791648.7516799998</v>
      </c>
      <c r="R1424" s="96" t="s">
        <v>625</v>
      </c>
      <c r="S1424" s="96">
        <v>7414000005</v>
      </c>
      <c r="AA1424" s="131" t="s">
        <v>365</v>
      </c>
      <c r="AB1424" s="130">
        <v>5497593.2000000002</v>
      </c>
      <c r="AC1424" s="130">
        <v>5497593.2000000002</v>
      </c>
    </row>
    <row r="1425" spans="1:29" x14ac:dyDescent="0.25">
      <c r="A1425" t="str">
        <f t="shared" si="23"/>
        <v xml:space="preserve">2111047UDIBONO 351122      </v>
      </c>
      <c r="B1425" s="96">
        <v>2111047</v>
      </c>
      <c r="C1425" s="96" t="s">
        <v>830</v>
      </c>
      <c r="D1425" s="96" t="s">
        <v>397</v>
      </c>
      <c r="E1425" s="96" t="s">
        <v>623</v>
      </c>
      <c r="F1425" s="96" t="s">
        <v>624</v>
      </c>
      <c r="G1425" s="99">
        <v>3117</v>
      </c>
      <c r="H1425" s="97">
        <v>635.96311900000001</v>
      </c>
      <c r="I1425" s="98">
        <v>1982297.041923</v>
      </c>
      <c r="J1425" s="97">
        <v>647.93802047999998</v>
      </c>
      <c r="K1425" s="98">
        <v>-37325.767913160002</v>
      </c>
      <c r="L1425" s="99">
        <v>0</v>
      </c>
      <c r="M1425" s="98">
        <v>0</v>
      </c>
      <c r="N1425" s="99">
        <v>0</v>
      </c>
      <c r="O1425" s="98">
        <v>0</v>
      </c>
      <c r="P1425" s="99">
        <v>3117</v>
      </c>
      <c r="Q1425" s="98">
        <v>1982297.041923</v>
      </c>
      <c r="R1425" s="96" t="s">
        <v>625</v>
      </c>
      <c r="S1425" s="96">
        <v>7414000005</v>
      </c>
      <c r="AA1425" s="131" t="s">
        <v>367</v>
      </c>
      <c r="AB1425" s="130">
        <v>1352254.5</v>
      </c>
      <c r="AC1425" s="130">
        <v>1352254.5</v>
      </c>
    </row>
    <row r="1426" spans="1:29" x14ac:dyDescent="0.25">
      <c r="A1426" t="str">
        <f t="shared" si="23"/>
        <v xml:space="preserve">2111047UDIBONO 401115      </v>
      </c>
      <c r="B1426" s="96">
        <v>2111047</v>
      </c>
      <c r="C1426" s="96" t="s">
        <v>830</v>
      </c>
      <c r="D1426" s="96" t="s">
        <v>398</v>
      </c>
      <c r="E1426" s="96" t="s">
        <v>623</v>
      </c>
      <c r="F1426" s="96" t="s">
        <v>624</v>
      </c>
      <c r="G1426" s="99">
        <v>9760</v>
      </c>
      <c r="H1426" s="97">
        <v>709.36974099999998</v>
      </c>
      <c r="I1426" s="98">
        <v>6923448.6721599996</v>
      </c>
      <c r="J1426" s="97">
        <v>724.63651936999997</v>
      </c>
      <c r="K1426" s="98">
        <v>-149003.7568912</v>
      </c>
      <c r="L1426" s="99">
        <v>0</v>
      </c>
      <c r="M1426" s="98">
        <v>0</v>
      </c>
      <c r="N1426" s="99">
        <v>0</v>
      </c>
      <c r="O1426" s="98">
        <v>0</v>
      </c>
      <c r="P1426" s="99">
        <v>9760</v>
      </c>
      <c r="Q1426" s="98">
        <v>6923448.6721599996</v>
      </c>
      <c r="R1426" s="96" t="s">
        <v>625</v>
      </c>
      <c r="S1426" s="96">
        <v>7414000005</v>
      </c>
      <c r="AA1426" s="131" t="s">
        <v>368</v>
      </c>
      <c r="AB1426" s="130">
        <v>3073170</v>
      </c>
      <c r="AC1426" s="130">
        <v>3073170</v>
      </c>
    </row>
    <row r="1427" spans="1:29" x14ac:dyDescent="0.25">
      <c r="A1427" t="str">
        <f t="shared" si="23"/>
        <v xml:space="preserve">2111047UDIBONO 431112      </v>
      </c>
      <c r="B1427" s="96">
        <v>2111047</v>
      </c>
      <c r="C1427" s="96" t="s">
        <v>830</v>
      </c>
      <c r="D1427" s="96" t="s">
        <v>399</v>
      </c>
      <c r="E1427" s="96" t="s">
        <v>623</v>
      </c>
      <c r="F1427" s="96" t="s">
        <v>624</v>
      </c>
      <c r="G1427" s="99">
        <v>11554</v>
      </c>
      <c r="H1427" s="97">
        <v>694.41118700000004</v>
      </c>
      <c r="I1427" s="98">
        <v>8023226.8545979997</v>
      </c>
      <c r="J1427" s="97">
        <v>740.88292840283623</v>
      </c>
      <c r="K1427" s="98">
        <v>-536934.50016836997</v>
      </c>
      <c r="L1427" s="99">
        <v>0</v>
      </c>
      <c r="M1427" s="98">
        <v>0</v>
      </c>
      <c r="N1427" s="99">
        <v>0</v>
      </c>
      <c r="O1427" s="98">
        <v>0</v>
      </c>
      <c r="P1427" s="99">
        <v>11554</v>
      </c>
      <c r="Q1427" s="98">
        <v>8023226.8545979997</v>
      </c>
      <c r="R1427" s="96" t="s">
        <v>625</v>
      </c>
      <c r="S1427" s="96">
        <v>7414000005</v>
      </c>
      <c r="AA1427" s="131" t="s">
        <v>388</v>
      </c>
      <c r="AB1427" s="130">
        <v>21843200</v>
      </c>
      <c r="AC1427" s="130">
        <v>21843200</v>
      </c>
    </row>
    <row r="1428" spans="1:29" x14ac:dyDescent="0.25">
      <c r="A1428" t="str">
        <f t="shared" si="23"/>
        <v xml:space="preserve">2111047UDIBONO 461108      </v>
      </c>
      <c r="B1428" s="96">
        <v>2111047</v>
      </c>
      <c r="C1428" s="96" t="s">
        <v>830</v>
      </c>
      <c r="D1428" s="96" t="s">
        <v>400</v>
      </c>
      <c r="E1428" s="96" t="s">
        <v>623</v>
      </c>
      <c r="F1428" s="96" t="s">
        <v>624</v>
      </c>
      <c r="G1428" s="99">
        <v>35000</v>
      </c>
      <c r="H1428" s="97">
        <v>58.67</v>
      </c>
      <c r="I1428" s="98">
        <v>2053450</v>
      </c>
      <c r="J1428" s="97">
        <v>59.246843428571431</v>
      </c>
      <c r="K1428" s="98">
        <v>-20189.52</v>
      </c>
      <c r="L1428" s="99">
        <v>0</v>
      </c>
      <c r="M1428" s="98">
        <v>0</v>
      </c>
      <c r="N1428" s="99">
        <v>0</v>
      </c>
      <c r="O1428" s="98">
        <v>0</v>
      </c>
      <c r="P1428" s="99">
        <v>35000</v>
      </c>
      <c r="Q1428" s="98">
        <v>2053450</v>
      </c>
      <c r="R1428" s="96" t="s">
        <v>625</v>
      </c>
      <c r="S1428" s="96">
        <v>7414000005</v>
      </c>
      <c r="AA1428" s="131" t="s">
        <v>401</v>
      </c>
      <c r="AB1428" s="130">
        <v>5591700</v>
      </c>
      <c r="AC1428" s="130">
        <v>5591700</v>
      </c>
    </row>
    <row r="1429" spans="1:29" x14ac:dyDescent="0.25">
      <c r="A1429" t="str">
        <f t="shared" si="23"/>
        <v xml:space="preserve">2111047UDIBONO 501103      </v>
      </c>
      <c r="B1429" s="96">
        <v>2111047</v>
      </c>
      <c r="C1429" s="96" t="s">
        <v>830</v>
      </c>
      <c r="D1429" s="96" t="s">
        <v>401</v>
      </c>
      <c r="E1429" s="96" t="s">
        <v>623</v>
      </c>
      <c r="F1429" s="96" t="s">
        <v>624</v>
      </c>
      <c r="G1429" s="99">
        <v>6900</v>
      </c>
      <c r="H1429" s="97">
        <v>1090</v>
      </c>
      <c r="I1429" s="98">
        <v>7521000</v>
      </c>
      <c r="J1429" s="97">
        <v>1149.3202898550724</v>
      </c>
      <c r="K1429" s="98">
        <v>-409310</v>
      </c>
      <c r="L1429" s="99">
        <v>0</v>
      </c>
      <c r="M1429" s="98">
        <v>0</v>
      </c>
      <c r="N1429" s="99">
        <v>0</v>
      </c>
      <c r="O1429" s="98">
        <v>0</v>
      </c>
      <c r="P1429" s="99">
        <v>6900</v>
      </c>
      <c r="Q1429" s="98">
        <v>7521000</v>
      </c>
      <c r="R1429" s="96" t="s">
        <v>625</v>
      </c>
      <c r="S1429" s="96">
        <v>7414000005</v>
      </c>
      <c r="AA1429" s="131" t="s">
        <v>599</v>
      </c>
      <c r="AB1429" s="130">
        <v>4283430</v>
      </c>
      <c r="AC1429" s="130">
        <v>4283430</v>
      </c>
    </row>
    <row r="1430" spans="1:29" x14ac:dyDescent="0.25">
      <c r="A1430" t="str">
        <f t="shared" si="23"/>
        <v xml:space="preserve">2111047VESTA *             </v>
      </c>
      <c r="B1430" s="96">
        <v>2111047</v>
      </c>
      <c r="C1430" s="96" t="s">
        <v>830</v>
      </c>
      <c r="D1430" s="96" t="s">
        <v>403</v>
      </c>
      <c r="E1430" s="96" t="s">
        <v>623</v>
      </c>
      <c r="F1430" s="96" t="s">
        <v>624</v>
      </c>
      <c r="G1430" s="99">
        <v>77200</v>
      </c>
      <c r="H1430" s="97">
        <v>65.260000000000005</v>
      </c>
      <c r="I1430" s="98">
        <v>5038072</v>
      </c>
      <c r="J1430" s="97">
        <v>69.310226943005176</v>
      </c>
      <c r="K1430" s="98">
        <v>-312677.52</v>
      </c>
      <c r="L1430" s="99">
        <v>0</v>
      </c>
      <c r="M1430" s="98">
        <v>0</v>
      </c>
      <c r="N1430" s="99">
        <v>0</v>
      </c>
      <c r="O1430" s="98">
        <v>0</v>
      </c>
      <c r="P1430" s="99">
        <v>77200</v>
      </c>
      <c r="Q1430" s="98">
        <v>5038072</v>
      </c>
      <c r="R1430" s="96" t="s">
        <v>625</v>
      </c>
      <c r="S1430" s="96">
        <v>7414000005</v>
      </c>
      <c r="AA1430" s="131" t="s">
        <v>576</v>
      </c>
      <c r="AB1430" s="130">
        <v>6893141.0999999996</v>
      </c>
      <c r="AC1430" s="130">
        <v>6893141.0999999996</v>
      </c>
    </row>
    <row r="1431" spans="1:29" x14ac:dyDescent="0.25">
      <c r="A1431" t="str">
        <f t="shared" si="23"/>
        <v xml:space="preserve">2111047VGK *               </v>
      </c>
      <c r="B1431" s="96">
        <v>2141256</v>
      </c>
      <c r="C1431" s="96" t="s">
        <v>831</v>
      </c>
      <c r="D1431" s="96" t="s">
        <v>358</v>
      </c>
      <c r="E1431" s="96" t="s">
        <v>623</v>
      </c>
      <c r="F1431" s="96" t="s">
        <v>624</v>
      </c>
      <c r="G1431" s="99">
        <v>20</v>
      </c>
      <c r="H1431" s="97">
        <v>1786.5</v>
      </c>
      <c r="I1431" s="98">
        <v>35730</v>
      </c>
      <c r="J1431" s="97">
        <v>1644.453</v>
      </c>
      <c r="K1431" s="98">
        <v>2840.94</v>
      </c>
      <c r="L1431" s="99">
        <v>0</v>
      </c>
      <c r="M1431" s="98">
        <v>0</v>
      </c>
      <c r="N1431" s="99">
        <v>0</v>
      </c>
      <c r="O1431" s="98">
        <v>0</v>
      </c>
      <c r="P1431" s="99">
        <v>20</v>
      </c>
      <c r="Q1431" s="98">
        <v>35730</v>
      </c>
      <c r="R1431" s="96" t="s">
        <v>625</v>
      </c>
      <c r="S1431" s="96">
        <v>7414000005</v>
      </c>
      <c r="AA1431" s="131" t="s">
        <v>540</v>
      </c>
      <c r="AB1431" s="130">
        <v>1342360</v>
      </c>
      <c r="AC1431" s="130">
        <v>1342360</v>
      </c>
    </row>
    <row r="1432" spans="1:29" x14ac:dyDescent="0.25">
      <c r="A1432" t="str">
        <f t="shared" si="23"/>
        <v xml:space="preserve">2111047WALMEX *            </v>
      </c>
      <c r="B1432" s="96">
        <v>2141256</v>
      </c>
      <c r="C1432" s="96" t="s">
        <v>831</v>
      </c>
      <c r="D1432" s="96" t="s">
        <v>422</v>
      </c>
      <c r="E1432" s="96" t="s">
        <v>623</v>
      </c>
      <c r="F1432" s="96" t="s">
        <v>624</v>
      </c>
      <c r="G1432" s="99">
        <v>24</v>
      </c>
      <c r="H1432" s="97">
        <v>97.654420999999999</v>
      </c>
      <c r="I1432" s="98">
        <v>2343.7061039999999</v>
      </c>
      <c r="J1432" s="97">
        <v>98.224185000000006</v>
      </c>
      <c r="K1432" s="98">
        <v>-13.674336</v>
      </c>
      <c r="L1432" s="99">
        <v>0</v>
      </c>
      <c r="M1432" s="98">
        <v>0</v>
      </c>
      <c r="N1432" s="99">
        <v>0</v>
      </c>
      <c r="O1432" s="98">
        <v>0</v>
      </c>
      <c r="P1432" s="99">
        <v>24</v>
      </c>
      <c r="Q1432" s="98">
        <v>2343.7061039999999</v>
      </c>
      <c r="R1432" s="96" t="s">
        <v>625</v>
      </c>
      <c r="S1432" s="96">
        <v>7414000005</v>
      </c>
      <c r="AA1432" s="131" t="s">
        <v>466</v>
      </c>
      <c r="AB1432" s="130">
        <v>8045094.6133000003</v>
      </c>
      <c r="AC1432" s="130">
        <v>8045094.6133000003</v>
      </c>
    </row>
    <row r="1433" spans="1:29" x14ac:dyDescent="0.25">
      <c r="A1433" t="str">
        <f t="shared" si="23"/>
        <v xml:space="preserve">2141256ACWI *              </v>
      </c>
      <c r="B1433" s="96">
        <v>2141256</v>
      </c>
      <c r="C1433" s="96" t="s">
        <v>831</v>
      </c>
      <c r="D1433" s="96" t="s">
        <v>430</v>
      </c>
      <c r="E1433" s="96" t="s">
        <v>623</v>
      </c>
      <c r="F1433" s="96" t="s">
        <v>624</v>
      </c>
      <c r="G1433" s="99">
        <v>11400</v>
      </c>
      <c r="H1433" s="97">
        <v>3.1390400000000001</v>
      </c>
      <c r="I1433" s="98">
        <v>35785.055999999997</v>
      </c>
      <c r="J1433" s="97">
        <v>2.8219964912280702</v>
      </c>
      <c r="K1433" s="98">
        <v>3614.2959999999998</v>
      </c>
      <c r="L1433" s="99">
        <v>0</v>
      </c>
      <c r="M1433" s="98">
        <v>0</v>
      </c>
      <c r="N1433" s="99">
        <v>0</v>
      </c>
      <c r="O1433" s="98">
        <v>0</v>
      </c>
      <c r="P1433" s="99">
        <v>11400</v>
      </c>
      <c r="Q1433" s="98">
        <v>35785.055999999997</v>
      </c>
      <c r="R1433" s="96" t="s">
        <v>625</v>
      </c>
      <c r="S1433" s="96">
        <v>7414000005</v>
      </c>
      <c r="AA1433" s="131" t="s">
        <v>610</v>
      </c>
      <c r="AB1433" s="130">
        <v>4547135</v>
      </c>
      <c r="AC1433" s="130">
        <v>4547135</v>
      </c>
    </row>
    <row r="1434" spans="1:29" x14ac:dyDescent="0.25">
      <c r="A1434" t="str">
        <f t="shared" si="23"/>
        <v xml:space="preserve">2141256CETELEM 22          </v>
      </c>
      <c r="B1434" s="96">
        <v>2141256</v>
      </c>
      <c r="C1434" s="96" t="s">
        <v>831</v>
      </c>
      <c r="D1434" s="96" t="s">
        <v>389</v>
      </c>
      <c r="E1434" s="96" t="s">
        <v>623</v>
      </c>
      <c r="F1434" s="96" t="s">
        <v>624</v>
      </c>
      <c r="G1434" s="99">
        <v>34239</v>
      </c>
      <c r="H1434" s="97">
        <v>3.3967719999999999</v>
      </c>
      <c r="I1434" s="98">
        <v>116302.076508</v>
      </c>
      <c r="J1434" s="97">
        <v>3.3151429656239961</v>
      </c>
      <c r="K1434" s="98">
        <v>2794.8965079999998</v>
      </c>
      <c r="L1434" s="99">
        <v>0</v>
      </c>
      <c r="M1434" s="98">
        <v>0</v>
      </c>
      <c r="N1434" s="99">
        <v>0</v>
      </c>
      <c r="O1434" s="98">
        <v>0</v>
      </c>
      <c r="P1434" s="99">
        <v>34239</v>
      </c>
      <c r="Q1434" s="98">
        <v>116302.076508</v>
      </c>
      <c r="R1434" s="96" t="s">
        <v>625</v>
      </c>
      <c r="S1434" s="96">
        <v>7414000005</v>
      </c>
      <c r="AA1434" s="131" t="s">
        <v>577</v>
      </c>
      <c r="AB1434" s="130">
        <v>10421550.300000001</v>
      </c>
      <c r="AC1434" s="130">
        <v>10421550.300000001</v>
      </c>
    </row>
    <row r="1435" spans="1:29" x14ac:dyDescent="0.25">
      <c r="A1435" t="str">
        <f t="shared" si="23"/>
        <v xml:space="preserve">2141256ST&amp;ER-C ED          </v>
      </c>
      <c r="B1435" s="96">
        <v>2141264</v>
      </c>
      <c r="C1435" s="96" t="s">
        <v>832</v>
      </c>
      <c r="D1435" s="96" t="s">
        <v>357</v>
      </c>
      <c r="E1435" s="96" t="s">
        <v>623</v>
      </c>
      <c r="F1435" s="96" t="s">
        <v>624</v>
      </c>
      <c r="G1435" s="99">
        <v>4700</v>
      </c>
      <c r="H1435" s="97">
        <v>168.64</v>
      </c>
      <c r="I1435" s="98">
        <v>792608</v>
      </c>
      <c r="J1435" s="97">
        <v>178.07922978723406</v>
      </c>
      <c r="K1435" s="98">
        <v>-44364.38</v>
      </c>
      <c r="L1435" s="99">
        <v>0</v>
      </c>
      <c r="M1435" s="98">
        <v>0</v>
      </c>
      <c r="N1435" s="99">
        <v>0</v>
      </c>
      <c r="O1435" s="98">
        <v>0</v>
      </c>
      <c r="P1435" s="99">
        <v>4700</v>
      </c>
      <c r="Q1435" s="98">
        <v>792608</v>
      </c>
      <c r="R1435" s="96" t="s">
        <v>625</v>
      </c>
      <c r="S1435" s="96">
        <v>7414000005</v>
      </c>
      <c r="AA1435" s="131" t="s">
        <v>601</v>
      </c>
      <c r="AB1435" s="130">
        <v>2338299</v>
      </c>
      <c r="AC1435" s="130">
        <v>2338299</v>
      </c>
    </row>
    <row r="1436" spans="1:29" x14ac:dyDescent="0.25">
      <c r="A1436" t="str">
        <f t="shared" si="23"/>
        <v xml:space="preserve">2141256STERGOB ED          </v>
      </c>
      <c r="B1436" s="96">
        <v>2141264</v>
      </c>
      <c r="C1436" s="96" t="s">
        <v>832</v>
      </c>
      <c r="D1436" s="96" t="s">
        <v>358</v>
      </c>
      <c r="E1436" s="96" t="s">
        <v>623</v>
      </c>
      <c r="F1436" s="96" t="s">
        <v>624</v>
      </c>
      <c r="G1436" s="99">
        <v>4520</v>
      </c>
      <c r="H1436" s="97">
        <v>1786.5</v>
      </c>
      <c r="I1436" s="98">
        <v>8074980</v>
      </c>
      <c r="J1436" s="97">
        <v>1828.7583738938054</v>
      </c>
      <c r="K1436" s="98">
        <v>-191007.85</v>
      </c>
      <c r="L1436" s="99">
        <v>0</v>
      </c>
      <c r="M1436" s="98">
        <v>0</v>
      </c>
      <c r="N1436" s="99">
        <v>0</v>
      </c>
      <c r="O1436" s="98">
        <v>0</v>
      </c>
      <c r="P1436" s="99">
        <v>4520</v>
      </c>
      <c r="Q1436" s="98">
        <v>8074980</v>
      </c>
      <c r="R1436" s="96" t="s">
        <v>625</v>
      </c>
      <c r="S1436" s="96">
        <v>7414000005</v>
      </c>
      <c r="AA1436" s="131" t="s">
        <v>604</v>
      </c>
      <c r="AB1436" s="130">
        <v>9306500</v>
      </c>
      <c r="AC1436" s="130">
        <v>9306500</v>
      </c>
    </row>
    <row r="1437" spans="1:29" x14ac:dyDescent="0.25">
      <c r="A1437" t="str">
        <f t="shared" si="23"/>
        <v xml:space="preserve">2141264AC *                </v>
      </c>
      <c r="B1437" s="96">
        <v>2141264</v>
      </c>
      <c r="C1437" s="96" t="s">
        <v>832</v>
      </c>
      <c r="D1437" s="96" t="s">
        <v>617</v>
      </c>
      <c r="E1437" s="96" t="s">
        <v>623</v>
      </c>
      <c r="F1437" s="96" t="s">
        <v>624</v>
      </c>
      <c r="G1437" s="99">
        <v>14900</v>
      </c>
      <c r="H1437" s="97">
        <v>11.86</v>
      </c>
      <c r="I1437" s="98">
        <v>176714</v>
      </c>
      <c r="J1437" s="97">
        <v>12.184013422818792</v>
      </c>
      <c r="K1437" s="98">
        <v>-4827.8</v>
      </c>
      <c r="L1437" s="99">
        <v>0</v>
      </c>
      <c r="M1437" s="98">
        <v>0</v>
      </c>
      <c r="N1437" s="99">
        <v>0</v>
      </c>
      <c r="O1437" s="98">
        <v>0</v>
      </c>
      <c r="P1437" s="99">
        <v>14900</v>
      </c>
      <c r="Q1437" s="98">
        <v>176714</v>
      </c>
      <c r="R1437" s="96" t="s">
        <v>625</v>
      </c>
      <c r="S1437" s="96">
        <v>7414000005</v>
      </c>
      <c r="AA1437" s="131" t="s">
        <v>582</v>
      </c>
      <c r="AB1437" s="130">
        <v>9390600</v>
      </c>
      <c r="AC1437" s="130">
        <v>9390600</v>
      </c>
    </row>
    <row r="1438" spans="1:29" x14ac:dyDescent="0.25">
      <c r="A1438" t="str">
        <f t="shared" si="23"/>
        <v xml:space="preserve">2141264ACWI *              </v>
      </c>
      <c r="B1438" s="96">
        <v>2141264</v>
      </c>
      <c r="C1438" s="96" t="s">
        <v>832</v>
      </c>
      <c r="D1438" s="96" t="s">
        <v>359</v>
      </c>
      <c r="E1438" s="96" t="s">
        <v>623</v>
      </c>
      <c r="F1438" s="96" t="s">
        <v>624</v>
      </c>
      <c r="G1438" s="99">
        <v>13200</v>
      </c>
      <c r="H1438" s="97">
        <v>73.37</v>
      </c>
      <c r="I1438" s="98">
        <v>968484</v>
      </c>
      <c r="J1438" s="97">
        <v>61.983649242424242</v>
      </c>
      <c r="K1438" s="98">
        <v>150299.82999999999</v>
      </c>
      <c r="L1438" s="99">
        <v>0</v>
      </c>
      <c r="M1438" s="98">
        <v>0</v>
      </c>
      <c r="N1438" s="99">
        <v>0</v>
      </c>
      <c r="O1438" s="98">
        <v>0</v>
      </c>
      <c r="P1438" s="99">
        <v>13200</v>
      </c>
      <c r="Q1438" s="98">
        <v>968484</v>
      </c>
      <c r="R1438" s="96" t="s">
        <v>625</v>
      </c>
      <c r="S1438" s="96">
        <v>7414000005</v>
      </c>
      <c r="AA1438" s="131" t="s">
        <v>594</v>
      </c>
      <c r="AB1438" s="130">
        <v>4.0000000000000001E-3</v>
      </c>
      <c r="AC1438" s="130">
        <v>4.0000000000000001E-3</v>
      </c>
    </row>
    <row r="1439" spans="1:29" x14ac:dyDescent="0.25">
      <c r="A1439" t="str">
        <f t="shared" si="23"/>
        <v xml:space="preserve">2141264ALPEK A             </v>
      </c>
      <c r="B1439" s="96">
        <v>2141264</v>
      </c>
      <c r="C1439" s="96" t="s">
        <v>832</v>
      </c>
      <c r="D1439" s="96" t="s">
        <v>360</v>
      </c>
      <c r="E1439" s="96" t="s">
        <v>623</v>
      </c>
      <c r="F1439" s="96" t="s">
        <v>624</v>
      </c>
      <c r="G1439" s="99">
        <v>197000</v>
      </c>
      <c r="H1439" s="97">
        <v>15.12</v>
      </c>
      <c r="I1439" s="98">
        <v>2978640</v>
      </c>
      <c r="J1439" s="97">
        <v>16.152912687309644</v>
      </c>
      <c r="K1439" s="98">
        <v>-203483.79939999999</v>
      </c>
      <c r="L1439" s="99">
        <v>0</v>
      </c>
      <c r="M1439" s="98">
        <v>0</v>
      </c>
      <c r="N1439" s="99">
        <v>0</v>
      </c>
      <c r="O1439" s="98">
        <v>0</v>
      </c>
      <c r="P1439" s="99">
        <v>197000</v>
      </c>
      <c r="Q1439" s="98">
        <v>2978640</v>
      </c>
      <c r="R1439" s="96" t="s">
        <v>625</v>
      </c>
      <c r="S1439" s="96">
        <v>7414000005</v>
      </c>
      <c r="AA1439" s="131" t="s">
        <v>605</v>
      </c>
      <c r="AB1439" s="130">
        <v>3097794.2044139998</v>
      </c>
      <c r="AC1439" s="130">
        <v>3097794.2044139998</v>
      </c>
    </row>
    <row r="1440" spans="1:29" x14ac:dyDescent="0.25">
      <c r="A1440" t="str">
        <f t="shared" si="23"/>
        <v xml:space="preserve">2141264ALSEA *             </v>
      </c>
      <c r="B1440" s="96">
        <v>2141264</v>
      </c>
      <c r="C1440" s="96" t="s">
        <v>832</v>
      </c>
      <c r="D1440" s="96" t="s">
        <v>551</v>
      </c>
      <c r="E1440" s="96" t="s">
        <v>623</v>
      </c>
      <c r="F1440" s="96" t="s">
        <v>624</v>
      </c>
      <c r="G1440" s="99">
        <v>3600</v>
      </c>
      <c r="H1440" s="97">
        <v>525.09</v>
      </c>
      <c r="I1440" s="98">
        <v>1890324</v>
      </c>
      <c r="J1440" s="97">
        <v>491.51876944444444</v>
      </c>
      <c r="K1440" s="98">
        <v>120856.43</v>
      </c>
      <c r="L1440" s="99">
        <v>0</v>
      </c>
      <c r="M1440" s="98">
        <v>0</v>
      </c>
      <c r="N1440" s="99">
        <v>0</v>
      </c>
      <c r="O1440" s="98">
        <v>0</v>
      </c>
      <c r="P1440" s="99">
        <v>3600</v>
      </c>
      <c r="Q1440" s="98">
        <v>1890324</v>
      </c>
      <c r="R1440" s="96" t="s">
        <v>625</v>
      </c>
      <c r="S1440" s="96">
        <v>7414000005</v>
      </c>
      <c r="AA1440" s="131" t="s">
        <v>606</v>
      </c>
      <c r="AB1440" s="130">
        <v>148619300</v>
      </c>
      <c r="AC1440" s="130">
        <v>148619300</v>
      </c>
    </row>
    <row r="1441" spans="1:29" x14ac:dyDescent="0.25">
      <c r="A1441" t="str">
        <f t="shared" si="23"/>
        <v xml:space="preserve">2141264AMX B               </v>
      </c>
      <c r="B1441" s="96">
        <v>2141264</v>
      </c>
      <c r="C1441" s="96" t="s">
        <v>832</v>
      </c>
      <c r="D1441" s="96" t="s">
        <v>361</v>
      </c>
      <c r="E1441" s="96" t="s">
        <v>623</v>
      </c>
      <c r="F1441" s="96" t="s">
        <v>624</v>
      </c>
      <c r="G1441" s="99">
        <v>8500</v>
      </c>
      <c r="H1441" s="97">
        <v>68.25</v>
      </c>
      <c r="I1441" s="98">
        <v>580125</v>
      </c>
      <c r="J1441" s="97">
        <v>78.641038823529414</v>
      </c>
      <c r="K1441" s="98">
        <v>-88323.83</v>
      </c>
      <c r="L1441" s="99">
        <v>0</v>
      </c>
      <c r="M1441" s="98">
        <v>0</v>
      </c>
      <c r="N1441" s="99">
        <v>0</v>
      </c>
      <c r="O1441" s="98">
        <v>0</v>
      </c>
      <c r="P1441" s="99">
        <v>8500</v>
      </c>
      <c r="Q1441" s="98">
        <v>580125</v>
      </c>
      <c r="R1441" s="96" t="s">
        <v>625</v>
      </c>
      <c r="S1441" s="96">
        <v>7414000005</v>
      </c>
      <c r="AA1441" s="131" t="s">
        <v>607</v>
      </c>
      <c r="AB1441" s="130">
        <v>0</v>
      </c>
      <c r="AC1441" s="130">
        <v>0</v>
      </c>
    </row>
    <row r="1442" spans="1:29" x14ac:dyDescent="0.25">
      <c r="A1442" t="str">
        <f t="shared" si="23"/>
        <v xml:space="preserve">2141264ASUR B              </v>
      </c>
      <c r="B1442" s="96">
        <v>2141264</v>
      </c>
      <c r="C1442" s="96" t="s">
        <v>832</v>
      </c>
      <c r="D1442" s="96" t="s">
        <v>362</v>
      </c>
      <c r="E1442" s="96" t="s">
        <v>623</v>
      </c>
      <c r="F1442" s="96" t="s">
        <v>624</v>
      </c>
      <c r="G1442" s="99">
        <v>238500</v>
      </c>
      <c r="H1442" s="97">
        <v>14.33</v>
      </c>
      <c r="I1442" s="98">
        <v>3417705</v>
      </c>
      <c r="J1442" s="97">
        <v>12.137728930817611</v>
      </c>
      <c r="K1442" s="98">
        <v>522856.65</v>
      </c>
      <c r="L1442" s="99">
        <v>0</v>
      </c>
      <c r="M1442" s="98">
        <v>0</v>
      </c>
      <c r="N1442" s="99">
        <v>0</v>
      </c>
      <c r="O1442" s="98">
        <v>0</v>
      </c>
      <c r="P1442" s="99">
        <v>238500</v>
      </c>
      <c r="Q1442" s="98">
        <v>3417705</v>
      </c>
      <c r="R1442" s="96" t="s">
        <v>625</v>
      </c>
      <c r="S1442" s="96">
        <v>7414000005</v>
      </c>
      <c r="AA1442" s="131" t="s">
        <v>609</v>
      </c>
      <c r="AB1442" s="130">
        <v>513909487.19999999</v>
      </c>
      <c r="AC1442" s="130">
        <v>513909487.19999999</v>
      </c>
    </row>
    <row r="1443" spans="1:29" x14ac:dyDescent="0.25">
      <c r="A1443" t="str">
        <f t="shared" si="23"/>
        <v xml:space="preserve">2141264BIMBO A             </v>
      </c>
      <c r="B1443" s="96">
        <v>2141264</v>
      </c>
      <c r="C1443" s="96" t="s">
        <v>832</v>
      </c>
      <c r="D1443" s="96" t="s">
        <v>422</v>
      </c>
      <c r="E1443" s="96" t="s">
        <v>623</v>
      </c>
      <c r="F1443" s="96" t="s">
        <v>624</v>
      </c>
      <c r="G1443" s="99">
        <v>1692</v>
      </c>
      <c r="H1443" s="97">
        <v>97.654420999999999</v>
      </c>
      <c r="I1443" s="98">
        <v>165231.28033199999</v>
      </c>
      <c r="J1443" s="97">
        <v>98.224185000000006</v>
      </c>
      <c r="K1443" s="98">
        <v>-964.04068800000005</v>
      </c>
      <c r="L1443" s="99">
        <v>0</v>
      </c>
      <c r="M1443" s="98">
        <v>0</v>
      </c>
      <c r="N1443" s="99">
        <v>0</v>
      </c>
      <c r="O1443" s="98">
        <v>0</v>
      </c>
      <c r="P1443" s="99">
        <v>1692</v>
      </c>
      <c r="Q1443" s="98">
        <v>165231.28033199999</v>
      </c>
      <c r="R1443" s="96" t="s">
        <v>625</v>
      </c>
      <c r="S1443" s="96">
        <v>7414000005</v>
      </c>
      <c r="AA1443" s="131" t="s">
        <v>611</v>
      </c>
      <c r="AB1443" s="130">
        <v>12167203.944488</v>
      </c>
      <c r="AC1443" s="130">
        <v>12167203.944488</v>
      </c>
    </row>
    <row r="1444" spans="1:29" x14ac:dyDescent="0.25">
      <c r="A1444" t="str">
        <f t="shared" si="23"/>
        <v xml:space="preserve">2141264CEMEX CPO           </v>
      </c>
      <c r="B1444" s="96">
        <v>2141264</v>
      </c>
      <c r="C1444" s="96" t="s">
        <v>832</v>
      </c>
      <c r="D1444" s="96" t="s">
        <v>363</v>
      </c>
      <c r="E1444" s="96" t="s">
        <v>623</v>
      </c>
      <c r="F1444" s="96" t="s">
        <v>624</v>
      </c>
      <c r="G1444" s="99">
        <v>359901</v>
      </c>
      <c r="H1444" s="97">
        <v>9.4935880000000008</v>
      </c>
      <c r="I1444" s="98">
        <v>3416751.8147880002</v>
      </c>
      <c r="J1444" s="97">
        <v>8.4405498100000003</v>
      </c>
      <c r="K1444" s="98">
        <v>378989.49761919002</v>
      </c>
      <c r="L1444" s="99">
        <v>0</v>
      </c>
      <c r="M1444" s="98">
        <v>0</v>
      </c>
      <c r="N1444" s="99">
        <v>0</v>
      </c>
      <c r="O1444" s="98">
        <v>0</v>
      </c>
      <c r="P1444" s="99">
        <v>359901</v>
      </c>
      <c r="Q1444" s="98">
        <v>3416751.8147880002</v>
      </c>
      <c r="R1444" s="96" t="s">
        <v>625</v>
      </c>
      <c r="S1444" s="96">
        <v>7414000005</v>
      </c>
      <c r="T1444" s="23"/>
      <c r="AA1444" s="131" t="s">
        <v>458</v>
      </c>
      <c r="AB1444" s="130">
        <v>9752811.8818779998</v>
      </c>
      <c r="AC1444" s="130">
        <v>9752811.8818779998</v>
      </c>
    </row>
    <row r="1445" spans="1:29" x14ac:dyDescent="0.25">
      <c r="A1445" t="str">
        <f t="shared" si="23"/>
        <v xml:space="preserve">2141264CETELEM 22          </v>
      </c>
      <c r="B1445" s="96">
        <v>2141264</v>
      </c>
      <c r="C1445" s="96" t="s">
        <v>832</v>
      </c>
      <c r="D1445" s="96" t="s">
        <v>409</v>
      </c>
      <c r="E1445" s="96" t="s">
        <v>623</v>
      </c>
      <c r="F1445" s="96" t="s">
        <v>624</v>
      </c>
      <c r="G1445" s="99">
        <v>490130</v>
      </c>
      <c r="H1445" s="97">
        <v>9.3381629999999998</v>
      </c>
      <c r="I1445" s="98">
        <v>4576913.8311900003</v>
      </c>
      <c r="J1445" s="97">
        <v>8.3307969100000001</v>
      </c>
      <c r="K1445" s="98">
        <v>493740.34169169998</v>
      </c>
      <c r="L1445" s="99">
        <v>0</v>
      </c>
      <c r="M1445" s="98">
        <v>0</v>
      </c>
      <c r="N1445" s="99">
        <v>0</v>
      </c>
      <c r="O1445" s="98">
        <v>0</v>
      </c>
      <c r="P1445" s="99">
        <v>490130</v>
      </c>
      <c r="Q1445" s="98">
        <v>4576913.8311900003</v>
      </c>
      <c r="R1445" s="96" t="s">
        <v>625</v>
      </c>
      <c r="S1445" s="96">
        <v>7414000005</v>
      </c>
      <c r="AA1445" s="131" t="s">
        <v>393</v>
      </c>
      <c r="AB1445" s="130">
        <v>33304668.204489</v>
      </c>
      <c r="AC1445" s="130">
        <v>33304668.204489</v>
      </c>
    </row>
    <row r="1446" spans="1:29" x14ac:dyDescent="0.25">
      <c r="A1446" t="str">
        <f t="shared" si="23"/>
        <v xml:space="preserve">2141264CETES 241003        </v>
      </c>
      <c r="B1446" s="96">
        <v>2141264</v>
      </c>
      <c r="C1446" s="96" t="s">
        <v>832</v>
      </c>
      <c r="D1446" s="96" t="s">
        <v>365</v>
      </c>
      <c r="E1446" s="96" t="s">
        <v>623</v>
      </c>
      <c r="F1446" s="96" t="s">
        <v>624</v>
      </c>
      <c r="G1446" s="99">
        <v>4000</v>
      </c>
      <c r="H1446" s="97">
        <v>675.38</v>
      </c>
      <c r="I1446" s="98">
        <v>2701520</v>
      </c>
      <c r="J1446" s="97">
        <v>752.82341250000002</v>
      </c>
      <c r="K1446" s="98">
        <v>-309773.65000000002</v>
      </c>
      <c r="L1446" s="99">
        <v>0</v>
      </c>
      <c r="M1446" s="98">
        <v>0</v>
      </c>
      <c r="N1446" s="99">
        <v>0</v>
      </c>
      <c r="O1446" s="98">
        <v>0</v>
      </c>
      <c r="P1446" s="99">
        <v>4000</v>
      </c>
      <c r="Q1446" s="98">
        <v>2701520</v>
      </c>
      <c r="R1446" s="96" t="s">
        <v>625</v>
      </c>
      <c r="S1446" s="96">
        <v>7414000005</v>
      </c>
      <c r="T1446" s="23"/>
      <c r="AA1446" s="131" t="s">
        <v>503</v>
      </c>
      <c r="AB1446" s="130">
        <v>1096162.3</v>
      </c>
      <c r="AC1446" s="130">
        <v>1096162.3</v>
      </c>
    </row>
    <row r="1447" spans="1:29" x14ac:dyDescent="0.25">
      <c r="A1447" t="str">
        <f t="shared" si="23"/>
        <v xml:space="preserve">2141264CETES 241128        </v>
      </c>
      <c r="B1447" s="96">
        <v>2141264</v>
      </c>
      <c r="C1447" s="96" t="s">
        <v>832</v>
      </c>
      <c r="D1447" s="96" t="s">
        <v>367</v>
      </c>
      <c r="E1447" s="96" t="s">
        <v>623</v>
      </c>
      <c r="F1447" s="96" t="s">
        <v>624</v>
      </c>
      <c r="G1447" s="99">
        <v>890</v>
      </c>
      <c r="H1447" s="97">
        <v>700.65</v>
      </c>
      <c r="I1447" s="98">
        <v>623578.5</v>
      </c>
      <c r="J1447" s="97">
        <v>762.20196629213478</v>
      </c>
      <c r="K1447" s="98">
        <v>-54781.25</v>
      </c>
      <c r="L1447" s="99">
        <v>0</v>
      </c>
      <c r="M1447" s="98">
        <v>0</v>
      </c>
      <c r="N1447" s="99">
        <v>0</v>
      </c>
      <c r="O1447" s="98">
        <v>0</v>
      </c>
      <c r="P1447" s="99">
        <v>890</v>
      </c>
      <c r="Q1447" s="98">
        <v>623578.5</v>
      </c>
      <c r="R1447" s="96" t="s">
        <v>625</v>
      </c>
      <c r="S1447" s="96">
        <v>7414000005</v>
      </c>
      <c r="T1447" s="23"/>
      <c r="AA1447" s="131" t="s">
        <v>602</v>
      </c>
      <c r="AB1447" s="130">
        <v>6420226.1570260003</v>
      </c>
      <c r="AC1447" s="130">
        <v>6420226.1570260003</v>
      </c>
    </row>
    <row r="1448" spans="1:29" x14ac:dyDescent="0.25">
      <c r="A1448" t="str">
        <f t="shared" si="23"/>
        <v xml:space="preserve">2141264EEM *               </v>
      </c>
      <c r="B1448" s="96">
        <v>2141264</v>
      </c>
      <c r="C1448" s="96" t="s">
        <v>832</v>
      </c>
      <c r="D1448" s="96" t="s">
        <v>368</v>
      </c>
      <c r="E1448" s="96" t="s">
        <v>623</v>
      </c>
      <c r="F1448" s="96" t="s">
        <v>624</v>
      </c>
      <c r="G1448" s="99">
        <v>1720</v>
      </c>
      <c r="H1448" s="97">
        <v>1151</v>
      </c>
      <c r="I1448" s="98">
        <v>1979720</v>
      </c>
      <c r="J1448" s="97">
        <v>982.34045348837208</v>
      </c>
      <c r="K1448" s="98">
        <v>290094.42</v>
      </c>
      <c r="L1448" s="99">
        <v>0</v>
      </c>
      <c r="M1448" s="98">
        <v>0</v>
      </c>
      <c r="N1448" s="99">
        <v>0</v>
      </c>
      <c r="O1448" s="98">
        <v>0</v>
      </c>
      <c r="P1448" s="99">
        <v>1720</v>
      </c>
      <c r="Q1448" s="98">
        <v>1979720</v>
      </c>
      <c r="R1448" s="96" t="s">
        <v>625</v>
      </c>
      <c r="S1448" s="96">
        <v>7414000005</v>
      </c>
      <c r="T1448" s="23"/>
      <c r="AA1448" s="131" t="s">
        <v>500</v>
      </c>
      <c r="AB1448" s="130">
        <v>2261520</v>
      </c>
      <c r="AC1448" s="130">
        <v>2261520</v>
      </c>
    </row>
    <row r="1449" spans="1:29" x14ac:dyDescent="0.25">
      <c r="A1449" t="str">
        <f t="shared" si="23"/>
        <v xml:space="preserve">2141264EPP *               </v>
      </c>
      <c r="B1449" s="96">
        <v>2141264</v>
      </c>
      <c r="C1449" s="96" t="s">
        <v>832</v>
      </c>
      <c r="D1449" s="96" t="s">
        <v>369</v>
      </c>
      <c r="E1449" s="96" t="s">
        <v>623</v>
      </c>
      <c r="F1449" s="96" t="s">
        <v>624</v>
      </c>
      <c r="G1449" s="99">
        <v>17800</v>
      </c>
      <c r="H1449" s="97">
        <v>207.81</v>
      </c>
      <c r="I1449" s="98">
        <v>3699018</v>
      </c>
      <c r="J1449" s="97">
        <v>177.93453595505619</v>
      </c>
      <c r="K1449" s="98">
        <v>531783.26</v>
      </c>
      <c r="L1449" s="99">
        <v>0</v>
      </c>
      <c r="M1449" s="98">
        <v>0</v>
      </c>
      <c r="N1449" s="99">
        <v>0</v>
      </c>
      <c r="O1449" s="98">
        <v>0</v>
      </c>
      <c r="P1449" s="99">
        <v>17800</v>
      </c>
      <c r="Q1449" s="98">
        <v>3699018</v>
      </c>
      <c r="R1449" s="96" t="s">
        <v>625</v>
      </c>
      <c r="S1449" s="96">
        <v>7414000005</v>
      </c>
      <c r="T1449" s="23"/>
      <c r="AA1449" s="131" t="s">
        <v>541</v>
      </c>
      <c r="AB1449" s="130">
        <v>1731600</v>
      </c>
      <c r="AC1449" s="130">
        <v>1731600</v>
      </c>
    </row>
    <row r="1450" spans="1:29" x14ac:dyDescent="0.25">
      <c r="A1450" t="str">
        <f t="shared" si="23"/>
        <v xml:space="preserve">2141264EWJ *               </v>
      </c>
      <c r="B1450" s="96">
        <v>2141264</v>
      </c>
      <c r="C1450" s="96" t="s">
        <v>832</v>
      </c>
      <c r="D1450" s="96" t="s">
        <v>370</v>
      </c>
      <c r="E1450" s="96" t="s">
        <v>623</v>
      </c>
      <c r="F1450" s="96" t="s">
        <v>624</v>
      </c>
      <c r="G1450" s="99">
        <v>1900</v>
      </c>
      <c r="H1450" s="97">
        <v>271.94</v>
      </c>
      <c r="I1450" s="98">
        <v>516686</v>
      </c>
      <c r="J1450" s="97">
        <v>290.68908947368419</v>
      </c>
      <c r="K1450" s="98">
        <v>-35623.269999999997</v>
      </c>
      <c r="L1450" s="99">
        <v>0</v>
      </c>
      <c r="M1450" s="98">
        <v>0</v>
      </c>
      <c r="N1450" s="99">
        <v>0</v>
      </c>
      <c r="O1450" s="98">
        <v>0</v>
      </c>
      <c r="P1450" s="99">
        <v>1900</v>
      </c>
      <c r="Q1450" s="98">
        <v>516686</v>
      </c>
      <c r="R1450" s="96" t="s">
        <v>625</v>
      </c>
      <c r="S1450" s="96">
        <v>7414000005</v>
      </c>
      <c r="T1450" s="23"/>
      <c r="AA1450" s="131" t="s">
        <v>600</v>
      </c>
      <c r="AB1450" s="130">
        <v>1629595</v>
      </c>
      <c r="AC1450" s="130">
        <v>1629595</v>
      </c>
    </row>
    <row r="1451" spans="1:29" x14ac:dyDescent="0.25">
      <c r="A1451" t="str">
        <f t="shared" si="23"/>
        <v xml:space="preserve">2141264FEMSA UBD           </v>
      </c>
      <c r="B1451" s="96">
        <v>2141264</v>
      </c>
      <c r="C1451" s="96" t="s">
        <v>832</v>
      </c>
      <c r="D1451" s="96" t="s">
        <v>371</v>
      </c>
      <c r="E1451" s="96" t="s">
        <v>623</v>
      </c>
      <c r="F1451" s="96" t="s">
        <v>624</v>
      </c>
      <c r="G1451" s="99">
        <v>6000</v>
      </c>
      <c r="H1451" s="97">
        <v>193.15</v>
      </c>
      <c r="I1451" s="98">
        <v>1158900</v>
      </c>
      <c r="J1451" s="97">
        <v>163.59802833333333</v>
      </c>
      <c r="K1451" s="98">
        <v>177311.83</v>
      </c>
      <c r="L1451" s="99">
        <v>0</v>
      </c>
      <c r="M1451" s="98">
        <v>0</v>
      </c>
      <c r="N1451" s="99">
        <v>0</v>
      </c>
      <c r="O1451" s="98">
        <v>0</v>
      </c>
      <c r="P1451" s="99">
        <v>6000</v>
      </c>
      <c r="Q1451" s="98">
        <v>1158900</v>
      </c>
      <c r="R1451" s="96" t="s">
        <v>625</v>
      </c>
      <c r="S1451" s="96">
        <v>7414000005</v>
      </c>
      <c r="T1451" s="23"/>
      <c r="AA1451" s="131" t="s">
        <v>371</v>
      </c>
      <c r="AB1451" s="130">
        <v>3013140</v>
      </c>
      <c r="AC1451" s="130">
        <v>3013140</v>
      </c>
    </row>
    <row r="1452" spans="1:29" x14ac:dyDescent="0.25">
      <c r="A1452" t="str">
        <f t="shared" si="23"/>
        <v xml:space="preserve">2141264GAP B               </v>
      </c>
      <c r="B1452" s="96">
        <v>2141264</v>
      </c>
      <c r="C1452" s="96" t="s">
        <v>832</v>
      </c>
      <c r="D1452" s="96" t="s">
        <v>372</v>
      </c>
      <c r="E1452" s="96" t="s">
        <v>623</v>
      </c>
      <c r="F1452" s="96" t="s">
        <v>624</v>
      </c>
      <c r="G1452" s="99">
        <v>45000</v>
      </c>
      <c r="H1452" s="97">
        <v>27.12</v>
      </c>
      <c r="I1452" s="98">
        <v>1220400</v>
      </c>
      <c r="J1452" s="97">
        <v>22.565322444444444</v>
      </c>
      <c r="K1452" s="98">
        <v>204960.49</v>
      </c>
      <c r="L1452" s="99">
        <v>0</v>
      </c>
      <c r="M1452" s="98">
        <v>0</v>
      </c>
      <c r="N1452" s="99">
        <v>0</v>
      </c>
      <c r="O1452" s="98">
        <v>0</v>
      </c>
      <c r="P1452" s="99">
        <v>45000</v>
      </c>
      <c r="Q1452" s="98">
        <v>1220400</v>
      </c>
      <c r="R1452" s="96" t="s">
        <v>625</v>
      </c>
      <c r="S1452" s="96">
        <v>7414000005</v>
      </c>
      <c r="AA1452" s="131" t="s">
        <v>539</v>
      </c>
      <c r="AB1452" s="130">
        <v>1062821</v>
      </c>
      <c r="AC1452" s="130">
        <v>1062821</v>
      </c>
    </row>
    <row r="1453" spans="1:29" x14ac:dyDescent="0.25">
      <c r="A1453" t="str">
        <f t="shared" si="23"/>
        <v xml:space="preserve">2141264GCC *               </v>
      </c>
      <c r="B1453" s="96">
        <v>2141264</v>
      </c>
      <c r="C1453" s="96" t="s">
        <v>832</v>
      </c>
      <c r="D1453" s="96" t="s">
        <v>373</v>
      </c>
      <c r="E1453" s="96" t="s">
        <v>623</v>
      </c>
      <c r="F1453" s="96" t="s">
        <v>624</v>
      </c>
      <c r="G1453" s="99">
        <v>28100</v>
      </c>
      <c r="H1453" s="97">
        <v>176.44</v>
      </c>
      <c r="I1453" s="98">
        <v>4957964</v>
      </c>
      <c r="J1453" s="97">
        <v>147.64830604982205</v>
      </c>
      <c r="K1453" s="98">
        <v>809046.6</v>
      </c>
      <c r="L1453" s="99">
        <v>0</v>
      </c>
      <c r="M1453" s="98">
        <v>0</v>
      </c>
      <c r="N1453" s="99">
        <v>0</v>
      </c>
      <c r="O1453" s="98">
        <v>0</v>
      </c>
      <c r="P1453" s="99">
        <v>28100</v>
      </c>
      <c r="Q1453" s="98">
        <v>4957964</v>
      </c>
      <c r="R1453" s="96" t="s">
        <v>625</v>
      </c>
      <c r="S1453" s="96">
        <v>7414000005</v>
      </c>
      <c r="T1453" s="23"/>
      <c r="AA1453" s="131" t="s">
        <v>399</v>
      </c>
      <c r="AB1453" s="130">
        <v>58312485.017137997</v>
      </c>
      <c r="AC1453" s="130">
        <v>58312485.017137997</v>
      </c>
    </row>
    <row r="1454" spans="1:29" x14ac:dyDescent="0.25">
      <c r="A1454" t="str">
        <f t="shared" si="23"/>
        <v xml:space="preserve">2141264GENTERA *           </v>
      </c>
      <c r="B1454" s="96">
        <v>2141264</v>
      </c>
      <c r="C1454" s="96" t="s">
        <v>832</v>
      </c>
      <c r="D1454" s="96" t="s">
        <v>374</v>
      </c>
      <c r="E1454" s="96" t="s">
        <v>623</v>
      </c>
      <c r="F1454" s="96" t="s">
        <v>624</v>
      </c>
      <c r="G1454" s="99">
        <v>35600</v>
      </c>
      <c r="H1454" s="97">
        <v>104.12</v>
      </c>
      <c r="I1454" s="98">
        <v>3706672</v>
      </c>
      <c r="J1454" s="97">
        <v>83.802376123595508</v>
      </c>
      <c r="K1454" s="98">
        <v>723307.41</v>
      </c>
      <c r="L1454" s="99">
        <v>0</v>
      </c>
      <c r="M1454" s="98">
        <v>0</v>
      </c>
      <c r="N1454" s="99">
        <v>0</v>
      </c>
      <c r="O1454" s="98">
        <v>0</v>
      </c>
      <c r="P1454" s="99">
        <v>35600</v>
      </c>
      <c r="Q1454" s="98">
        <v>3706672</v>
      </c>
      <c r="R1454" s="96" t="s">
        <v>625</v>
      </c>
      <c r="S1454" s="96">
        <v>7414000005</v>
      </c>
      <c r="AA1454" s="131" t="s">
        <v>603</v>
      </c>
      <c r="AB1454" s="130">
        <v>2536784</v>
      </c>
      <c r="AC1454" s="130">
        <v>2536784</v>
      </c>
    </row>
    <row r="1455" spans="1:29" x14ac:dyDescent="0.25">
      <c r="A1455" t="str">
        <f t="shared" si="23"/>
        <v xml:space="preserve">2141264GFNORTE O           </v>
      </c>
      <c r="B1455" s="96">
        <v>2141264</v>
      </c>
      <c r="C1455" s="96" t="s">
        <v>832</v>
      </c>
      <c r="D1455" s="96" t="s">
        <v>375</v>
      </c>
      <c r="E1455" s="96" t="s">
        <v>623</v>
      </c>
      <c r="F1455" s="96" t="s">
        <v>624</v>
      </c>
      <c r="G1455" s="99">
        <v>23840</v>
      </c>
      <c r="H1455" s="97">
        <v>98.730349000000004</v>
      </c>
      <c r="I1455" s="98">
        <v>2353731.5201599998</v>
      </c>
      <c r="J1455" s="97">
        <v>104.24610289529782</v>
      </c>
      <c r="K1455" s="98">
        <v>-131495.57286389999</v>
      </c>
      <c r="L1455" s="99">
        <v>0</v>
      </c>
      <c r="M1455" s="98">
        <v>0</v>
      </c>
      <c r="N1455" s="99">
        <v>0</v>
      </c>
      <c r="O1455" s="98">
        <v>0</v>
      </c>
      <c r="P1455" s="99">
        <v>23840</v>
      </c>
      <c r="Q1455" s="98">
        <v>2353731.5201599998</v>
      </c>
      <c r="R1455" s="96" t="s">
        <v>625</v>
      </c>
      <c r="S1455" s="96">
        <v>7414000005</v>
      </c>
      <c r="T1455" s="23"/>
      <c r="AA1455" s="131" t="s">
        <v>394</v>
      </c>
      <c r="AB1455" s="130">
        <v>65101454.024531998</v>
      </c>
      <c r="AC1455" s="130">
        <v>65101454.024531998</v>
      </c>
    </row>
    <row r="1456" spans="1:29" x14ac:dyDescent="0.25">
      <c r="A1456" t="str">
        <f t="shared" si="23"/>
        <v xml:space="preserve">2141264GMEXICO B           </v>
      </c>
      <c r="B1456" s="96">
        <v>2141264</v>
      </c>
      <c r="C1456" s="96" t="s">
        <v>832</v>
      </c>
      <c r="D1456" s="96" t="s">
        <v>376</v>
      </c>
      <c r="E1456" s="96" t="s">
        <v>623</v>
      </c>
      <c r="F1456" s="96" t="s">
        <v>624</v>
      </c>
      <c r="G1456" s="99">
        <v>27222</v>
      </c>
      <c r="H1456" s="97">
        <v>99.247497999999993</v>
      </c>
      <c r="I1456" s="98">
        <v>2701715.3905560002</v>
      </c>
      <c r="J1456" s="97">
        <v>112.43067486209904</v>
      </c>
      <c r="K1456" s="98">
        <v>-358872.44054005999</v>
      </c>
      <c r="L1456" s="99">
        <v>0</v>
      </c>
      <c r="M1456" s="98">
        <v>0</v>
      </c>
      <c r="N1456" s="99">
        <v>0</v>
      </c>
      <c r="O1456" s="98">
        <v>0</v>
      </c>
      <c r="P1456" s="99">
        <v>27222</v>
      </c>
      <c r="Q1456" s="98">
        <v>2701715.3905560002</v>
      </c>
      <c r="R1456" s="96" t="s">
        <v>625</v>
      </c>
      <c r="S1456" s="96">
        <v>7414000005</v>
      </c>
      <c r="T1456" s="23"/>
      <c r="AA1456" s="131" t="s">
        <v>386</v>
      </c>
      <c r="AB1456" s="130">
        <v>12323986.050000001</v>
      </c>
      <c r="AC1456" s="130">
        <v>12323986.050000001</v>
      </c>
    </row>
    <row r="1457" spans="1:29" x14ac:dyDescent="0.25">
      <c r="A1457" t="str">
        <f t="shared" si="23"/>
        <v xml:space="preserve">2141264GOBFED 240905       </v>
      </c>
      <c r="B1457" s="96">
        <v>2141264</v>
      </c>
      <c r="C1457" s="96" t="s">
        <v>832</v>
      </c>
      <c r="D1457" s="96" t="s">
        <v>377</v>
      </c>
      <c r="E1457" s="96" t="s">
        <v>623</v>
      </c>
      <c r="F1457" s="96" t="s">
        <v>624</v>
      </c>
      <c r="G1457" s="99">
        <v>8490</v>
      </c>
      <c r="H1457" s="97">
        <v>94.973146999999997</v>
      </c>
      <c r="I1457" s="98">
        <v>806322.01803000004</v>
      </c>
      <c r="J1457" s="97">
        <v>89.77783047021201</v>
      </c>
      <c r="K1457" s="98">
        <v>44108.237337899998</v>
      </c>
      <c r="L1457" s="99">
        <v>0</v>
      </c>
      <c r="M1457" s="98">
        <v>0</v>
      </c>
      <c r="N1457" s="99">
        <v>0</v>
      </c>
      <c r="O1457" s="98">
        <v>0</v>
      </c>
      <c r="P1457" s="99">
        <v>8490</v>
      </c>
      <c r="Q1457" s="98">
        <v>806322.01803000004</v>
      </c>
      <c r="R1457" s="96" t="s">
        <v>625</v>
      </c>
      <c r="S1457" s="96">
        <v>7414000005</v>
      </c>
      <c r="T1457" s="23"/>
      <c r="AA1457" s="131" t="s">
        <v>608</v>
      </c>
      <c r="AB1457" s="130">
        <v>950520</v>
      </c>
      <c r="AC1457" s="130">
        <v>950520</v>
      </c>
    </row>
    <row r="1458" spans="1:29" x14ac:dyDescent="0.25">
      <c r="A1458" t="str">
        <f t="shared" si="23"/>
        <v xml:space="preserve">2141264GOBFED 241205       </v>
      </c>
      <c r="B1458" s="96">
        <v>2141264</v>
      </c>
      <c r="C1458" s="96" t="s">
        <v>832</v>
      </c>
      <c r="D1458" s="96" t="s">
        <v>378</v>
      </c>
      <c r="E1458" s="96" t="s">
        <v>623</v>
      </c>
      <c r="F1458" s="96" t="s">
        <v>624</v>
      </c>
      <c r="G1458" s="99">
        <v>29069</v>
      </c>
      <c r="H1458" s="97">
        <v>91.911821000000003</v>
      </c>
      <c r="I1458" s="98">
        <v>2671784.724649</v>
      </c>
      <c r="J1458" s="97">
        <v>93.2088459</v>
      </c>
      <c r="K1458" s="98">
        <v>-37703.216818100002</v>
      </c>
      <c r="L1458" s="99">
        <v>0</v>
      </c>
      <c r="M1458" s="98">
        <v>0</v>
      </c>
      <c r="N1458" s="99">
        <v>0</v>
      </c>
      <c r="O1458" s="98">
        <v>0</v>
      </c>
      <c r="P1458" s="99">
        <v>29069</v>
      </c>
      <c r="Q1458" s="98">
        <v>2671784.724649</v>
      </c>
      <c r="R1458" s="96" t="s">
        <v>625</v>
      </c>
      <c r="S1458" s="96">
        <v>7414000005</v>
      </c>
      <c r="T1458" s="23"/>
      <c r="AA1458" s="131" t="s">
        <v>383</v>
      </c>
      <c r="AB1458" s="130">
        <v>312981.77176799998</v>
      </c>
      <c r="AC1458" s="130">
        <v>312981.77176799998</v>
      </c>
    </row>
    <row r="1459" spans="1:29" x14ac:dyDescent="0.25">
      <c r="A1459" t="str">
        <f t="shared" si="23"/>
        <v xml:space="preserve">2141264GOBFED 250306       </v>
      </c>
      <c r="B1459" s="96">
        <v>2141264</v>
      </c>
      <c r="C1459" s="96" t="s">
        <v>832</v>
      </c>
      <c r="D1459" s="96" t="s">
        <v>499</v>
      </c>
      <c r="E1459" s="96" t="s">
        <v>623</v>
      </c>
      <c r="F1459" s="96" t="s">
        <v>624</v>
      </c>
      <c r="G1459" s="99">
        <v>14810</v>
      </c>
      <c r="H1459" s="97">
        <v>92.954503000000003</v>
      </c>
      <c r="I1459" s="98">
        <v>1376656.18943</v>
      </c>
      <c r="J1459" s="97">
        <v>93.326521780931799</v>
      </c>
      <c r="K1459" s="98">
        <v>-5509.5981456</v>
      </c>
      <c r="L1459" s="99">
        <v>0</v>
      </c>
      <c r="M1459" s="98">
        <v>0</v>
      </c>
      <c r="N1459" s="99">
        <v>0</v>
      </c>
      <c r="O1459" s="98">
        <v>0</v>
      </c>
      <c r="P1459" s="99">
        <v>14810</v>
      </c>
      <c r="Q1459" s="98">
        <v>1376656.18943</v>
      </c>
      <c r="R1459" s="96" t="s">
        <v>625</v>
      </c>
      <c r="S1459" s="96">
        <v>7414000005</v>
      </c>
      <c r="T1459" s="23"/>
      <c r="AA1459" s="131" t="s">
        <v>860</v>
      </c>
      <c r="AB1459" s="130">
        <v>784287</v>
      </c>
      <c r="AC1459" s="130">
        <v>784287</v>
      </c>
    </row>
    <row r="1460" spans="1:29" x14ac:dyDescent="0.25">
      <c r="A1460" t="str">
        <f t="shared" si="23"/>
        <v xml:space="preserve">2141264GOBFED 260305       </v>
      </c>
      <c r="B1460" s="96">
        <v>2141264</v>
      </c>
      <c r="C1460" s="96" t="s">
        <v>832</v>
      </c>
      <c r="D1460" s="96" t="s">
        <v>379</v>
      </c>
      <c r="E1460" s="96" t="s">
        <v>623</v>
      </c>
      <c r="F1460" s="96" t="s">
        <v>624</v>
      </c>
      <c r="G1460" s="99">
        <v>14718</v>
      </c>
      <c r="H1460" s="97">
        <v>88.698122999999995</v>
      </c>
      <c r="I1460" s="98">
        <v>1305458.974314</v>
      </c>
      <c r="J1460" s="97">
        <v>85.579178033424384</v>
      </c>
      <c r="K1460" s="98">
        <v>45904.632018060001</v>
      </c>
      <c r="L1460" s="99">
        <v>0</v>
      </c>
      <c r="M1460" s="98">
        <v>0</v>
      </c>
      <c r="N1460" s="99">
        <v>0</v>
      </c>
      <c r="O1460" s="98">
        <v>0</v>
      </c>
      <c r="P1460" s="99">
        <v>14718</v>
      </c>
      <c r="Q1460" s="98">
        <v>1305458.974314</v>
      </c>
      <c r="R1460" s="96" t="s">
        <v>625</v>
      </c>
      <c r="S1460" s="96">
        <v>7414000005</v>
      </c>
      <c r="AA1460" s="131" t="s">
        <v>360</v>
      </c>
      <c r="AB1460" s="130">
        <v>8210160</v>
      </c>
      <c r="AC1460" s="130">
        <v>8210160</v>
      </c>
    </row>
    <row r="1461" spans="1:29" x14ac:dyDescent="0.25">
      <c r="A1461" t="str">
        <f t="shared" si="23"/>
        <v xml:space="preserve">2141264GOBFED 260903       </v>
      </c>
      <c r="B1461" s="96">
        <v>2141264</v>
      </c>
      <c r="C1461" s="96" t="s">
        <v>832</v>
      </c>
      <c r="D1461" s="96" t="s">
        <v>380</v>
      </c>
      <c r="E1461" s="96" t="s">
        <v>623</v>
      </c>
      <c r="F1461" s="96" t="s">
        <v>624</v>
      </c>
      <c r="G1461" s="99">
        <v>30790</v>
      </c>
      <c r="H1461" s="97">
        <v>93.314192000000006</v>
      </c>
      <c r="I1461" s="98">
        <v>2873143.97168</v>
      </c>
      <c r="J1461" s="97">
        <v>99.098739295319902</v>
      </c>
      <c r="K1461" s="98">
        <v>-178106.21122289999</v>
      </c>
      <c r="L1461" s="99">
        <v>0</v>
      </c>
      <c r="M1461" s="98">
        <v>0</v>
      </c>
      <c r="N1461" s="99">
        <v>0</v>
      </c>
      <c r="O1461" s="98">
        <v>0</v>
      </c>
      <c r="P1461" s="99">
        <v>30790</v>
      </c>
      <c r="Q1461" s="98">
        <v>2873143.97168</v>
      </c>
      <c r="R1461" s="96" t="s">
        <v>625</v>
      </c>
      <c r="S1461" s="96">
        <v>7414000005</v>
      </c>
      <c r="T1461" s="23"/>
      <c r="AA1461" s="131" t="s">
        <v>397</v>
      </c>
      <c r="AB1461" s="130">
        <v>2856110.3674289999</v>
      </c>
      <c r="AC1461" s="130">
        <v>2856110.3674289999</v>
      </c>
    </row>
    <row r="1462" spans="1:29" ht="18.75" customHeight="1" x14ac:dyDescent="0.25">
      <c r="A1462" t="str">
        <f t="shared" si="23"/>
        <v xml:space="preserve">2141264GOBFED 270304       </v>
      </c>
      <c r="B1462" s="96">
        <v>2141264</v>
      </c>
      <c r="C1462" s="96" t="s">
        <v>832</v>
      </c>
      <c r="D1462" s="96" t="s">
        <v>507</v>
      </c>
      <c r="E1462" s="96" t="s">
        <v>623</v>
      </c>
      <c r="F1462" s="96" t="s">
        <v>624</v>
      </c>
      <c r="G1462" s="99">
        <v>26160</v>
      </c>
      <c r="H1462" s="97">
        <v>94.864168000000006</v>
      </c>
      <c r="I1462" s="98">
        <v>2481646.6348799998</v>
      </c>
      <c r="J1462" s="97">
        <v>96.400284050443432</v>
      </c>
      <c r="K1462" s="98">
        <v>-40184.795879600002</v>
      </c>
      <c r="L1462" s="99">
        <v>0</v>
      </c>
      <c r="M1462" s="98">
        <v>0</v>
      </c>
      <c r="N1462" s="99">
        <v>0</v>
      </c>
      <c r="O1462" s="98">
        <v>0</v>
      </c>
      <c r="P1462" s="99">
        <v>26160</v>
      </c>
      <c r="Q1462" s="98">
        <v>2481646.6348799998</v>
      </c>
      <c r="R1462" s="96" t="s">
        <v>625</v>
      </c>
      <c r="S1462" s="96">
        <v>7414000005</v>
      </c>
      <c r="AA1462" s="131" t="s">
        <v>501</v>
      </c>
      <c r="AB1462" s="130">
        <v>8518224</v>
      </c>
      <c r="AC1462" s="130">
        <v>8518224</v>
      </c>
    </row>
    <row r="1463" spans="1:29" x14ac:dyDescent="0.25">
      <c r="A1463" t="str">
        <f t="shared" si="23"/>
        <v xml:space="preserve">2141264GOBFED 270603       </v>
      </c>
      <c r="B1463" s="96">
        <v>2141264</v>
      </c>
      <c r="C1463" s="96" t="s">
        <v>832</v>
      </c>
      <c r="D1463" s="96" t="s">
        <v>381</v>
      </c>
      <c r="E1463" s="96" t="s">
        <v>623</v>
      </c>
      <c r="F1463" s="96" t="s">
        <v>624</v>
      </c>
      <c r="G1463" s="99">
        <v>74693</v>
      </c>
      <c r="H1463" s="97">
        <v>94.870157000000006</v>
      </c>
      <c r="I1463" s="98">
        <v>7086136.6368009998</v>
      </c>
      <c r="J1463" s="97">
        <v>96.757260273500862</v>
      </c>
      <c r="K1463" s="98">
        <v>-140953.40480759999</v>
      </c>
      <c r="L1463" s="99">
        <v>0</v>
      </c>
      <c r="M1463" s="98">
        <v>0</v>
      </c>
      <c r="N1463" s="99">
        <v>0</v>
      </c>
      <c r="O1463" s="98">
        <v>0</v>
      </c>
      <c r="P1463" s="99">
        <v>74693</v>
      </c>
      <c r="Q1463" s="98">
        <v>7086136.6368009998</v>
      </c>
      <c r="R1463" s="96" t="s">
        <v>625</v>
      </c>
      <c r="S1463" s="96">
        <v>7414000005</v>
      </c>
      <c r="T1463" s="23"/>
      <c r="X1463" s="24"/>
      <c r="AA1463" s="129">
        <v>79041</v>
      </c>
      <c r="AB1463" s="130">
        <v>0</v>
      </c>
      <c r="AC1463" s="130">
        <v>0</v>
      </c>
    </row>
    <row r="1464" spans="1:29" x14ac:dyDescent="0.25">
      <c r="A1464" t="str">
        <f t="shared" si="23"/>
        <v xml:space="preserve">2141264GOBFED 290301       </v>
      </c>
      <c r="B1464" s="96">
        <v>2141264</v>
      </c>
      <c r="C1464" s="96" t="s">
        <v>832</v>
      </c>
      <c r="D1464" s="96" t="s">
        <v>382</v>
      </c>
      <c r="E1464" s="96" t="s">
        <v>623</v>
      </c>
      <c r="F1464" s="96" t="s">
        <v>624</v>
      </c>
      <c r="G1464" s="99">
        <v>37617</v>
      </c>
      <c r="H1464" s="97">
        <v>89.489464999999996</v>
      </c>
      <c r="I1464" s="98">
        <v>3366325.204905</v>
      </c>
      <c r="J1464" s="97">
        <v>91.229590010315547</v>
      </c>
      <c r="K1464" s="98">
        <v>-65458.282513040002</v>
      </c>
      <c r="L1464" s="99">
        <v>0</v>
      </c>
      <c r="M1464" s="98">
        <v>0</v>
      </c>
      <c r="N1464" s="99">
        <v>0</v>
      </c>
      <c r="O1464" s="98">
        <v>0</v>
      </c>
      <c r="P1464" s="99">
        <v>37617</v>
      </c>
      <c r="Q1464" s="98">
        <v>3366325.204905</v>
      </c>
      <c r="R1464" s="96" t="s">
        <v>625</v>
      </c>
      <c r="S1464" s="96">
        <v>7414000005</v>
      </c>
      <c r="X1464" s="24"/>
      <c r="AA1464" s="131" t="s">
        <v>376</v>
      </c>
      <c r="AB1464" s="130">
        <v>0</v>
      </c>
      <c r="AC1464" s="130">
        <v>0</v>
      </c>
    </row>
    <row r="1465" spans="1:29" x14ac:dyDescent="0.25">
      <c r="A1465" t="str">
        <f t="shared" si="23"/>
        <v xml:space="preserve">2141264GOBFED 290531       </v>
      </c>
      <c r="B1465" s="96">
        <v>2141264</v>
      </c>
      <c r="C1465" s="96" t="s">
        <v>832</v>
      </c>
      <c r="D1465" s="96" t="s">
        <v>383</v>
      </c>
      <c r="E1465" s="96" t="s">
        <v>623</v>
      </c>
      <c r="F1465" s="96" t="s">
        <v>624</v>
      </c>
      <c r="G1465" s="99">
        <v>73602</v>
      </c>
      <c r="H1465" s="97">
        <v>86.197128000000006</v>
      </c>
      <c r="I1465" s="98">
        <v>6344281.0150560001</v>
      </c>
      <c r="J1465" s="97">
        <v>89.410812547518276</v>
      </c>
      <c r="K1465" s="98">
        <v>-236533.61006643999</v>
      </c>
      <c r="L1465" s="99">
        <v>0</v>
      </c>
      <c r="M1465" s="98">
        <v>0</v>
      </c>
      <c r="N1465" s="99">
        <v>0</v>
      </c>
      <c r="O1465" s="98">
        <v>0</v>
      </c>
      <c r="P1465" s="99">
        <v>73602</v>
      </c>
      <c r="Q1465" s="98">
        <v>6344281.0150560001</v>
      </c>
      <c r="R1465" s="96" t="s">
        <v>625</v>
      </c>
      <c r="S1465" s="96">
        <v>7414000005</v>
      </c>
      <c r="T1465" s="23"/>
      <c r="AA1465" s="131" t="s">
        <v>382</v>
      </c>
      <c r="AB1465" s="130">
        <v>0</v>
      </c>
      <c r="AC1465" s="130">
        <v>0</v>
      </c>
    </row>
    <row r="1466" spans="1:29" x14ac:dyDescent="0.25">
      <c r="A1466" t="str">
        <f t="shared" si="23"/>
        <v xml:space="preserve">2141264GOBFED 310529       </v>
      </c>
      <c r="B1466" s="96">
        <v>2141264</v>
      </c>
      <c r="C1466" s="96" t="s">
        <v>832</v>
      </c>
      <c r="D1466" s="96" t="s">
        <v>427</v>
      </c>
      <c r="E1466" s="96" t="s">
        <v>623</v>
      </c>
      <c r="F1466" s="96" t="s">
        <v>624</v>
      </c>
      <c r="G1466" s="99">
        <v>54592</v>
      </c>
      <c r="H1466" s="97">
        <v>86.469353999999996</v>
      </c>
      <c r="I1466" s="98">
        <v>4720534.9735679999</v>
      </c>
      <c r="J1466" s="97">
        <v>90.725366333467903</v>
      </c>
      <c r="K1466" s="98">
        <v>-232344.22530868</v>
      </c>
      <c r="L1466" s="99">
        <v>0</v>
      </c>
      <c r="M1466" s="98">
        <v>0</v>
      </c>
      <c r="N1466" s="99">
        <v>0</v>
      </c>
      <c r="O1466" s="98">
        <v>0</v>
      </c>
      <c r="P1466" s="99">
        <v>54592</v>
      </c>
      <c r="Q1466" s="98">
        <v>4720534.9735679999</v>
      </c>
      <c r="R1466" s="96" t="s">
        <v>625</v>
      </c>
      <c r="S1466" s="96">
        <v>7414000005</v>
      </c>
      <c r="AA1466" s="131" t="s">
        <v>396</v>
      </c>
      <c r="AB1466" s="130">
        <v>0</v>
      </c>
      <c r="AC1466" s="130">
        <v>0</v>
      </c>
    </row>
    <row r="1467" spans="1:29" x14ac:dyDescent="0.25">
      <c r="A1467" t="str">
        <f t="shared" si="23"/>
        <v xml:space="preserve">2141264GOBFED 330526       </v>
      </c>
      <c r="B1467" s="96">
        <v>2141264</v>
      </c>
      <c r="C1467" s="96" t="s">
        <v>832</v>
      </c>
      <c r="D1467" s="96" t="s">
        <v>418</v>
      </c>
      <c r="E1467" s="96" t="s">
        <v>623</v>
      </c>
      <c r="F1467" s="96" t="s">
        <v>624</v>
      </c>
      <c r="G1467" s="99">
        <v>2384</v>
      </c>
      <c r="H1467" s="97">
        <v>101.45096599999999</v>
      </c>
      <c r="I1467" s="98">
        <v>241859.10294400001</v>
      </c>
      <c r="J1467" s="97">
        <v>114.11447106</v>
      </c>
      <c r="K1467" s="98">
        <v>-30189.796063040001</v>
      </c>
      <c r="L1467" s="99">
        <v>0</v>
      </c>
      <c r="M1467" s="98">
        <v>0</v>
      </c>
      <c r="N1467" s="99">
        <v>0</v>
      </c>
      <c r="O1467" s="98">
        <v>0</v>
      </c>
      <c r="P1467" s="99">
        <v>2384</v>
      </c>
      <c r="Q1467" s="98">
        <v>241859.10294400001</v>
      </c>
      <c r="R1467" s="96" t="s">
        <v>625</v>
      </c>
      <c r="S1467" s="96">
        <v>7414000005</v>
      </c>
      <c r="AA1467" s="129">
        <v>79042</v>
      </c>
      <c r="AB1467" s="130">
        <v>0</v>
      </c>
      <c r="AC1467" s="130">
        <v>0</v>
      </c>
    </row>
    <row r="1468" spans="1:29" x14ac:dyDescent="0.25">
      <c r="A1468" t="str">
        <f t="shared" si="23"/>
        <v xml:space="preserve">2141264GOBFED 341123       </v>
      </c>
      <c r="B1468" s="96">
        <v>2141264</v>
      </c>
      <c r="C1468" s="96" t="s">
        <v>832</v>
      </c>
      <c r="D1468" s="96" t="s">
        <v>408</v>
      </c>
      <c r="E1468" s="96" t="s">
        <v>623</v>
      </c>
      <c r="F1468" s="96" t="s">
        <v>624</v>
      </c>
      <c r="G1468" s="99">
        <v>2262</v>
      </c>
      <c r="H1468" s="97">
        <v>89.643172000000007</v>
      </c>
      <c r="I1468" s="98">
        <v>202772.855064</v>
      </c>
      <c r="J1468" s="97">
        <v>108.47711812999999</v>
      </c>
      <c r="K1468" s="98">
        <v>-42602.386146060002</v>
      </c>
      <c r="L1468" s="99">
        <v>0</v>
      </c>
      <c r="M1468" s="98">
        <v>0</v>
      </c>
      <c r="N1468" s="99">
        <v>0</v>
      </c>
      <c r="O1468" s="98">
        <v>0</v>
      </c>
      <c r="P1468" s="99">
        <v>2262</v>
      </c>
      <c r="Q1468" s="98">
        <v>202772.855064</v>
      </c>
      <c r="R1468" s="96" t="s">
        <v>625</v>
      </c>
      <c r="S1468" s="96">
        <v>7414000005</v>
      </c>
      <c r="AA1468" s="131" t="s">
        <v>376</v>
      </c>
      <c r="AB1468" s="130">
        <v>0</v>
      </c>
      <c r="AC1468" s="130">
        <v>0</v>
      </c>
    </row>
    <row r="1469" spans="1:29" x14ac:dyDescent="0.25">
      <c r="A1469" t="str">
        <f t="shared" si="23"/>
        <v xml:space="preserve">2141264GOBFED 361120       </v>
      </c>
      <c r="B1469" s="96">
        <v>2141264</v>
      </c>
      <c r="C1469" s="96" t="s">
        <v>832</v>
      </c>
      <c r="D1469" s="96" t="s">
        <v>384</v>
      </c>
      <c r="E1469" s="96" t="s">
        <v>623</v>
      </c>
      <c r="F1469" s="96" t="s">
        <v>624</v>
      </c>
      <c r="G1469" s="99">
        <v>57197</v>
      </c>
      <c r="H1469" s="97">
        <v>81.738860000000003</v>
      </c>
      <c r="I1469" s="98">
        <v>4675217.5754199997</v>
      </c>
      <c r="J1469" s="97">
        <v>86.571683953352803</v>
      </c>
      <c r="K1469" s="98">
        <v>-276423.03165992</v>
      </c>
      <c r="L1469" s="99">
        <v>0</v>
      </c>
      <c r="M1469" s="98">
        <v>0</v>
      </c>
      <c r="N1469" s="99">
        <v>0</v>
      </c>
      <c r="O1469" s="98">
        <v>0</v>
      </c>
      <c r="P1469" s="99">
        <v>57197</v>
      </c>
      <c r="Q1469" s="98">
        <v>4675217.5754199997</v>
      </c>
      <c r="R1469" s="96" t="s">
        <v>625</v>
      </c>
      <c r="S1469" s="96">
        <v>7414000005</v>
      </c>
      <c r="AA1469" s="131" t="s">
        <v>382</v>
      </c>
      <c r="AB1469" s="130">
        <v>0</v>
      </c>
      <c r="AC1469" s="130">
        <v>0</v>
      </c>
    </row>
    <row r="1470" spans="1:29" x14ac:dyDescent="0.25">
      <c r="A1470" t="str">
        <f t="shared" si="23"/>
        <v xml:space="preserve">2141264GOBFED 381118       </v>
      </c>
      <c r="B1470" s="96">
        <v>2141264</v>
      </c>
      <c r="C1470" s="96" t="s">
        <v>832</v>
      </c>
      <c r="D1470" s="96" t="s">
        <v>385</v>
      </c>
      <c r="E1470" s="96" t="s">
        <v>623</v>
      </c>
      <c r="F1470" s="96" t="s">
        <v>624</v>
      </c>
      <c r="G1470" s="99">
        <v>7361</v>
      </c>
      <c r="H1470" s="97">
        <v>83.200761</v>
      </c>
      <c r="I1470" s="98">
        <v>612440.801721</v>
      </c>
      <c r="J1470" s="97">
        <v>89.577829020963179</v>
      </c>
      <c r="K1470" s="98">
        <v>-46941.597702309999</v>
      </c>
      <c r="L1470" s="99">
        <v>0</v>
      </c>
      <c r="M1470" s="98">
        <v>0</v>
      </c>
      <c r="N1470" s="99">
        <v>0</v>
      </c>
      <c r="O1470" s="98">
        <v>0</v>
      </c>
      <c r="P1470" s="99">
        <v>7361</v>
      </c>
      <c r="Q1470" s="98">
        <v>612440.801721</v>
      </c>
      <c r="R1470" s="96" t="s">
        <v>625</v>
      </c>
      <c r="S1470" s="96">
        <v>7414000005</v>
      </c>
      <c r="T1470" s="23"/>
      <c r="AA1470" s="131" t="s">
        <v>408</v>
      </c>
      <c r="AB1470" s="130">
        <v>0</v>
      </c>
      <c r="AC1470" s="130">
        <v>0</v>
      </c>
    </row>
    <row r="1471" spans="1:29" x14ac:dyDescent="0.25">
      <c r="A1471" t="str">
        <f t="shared" si="23"/>
        <v xml:space="preserve">2141264GOBFED 421113       </v>
      </c>
      <c r="B1471" s="96">
        <v>2141264</v>
      </c>
      <c r="C1471" s="96" t="s">
        <v>832</v>
      </c>
      <c r="D1471" s="96" t="s">
        <v>386</v>
      </c>
      <c r="E1471" s="96" t="s">
        <v>623</v>
      </c>
      <c r="F1471" s="96" t="s">
        <v>624</v>
      </c>
      <c r="G1471" s="99">
        <v>66857</v>
      </c>
      <c r="H1471" s="97">
        <v>82.159907000000004</v>
      </c>
      <c r="I1471" s="98">
        <v>5492964.902299</v>
      </c>
      <c r="J1471" s="97">
        <v>84.03741826646035</v>
      </c>
      <c r="K1471" s="98">
        <v>-125524.77074173999</v>
      </c>
      <c r="L1471" s="99">
        <v>0</v>
      </c>
      <c r="M1471" s="98">
        <v>0</v>
      </c>
      <c r="N1471" s="99">
        <v>0</v>
      </c>
      <c r="O1471" s="98">
        <v>0</v>
      </c>
      <c r="P1471" s="99">
        <v>66857</v>
      </c>
      <c r="Q1471" s="98">
        <v>5492964.902299</v>
      </c>
      <c r="R1471" s="96" t="s">
        <v>625</v>
      </c>
      <c r="S1471" s="96">
        <v>7414000005</v>
      </c>
      <c r="AA1471" s="131" t="s">
        <v>396</v>
      </c>
      <c r="AB1471" s="130">
        <v>0</v>
      </c>
      <c r="AC1471" s="130">
        <v>0</v>
      </c>
    </row>
    <row r="1472" spans="1:29" x14ac:dyDescent="0.25">
      <c r="A1472" t="str">
        <f t="shared" si="23"/>
        <v xml:space="preserve">2141264GOBFED 471107       </v>
      </c>
      <c r="B1472" s="96">
        <v>2141264</v>
      </c>
      <c r="C1472" s="96" t="s">
        <v>832</v>
      </c>
      <c r="D1472" s="96" t="s">
        <v>387</v>
      </c>
      <c r="E1472" s="96" t="s">
        <v>623</v>
      </c>
      <c r="F1472" s="96" t="s">
        <v>624</v>
      </c>
      <c r="G1472" s="99">
        <v>3000</v>
      </c>
      <c r="H1472" s="97">
        <v>314.42</v>
      </c>
      <c r="I1472" s="98">
        <v>943260</v>
      </c>
      <c r="J1472" s="97">
        <v>294.54498000000001</v>
      </c>
      <c r="K1472" s="98">
        <v>59625.06</v>
      </c>
      <c r="L1472" s="99">
        <v>0</v>
      </c>
      <c r="M1472" s="98">
        <v>0</v>
      </c>
      <c r="N1472" s="99">
        <v>0</v>
      </c>
      <c r="O1472" s="98">
        <v>0</v>
      </c>
      <c r="P1472" s="99">
        <v>3000</v>
      </c>
      <c r="Q1472" s="98">
        <v>943260</v>
      </c>
      <c r="R1472" s="96" t="s">
        <v>625</v>
      </c>
      <c r="S1472" s="96">
        <v>7414000005</v>
      </c>
      <c r="AA1472" s="131" t="s">
        <v>598</v>
      </c>
      <c r="AB1472" s="130">
        <v>0</v>
      </c>
      <c r="AC1472" s="130">
        <v>0</v>
      </c>
    </row>
    <row r="1473" spans="1:29" x14ac:dyDescent="0.25">
      <c r="A1473" t="str">
        <f t="shared" si="23"/>
        <v xml:space="preserve">2141264GOBFED 530731       </v>
      </c>
      <c r="B1473" s="96">
        <v>2141264</v>
      </c>
      <c r="C1473" s="96" t="s">
        <v>832</v>
      </c>
      <c r="D1473" s="96" t="s">
        <v>503</v>
      </c>
      <c r="E1473" s="96" t="s">
        <v>623</v>
      </c>
      <c r="F1473" s="96" t="s">
        <v>624</v>
      </c>
      <c r="G1473" s="99">
        <v>18200</v>
      </c>
      <c r="H1473" s="97">
        <v>43.85</v>
      </c>
      <c r="I1473" s="98">
        <v>798070</v>
      </c>
      <c r="J1473" s="97">
        <v>41.234807142857143</v>
      </c>
      <c r="K1473" s="98">
        <v>47596.51</v>
      </c>
      <c r="L1473" s="99">
        <v>0</v>
      </c>
      <c r="M1473" s="98">
        <v>0</v>
      </c>
      <c r="N1473" s="99">
        <v>0</v>
      </c>
      <c r="O1473" s="98">
        <v>0</v>
      </c>
      <c r="P1473" s="99">
        <v>18200</v>
      </c>
      <c r="Q1473" s="98">
        <v>798070</v>
      </c>
      <c r="R1473" s="96" t="s">
        <v>625</v>
      </c>
      <c r="S1473" s="96">
        <v>7414000005</v>
      </c>
      <c r="AA1473" s="129">
        <v>79043</v>
      </c>
      <c r="AB1473" s="130">
        <v>0</v>
      </c>
      <c r="AC1473" s="130">
        <v>0</v>
      </c>
    </row>
    <row r="1474" spans="1:29" x14ac:dyDescent="0.25">
      <c r="A1474" t="str">
        <f t="shared" si="23"/>
        <v xml:space="preserve">2141264GRUMA B             </v>
      </c>
      <c r="B1474" s="96">
        <v>2141264</v>
      </c>
      <c r="C1474" s="96" t="s">
        <v>832</v>
      </c>
      <c r="D1474" s="96" t="s">
        <v>419</v>
      </c>
      <c r="E1474" s="96" t="s">
        <v>623</v>
      </c>
      <c r="F1474" s="96" t="s">
        <v>624</v>
      </c>
      <c r="G1474" s="99">
        <v>0</v>
      </c>
      <c r="H1474" s="97">
        <v>0</v>
      </c>
      <c r="I1474" s="98">
        <v>0</v>
      </c>
      <c r="J1474" s="97">
        <v>0</v>
      </c>
      <c r="K1474" s="98">
        <v>0</v>
      </c>
      <c r="L1474" s="99">
        <v>0</v>
      </c>
      <c r="M1474" s="98">
        <v>0</v>
      </c>
      <c r="N1474" s="99">
        <v>0</v>
      </c>
      <c r="O1474" s="98">
        <v>0</v>
      </c>
      <c r="P1474" s="99">
        <v>0</v>
      </c>
      <c r="Q1474" s="98">
        <v>0</v>
      </c>
      <c r="R1474" s="96" t="s">
        <v>625</v>
      </c>
      <c r="S1474" s="96">
        <v>7414000005</v>
      </c>
      <c r="AA1474" s="131" t="s">
        <v>376</v>
      </c>
      <c r="AB1474" s="130">
        <v>0</v>
      </c>
      <c r="AC1474" s="130">
        <v>0</v>
      </c>
    </row>
    <row r="1475" spans="1:29" ht="21.75" customHeight="1" x14ac:dyDescent="0.25">
      <c r="A1475" t="str">
        <f t="shared" si="23"/>
        <v xml:space="preserve">2141264HERDEZ *            </v>
      </c>
      <c r="B1475" s="96">
        <v>2141264</v>
      </c>
      <c r="C1475" s="96" t="s">
        <v>832</v>
      </c>
      <c r="D1475" s="96" t="s">
        <v>388</v>
      </c>
      <c r="E1475" s="96" t="s">
        <v>623</v>
      </c>
      <c r="F1475" s="96" t="s">
        <v>624</v>
      </c>
      <c r="G1475" s="99">
        <v>1550</v>
      </c>
      <c r="H1475" s="97">
        <v>8532.5</v>
      </c>
      <c r="I1475" s="98">
        <v>13225375</v>
      </c>
      <c r="J1475" s="97">
        <v>5148.3243354838705</v>
      </c>
      <c r="K1475" s="98">
        <v>5245472.28</v>
      </c>
      <c r="L1475" s="99">
        <v>0</v>
      </c>
      <c r="M1475" s="98">
        <v>0</v>
      </c>
      <c r="N1475" s="99">
        <v>0</v>
      </c>
      <c r="O1475" s="98">
        <v>0</v>
      </c>
      <c r="P1475" s="99">
        <v>1550</v>
      </c>
      <c r="Q1475" s="98">
        <v>13225375</v>
      </c>
      <c r="R1475" s="96" t="s">
        <v>625</v>
      </c>
      <c r="S1475" s="96">
        <v>7414000005</v>
      </c>
      <c r="AA1475" s="131" t="s">
        <v>382</v>
      </c>
      <c r="AB1475" s="130">
        <v>0</v>
      </c>
      <c r="AC1475" s="130">
        <v>0</v>
      </c>
    </row>
    <row r="1476" spans="1:29" x14ac:dyDescent="0.25">
      <c r="A1476" t="str">
        <f t="shared" si="23"/>
        <v xml:space="preserve">2141264IENOVA *            </v>
      </c>
      <c r="B1476" s="96">
        <v>2141264</v>
      </c>
      <c r="C1476" s="96" t="s">
        <v>832</v>
      </c>
      <c r="D1476" s="96" t="s">
        <v>540</v>
      </c>
      <c r="E1476" s="96" t="s">
        <v>623</v>
      </c>
      <c r="F1476" s="96" t="s">
        <v>624</v>
      </c>
      <c r="G1476" s="99">
        <v>22000</v>
      </c>
      <c r="H1476" s="97">
        <v>36.28</v>
      </c>
      <c r="I1476" s="98">
        <v>798160</v>
      </c>
      <c r="J1476" s="97">
        <v>39.126048636363635</v>
      </c>
      <c r="K1476" s="98">
        <v>-62613.07</v>
      </c>
      <c r="L1476" s="99">
        <v>0</v>
      </c>
      <c r="M1476" s="98">
        <v>0</v>
      </c>
      <c r="N1476" s="99">
        <v>0</v>
      </c>
      <c r="O1476" s="98">
        <v>0</v>
      </c>
      <c r="P1476" s="99">
        <v>22000</v>
      </c>
      <c r="Q1476" s="98">
        <v>798160</v>
      </c>
      <c r="R1476" s="96" t="s">
        <v>625</v>
      </c>
      <c r="S1476" s="96">
        <v>7414000005</v>
      </c>
      <c r="AA1476" s="131" t="s">
        <v>396</v>
      </c>
      <c r="AB1476" s="130">
        <v>0</v>
      </c>
      <c r="AC1476" s="130">
        <v>0</v>
      </c>
    </row>
    <row r="1477" spans="1:29" x14ac:dyDescent="0.25">
      <c r="A1477" t="str">
        <f t="shared" si="23"/>
        <v xml:space="preserve">2141264IVV *               </v>
      </c>
      <c r="B1477" s="96">
        <v>2141264</v>
      </c>
      <c r="C1477" s="96" t="s">
        <v>832</v>
      </c>
      <c r="D1477" s="96" t="s">
        <v>553</v>
      </c>
      <c r="E1477" s="96" t="s">
        <v>623</v>
      </c>
      <c r="F1477" s="96" t="s">
        <v>624</v>
      </c>
      <c r="G1477" s="99">
        <v>2900</v>
      </c>
      <c r="H1477" s="97">
        <v>136.35</v>
      </c>
      <c r="I1477" s="98">
        <v>395415</v>
      </c>
      <c r="J1477" s="97">
        <v>119.04779655172413</v>
      </c>
      <c r="K1477" s="98">
        <v>50176.39</v>
      </c>
      <c r="L1477" s="99">
        <v>0</v>
      </c>
      <c r="M1477" s="98">
        <v>0</v>
      </c>
      <c r="N1477" s="99">
        <v>0</v>
      </c>
      <c r="O1477" s="98">
        <v>0</v>
      </c>
      <c r="P1477" s="99">
        <v>2900</v>
      </c>
      <c r="Q1477" s="98">
        <v>395415</v>
      </c>
      <c r="R1477" s="96" t="s">
        <v>625</v>
      </c>
      <c r="S1477" s="96">
        <v>7414000005</v>
      </c>
      <c r="T1477" s="23"/>
      <c r="AA1477" s="129">
        <v>79044</v>
      </c>
      <c r="AB1477" s="130">
        <v>0</v>
      </c>
      <c r="AC1477" s="130">
        <v>0</v>
      </c>
    </row>
    <row r="1478" spans="1:29" x14ac:dyDescent="0.25">
      <c r="A1478" t="str">
        <f t="shared" si="23"/>
        <v xml:space="preserve">2141264LACOMER UBC         </v>
      </c>
      <c r="B1478" s="96">
        <v>2141264</v>
      </c>
      <c r="C1478" s="96" t="s">
        <v>832</v>
      </c>
      <c r="D1478" s="96" t="s">
        <v>429</v>
      </c>
      <c r="E1478" s="96" t="s">
        <v>623</v>
      </c>
      <c r="F1478" s="96" t="s">
        <v>624</v>
      </c>
      <c r="G1478" s="99">
        <v>63259</v>
      </c>
      <c r="H1478" s="97">
        <v>98.007834000000003</v>
      </c>
      <c r="I1478" s="98">
        <v>6199877.571006</v>
      </c>
      <c r="J1478" s="97">
        <v>89.805592068469934</v>
      </c>
      <c r="K1478" s="98">
        <v>518865.62234666001</v>
      </c>
      <c r="L1478" s="99">
        <v>0</v>
      </c>
      <c r="M1478" s="98">
        <v>0</v>
      </c>
      <c r="N1478" s="99">
        <v>0</v>
      </c>
      <c r="O1478" s="98">
        <v>0</v>
      </c>
      <c r="P1478" s="99">
        <v>63259</v>
      </c>
      <c r="Q1478" s="98">
        <v>6199877.571006</v>
      </c>
      <c r="R1478" s="96" t="s">
        <v>625</v>
      </c>
      <c r="S1478" s="96">
        <v>7414000005</v>
      </c>
      <c r="AA1478" s="131" t="s">
        <v>376</v>
      </c>
      <c r="AB1478" s="130">
        <v>0</v>
      </c>
      <c r="AC1478" s="130">
        <v>0</v>
      </c>
    </row>
    <row r="1479" spans="1:29" x14ac:dyDescent="0.25">
      <c r="A1479" t="str">
        <f t="shared" ref="A1479:A1542" si="24">B1477&amp;D1477</f>
        <v xml:space="preserve">2141264LIVEPOL C-1         </v>
      </c>
      <c r="B1479" s="96">
        <v>2141264</v>
      </c>
      <c r="C1479" s="96" t="s">
        <v>832</v>
      </c>
      <c r="D1479" s="96" t="s">
        <v>541</v>
      </c>
      <c r="E1479" s="96" t="s">
        <v>623</v>
      </c>
      <c r="F1479" s="96" t="s">
        <v>624</v>
      </c>
      <c r="G1479" s="99">
        <v>6800</v>
      </c>
      <c r="H1479" s="97">
        <v>156</v>
      </c>
      <c r="I1479" s="98">
        <v>1060800</v>
      </c>
      <c r="J1479" s="97">
        <v>138.83542499999999</v>
      </c>
      <c r="K1479" s="98">
        <v>116719.11</v>
      </c>
      <c r="L1479" s="99">
        <v>0</v>
      </c>
      <c r="M1479" s="98">
        <v>0</v>
      </c>
      <c r="N1479" s="99">
        <v>0</v>
      </c>
      <c r="O1479" s="98">
        <v>0</v>
      </c>
      <c r="P1479" s="99">
        <v>6800</v>
      </c>
      <c r="Q1479" s="98">
        <v>1060800</v>
      </c>
      <c r="R1479" s="96" t="s">
        <v>625</v>
      </c>
      <c r="S1479" s="96">
        <v>7414000005</v>
      </c>
      <c r="T1479" s="23"/>
      <c r="AA1479" s="131" t="s">
        <v>382</v>
      </c>
      <c r="AB1479" s="130">
        <v>0</v>
      </c>
      <c r="AC1479" s="130">
        <v>0</v>
      </c>
    </row>
    <row r="1480" spans="1:29" x14ac:dyDescent="0.25">
      <c r="A1480" t="str">
        <f t="shared" si="24"/>
        <v xml:space="preserve">2141264PEMEX 13-2          </v>
      </c>
      <c r="B1480" s="96">
        <v>2141264</v>
      </c>
      <c r="C1480" s="96" t="s">
        <v>832</v>
      </c>
      <c r="D1480" s="96" t="s">
        <v>501</v>
      </c>
      <c r="E1480" s="96" t="s">
        <v>623</v>
      </c>
      <c r="F1480" s="96" t="s">
        <v>624</v>
      </c>
      <c r="G1480" s="99">
        <v>6194</v>
      </c>
      <c r="H1480" s="97">
        <v>682.55</v>
      </c>
      <c r="I1480" s="98">
        <v>4227714.7</v>
      </c>
      <c r="J1480" s="97">
        <v>835.07776235066194</v>
      </c>
      <c r="K1480" s="98">
        <v>-944756.96</v>
      </c>
      <c r="L1480" s="99">
        <v>0</v>
      </c>
      <c r="M1480" s="98">
        <v>0</v>
      </c>
      <c r="N1480" s="99">
        <v>0</v>
      </c>
      <c r="O1480" s="98">
        <v>0</v>
      </c>
      <c r="P1480" s="99">
        <v>6194</v>
      </c>
      <c r="Q1480" s="98">
        <v>4227714.7</v>
      </c>
      <c r="R1480" s="96" t="s">
        <v>625</v>
      </c>
      <c r="S1480" s="96">
        <v>7414000005</v>
      </c>
      <c r="AA1480" s="131" t="s">
        <v>408</v>
      </c>
      <c r="AB1480" s="130">
        <v>0</v>
      </c>
      <c r="AC1480" s="130">
        <v>0</v>
      </c>
    </row>
    <row r="1481" spans="1:29" x14ac:dyDescent="0.25">
      <c r="A1481" t="str">
        <f t="shared" si="24"/>
        <v xml:space="preserve">2141264R A                 </v>
      </c>
      <c r="B1481" s="96">
        <v>2141264</v>
      </c>
      <c r="C1481" s="96" t="s">
        <v>832</v>
      </c>
      <c r="D1481" s="96" t="s">
        <v>389</v>
      </c>
      <c r="E1481" s="96" t="s">
        <v>623</v>
      </c>
      <c r="F1481" s="96" t="s">
        <v>624</v>
      </c>
      <c r="G1481" s="99">
        <v>2407062</v>
      </c>
      <c r="H1481" s="97">
        <v>3.3967719999999999</v>
      </c>
      <c r="I1481" s="98">
        <v>8176240.8038640004</v>
      </c>
      <c r="J1481" s="97">
        <v>3.3083477201667426</v>
      </c>
      <c r="K1481" s="98">
        <v>212842.723864</v>
      </c>
      <c r="L1481" s="99">
        <v>0</v>
      </c>
      <c r="M1481" s="98">
        <v>0</v>
      </c>
      <c r="N1481" s="99">
        <v>0</v>
      </c>
      <c r="O1481" s="98">
        <v>0</v>
      </c>
      <c r="P1481" s="99">
        <v>2407062</v>
      </c>
      <c r="Q1481" s="98">
        <v>8176240.8038640004</v>
      </c>
      <c r="R1481" s="96" t="s">
        <v>625</v>
      </c>
      <c r="S1481" s="96">
        <v>7414000005</v>
      </c>
      <c r="AA1481" s="131" t="s">
        <v>396</v>
      </c>
      <c r="AB1481" s="130">
        <v>0</v>
      </c>
      <c r="AC1481" s="130">
        <v>0</v>
      </c>
    </row>
    <row r="1482" spans="1:29" x14ac:dyDescent="0.25">
      <c r="A1482" t="str">
        <f t="shared" si="24"/>
        <v xml:space="preserve">2141264SPSM *              </v>
      </c>
      <c r="B1482" s="96">
        <v>2141264</v>
      </c>
      <c r="C1482" s="96" t="s">
        <v>832</v>
      </c>
      <c r="D1482" s="96" t="s">
        <v>500</v>
      </c>
      <c r="E1482" s="96" t="s">
        <v>623</v>
      </c>
      <c r="F1482" s="96" t="s">
        <v>624</v>
      </c>
      <c r="G1482" s="99">
        <v>28000</v>
      </c>
      <c r="H1482" s="97">
        <v>31.41</v>
      </c>
      <c r="I1482" s="98">
        <v>879480</v>
      </c>
      <c r="J1482" s="97">
        <v>32.117416071428572</v>
      </c>
      <c r="K1482" s="98">
        <v>-19807.650000000001</v>
      </c>
      <c r="L1482" s="99">
        <v>0</v>
      </c>
      <c r="M1482" s="98">
        <v>0</v>
      </c>
      <c r="N1482" s="99">
        <v>0</v>
      </c>
      <c r="O1482" s="98">
        <v>0</v>
      </c>
      <c r="P1482" s="99">
        <v>28000</v>
      </c>
      <c r="Q1482" s="98">
        <v>879480</v>
      </c>
      <c r="R1482" s="96" t="s">
        <v>625</v>
      </c>
      <c r="S1482" s="96">
        <v>7414000005</v>
      </c>
      <c r="AA1482" s="131" t="s">
        <v>598</v>
      </c>
      <c r="AB1482" s="130">
        <v>0</v>
      </c>
      <c r="AC1482" s="130">
        <v>0</v>
      </c>
    </row>
    <row r="1483" spans="1:29" x14ac:dyDescent="0.25">
      <c r="A1483" t="str">
        <f t="shared" si="24"/>
        <v xml:space="preserve">2141264STERGOB ED          </v>
      </c>
      <c r="B1483" s="96">
        <v>2141264</v>
      </c>
      <c r="C1483" s="96" t="s">
        <v>832</v>
      </c>
      <c r="D1483" s="96" t="s">
        <v>391</v>
      </c>
      <c r="E1483" s="96" t="s">
        <v>623</v>
      </c>
      <c r="F1483" s="96" t="s">
        <v>624</v>
      </c>
      <c r="G1483" s="99">
        <v>5030</v>
      </c>
      <c r="H1483" s="97">
        <v>775.69178699999998</v>
      </c>
      <c r="I1483" s="98">
        <v>3901729.6886100001</v>
      </c>
      <c r="J1483" s="97">
        <v>766.69784126000002</v>
      </c>
      <c r="K1483" s="98">
        <v>45239.547072200003</v>
      </c>
      <c r="L1483" s="99">
        <v>0</v>
      </c>
      <c r="M1483" s="98">
        <v>0</v>
      </c>
      <c r="N1483" s="99">
        <v>0</v>
      </c>
      <c r="O1483" s="98">
        <v>0</v>
      </c>
      <c r="P1483" s="99">
        <v>5030</v>
      </c>
      <c r="Q1483" s="98">
        <v>3901729.6886100001</v>
      </c>
      <c r="R1483" s="96" t="s">
        <v>625</v>
      </c>
      <c r="S1483" s="96">
        <v>7414000005</v>
      </c>
      <c r="AA1483" s="129">
        <v>79045</v>
      </c>
      <c r="AB1483" s="130">
        <v>39567273.015353009</v>
      </c>
      <c r="AC1483" s="130">
        <v>39567273.015353009</v>
      </c>
    </row>
    <row r="1484" spans="1:29" x14ac:dyDescent="0.25">
      <c r="A1484" t="str">
        <f t="shared" si="24"/>
        <v xml:space="preserve">2141264TRAXION A           </v>
      </c>
      <c r="B1484" s="96">
        <v>2141264</v>
      </c>
      <c r="C1484" s="96" t="s">
        <v>832</v>
      </c>
      <c r="D1484" s="96" t="s">
        <v>392</v>
      </c>
      <c r="E1484" s="96" t="s">
        <v>623</v>
      </c>
      <c r="F1484" s="96" t="s">
        <v>624</v>
      </c>
      <c r="G1484" s="99">
        <v>10032</v>
      </c>
      <c r="H1484" s="97">
        <v>747.17843200000004</v>
      </c>
      <c r="I1484" s="98">
        <v>7495694.0298239999</v>
      </c>
      <c r="J1484" s="97">
        <v>723.75155451396529</v>
      </c>
      <c r="K1484" s="98">
        <v>235018.43493990001</v>
      </c>
      <c r="L1484" s="99">
        <v>0</v>
      </c>
      <c r="M1484" s="98">
        <v>0</v>
      </c>
      <c r="N1484" s="99">
        <v>0</v>
      </c>
      <c r="O1484" s="98">
        <v>0</v>
      </c>
      <c r="P1484" s="99">
        <v>10032</v>
      </c>
      <c r="Q1484" s="98">
        <v>7495694.0298239999</v>
      </c>
      <c r="R1484" s="96" t="s">
        <v>625</v>
      </c>
      <c r="S1484" s="96">
        <v>7414000005</v>
      </c>
      <c r="AA1484" s="131" t="s">
        <v>376</v>
      </c>
      <c r="AB1484" s="130">
        <v>1324557.108308</v>
      </c>
      <c r="AC1484" s="130">
        <v>1324557.108308</v>
      </c>
    </row>
    <row r="1485" spans="1:29" x14ac:dyDescent="0.25">
      <c r="A1485" t="str">
        <f t="shared" si="24"/>
        <v xml:space="preserve">2141264UDIBONO 251204      </v>
      </c>
      <c r="B1485" s="96">
        <v>2141264</v>
      </c>
      <c r="C1485" s="96" t="s">
        <v>832</v>
      </c>
      <c r="D1485" s="96" t="s">
        <v>393</v>
      </c>
      <c r="E1485" s="96" t="s">
        <v>623</v>
      </c>
      <c r="F1485" s="96" t="s">
        <v>624</v>
      </c>
      <c r="G1485" s="99">
        <v>1902</v>
      </c>
      <c r="H1485" s="97">
        <v>765.92388300000005</v>
      </c>
      <c r="I1485" s="98">
        <v>1456787.2254659999</v>
      </c>
      <c r="J1485" s="97">
        <v>765.89755263676125</v>
      </c>
      <c r="K1485" s="98">
        <v>50.080350879999997</v>
      </c>
      <c r="L1485" s="99">
        <v>0</v>
      </c>
      <c r="M1485" s="98">
        <v>0</v>
      </c>
      <c r="N1485" s="99">
        <v>0</v>
      </c>
      <c r="O1485" s="98">
        <v>0</v>
      </c>
      <c r="P1485" s="99">
        <v>1902</v>
      </c>
      <c r="Q1485" s="98">
        <v>1456787.2254659999</v>
      </c>
      <c r="R1485" s="96" t="s">
        <v>625</v>
      </c>
      <c r="S1485" s="96">
        <v>7414000005</v>
      </c>
      <c r="AA1485" s="131" t="s">
        <v>378</v>
      </c>
      <c r="AB1485" s="130">
        <v>429687.76317499997</v>
      </c>
      <c r="AC1485" s="130">
        <v>429687.76317499997</v>
      </c>
    </row>
    <row r="1486" spans="1:29" x14ac:dyDescent="0.25">
      <c r="A1486" t="str">
        <f t="shared" si="24"/>
        <v xml:space="preserve">2141264UDIBONO 261203      </v>
      </c>
      <c r="B1486" s="96">
        <v>2141264</v>
      </c>
      <c r="C1486" s="96" t="s">
        <v>832</v>
      </c>
      <c r="D1486" s="96" t="s">
        <v>394</v>
      </c>
      <c r="E1486" s="96" t="s">
        <v>623</v>
      </c>
      <c r="F1486" s="96" t="s">
        <v>624</v>
      </c>
      <c r="G1486" s="99">
        <v>5656</v>
      </c>
      <c r="H1486" s="97">
        <v>684.88915799999995</v>
      </c>
      <c r="I1486" s="98">
        <v>3873733.0776479999</v>
      </c>
      <c r="J1486" s="97">
        <v>680.55460066909473</v>
      </c>
      <c r="K1486" s="98">
        <v>24516.2562636</v>
      </c>
      <c r="L1486" s="99">
        <v>0</v>
      </c>
      <c r="M1486" s="98">
        <v>0</v>
      </c>
      <c r="N1486" s="99">
        <v>0</v>
      </c>
      <c r="O1486" s="98">
        <v>0</v>
      </c>
      <c r="P1486" s="99">
        <v>5656</v>
      </c>
      <c r="Q1486" s="98">
        <v>3873733.0776479999</v>
      </c>
      <c r="R1486" s="96" t="s">
        <v>625</v>
      </c>
      <c r="S1486" s="96">
        <v>7414000005</v>
      </c>
      <c r="AA1486" s="131" t="s">
        <v>380</v>
      </c>
      <c r="AB1486" s="130">
        <v>2581257.1791039999</v>
      </c>
      <c r="AC1486" s="130">
        <v>2581257.1791039999</v>
      </c>
    </row>
    <row r="1487" spans="1:29" x14ac:dyDescent="0.25">
      <c r="A1487" t="str">
        <f t="shared" si="24"/>
        <v xml:space="preserve">2141264UDIBONO 281130      </v>
      </c>
      <c r="B1487" s="96">
        <v>2141264</v>
      </c>
      <c r="C1487" s="96" t="s">
        <v>832</v>
      </c>
      <c r="D1487" s="96" t="s">
        <v>395</v>
      </c>
      <c r="E1487" s="96" t="s">
        <v>623</v>
      </c>
      <c r="F1487" s="96" t="s">
        <v>624</v>
      </c>
      <c r="G1487" s="99">
        <v>3325</v>
      </c>
      <c r="H1487" s="97">
        <v>772.926965</v>
      </c>
      <c r="I1487" s="98">
        <v>2569982.1586250002</v>
      </c>
      <c r="J1487" s="97">
        <v>801.63496955084815</v>
      </c>
      <c r="K1487" s="98">
        <v>-95454.115131569997</v>
      </c>
      <c r="L1487" s="99">
        <v>0</v>
      </c>
      <c r="M1487" s="98">
        <v>0</v>
      </c>
      <c r="N1487" s="99">
        <v>0</v>
      </c>
      <c r="O1487" s="98">
        <v>0</v>
      </c>
      <c r="P1487" s="99">
        <v>3325</v>
      </c>
      <c r="Q1487" s="98">
        <v>2569982.1586250002</v>
      </c>
      <c r="R1487" s="96" t="s">
        <v>625</v>
      </c>
      <c r="S1487" s="96">
        <v>7414000005</v>
      </c>
      <c r="AA1487" s="131" t="s">
        <v>382</v>
      </c>
      <c r="AB1487" s="130">
        <v>2159649.2588450001</v>
      </c>
      <c r="AC1487" s="130">
        <v>2159649.2588450001</v>
      </c>
    </row>
    <row r="1488" spans="1:29" x14ac:dyDescent="0.25">
      <c r="A1488" t="str">
        <f t="shared" si="24"/>
        <v xml:space="preserve">2141264UDIBONO 311127      </v>
      </c>
      <c r="B1488" s="96">
        <v>2141264</v>
      </c>
      <c r="C1488" s="96" t="s">
        <v>832</v>
      </c>
      <c r="D1488" s="96" t="s">
        <v>396</v>
      </c>
      <c r="E1488" s="96" t="s">
        <v>623</v>
      </c>
      <c r="F1488" s="96" t="s">
        <v>624</v>
      </c>
      <c r="G1488" s="99">
        <v>3866</v>
      </c>
      <c r="H1488" s="97">
        <v>721.59464000000003</v>
      </c>
      <c r="I1488" s="98">
        <v>2789684.87824</v>
      </c>
      <c r="J1488" s="97">
        <v>757.1144535833057</v>
      </c>
      <c r="K1488" s="98">
        <v>-137319.59931306</v>
      </c>
      <c r="L1488" s="99">
        <v>0</v>
      </c>
      <c r="M1488" s="98">
        <v>0</v>
      </c>
      <c r="N1488" s="99">
        <v>0</v>
      </c>
      <c r="O1488" s="98">
        <v>0</v>
      </c>
      <c r="P1488" s="99">
        <v>3866</v>
      </c>
      <c r="Q1488" s="98">
        <v>2789684.87824</v>
      </c>
      <c r="R1488" s="96" t="s">
        <v>625</v>
      </c>
      <c r="S1488" s="96">
        <v>7414000005</v>
      </c>
      <c r="AA1488" s="131" t="s">
        <v>427</v>
      </c>
      <c r="AB1488" s="130">
        <v>1712612.025324</v>
      </c>
      <c r="AC1488" s="130">
        <v>1712612.025324</v>
      </c>
    </row>
    <row r="1489" spans="1:29" x14ac:dyDescent="0.25">
      <c r="A1489" t="str">
        <f t="shared" si="24"/>
        <v xml:space="preserve">2141264UDIBONO 351122      </v>
      </c>
      <c r="B1489" s="96">
        <v>2141264</v>
      </c>
      <c r="C1489" s="96" t="s">
        <v>832</v>
      </c>
      <c r="D1489" s="96" t="s">
        <v>397</v>
      </c>
      <c r="E1489" s="96" t="s">
        <v>623</v>
      </c>
      <c r="F1489" s="96" t="s">
        <v>624</v>
      </c>
      <c r="G1489" s="99">
        <v>1894</v>
      </c>
      <c r="H1489" s="97">
        <v>635.96311900000001</v>
      </c>
      <c r="I1489" s="98">
        <v>1204514.147386</v>
      </c>
      <c r="J1489" s="97">
        <v>647.93802047999998</v>
      </c>
      <c r="K1489" s="98">
        <v>-22680.46340312</v>
      </c>
      <c r="L1489" s="99">
        <v>0</v>
      </c>
      <c r="M1489" s="98">
        <v>0</v>
      </c>
      <c r="N1489" s="99">
        <v>0</v>
      </c>
      <c r="O1489" s="98">
        <v>0</v>
      </c>
      <c r="P1489" s="99">
        <v>1894</v>
      </c>
      <c r="Q1489" s="98">
        <v>1204514.147386</v>
      </c>
      <c r="R1489" s="96" t="s">
        <v>625</v>
      </c>
      <c r="S1489" s="96">
        <v>7414000005</v>
      </c>
      <c r="AA1489" s="131" t="s">
        <v>418</v>
      </c>
      <c r="AB1489" s="130">
        <v>136553.00023599999</v>
      </c>
      <c r="AC1489" s="130">
        <v>136553.00023599999</v>
      </c>
    </row>
    <row r="1490" spans="1:29" x14ac:dyDescent="0.25">
      <c r="A1490" t="str">
        <f t="shared" si="24"/>
        <v xml:space="preserve">2141264UDIBONO 401115      </v>
      </c>
      <c r="B1490" s="96">
        <v>2141264</v>
      </c>
      <c r="C1490" s="96" t="s">
        <v>832</v>
      </c>
      <c r="D1490" s="96" t="s">
        <v>398</v>
      </c>
      <c r="E1490" s="96" t="s">
        <v>623</v>
      </c>
      <c r="F1490" s="96" t="s">
        <v>624</v>
      </c>
      <c r="G1490" s="99">
        <v>4441</v>
      </c>
      <c r="H1490" s="97">
        <v>709.36974099999998</v>
      </c>
      <c r="I1490" s="98">
        <v>3150311.019781</v>
      </c>
      <c r="J1490" s="97">
        <v>724.76234885034899</v>
      </c>
      <c r="K1490" s="98">
        <v>-68358.571463400003</v>
      </c>
      <c r="L1490" s="99">
        <v>0</v>
      </c>
      <c r="M1490" s="98">
        <v>0</v>
      </c>
      <c r="N1490" s="99">
        <v>0</v>
      </c>
      <c r="O1490" s="98">
        <v>0</v>
      </c>
      <c r="P1490" s="99">
        <v>4441</v>
      </c>
      <c r="Q1490" s="98">
        <v>3150311.019781</v>
      </c>
      <c r="R1490" s="96" t="s">
        <v>625</v>
      </c>
      <c r="S1490" s="96">
        <v>7414000005</v>
      </c>
      <c r="AA1490" s="131" t="s">
        <v>408</v>
      </c>
      <c r="AB1490" s="130">
        <v>210571.811028</v>
      </c>
      <c r="AC1490" s="130">
        <v>210571.811028</v>
      </c>
    </row>
    <row r="1491" spans="1:29" x14ac:dyDescent="0.25">
      <c r="A1491" t="str">
        <f t="shared" si="24"/>
        <v xml:space="preserve">2141264UDIBONO 431112      </v>
      </c>
      <c r="B1491" s="96">
        <v>2141264</v>
      </c>
      <c r="C1491" s="96" t="s">
        <v>832</v>
      </c>
      <c r="D1491" s="96" t="s">
        <v>399</v>
      </c>
      <c r="E1491" s="96" t="s">
        <v>623</v>
      </c>
      <c r="F1491" s="96" t="s">
        <v>624</v>
      </c>
      <c r="G1491" s="99">
        <v>7642</v>
      </c>
      <c r="H1491" s="97">
        <v>694.41118700000004</v>
      </c>
      <c r="I1491" s="98">
        <v>5306690.2910540001</v>
      </c>
      <c r="J1491" s="97">
        <v>725.7674862182439</v>
      </c>
      <c r="K1491" s="98">
        <v>-239624.83862582</v>
      </c>
      <c r="L1491" s="99">
        <v>0</v>
      </c>
      <c r="M1491" s="98">
        <v>0</v>
      </c>
      <c r="N1491" s="99">
        <v>0</v>
      </c>
      <c r="O1491" s="98">
        <v>0</v>
      </c>
      <c r="P1491" s="99">
        <v>7642</v>
      </c>
      <c r="Q1491" s="98">
        <v>5306690.2910540001</v>
      </c>
      <c r="R1491" s="96" t="s">
        <v>625</v>
      </c>
      <c r="S1491" s="96">
        <v>7414000005</v>
      </c>
      <c r="AA1491" s="131" t="s">
        <v>384</v>
      </c>
      <c r="AB1491" s="130">
        <v>2894863.4657600001</v>
      </c>
      <c r="AC1491" s="130">
        <v>2894863.4657600001</v>
      </c>
    </row>
    <row r="1492" spans="1:29" x14ac:dyDescent="0.25">
      <c r="A1492" t="str">
        <f t="shared" si="24"/>
        <v xml:space="preserve">2141264UDIBONO 461108      </v>
      </c>
      <c r="B1492" s="96">
        <v>2141264</v>
      </c>
      <c r="C1492" s="96" t="s">
        <v>832</v>
      </c>
      <c r="D1492" s="96" t="s">
        <v>400</v>
      </c>
      <c r="E1492" s="96" t="s">
        <v>623</v>
      </c>
      <c r="F1492" s="96" t="s">
        <v>624</v>
      </c>
      <c r="G1492" s="99">
        <v>22000</v>
      </c>
      <c r="H1492" s="97">
        <v>58.67</v>
      </c>
      <c r="I1492" s="98">
        <v>1290740</v>
      </c>
      <c r="J1492" s="97">
        <v>59.69390772727273</v>
      </c>
      <c r="K1492" s="98">
        <v>-22525.97</v>
      </c>
      <c r="L1492" s="99">
        <v>0</v>
      </c>
      <c r="M1492" s="98">
        <v>0</v>
      </c>
      <c r="N1492" s="99">
        <v>0</v>
      </c>
      <c r="O1492" s="98">
        <v>0</v>
      </c>
      <c r="P1492" s="99">
        <v>22000</v>
      </c>
      <c r="Q1492" s="98">
        <v>1290740</v>
      </c>
      <c r="R1492" s="96" t="s">
        <v>625</v>
      </c>
      <c r="S1492" s="96">
        <v>7414000005</v>
      </c>
      <c r="AA1492" s="131" t="s">
        <v>389</v>
      </c>
      <c r="AB1492" s="130">
        <v>622512.81735200004</v>
      </c>
      <c r="AC1492" s="130">
        <v>622512.81735200004</v>
      </c>
    </row>
    <row r="1493" spans="1:29" x14ac:dyDescent="0.25">
      <c r="A1493" t="str">
        <f t="shared" si="24"/>
        <v xml:space="preserve">2141264UDIBONO 501103      </v>
      </c>
      <c r="B1493" s="96">
        <v>2141264</v>
      </c>
      <c r="C1493" s="96" t="s">
        <v>832</v>
      </c>
      <c r="D1493" s="96" t="s">
        <v>401</v>
      </c>
      <c r="E1493" s="96" t="s">
        <v>623</v>
      </c>
      <c r="F1493" s="96" t="s">
        <v>624</v>
      </c>
      <c r="G1493" s="99">
        <v>3440</v>
      </c>
      <c r="H1493" s="97">
        <v>1090</v>
      </c>
      <c r="I1493" s="98">
        <v>3749600</v>
      </c>
      <c r="J1493" s="97">
        <v>1086.9790523255815</v>
      </c>
      <c r="K1493" s="98">
        <v>10392.06</v>
      </c>
      <c r="L1493" s="99">
        <v>0</v>
      </c>
      <c r="M1493" s="98">
        <v>0</v>
      </c>
      <c r="N1493" s="99">
        <v>0</v>
      </c>
      <c r="O1493" s="98">
        <v>0</v>
      </c>
      <c r="P1493" s="99">
        <v>3440</v>
      </c>
      <c r="Q1493" s="98">
        <v>3749600</v>
      </c>
      <c r="R1493" s="96" t="s">
        <v>625</v>
      </c>
      <c r="S1493" s="96">
        <v>7414000005</v>
      </c>
      <c r="AA1493" s="131" t="s">
        <v>391</v>
      </c>
      <c r="AB1493" s="130">
        <v>275370.58438499999</v>
      </c>
      <c r="AC1493" s="130">
        <v>275370.58438499999</v>
      </c>
    </row>
    <row r="1494" spans="1:29" x14ac:dyDescent="0.25">
      <c r="A1494" t="str">
        <f t="shared" si="24"/>
        <v xml:space="preserve">2141264VESTA *             </v>
      </c>
      <c r="B1494" s="96">
        <v>2141264</v>
      </c>
      <c r="C1494" s="96" t="s">
        <v>832</v>
      </c>
      <c r="D1494" s="96" t="s">
        <v>403</v>
      </c>
      <c r="E1494" s="96" t="s">
        <v>623</v>
      </c>
      <c r="F1494" s="96" t="s">
        <v>624</v>
      </c>
      <c r="G1494" s="99">
        <v>51500</v>
      </c>
      <c r="H1494" s="97">
        <v>65.260000000000005</v>
      </c>
      <c r="I1494" s="98">
        <v>3360890</v>
      </c>
      <c r="J1494" s="97">
        <v>69.374553203883494</v>
      </c>
      <c r="K1494" s="98">
        <v>-211899.49</v>
      </c>
      <c r="L1494" s="99">
        <v>0</v>
      </c>
      <c r="M1494" s="98">
        <v>0</v>
      </c>
      <c r="N1494" s="99">
        <v>0</v>
      </c>
      <c r="O1494" s="98">
        <v>0</v>
      </c>
      <c r="P1494" s="99">
        <v>51500</v>
      </c>
      <c r="Q1494" s="98">
        <v>3360890</v>
      </c>
      <c r="R1494" s="96" t="s">
        <v>625</v>
      </c>
      <c r="S1494" s="96">
        <v>7414000005</v>
      </c>
      <c r="AA1494" s="131" t="s">
        <v>395</v>
      </c>
      <c r="AB1494" s="130">
        <v>2182745.7491600001</v>
      </c>
      <c r="AC1494" s="130">
        <v>2182745.7491600001</v>
      </c>
    </row>
    <row r="1495" spans="1:29" x14ac:dyDescent="0.25">
      <c r="A1495" t="str">
        <f t="shared" si="24"/>
        <v xml:space="preserve">2141264VGK *               </v>
      </c>
      <c r="B1495" s="96">
        <v>420310</v>
      </c>
      <c r="C1495" s="96" t="s">
        <v>833</v>
      </c>
      <c r="D1495" s="96" t="s">
        <v>570</v>
      </c>
      <c r="E1495" s="96" t="s">
        <v>623</v>
      </c>
      <c r="F1495" s="96" t="s">
        <v>624</v>
      </c>
      <c r="G1495" s="99">
        <v>500000</v>
      </c>
      <c r="H1495" s="97">
        <v>9.6141520000000007</v>
      </c>
      <c r="I1495" s="98">
        <v>4807076</v>
      </c>
      <c r="J1495" s="97">
        <v>9.0305956599999995</v>
      </c>
      <c r="K1495" s="98">
        <v>291778.17</v>
      </c>
      <c r="L1495" s="99">
        <v>0</v>
      </c>
      <c r="M1495" s="98">
        <v>0</v>
      </c>
      <c r="N1495" s="99">
        <v>0</v>
      </c>
      <c r="O1495" s="98">
        <v>0</v>
      </c>
      <c r="P1495" s="99">
        <v>500000</v>
      </c>
      <c r="Q1495" s="98">
        <v>4807076</v>
      </c>
      <c r="R1495" s="96" t="s">
        <v>625</v>
      </c>
      <c r="S1495" s="96">
        <v>7414000005</v>
      </c>
      <c r="AA1495" s="131" t="s">
        <v>396</v>
      </c>
      <c r="AB1495" s="130">
        <v>2402910.1512000002</v>
      </c>
      <c r="AC1495" s="130">
        <v>2402910.1512000002</v>
      </c>
    </row>
    <row r="1496" spans="1:29" x14ac:dyDescent="0.25">
      <c r="A1496" t="str">
        <f t="shared" si="24"/>
        <v xml:space="preserve">2141264WALMEX *            </v>
      </c>
      <c r="B1496" s="96">
        <v>420310</v>
      </c>
      <c r="C1496" s="96" t="s">
        <v>833</v>
      </c>
      <c r="D1496" s="96" t="s">
        <v>363</v>
      </c>
      <c r="E1496" s="96" t="s">
        <v>623</v>
      </c>
      <c r="F1496" s="96" t="s">
        <v>624</v>
      </c>
      <c r="G1496" s="99">
        <v>31388</v>
      </c>
      <c r="H1496" s="97">
        <v>9.4935880000000008</v>
      </c>
      <c r="I1496" s="98">
        <v>297984.74014399998</v>
      </c>
      <c r="J1496" s="97">
        <v>8.2405490399999994</v>
      </c>
      <c r="K1496" s="98">
        <v>39330.386876479999</v>
      </c>
      <c r="L1496" s="99">
        <v>0</v>
      </c>
      <c r="M1496" s="98">
        <v>0</v>
      </c>
      <c r="N1496" s="99">
        <v>0</v>
      </c>
      <c r="O1496" s="98">
        <v>0</v>
      </c>
      <c r="P1496" s="99">
        <v>31388</v>
      </c>
      <c r="Q1496" s="98">
        <v>297984.74014399998</v>
      </c>
      <c r="R1496" s="96" t="s">
        <v>625</v>
      </c>
      <c r="S1496" s="96">
        <v>7414000005</v>
      </c>
      <c r="AA1496" s="131" t="s">
        <v>398</v>
      </c>
      <c r="AB1496" s="130">
        <v>717172.80815099995</v>
      </c>
      <c r="AC1496" s="130">
        <v>717172.80815099995</v>
      </c>
    </row>
    <row r="1497" spans="1:29" x14ac:dyDescent="0.25">
      <c r="A1497" t="str">
        <f t="shared" si="24"/>
        <v xml:space="preserve">420310CETES 240822        </v>
      </c>
      <c r="B1497" s="96">
        <v>420310</v>
      </c>
      <c r="C1497" s="96" t="s">
        <v>833</v>
      </c>
      <c r="D1497" s="96" t="s">
        <v>409</v>
      </c>
      <c r="E1497" s="96" t="s">
        <v>623</v>
      </c>
      <c r="F1497" s="96" t="s">
        <v>624</v>
      </c>
      <c r="G1497" s="99">
        <v>152677</v>
      </c>
      <c r="H1497" s="97">
        <v>9.3381629999999998</v>
      </c>
      <c r="I1497" s="98">
        <v>1425722.7123509999</v>
      </c>
      <c r="J1497" s="97">
        <v>8.320664959323409</v>
      </c>
      <c r="K1497" s="98">
        <v>155348.54835637999</v>
      </c>
      <c r="L1497" s="99">
        <v>0</v>
      </c>
      <c r="M1497" s="98">
        <v>0</v>
      </c>
      <c r="N1497" s="99">
        <v>0</v>
      </c>
      <c r="O1497" s="98">
        <v>0</v>
      </c>
      <c r="P1497" s="99">
        <v>152677</v>
      </c>
      <c r="Q1497" s="98">
        <v>1425722.7123509999</v>
      </c>
      <c r="R1497" s="96" t="s">
        <v>625</v>
      </c>
      <c r="S1497" s="96">
        <v>7414000005</v>
      </c>
      <c r="AA1497" s="131" t="s">
        <v>381</v>
      </c>
      <c r="AB1497" s="130">
        <v>2655036.213802</v>
      </c>
      <c r="AC1497" s="130">
        <v>2655036.213802</v>
      </c>
    </row>
    <row r="1498" spans="1:29" x14ac:dyDescent="0.25">
      <c r="A1498" t="str">
        <f t="shared" si="24"/>
        <v xml:space="preserve">420310CETES 241003        </v>
      </c>
      <c r="B1498" s="96">
        <v>420310</v>
      </c>
      <c r="C1498" s="96" t="s">
        <v>833</v>
      </c>
      <c r="D1498" s="96" t="s">
        <v>364</v>
      </c>
      <c r="E1498" s="96" t="s">
        <v>623</v>
      </c>
      <c r="F1498" s="96" t="s">
        <v>624</v>
      </c>
      <c r="G1498" s="99">
        <v>156950</v>
      </c>
      <c r="H1498" s="97">
        <v>9.190137</v>
      </c>
      <c r="I1498" s="98">
        <v>1442392.0021500001</v>
      </c>
      <c r="J1498" s="97">
        <v>8.2168121392634603</v>
      </c>
      <c r="K1498" s="98">
        <v>152763.3368926</v>
      </c>
      <c r="L1498" s="99">
        <v>0</v>
      </c>
      <c r="M1498" s="98">
        <v>0</v>
      </c>
      <c r="N1498" s="99">
        <v>0</v>
      </c>
      <c r="O1498" s="98">
        <v>0</v>
      </c>
      <c r="P1498" s="99">
        <v>156950</v>
      </c>
      <c r="Q1498" s="98">
        <v>1442392.0021500001</v>
      </c>
      <c r="R1498" s="96" t="s">
        <v>625</v>
      </c>
      <c r="S1498" s="96">
        <v>7414000005</v>
      </c>
      <c r="AA1498" s="131" t="s">
        <v>393</v>
      </c>
      <c r="AB1498" s="130">
        <v>1858131.3401579999</v>
      </c>
      <c r="AC1498" s="130">
        <v>1858131.3401579999</v>
      </c>
    </row>
    <row r="1499" spans="1:29" x14ac:dyDescent="0.25">
      <c r="A1499" t="str">
        <f t="shared" si="24"/>
        <v xml:space="preserve">420310CETES 241128        </v>
      </c>
      <c r="B1499" s="96">
        <v>420310</v>
      </c>
      <c r="C1499" s="96" t="s">
        <v>833</v>
      </c>
      <c r="D1499" s="96" t="s">
        <v>649</v>
      </c>
      <c r="E1499" s="96" t="s">
        <v>623</v>
      </c>
      <c r="F1499" s="96" t="s">
        <v>624</v>
      </c>
      <c r="G1499" s="99">
        <v>34040</v>
      </c>
      <c r="H1499" s="97">
        <v>9.0112480000000001</v>
      </c>
      <c r="I1499" s="98">
        <v>306742.88192000001</v>
      </c>
      <c r="J1499" s="97">
        <v>8.9969798000000001</v>
      </c>
      <c r="K1499" s="98">
        <v>485.689528</v>
      </c>
      <c r="L1499" s="99">
        <v>0</v>
      </c>
      <c r="M1499" s="98">
        <v>0</v>
      </c>
      <c r="N1499" s="99">
        <v>0</v>
      </c>
      <c r="O1499" s="98">
        <v>0</v>
      </c>
      <c r="P1499" s="99">
        <v>34040</v>
      </c>
      <c r="Q1499" s="98">
        <v>306742.88192000001</v>
      </c>
      <c r="R1499" s="96" t="s">
        <v>625</v>
      </c>
      <c r="S1499" s="96">
        <v>7414000005</v>
      </c>
      <c r="AA1499" s="131" t="s">
        <v>385</v>
      </c>
      <c r="AB1499" s="130">
        <v>409763.74792499997</v>
      </c>
      <c r="AC1499" s="130">
        <v>409763.74792499997</v>
      </c>
    </row>
    <row r="1500" spans="1:29" x14ac:dyDescent="0.25">
      <c r="A1500" t="str">
        <f t="shared" si="24"/>
        <v xml:space="preserve">420310CETES 250123        </v>
      </c>
      <c r="B1500" s="96">
        <v>420310</v>
      </c>
      <c r="C1500" s="96" t="s">
        <v>833</v>
      </c>
      <c r="D1500" s="96" t="s">
        <v>613</v>
      </c>
      <c r="E1500" s="96" t="s">
        <v>623</v>
      </c>
      <c r="F1500" s="96" t="s">
        <v>624</v>
      </c>
      <c r="G1500" s="99">
        <v>64300</v>
      </c>
      <c r="H1500" s="97">
        <v>8.2580650000000002</v>
      </c>
      <c r="I1500" s="98">
        <v>530993.57949999999</v>
      </c>
      <c r="J1500" s="97">
        <v>8.2501711100000001</v>
      </c>
      <c r="K1500" s="98">
        <v>507.57712700000002</v>
      </c>
      <c r="L1500" s="99">
        <v>0</v>
      </c>
      <c r="M1500" s="98">
        <v>0</v>
      </c>
      <c r="N1500" s="99">
        <v>0</v>
      </c>
      <c r="O1500" s="98">
        <v>0</v>
      </c>
      <c r="P1500" s="99">
        <v>64300</v>
      </c>
      <c r="Q1500" s="98">
        <v>530993.57949999999</v>
      </c>
      <c r="R1500" s="96" t="s">
        <v>625</v>
      </c>
      <c r="S1500" s="96">
        <v>7414000005</v>
      </c>
      <c r="AA1500" s="131" t="s">
        <v>375</v>
      </c>
      <c r="AB1500" s="130">
        <v>879687.40959000005</v>
      </c>
      <c r="AC1500" s="130">
        <v>879687.40959000005</v>
      </c>
    </row>
    <row r="1501" spans="1:29" x14ac:dyDescent="0.25">
      <c r="A1501" t="str">
        <f t="shared" si="24"/>
        <v xml:space="preserve">420310CETES 250403        </v>
      </c>
      <c r="B1501" s="96">
        <v>420310</v>
      </c>
      <c r="C1501" s="96" t="s">
        <v>833</v>
      </c>
      <c r="D1501" s="96" t="s">
        <v>419</v>
      </c>
      <c r="E1501" s="96" t="s">
        <v>623</v>
      </c>
      <c r="F1501" s="96" t="s">
        <v>624</v>
      </c>
      <c r="G1501" s="99">
        <v>0</v>
      </c>
      <c r="H1501" s="97">
        <v>0</v>
      </c>
      <c r="I1501" s="98">
        <v>0</v>
      </c>
      <c r="J1501" s="97">
        <v>0</v>
      </c>
      <c r="K1501" s="98">
        <v>0</v>
      </c>
      <c r="L1501" s="99">
        <v>0</v>
      </c>
      <c r="M1501" s="98">
        <v>0</v>
      </c>
      <c r="N1501" s="99">
        <v>0</v>
      </c>
      <c r="O1501" s="98">
        <v>0</v>
      </c>
      <c r="P1501" s="99">
        <v>0</v>
      </c>
      <c r="Q1501" s="98">
        <v>0</v>
      </c>
      <c r="R1501" s="96" t="s">
        <v>625</v>
      </c>
      <c r="S1501" s="96">
        <v>7414000005</v>
      </c>
      <c r="AA1501" s="131" t="s">
        <v>399</v>
      </c>
      <c r="AB1501" s="130">
        <v>3649130.7876849999</v>
      </c>
      <c r="AC1501" s="130">
        <v>3649130.7876849999</v>
      </c>
    </row>
    <row r="1502" spans="1:29" x14ac:dyDescent="0.25">
      <c r="A1502" t="str">
        <f t="shared" si="24"/>
        <v xml:space="preserve">420310CETES 260219        </v>
      </c>
      <c r="B1502" s="96">
        <v>420310</v>
      </c>
      <c r="C1502" s="96" t="s">
        <v>833</v>
      </c>
      <c r="D1502" s="96" t="s">
        <v>459</v>
      </c>
      <c r="E1502" s="96" t="s">
        <v>623</v>
      </c>
      <c r="F1502" s="96" t="s">
        <v>624</v>
      </c>
      <c r="G1502" s="99">
        <v>2030000</v>
      </c>
      <c r="H1502" s="97">
        <v>4.5848760000000004</v>
      </c>
      <c r="I1502" s="98">
        <v>9307298.2799999993</v>
      </c>
      <c r="J1502" s="97">
        <v>3.9648600394088671</v>
      </c>
      <c r="K1502" s="98">
        <v>1717120</v>
      </c>
      <c r="L1502" s="99">
        <v>-100000</v>
      </c>
      <c r="M1502" s="98">
        <v>-458487.6</v>
      </c>
      <c r="N1502" s="99">
        <v>0</v>
      </c>
      <c r="O1502" s="98">
        <v>0</v>
      </c>
      <c r="P1502" s="99">
        <v>1930000</v>
      </c>
      <c r="Q1502" s="98">
        <v>8848810.6799999997</v>
      </c>
      <c r="R1502" s="96" t="s">
        <v>625</v>
      </c>
      <c r="S1502" s="96">
        <v>7414000005</v>
      </c>
      <c r="AA1502" s="131" t="s">
        <v>429</v>
      </c>
      <c r="AB1502" s="130">
        <v>3822.3055260000001</v>
      </c>
      <c r="AC1502" s="130">
        <v>3822.3055260000001</v>
      </c>
    </row>
    <row r="1503" spans="1:29" x14ac:dyDescent="0.25">
      <c r="A1503" t="str">
        <f t="shared" si="24"/>
        <v xml:space="preserve">420310IENOVA *            </v>
      </c>
      <c r="B1503" s="96">
        <v>420310</v>
      </c>
      <c r="C1503" s="96" t="s">
        <v>833</v>
      </c>
      <c r="D1503" s="96" t="s">
        <v>389</v>
      </c>
      <c r="E1503" s="96" t="s">
        <v>623</v>
      </c>
      <c r="F1503" s="96" t="s">
        <v>624</v>
      </c>
      <c r="G1503" s="99">
        <v>3551953</v>
      </c>
      <c r="H1503" s="97">
        <v>3.3967719999999999</v>
      </c>
      <c r="I1503" s="98">
        <v>12065174.495716</v>
      </c>
      <c r="J1503" s="97">
        <v>3.2156814546814103</v>
      </c>
      <c r="K1503" s="98">
        <v>643225.10571599996</v>
      </c>
      <c r="L1503" s="99">
        <v>0</v>
      </c>
      <c r="M1503" s="98">
        <v>0</v>
      </c>
      <c r="N1503" s="99">
        <v>0</v>
      </c>
      <c r="O1503" s="98">
        <v>0</v>
      </c>
      <c r="P1503" s="99">
        <v>3551953</v>
      </c>
      <c r="Q1503" s="98">
        <v>12065174.495716</v>
      </c>
      <c r="R1503" s="96" t="s">
        <v>625</v>
      </c>
      <c r="S1503" s="96">
        <v>7414000005</v>
      </c>
      <c r="AA1503" s="131" t="s">
        <v>394</v>
      </c>
      <c r="AB1503" s="130">
        <v>3437458.6840019999</v>
      </c>
      <c r="AC1503" s="130">
        <v>3437458.6840019999</v>
      </c>
    </row>
    <row r="1504" spans="1:29" x14ac:dyDescent="0.25">
      <c r="A1504" t="str">
        <f t="shared" si="24"/>
        <v xml:space="preserve">420310STER-OP ED          </v>
      </c>
      <c r="B1504" s="96">
        <v>536741</v>
      </c>
      <c r="C1504" s="96" t="s">
        <v>834</v>
      </c>
      <c r="D1504" s="96" t="s">
        <v>591</v>
      </c>
      <c r="E1504" s="96" t="s">
        <v>623</v>
      </c>
      <c r="F1504" s="96" t="s">
        <v>624</v>
      </c>
      <c r="G1504" s="99">
        <v>4000</v>
      </c>
      <c r="H1504" s="97">
        <v>9.9999999999999995E-7</v>
      </c>
      <c r="I1504" s="98">
        <v>4.0000000000000001E-3</v>
      </c>
      <c r="J1504" s="97">
        <v>0.87</v>
      </c>
      <c r="K1504" s="98">
        <v>-3479.9960000000001</v>
      </c>
      <c r="L1504" s="99">
        <v>0</v>
      </c>
      <c r="M1504" s="98">
        <v>0</v>
      </c>
      <c r="N1504" s="99">
        <v>0</v>
      </c>
      <c r="O1504" s="98">
        <v>0</v>
      </c>
      <c r="P1504" s="99">
        <v>4000</v>
      </c>
      <c r="Q1504" s="98">
        <v>4.0000000000000001E-3</v>
      </c>
      <c r="R1504" s="96" t="s">
        <v>625</v>
      </c>
      <c r="S1504" s="96">
        <v>7414000005</v>
      </c>
      <c r="AA1504" s="131" t="s">
        <v>379</v>
      </c>
      <c r="AB1504" s="130">
        <v>1776978.196182</v>
      </c>
      <c r="AC1504" s="130">
        <v>1776978.196182</v>
      </c>
    </row>
    <row r="1505" spans="1:29" x14ac:dyDescent="0.25">
      <c r="A1505" t="str">
        <f t="shared" si="24"/>
        <v xml:space="preserve">420310STERGOB ED          </v>
      </c>
      <c r="B1505" s="96">
        <v>536741</v>
      </c>
      <c r="C1505" s="96" t="s">
        <v>834</v>
      </c>
      <c r="D1505" s="96" t="s">
        <v>592</v>
      </c>
      <c r="E1505" s="96" t="s">
        <v>623</v>
      </c>
      <c r="F1505" s="96" t="s">
        <v>624</v>
      </c>
      <c r="G1505" s="99">
        <v>67</v>
      </c>
      <c r="H1505" s="97">
        <v>55.2</v>
      </c>
      <c r="I1505" s="98">
        <v>3698.4</v>
      </c>
      <c r="J1505" s="97">
        <v>0</v>
      </c>
      <c r="K1505" s="98">
        <v>3698.4</v>
      </c>
      <c r="L1505" s="99">
        <v>0</v>
      </c>
      <c r="M1505" s="98">
        <v>0</v>
      </c>
      <c r="N1505" s="99">
        <v>0</v>
      </c>
      <c r="O1505" s="98">
        <v>0</v>
      </c>
      <c r="P1505" s="99">
        <v>67</v>
      </c>
      <c r="Q1505" s="98">
        <v>3698.4</v>
      </c>
      <c r="R1505" s="96" t="s">
        <v>625</v>
      </c>
      <c r="S1505" s="96">
        <v>7414000005</v>
      </c>
      <c r="AA1505" s="131" t="s">
        <v>377</v>
      </c>
      <c r="AB1505" s="130">
        <v>446373.79090000002</v>
      </c>
      <c r="AC1505" s="130">
        <v>446373.79090000002</v>
      </c>
    </row>
    <row r="1506" spans="1:29" x14ac:dyDescent="0.25">
      <c r="A1506" t="str">
        <f t="shared" si="24"/>
        <v xml:space="preserve">536741ABACOGF A           </v>
      </c>
      <c r="B1506" s="96">
        <v>536741</v>
      </c>
      <c r="C1506" s="96" t="s">
        <v>834</v>
      </c>
      <c r="D1506" s="96" t="s">
        <v>593</v>
      </c>
      <c r="E1506" s="96" t="s">
        <v>623</v>
      </c>
      <c r="F1506" s="96" t="s">
        <v>624</v>
      </c>
      <c r="G1506" s="99">
        <v>75420</v>
      </c>
      <c r="H1506" s="97">
        <v>162</v>
      </c>
      <c r="I1506" s="98">
        <v>12218040</v>
      </c>
      <c r="J1506" s="97">
        <v>42.333333333333336</v>
      </c>
      <c r="K1506" s="98">
        <v>9025260</v>
      </c>
      <c r="L1506" s="99">
        <v>0</v>
      </c>
      <c r="M1506" s="98">
        <v>0</v>
      </c>
      <c r="N1506" s="99">
        <v>0</v>
      </c>
      <c r="O1506" s="98">
        <v>0</v>
      </c>
      <c r="P1506" s="99">
        <v>75420</v>
      </c>
      <c r="Q1506" s="98">
        <v>12218040</v>
      </c>
      <c r="R1506" s="96" t="s">
        <v>625</v>
      </c>
      <c r="S1506" s="96">
        <v>7414000005</v>
      </c>
      <c r="AA1506" s="131" t="s">
        <v>392</v>
      </c>
      <c r="AB1506" s="130">
        <v>2032325.33504</v>
      </c>
      <c r="AC1506" s="130">
        <v>2032325.33504</v>
      </c>
    </row>
    <row r="1507" spans="1:29" x14ac:dyDescent="0.25">
      <c r="A1507" t="str">
        <f t="shared" si="24"/>
        <v xml:space="preserve">536741CABLE CPO           </v>
      </c>
      <c r="B1507" s="96">
        <v>536741</v>
      </c>
      <c r="C1507" s="96" t="s">
        <v>834</v>
      </c>
      <c r="D1507" s="96" t="s">
        <v>412</v>
      </c>
      <c r="E1507" s="96" t="s">
        <v>623</v>
      </c>
      <c r="F1507" s="96" t="s">
        <v>624</v>
      </c>
      <c r="G1507" s="99">
        <v>154874</v>
      </c>
      <c r="H1507" s="97">
        <v>3.137273</v>
      </c>
      <c r="I1507" s="98">
        <v>485882.01860200003</v>
      </c>
      <c r="J1507" s="97">
        <v>3.07793315856761</v>
      </c>
      <c r="K1507" s="98">
        <v>9190.1986020000004</v>
      </c>
      <c r="L1507" s="99">
        <v>0</v>
      </c>
      <c r="M1507" s="98">
        <v>0</v>
      </c>
      <c r="N1507" s="99">
        <v>0</v>
      </c>
      <c r="O1507" s="98">
        <v>0</v>
      </c>
      <c r="P1507" s="99">
        <v>154874</v>
      </c>
      <c r="Q1507" s="98">
        <v>485882.01860200003</v>
      </c>
      <c r="R1507" s="96" t="s">
        <v>625</v>
      </c>
      <c r="S1507" s="96">
        <v>7414000005</v>
      </c>
      <c r="AA1507" s="131" t="s">
        <v>386</v>
      </c>
      <c r="AB1507" s="130">
        <v>1256964.417193</v>
      </c>
      <c r="AC1507" s="130">
        <v>1256964.417193</v>
      </c>
    </row>
    <row r="1508" spans="1:29" x14ac:dyDescent="0.25">
      <c r="A1508" t="str">
        <f t="shared" si="24"/>
        <v xml:space="preserve">536741FEMSA UB            </v>
      </c>
      <c r="B1508" s="96">
        <v>536741</v>
      </c>
      <c r="C1508" s="96" t="s">
        <v>834</v>
      </c>
      <c r="D1508" s="96" t="s">
        <v>594</v>
      </c>
      <c r="E1508" s="96" t="s">
        <v>623</v>
      </c>
      <c r="F1508" s="96" t="s">
        <v>624</v>
      </c>
      <c r="G1508" s="99">
        <v>1042</v>
      </c>
      <c r="H1508" s="97">
        <v>9.9999999999999995E-7</v>
      </c>
      <c r="I1508" s="98">
        <v>1.042E-3</v>
      </c>
      <c r="J1508" s="97">
        <v>0.96</v>
      </c>
      <c r="K1508" s="98">
        <v>-1000.318958</v>
      </c>
      <c r="L1508" s="99">
        <v>0</v>
      </c>
      <c r="M1508" s="98">
        <v>0</v>
      </c>
      <c r="N1508" s="99">
        <v>0</v>
      </c>
      <c r="O1508" s="98">
        <v>0</v>
      </c>
      <c r="P1508" s="99">
        <v>1042</v>
      </c>
      <c r="Q1508" s="98">
        <v>1.042E-3</v>
      </c>
      <c r="R1508" s="96" t="s">
        <v>625</v>
      </c>
      <c r="S1508" s="96">
        <v>7414000005</v>
      </c>
      <c r="AA1508" s="131" t="s">
        <v>383</v>
      </c>
      <c r="AB1508" s="130">
        <v>2759428.6586640002</v>
      </c>
      <c r="AC1508" s="130">
        <v>2759428.6586640002</v>
      </c>
    </row>
    <row r="1509" spans="1:29" x14ac:dyDescent="0.25">
      <c r="A1509" t="str">
        <f t="shared" si="24"/>
        <v xml:space="preserve">536741STERGOB B0          </v>
      </c>
      <c r="B1509" s="96">
        <v>541079</v>
      </c>
      <c r="C1509" s="96" t="s">
        <v>835</v>
      </c>
      <c r="D1509" s="96" t="s">
        <v>357</v>
      </c>
      <c r="E1509" s="96" t="s">
        <v>623</v>
      </c>
      <c r="F1509" s="96" t="s">
        <v>624</v>
      </c>
      <c r="G1509" s="99">
        <v>10</v>
      </c>
      <c r="H1509" s="97">
        <v>168.64</v>
      </c>
      <c r="I1509" s="98">
        <v>1686.4</v>
      </c>
      <c r="J1509" s="97">
        <v>182.41300000000001</v>
      </c>
      <c r="K1509" s="98">
        <v>-137.72999999999999</v>
      </c>
      <c r="L1509" s="99">
        <v>0</v>
      </c>
      <c r="M1509" s="98">
        <v>0</v>
      </c>
      <c r="N1509" s="99">
        <v>0</v>
      </c>
      <c r="O1509" s="98">
        <v>0</v>
      </c>
      <c r="P1509" s="99">
        <v>10</v>
      </c>
      <c r="Q1509" s="98">
        <v>1686.4</v>
      </c>
      <c r="R1509" s="96" t="s">
        <v>625</v>
      </c>
      <c r="S1509" s="96">
        <v>7414000005</v>
      </c>
      <c r="AA1509" s="131" t="s">
        <v>397</v>
      </c>
      <c r="AB1509" s="130">
        <v>751708.40665799996</v>
      </c>
      <c r="AC1509" s="130">
        <v>751708.40665799996</v>
      </c>
    </row>
    <row r="1510" spans="1:29" x14ac:dyDescent="0.25">
      <c r="A1510" t="str">
        <f t="shared" si="24"/>
        <v xml:space="preserve">536741VIDEO *             </v>
      </c>
      <c r="B1510" s="96">
        <v>541079</v>
      </c>
      <c r="C1510" s="96" t="s">
        <v>835</v>
      </c>
      <c r="D1510" s="96" t="s">
        <v>617</v>
      </c>
      <c r="E1510" s="96" t="s">
        <v>623</v>
      </c>
      <c r="F1510" s="96" t="s">
        <v>624</v>
      </c>
      <c r="G1510" s="99">
        <v>31</v>
      </c>
      <c r="H1510" s="97">
        <v>11.86</v>
      </c>
      <c r="I1510" s="98">
        <v>367.66</v>
      </c>
      <c r="J1510" s="97">
        <v>12.180645161290322</v>
      </c>
      <c r="K1510" s="98">
        <v>-9.94</v>
      </c>
      <c r="L1510" s="99">
        <v>0</v>
      </c>
      <c r="M1510" s="98">
        <v>0</v>
      </c>
      <c r="N1510" s="99">
        <v>0</v>
      </c>
      <c r="O1510" s="98">
        <v>0</v>
      </c>
      <c r="P1510" s="99">
        <v>31</v>
      </c>
      <c r="Q1510" s="98">
        <v>367.66</v>
      </c>
      <c r="R1510" s="96" t="s">
        <v>625</v>
      </c>
      <c r="S1510" s="96">
        <v>7414000005</v>
      </c>
      <c r="AA1510" s="129">
        <v>79046</v>
      </c>
      <c r="AB1510" s="130">
        <v>0</v>
      </c>
      <c r="AC1510" s="130">
        <v>0</v>
      </c>
    </row>
    <row r="1511" spans="1:29" x14ac:dyDescent="0.25">
      <c r="A1511" t="str">
        <f t="shared" si="24"/>
        <v xml:space="preserve">541079AC *                </v>
      </c>
      <c r="B1511" s="96">
        <v>541079</v>
      </c>
      <c r="C1511" s="96" t="s">
        <v>835</v>
      </c>
      <c r="D1511" s="96" t="s">
        <v>359</v>
      </c>
      <c r="E1511" s="96" t="s">
        <v>623</v>
      </c>
      <c r="F1511" s="96" t="s">
        <v>624</v>
      </c>
      <c r="G1511" s="99">
        <v>27</v>
      </c>
      <c r="H1511" s="97">
        <v>73.37</v>
      </c>
      <c r="I1511" s="98">
        <v>1980.99</v>
      </c>
      <c r="J1511" s="97">
        <v>60.647777777777776</v>
      </c>
      <c r="K1511" s="98">
        <v>343.5</v>
      </c>
      <c r="L1511" s="99">
        <v>0</v>
      </c>
      <c r="M1511" s="98">
        <v>0</v>
      </c>
      <c r="N1511" s="99">
        <v>0</v>
      </c>
      <c r="O1511" s="98">
        <v>0</v>
      </c>
      <c r="P1511" s="99">
        <v>27</v>
      </c>
      <c r="Q1511" s="98">
        <v>1980.99</v>
      </c>
      <c r="R1511" s="96" t="s">
        <v>625</v>
      </c>
      <c r="S1511" s="96">
        <v>7414000005</v>
      </c>
      <c r="AA1511" s="131" t="s">
        <v>376</v>
      </c>
      <c r="AB1511" s="130">
        <v>0</v>
      </c>
      <c r="AC1511" s="130">
        <v>0</v>
      </c>
    </row>
    <row r="1512" spans="1:29" x14ac:dyDescent="0.25">
      <c r="A1512" t="str">
        <f t="shared" si="24"/>
        <v xml:space="preserve">541079ALPEK A             </v>
      </c>
      <c r="B1512" s="96">
        <v>541079</v>
      </c>
      <c r="C1512" s="96" t="s">
        <v>835</v>
      </c>
      <c r="D1512" s="96" t="s">
        <v>360</v>
      </c>
      <c r="E1512" s="96" t="s">
        <v>623</v>
      </c>
      <c r="F1512" s="96" t="s">
        <v>624</v>
      </c>
      <c r="G1512" s="99">
        <v>401</v>
      </c>
      <c r="H1512" s="97">
        <v>15.12</v>
      </c>
      <c r="I1512" s="98">
        <v>6063.12</v>
      </c>
      <c r="J1512" s="97">
        <v>16.028852867830423</v>
      </c>
      <c r="K1512" s="98">
        <v>-364.45</v>
      </c>
      <c r="L1512" s="99">
        <v>0</v>
      </c>
      <c r="M1512" s="98">
        <v>0</v>
      </c>
      <c r="N1512" s="99">
        <v>0</v>
      </c>
      <c r="O1512" s="98">
        <v>0</v>
      </c>
      <c r="P1512" s="99">
        <v>401</v>
      </c>
      <c r="Q1512" s="98">
        <v>6063.12</v>
      </c>
      <c r="R1512" s="96" t="s">
        <v>625</v>
      </c>
      <c r="S1512" s="96">
        <v>7414000005</v>
      </c>
      <c r="AA1512" s="131" t="s">
        <v>382</v>
      </c>
      <c r="AB1512" s="130">
        <v>0</v>
      </c>
      <c r="AC1512" s="130">
        <v>0</v>
      </c>
    </row>
    <row r="1513" spans="1:29" x14ac:dyDescent="0.25">
      <c r="A1513" t="str">
        <f t="shared" si="24"/>
        <v xml:space="preserve">541079ALSEA *             </v>
      </c>
      <c r="B1513" s="96">
        <v>541079</v>
      </c>
      <c r="C1513" s="96" t="s">
        <v>835</v>
      </c>
      <c r="D1513" s="96" t="s">
        <v>551</v>
      </c>
      <c r="E1513" s="96" t="s">
        <v>623</v>
      </c>
      <c r="F1513" s="96" t="s">
        <v>624</v>
      </c>
      <c r="G1513" s="99">
        <v>8</v>
      </c>
      <c r="H1513" s="97">
        <v>525.09</v>
      </c>
      <c r="I1513" s="98">
        <v>4200.72</v>
      </c>
      <c r="J1513" s="97">
        <v>486.16125</v>
      </c>
      <c r="K1513" s="98">
        <v>311.43</v>
      </c>
      <c r="L1513" s="99">
        <v>0</v>
      </c>
      <c r="M1513" s="98">
        <v>0</v>
      </c>
      <c r="N1513" s="99">
        <v>0</v>
      </c>
      <c r="O1513" s="98">
        <v>0</v>
      </c>
      <c r="P1513" s="99">
        <v>8</v>
      </c>
      <c r="Q1513" s="98">
        <v>4200.72</v>
      </c>
      <c r="R1513" s="96" t="s">
        <v>625</v>
      </c>
      <c r="S1513" s="96">
        <v>7414000005</v>
      </c>
      <c r="AA1513" s="131" t="s">
        <v>396</v>
      </c>
      <c r="AB1513" s="130">
        <v>0</v>
      </c>
      <c r="AC1513" s="130">
        <v>0</v>
      </c>
    </row>
    <row r="1514" spans="1:29" x14ac:dyDescent="0.25">
      <c r="A1514" t="str">
        <f t="shared" si="24"/>
        <v xml:space="preserve">541079AMX B               </v>
      </c>
      <c r="B1514" s="96">
        <v>541079</v>
      </c>
      <c r="C1514" s="96" t="s">
        <v>835</v>
      </c>
      <c r="D1514" s="96" t="s">
        <v>361</v>
      </c>
      <c r="E1514" s="96" t="s">
        <v>623</v>
      </c>
      <c r="F1514" s="96" t="s">
        <v>624</v>
      </c>
      <c r="G1514" s="99">
        <v>18</v>
      </c>
      <c r="H1514" s="97">
        <v>68.25</v>
      </c>
      <c r="I1514" s="98">
        <v>1228.5</v>
      </c>
      <c r="J1514" s="97">
        <v>73.893333333333331</v>
      </c>
      <c r="K1514" s="98">
        <v>-101.58</v>
      </c>
      <c r="L1514" s="99">
        <v>0</v>
      </c>
      <c r="M1514" s="98">
        <v>0</v>
      </c>
      <c r="N1514" s="99">
        <v>0</v>
      </c>
      <c r="O1514" s="98">
        <v>0</v>
      </c>
      <c r="P1514" s="99">
        <v>18</v>
      </c>
      <c r="Q1514" s="98">
        <v>1228.5</v>
      </c>
      <c r="R1514" s="96" t="s">
        <v>625</v>
      </c>
      <c r="S1514" s="96">
        <v>7414000005</v>
      </c>
      <c r="AA1514" s="129">
        <v>80862</v>
      </c>
      <c r="AB1514" s="130">
        <v>65025110.951007992</v>
      </c>
      <c r="AC1514" s="130">
        <v>65025110.951007992</v>
      </c>
    </row>
    <row r="1515" spans="1:29" x14ac:dyDescent="0.25">
      <c r="A1515" t="str">
        <f t="shared" si="24"/>
        <v xml:space="preserve">541079ASUR B              </v>
      </c>
      <c r="B1515" s="96">
        <v>541079</v>
      </c>
      <c r="C1515" s="96" t="s">
        <v>835</v>
      </c>
      <c r="D1515" s="96" t="s">
        <v>362</v>
      </c>
      <c r="E1515" s="96" t="s">
        <v>623</v>
      </c>
      <c r="F1515" s="96" t="s">
        <v>624</v>
      </c>
      <c r="G1515" s="99">
        <v>493</v>
      </c>
      <c r="H1515" s="97">
        <v>14.33</v>
      </c>
      <c r="I1515" s="98">
        <v>7064.69</v>
      </c>
      <c r="J1515" s="97">
        <v>11.934908722109533</v>
      </c>
      <c r="K1515" s="98">
        <v>1180.78</v>
      </c>
      <c r="L1515" s="99">
        <v>0</v>
      </c>
      <c r="M1515" s="98">
        <v>0</v>
      </c>
      <c r="N1515" s="99">
        <v>0</v>
      </c>
      <c r="O1515" s="98">
        <v>0</v>
      </c>
      <c r="P1515" s="99">
        <v>493</v>
      </c>
      <c r="Q1515" s="98">
        <v>7064.69</v>
      </c>
      <c r="R1515" s="96" t="s">
        <v>625</v>
      </c>
      <c r="S1515" s="96">
        <v>7414000005</v>
      </c>
      <c r="AA1515" s="131" t="s">
        <v>389</v>
      </c>
      <c r="AB1515" s="130">
        <v>11806061.934012</v>
      </c>
      <c r="AC1515" s="130">
        <v>11806061.934012</v>
      </c>
    </row>
    <row r="1516" spans="1:29" x14ac:dyDescent="0.25">
      <c r="A1516" t="str">
        <f t="shared" si="24"/>
        <v xml:space="preserve">541079BIMBO A             </v>
      </c>
      <c r="B1516" s="96">
        <v>541079</v>
      </c>
      <c r="C1516" s="96" t="s">
        <v>835</v>
      </c>
      <c r="D1516" s="96" t="s">
        <v>595</v>
      </c>
      <c r="E1516" s="96" t="s">
        <v>623</v>
      </c>
      <c r="F1516" s="96" t="s">
        <v>624</v>
      </c>
      <c r="G1516" s="99">
        <v>109</v>
      </c>
      <c r="H1516" s="97">
        <v>9.9999999999999995E-7</v>
      </c>
      <c r="I1516" s="98">
        <v>1.0900000000000001E-4</v>
      </c>
      <c r="J1516" s="97">
        <v>0</v>
      </c>
      <c r="K1516" s="98">
        <v>1.0900000000000001E-4</v>
      </c>
      <c r="L1516" s="99">
        <v>0</v>
      </c>
      <c r="M1516" s="98">
        <v>0</v>
      </c>
      <c r="N1516" s="99">
        <v>0</v>
      </c>
      <c r="O1516" s="98">
        <v>0</v>
      </c>
      <c r="P1516" s="99">
        <v>109</v>
      </c>
      <c r="Q1516" s="98">
        <v>1.0900000000000001E-4</v>
      </c>
      <c r="R1516" s="96" t="s">
        <v>625</v>
      </c>
      <c r="S1516" s="96">
        <v>7414000005</v>
      </c>
      <c r="AA1516" s="131" t="s">
        <v>363</v>
      </c>
      <c r="AB1516" s="130">
        <v>807572.06322000001</v>
      </c>
      <c r="AC1516" s="130">
        <v>807572.06322000001</v>
      </c>
    </row>
    <row r="1517" spans="1:29" x14ac:dyDescent="0.25">
      <c r="A1517" t="str">
        <f t="shared" si="24"/>
        <v xml:space="preserve">541079CEMEX CPO           </v>
      </c>
      <c r="B1517" s="96">
        <v>541079</v>
      </c>
      <c r="C1517" s="96" t="s">
        <v>835</v>
      </c>
      <c r="D1517" s="96" t="s">
        <v>369</v>
      </c>
      <c r="E1517" s="96" t="s">
        <v>623</v>
      </c>
      <c r="F1517" s="96" t="s">
        <v>624</v>
      </c>
      <c r="G1517" s="99">
        <v>37</v>
      </c>
      <c r="H1517" s="97">
        <v>207.81</v>
      </c>
      <c r="I1517" s="98">
        <v>7688.97</v>
      </c>
      <c r="J1517" s="97">
        <v>172.5072972972973</v>
      </c>
      <c r="K1517" s="98">
        <v>1306.2</v>
      </c>
      <c r="L1517" s="99">
        <v>0</v>
      </c>
      <c r="M1517" s="98">
        <v>0</v>
      </c>
      <c r="N1517" s="99">
        <v>0</v>
      </c>
      <c r="O1517" s="98">
        <v>0</v>
      </c>
      <c r="P1517" s="99">
        <v>37</v>
      </c>
      <c r="Q1517" s="98">
        <v>7688.97</v>
      </c>
      <c r="R1517" s="96" t="s">
        <v>625</v>
      </c>
      <c r="S1517" s="96">
        <v>7414000005</v>
      </c>
      <c r="AA1517" s="131" t="s">
        <v>409</v>
      </c>
      <c r="AB1517" s="130">
        <v>3171912.5025360002</v>
      </c>
      <c r="AC1517" s="130">
        <v>3171912.5025360002</v>
      </c>
    </row>
    <row r="1518" spans="1:29" x14ac:dyDescent="0.25">
      <c r="A1518" t="str">
        <f t="shared" si="24"/>
        <v xml:space="preserve">541079COVARRA *           </v>
      </c>
      <c r="B1518" s="96">
        <v>541079</v>
      </c>
      <c r="C1518" s="96" t="s">
        <v>835</v>
      </c>
      <c r="D1518" s="96" t="s">
        <v>370</v>
      </c>
      <c r="E1518" s="96" t="s">
        <v>623</v>
      </c>
      <c r="F1518" s="96" t="s">
        <v>624</v>
      </c>
      <c r="G1518" s="99">
        <v>4</v>
      </c>
      <c r="H1518" s="97">
        <v>271.94</v>
      </c>
      <c r="I1518" s="98">
        <v>1087.76</v>
      </c>
      <c r="J1518" s="97">
        <v>283.35000000000002</v>
      </c>
      <c r="K1518" s="98">
        <v>-45.64</v>
      </c>
      <c r="L1518" s="99">
        <v>0</v>
      </c>
      <c r="M1518" s="98">
        <v>0</v>
      </c>
      <c r="N1518" s="99">
        <v>0</v>
      </c>
      <c r="O1518" s="98">
        <v>0</v>
      </c>
      <c r="P1518" s="99">
        <v>4</v>
      </c>
      <c r="Q1518" s="98">
        <v>1087.76</v>
      </c>
      <c r="R1518" s="96" t="s">
        <v>625</v>
      </c>
      <c r="S1518" s="96">
        <v>7414000005</v>
      </c>
      <c r="AA1518" s="131" t="s">
        <v>364</v>
      </c>
      <c r="AB1518" s="130">
        <v>3639386.15337</v>
      </c>
      <c r="AC1518" s="130">
        <v>3639386.15337</v>
      </c>
    </row>
    <row r="1519" spans="1:29" x14ac:dyDescent="0.25">
      <c r="A1519" t="str">
        <f t="shared" si="24"/>
        <v xml:space="preserve">541079FEMSA UBD           </v>
      </c>
      <c r="B1519" s="96">
        <v>541079</v>
      </c>
      <c r="C1519" s="96" t="s">
        <v>835</v>
      </c>
      <c r="D1519" s="96" t="s">
        <v>371</v>
      </c>
      <c r="E1519" s="96" t="s">
        <v>623</v>
      </c>
      <c r="F1519" s="96" t="s">
        <v>624</v>
      </c>
      <c r="G1519" s="99">
        <v>13</v>
      </c>
      <c r="H1519" s="97">
        <v>193.15</v>
      </c>
      <c r="I1519" s="98">
        <v>2510.9499999999998</v>
      </c>
      <c r="J1519" s="97">
        <v>163.40769230769232</v>
      </c>
      <c r="K1519" s="98">
        <v>386.65</v>
      </c>
      <c r="L1519" s="99">
        <v>0</v>
      </c>
      <c r="M1519" s="98">
        <v>0</v>
      </c>
      <c r="N1519" s="99">
        <v>0</v>
      </c>
      <c r="O1519" s="98">
        <v>0</v>
      </c>
      <c r="P1519" s="99">
        <v>13</v>
      </c>
      <c r="Q1519" s="98">
        <v>2510.9499999999998</v>
      </c>
      <c r="R1519" s="96" t="s">
        <v>625</v>
      </c>
      <c r="S1519" s="96">
        <v>7414000005</v>
      </c>
      <c r="AA1519" s="131" t="s">
        <v>570</v>
      </c>
      <c r="AB1519" s="130">
        <v>43263684</v>
      </c>
      <c r="AC1519" s="130">
        <v>43263684</v>
      </c>
    </row>
    <row r="1520" spans="1:29" x14ac:dyDescent="0.25">
      <c r="A1520" t="str">
        <f t="shared" si="24"/>
        <v xml:space="preserve">541079GAP B               </v>
      </c>
      <c r="B1520" s="96">
        <v>541079</v>
      </c>
      <c r="C1520" s="96" t="s">
        <v>835</v>
      </c>
      <c r="D1520" s="96" t="s">
        <v>372</v>
      </c>
      <c r="E1520" s="96" t="s">
        <v>623</v>
      </c>
      <c r="F1520" s="96" t="s">
        <v>624</v>
      </c>
      <c r="G1520" s="99">
        <v>91</v>
      </c>
      <c r="H1520" s="97">
        <v>27.12</v>
      </c>
      <c r="I1520" s="98">
        <v>2467.92</v>
      </c>
      <c r="J1520" s="97">
        <v>21.994175824175823</v>
      </c>
      <c r="K1520" s="98">
        <v>466.45</v>
      </c>
      <c r="L1520" s="99">
        <v>0</v>
      </c>
      <c r="M1520" s="98">
        <v>0</v>
      </c>
      <c r="N1520" s="99">
        <v>0</v>
      </c>
      <c r="O1520" s="98">
        <v>0</v>
      </c>
      <c r="P1520" s="99">
        <v>91</v>
      </c>
      <c r="Q1520" s="98">
        <v>2467.92</v>
      </c>
      <c r="R1520" s="96" t="s">
        <v>625</v>
      </c>
      <c r="S1520" s="96">
        <v>7414000005</v>
      </c>
      <c r="AA1520" s="131" t="s">
        <v>613</v>
      </c>
      <c r="AB1520" s="130">
        <v>1471504.6023500001</v>
      </c>
      <c r="AC1520" s="130">
        <v>1471504.6023500001</v>
      </c>
    </row>
    <row r="1521" spans="1:29" x14ac:dyDescent="0.25">
      <c r="A1521" t="str">
        <f t="shared" si="24"/>
        <v xml:space="preserve">541079GCC *               </v>
      </c>
      <c r="B1521" s="96">
        <v>541079</v>
      </c>
      <c r="C1521" s="96" t="s">
        <v>835</v>
      </c>
      <c r="D1521" s="96" t="s">
        <v>373</v>
      </c>
      <c r="E1521" s="96" t="s">
        <v>623</v>
      </c>
      <c r="F1521" s="96" t="s">
        <v>624</v>
      </c>
      <c r="G1521" s="99">
        <v>58</v>
      </c>
      <c r="H1521" s="97">
        <v>176.44</v>
      </c>
      <c r="I1521" s="98">
        <v>10233.52</v>
      </c>
      <c r="J1521" s="97">
        <v>155.64327586206898</v>
      </c>
      <c r="K1521" s="98">
        <v>1206.21</v>
      </c>
      <c r="L1521" s="99">
        <v>0</v>
      </c>
      <c r="M1521" s="98">
        <v>0</v>
      </c>
      <c r="N1521" s="99">
        <v>0</v>
      </c>
      <c r="O1521" s="98">
        <v>0</v>
      </c>
      <c r="P1521" s="99">
        <v>58</v>
      </c>
      <c r="Q1521" s="98">
        <v>10233.52</v>
      </c>
      <c r="R1521" s="96" t="s">
        <v>625</v>
      </c>
      <c r="S1521" s="96">
        <v>7414000005</v>
      </c>
      <c r="AA1521" s="131" t="s">
        <v>649</v>
      </c>
      <c r="AB1521" s="130">
        <v>864989.69551999995</v>
      </c>
      <c r="AC1521" s="130">
        <v>864989.69551999995</v>
      </c>
    </row>
    <row r="1522" spans="1:29" x14ac:dyDescent="0.25">
      <c r="A1522" t="str">
        <f t="shared" si="24"/>
        <v xml:space="preserve">541079GENTERA *           </v>
      </c>
      <c r="B1522" s="96">
        <v>541079</v>
      </c>
      <c r="C1522" s="96" t="s">
        <v>835</v>
      </c>
      <c r="D1522" s="96" t="s">
        <v>374</v>
      </c>
      <c r="E1522" s="96" t="s">
        <v>623</v>
      </c>
      <c r="F1522" s="96" t="s">
        <v>624</v>
      </c>
      <c r="G1522" s="99">
        <v>74</v>
      </c>
      <c r="H1522" s="97">
        <v>104.12</v>
      </c>
      <c r="I1522" s="98">
        <v>7704.88</v>
      </c>
      <c r="J1522" s="97">
        <v>81.302972972972967</v>
      </c>
      <c r="K1522" s="98">
        <v>1688.46</v>
      </c>
      <c r="L1522" s="99">
        <v>0</v>
      </c>
      <c r="M1522" s="98">
        <v>0</v>
      </c>
      <c r="N1522" s="99">
        <v>0</v>
      </c>
      <c r="O1522" s="98">
        <v>0</v>
      </c>
      <c r="P1522" s="99">
        <v>74</v>
      </c>
      <c r="Q1522" s="98">
        <v>7704.88</v>
      </c>
      <c r="R1522" s="96" t="s">
        <v>625</v>
      </c>
      <c r="S1522" s="96">
        <v>7414000005</v>
      </c>
      <c r="AA1522" s="129">
        <v>1005849</v>
      </c>
      <c r="AB1522" s="130">
        <v>26196890.727880001</v>
      </c>
      <c r="AC1522" s="130">
        <v>26196890.727880001</v>
      </c>
    </row>
    <row r="1523" spans="1:29" x14ac:dyDescent="0.25">
      <c r="A1523" t="str">
        <f t="shared" si="24"/>
        <v xml:space="preserve">541079GFNORTE O           </v>
      </c>
      <c r="B1523" s="96">
        <v>541079</v>
      </c>
      <c r="C1523" s="96" t="s">
        <v>835</v>
      </c>
      <c r="D1523" s="96" t="s">
        <v>387</v>
      </c>
      <c r="E1523" s="96" t="s">
        <v>623</v>
      </c>
      <c r="F1523" s="96" t="s">
        <v>624</v>
      </c>
      <c r="G1523" s="99">
        <v>6</v>
      </c>
      <c r="H1523" s="97">
        <v>314.42</v>
      </c>
      <c r="I1523" s="98">
        <v>1886.52</v>
      </c>
      <c r="J1523" s="97">
        <v>281.48500000000001</v>
      </c>
      <c r="K1523" s="98">
        <v>197.61</v>
      </c>
      <c r="L1523" s="99">
        <v>0</v>
      </c>
      <c r="M1523" s="98">
        <v>0</v>
      </c>
      <c r="N1523" s="99">
        <v>0</v>
      </c>
      <c r="O1523" s="98">
        <v>0</v>
      </c>
      <c r="P1523" s="99">
        <v>6</v>
      </c>
      <c r="Q1523" s="98">
        <v>1886.52</v>
      </c>
      <c r="R1523" s="96" t="s">
        <v>625</v>
      </c>
      <c r="S1523" s="96">
        <v>7414000005</v>
      </c>
      <c r="AA1523" s="131" t="s">
        <v>389</v>
      </c>
      <c r="AB1523" s="130">
        <v>26196890.727880001</v>
      </c>
      <c r="AC1523" s="130">
        <v>26196890.727880001</v>
      </c>
    </row>
    <row r="1524" spans="1:29" x14ac:dyDescent="0.25">
      <c r="A1524" t="str">
        <f t="shared" si="24"/>
        <v xml:space="preserve">541079GMEXICO B           </v>
      </c>
      <c r="B1524" s="96">
        <v>541079</v>
      </c>
      <c r="C1524" s="96" t="s">
        <v>835</v>
      </c>
      <c r="D1524" s="96" t="s">
        <v>503</v>
      </c>
      <c r="E1524" s="96" t="s">
        <v>623</v>
      </c>
      <c r="F1524" s="96" t="s">
        <v>624</v>
      </c>
      <c r="G1524" s="99">
        <v>41</v>
      </c>
      <c r="H1524" s="97">
        <v>43.85</v>
      </c>
      <c r="I1524" s="98">
        <v>1797.85</v>
      </c>
      <c r="J1524" s="97">
        <v>41.809024390243906</v>
      </c>
      <c r="K1524" s="98">
        <v>83.68</v>
      </c>
      <c r="L1524" s="99">
        <v>0</v>
      </c>
      <c r="M1524" s="98">
        <v>0</v>
      </c>
      <c r="N1524" s="99">
        <v>0</v>
      </c>
      <c r="O1524" s="98">
        <v>0</v>
      </c>
      <c r="P1524" s="99">
        <v>41</v>
      </c>
      <c r="Q1524" s="98">
        <v>1797.85</v>
      </c>
      <c r="R1524" s="96" t="s">
        <v>625</v>
      </c>
      <c r="S1524" s="96">
        <v>7414000005</v>
      </c>
      <c r="AA1524" s="129">
        <v>152965</v>
      </c>
      <c r="AB1524" s="130">
        <v>21394557.376568999</v>
      </c>
      <c r="AC1524" s="130">
        <v>21394557.376568999</v>
      </c>
    </row>
    <row r="1525" spans="1:29" x14ac:dyDescent="0.25">
      <c r="A1525" t="str">
        <f t="shared" si="24"/>
        <v xml:space="preserve">541079GRUMA B             </v>
      </c>
      <c r="B1525" s="96">
        <v>541079</v>
      </c>
      <c r="C1525" s="96" t="s">
        <v>835</v>
      </c>
      <c r="D1525" s="96" t="s">
        <v>419</v>
      </c>
      <c r="E1525" s="96" t="s">
        <v>623</v>
      </c>
      <c r="F1525" s="96" t="s">
        <v>624</v>
      </c>
      <c r="G1525" s="99">
        <v>0</v>
      </c>
      <c r="H1525" s="97">
        <v>0</v>
      </c>
      <c r="I1525" s="98">
        <v>0</v>
      </c>
      <c r="J1525" s="97">
        <v>0</v>
      </c>
      <c r="K1525" s="98">
        <v>0</v>
      </c>
      <c r="L1525" s="99">
        <v>0</v>
      </c>
      <c r="M1525" s="98">
        <v>0</v>
      </c>
      <c r="N1525" s="99">
        <v>0</v>
      </c>
      <c r="O1525" s="98">
        <v>0</v>
      </c>
      <c r="P1525" s="99">
        <v>0</v>
      </c>
      <c r="Q1525" s="98">
        <v>0</v>
      </c>
      <c r="R1525" s="96" t="s">
        <v>625</v>
      </c>
      <c r="S1525" s="96">
        <v>7414000005</v>
      </c>
      <c r="AA1525" s="131" t="s">
        <v>557</v>
      </c>
      <c r="AB1525" s="130">
        <v>21394557.376568999</v>
      </c>
      <c r="AC1525" s="130">
        <v>21394557.376568999</v>
      </c>
    </row>
    <row r="1526" spans="1:29" x14ac:dyDescent="0.25">
      <c r="A1526" t="str">
        <f t="shared" si="24"/>
        <v xml:space="preserve">541079HERDEZ *            </v>
      </c>
      <c r="B1526" s="96">
        <v>541079</v>
      </c>
      <c r="C1526" s="96" t="s">
        <v>835</v>
      </c>
      <c r="D1526" s="96" t="s">
        <v>540</v>
      </c>
      <c r="E1526" s="96" t="s">
        <v>623</v>
      </c>
      <c r="F1526" s="96" t="s">
        <v>624</v>
      </c>
      <c r="G1526" s="99">
        <v>45</v>
      </c>
      <c r="H1526" s="97">
        <v>36.28</v>
      </c>
      <c r="I1526" s="98">
        <v>1632.6</v>
      </c>
      <c r="J1526" s="97">
        <v>39.894444444444446</v>
      </c>
      <c r="K1526" s="98">
        <v>-162.65</v>
      </c>
      <c r="L1526" s="99">
        <v>0</v>
      </c>
      <c r="M1526" s="98">
        <v>0</v>
      </c>
      <c r="N1526" s="99">
        <v>0</v>
      </c>
      <c r="O1526" s="98">
        <v>0</v>
      </c>
      <c r="P1526" s="99">
        <v>45</v>
      </c>
      <c r="Q1526" s="98">
        <v>1632.6</v>
      </c>
      <c r="R1526" s="96" t="s">
        <v>625</v>
      </c>
      <c r="S1526" s="96">
        <v>7414000005</v>
      </c>
      <c r="AA1526" s="129">
        <v>1002455</v>
      </c>
      <c r="AB1526" s="130">
        <v>8938949.8599999994</v>
      </c>
      <c r="AC1526" s="130">
        <v>8938949.8599999994</v>
      </c>
    </row>
    <row r="1527" spans="1:29" x14ac:dyDescent="0.25">
      <c r="A1527" t="str">
        <f t="shared" si="24"/>
        <v xml:space="preserve">541079IENOVA *            </v>
      </c>
      <c r="B1527" s="96">
        <v>541079</v>
      </c>
      <c r="C1527" s="96" t="s">
        <v>835</v>
      </c>
      <c r="D1527" s="96" t="s">
        <v>553</v>
      </c>
      <c r="E1527" s="96" t="s">
        <v>623</v>
      </c>
      <c r="F1527" s="96" t="s">
        <v>624</v>
      </c>
      <c r="G1527" s="99">
        <v>6</v>
      </c>
      <c r="H1527" s="97">
        <v>136.35</v>
      </c>
      <c r="I1527" s="98">
        <v>818.1</v>
      </c>
      <c r="J1527" s="97">
        <v>119.82666666666667</v>
      </c>
      <c r="K1527" s="98">
        <v>99.14</v>
      </c>
      <c r="L1527" s="99">
        <v>0</v>
      </c>
      <c r="M1527" s="98">
        <v>0</v>
      </c>
      <c r="N1527" s="99">
        <v>0</v>
      </c>
      <c r="O1527" s="98">
        <v>0</v>
      </c>
      <c r="P1527" s="99">
        <v>6</v>
      </c>
      <c r="Q1527" s="98">
        <v>818.1</v>
      </c>
      <c r="R1527" s="96" t="s">
        <v>625</v>
      </c>
      <c r="S1527" s="96">
        <v>7414000005</v>
      </c>
      <c r="AA1527" s="131" t="s">
        <v>366</v>
      </c>
      <c r="AB1527" s="130">
        <v>8938949.8599999994</v>
      </c>
      <c r="AC1527" s="130">
        <v>8938949.8599999994</v>
      </c>
    </row>
    <row r="1528" spans="1:29" x14ac:dyDescent="0.25">
      <c r="A1528" t="str">
        <f t="shared" si="24"/>
        <v xml:space="preserve">541079LACOMER UBC         </v>
      </c>
      <c r="B1528" s="96">
        <v>541079</v>
      </c>
      <c r="C1528" s="96" t="s">
        <v>835</v>
      </c>
      <c r="D1528" s="96" t="s">
        <v>541</v>
      </c>
      <c r="E1528" s="96" t="s">
        <v>623</v>
      </c>
      <c r="F1528" s="96" t="s">
        <v>624</v>
      </c>
      <c r="G1528" s="99">
        <v>14</v>
      </c>
      <c r="H1528" s="97">
        <v>156</v>
      </c>
      <c r="I1528" s="98">
        <v>2184</v>
      </c>
      <c r="J1528" s="97">
        <v>157.48857142857142</v>
      </c>
      <c r="K1528" s="98">
        <v>-20.84</v>
      </c>
      <c r="L1528" s="99">
        <v>0</v>
      </c>
      <c r="M1528" s="98">
        <v>0</v>
      </c>
      <c r="N1528" s="99">
        <v>0</v>
      </c>
      <c r="O1528" s="98">
        <v>0</v>
      </c>
      <c r="P1528" s="99">
        <v>14</v>
      </c>
      <c r="Q1528" s="98">
        <v>2184</v>
      </c>
      <c r="R1528" s="96" t="s">
        <v>625</v>
      </c>
      <c r="S1528" s="96">
        <v>7414000005</v>
      </c>
      <c r="AA1528" s="129">
        <v>1018014</v>
      </c>
      <c r="AB1528" s="130">
        <v>4309.26</v>
      </c>
      <c r="AC1528" s="130">
        <v>4309.26</v>
      </c>
    </row>
    <row r="1529" spans="1:29" x14ac:dyDescent="0.25">
      <c r="A1529" t="str">
        <f t="shared" si="24"/>
        <v xml:space="preserve">541079LIVEPOL C-1         </v>
      </c>
      <c r="B1529" s="96">
        <v>541079</v>
      </c>
      <c r="C1529" s="96" t="s">
        <v>835</v>
      </c>
      <c r="D1529" s="96" t="s">
        <v>596</v>
      </c>
      <c r="E1529" s="96" t="s">
        <v>623</v>
      </c>
      <c r="F1529" s="96" t="s">
        <v>624</v>
      </c>
      <c r="G1529" s="99">
        <v>82879</v>
      </c>
      <c r="H1529" s="97">
        <v>3.5222039999999999</v>
      </c>
      <c r="I1529" s="98">
        <v>291916.74531600002</v>
      </c>
      <c r="J1529" s="97">
        <v>3.4572158206542065</v>
      </c>
      <c r="K1529" s="98">
        <v>5386.1553160000003</v>
      </c>
      <c r="L1529" s="99">
        <v>0</v>
      </c>
      <c r="M1529" s="98">
        <v>0</v>
      </c>
      <c r="N1529" s="99">
        <v>0</v>
      </c>
      <c r="O1529" s="98">
        <v>0</v>
      </c>
      <c r="P1529" s="99">
        <v>82879</v>
      </c>
      <c r="Q1529" s="98">
        <v>291916.74531600002</v>
      </c>
      <c r="R1529" s="96" t="s">
        <v>625</v>
      </c>
      <c r="S1529" s="96">
        <v>7414000005</v>
      </c>
      <c r="AA1529" s="131" t="s">
        <v>366</v>
      </c>
      <c r="AB1529" s="130">
        <v>4309.26</v>
      </c>
      <c r="AC1529" s="130">
        <v>4309.26</v>
      </c>
    </row>
    <row r="1530" spans="1:29" x14ac:dyDescent="0.25">
      <c r="A1530" t="str">
        <f t="shared" si="24"/>
        <v xml:space="preserve">541079R A                 </v>
      </c>
      <c r="B1530" s="96">
        <v>541079</v>
      </c>
      <c r="C1530" s="96" t="s">
        <v>835</v>
      </c>
      <c r="D1530" s="96" t="s">
        <v>500</v>
      </c>
      <c r="E1530" s="96" t="s">
        <v>623</v>
      </c>
      <c r="F1530" s="96" t="s">
        <v>624</v>
      </c>
      <c r="G1530" s="99">
        <v>58</v>
      </c>
      <c r="H1530" s="97">
        <v>31.41</v>
      </c>
      <c r="I1530" s="98">
        <v>1821.78</v>
      </c>
      <c r="J1530" s="97">
        <v>32.163103448275862</v>
      </c>
      <c r="K1530" s="98">
        <v>-43.68</v>
      </c>
      <c r="L1530" s="99">
        <v>0</v>
      </c>
      <c r="M1530" s="98">
        <v>0</v>
      </c>
      <c r="N1530" s="99">
        <v>0</v>
      </c>
      <c r="O1530" s="98">
        <v>0</v>
      </c>
      <c r="P1530" s="99">
        <v>58</v>
      </c>
      <c r="Q1530" s="98">
        <v>1821.78</v>
      </c>
      <c r="R1530" s="96" t="s">
        <v>625</v>
      </c>
      <c r="S1530" s="96">
        <v>7414000005</v>
      </c>
      <c r="AA1530" s="129">
        <v>1018122</v>
      </c>
      <c r="AB1530" s="130">
        <v>59838.68</v>
      </c>
      <c r="AC1530" s="130">
        <v>59838.68</v>
      </c>
    </row>
    <row r="1531" spans="1:29" x14ac:dyDescent="0.25">
      <c r="A1531" t="str">
        <f t="shared" si="24"/>
        <v xml:space="preserve">541079STRGOB2 B0          </v>
      </c>
      <c r="B1531" s="96">
        <v>541079</v>
      </c>
      <c r="C1531" s="96" t="s">
        <v>835</v>
      </c>
      <c r="D1531" s="96" t="s">
        <v>400</v>
      </c>
      <c r="E1531" s="96" t="s">
        <v>623</v>
      </c>
      <c r="F1531" s="96" t="s">
        <v>624</v>
      </c>
      <c r="G1531" s="99">
        <v>46</v>
      </c>
      <c r="H1531" s="97">
        <v>58.67</v>
      </c>
      <c r="I1531" s="98">
        <v>2698.82</v>
      </c>
      <c r="J1531" s="97">
        <v>44.979130434782611</v>
      </c>
      <c r="K1531" s="98">
        <v>629.78</v>
      </c>
      <c r="L1531" s="99">
        <v>0</v>
      </c>
      <c r="M1531" s="98">
        <v>0</v>
      </c>
      <c r="N1531" s="99">
        <v>0</v>
      </c>
      <c r="O1531" s="98">
        <v>0</v>
      </c>
      <c r="P1531" s="99">
        <v>46</v>
      </c>
      <c r="Q1531" s="98">
        <v>2698.82</v>
      </c>
      <c r="R1531" s="96" t="s">
        <v>625</v>
      </c>
      <c r="S1531" s="96">
        <v>7414000005</v>
      </c>
      <c r="AA1531" s="131" t="s">
        <v>366</v>
      </c>
      <c r="AB1531" s="130">
        <v>59838.68</v>
      </c>
      <c r="AC1531" s="130">
        <v>59838.68</v>
      </c>
    </row>
    <row r="1532" spans="1:29" x14ac:dyDescent="0.25">
      <c r="A1532" t="str">
        <f t="shared" si="24"/>
        <v xml:space="preserve">541079TRAXION A           </v>
      </c>
      <c r="B1532" s="96">
        <v>541079</v>
      </c>
      <c r="C1532" s="96" t="s">
        <v>835</v>
      </c>
      <c r="D1532" s="96" t="s">
        <v>403</v>
      </c>
      <c r="E1532" s="96" t="s">
        <v>623</v>
      </c>
      <c r="F1532" s="96" t="s">
        <v>624</v>
      </c>
      <c r="G1532" s="99">
        <v>105</v>
      </c>
      <c r="H1532" s="97">
        <v>65.260000000000005</v>
      </c>
      <c r="I1532" s="98">
        <v>6852.3</v>
      </c>
      <c r="J1532" s="97">
        <v>71.204761904761909</v>
      </c>
      <c r="K1532" s="98">
        <v>-624.20000000000005</v>
      </c>
      <c r="L1532" s="99">
        <v>0</v>
      </c>
      <c r="M1532" s="98">
        <v>0</v>
      </c>
      <c r="N1532" s="99">
        <v>0</v>
      </c>
      <c r="O1532" s="98">
        <v>0</v>
      </c>
      <c r="P1532" s="99">
        <v>105</v>
      </c>
      <c r="Q1532" s="98">
        <v>6852.3</v>
      </c>
      <c r="R1532" s="96" t="s">
        <v>625</v>
      </c>
      <c r="S1532" s="96">
        <v>7414000005</v>
      </c>
      <c r="AA1532" s="129">
        <v>1018302</v>
      </c>
      <c r="AB1532" s="130">
        <v>2957355.92</v>
      </c>
      <c r="AC1532" s="130">
        <v>2957355.92</v>
      </c>
    </row>
    <row r="1533" spans="1:29" x14ac:dyDescent="0.25">
      <c r="A1533" t="str">
        <f t="shared" si="24"/>
        <v xml:space="preserve">541079VESTA *             </v>
      </c>
      <c r="B1533" s="96">
        <v>59181</v>
      </c>
      <c r="C1533" s="96" t="s">
        <v>836</v>
      </c>
      <c r="D1533" s="96" t="s">
        <v>597</v>
      </c>
      <c r="E1533" s="96" t="s">
        <v>623</v>
      </c>
      <c r="F1533" s="96" t="s">
        <v>624</v>
      </c>
      <c r="G1533" s="99">
        <v>4300</v>
      </c>
      <c r="H1533" s="97">
        <v>9.9999999999999995E-7</v>
      </c>
      <c r="I1533" s="98">
        <v>4.3E-3</v>
      </c>
      <c r="J1533" s="97">
        <v>100.07</v>
      </c>
      <c r="K1533" s="98">
        <v>-430300.99570000003</v>
      </c>
      <c r="L1533" s="99">
        <v>0</v>
      </c>
      <c r="M1533" s="98">
        <v>0</v>
      </c>
      <c r="N1533" s="99">
        <v>0</v>
      </c>
      <c r="O1533" s="98">
        <v>0</v>
      </c>
      <c r="P1533" s="99">
        <v>4300</v>
      </c>
      <c r="Q1533" s="98">
        <v>4.3E-3</v>
      </c>
      <c r="R1533" s="96" t="s">
        <v>625</v>
      </c>
      <c r="S1533" s="96">
        <v>7414000005</v>
      </c>
      <c r="AA1533" s="131" t="s">
        <v>366</v>
      </c>
      <c r="AB1533" s="130">
        <v>2957355.92</v>
      </c>
      <c r="AC1533" s="130">
        <v>2957355.92</v>
      </c>
    </row>
    <row r="1534" spans="1:29" x14ac:dyDescent="0.25">
      <c r="A1534" t="str">
        <f t="shared" si="24"/>
        <v xml:space="preserve">541079WALMEX *            </v>
      </c>
      <c r="B1534" s="96">
        <v>59181</v>
      </c>
      <c r="C1534" s="96" t="s">
        <v>836</v>
      </c>
      <c r="D1534" s="96" t="s">
        <v>389</v>
      </c>
      <c r="E1534" s="96" t="s">
        <v>623</v>
      </c>
      <c r="F1534" s="96" t="s">
        <v>624</v>
      </c>
      <c r="G1534" s="99">
        <v>103815</v>
      </c>
      <c r="H1534" s="97">
        <v>3.3967719999999999</v>
      </c>
      <c r="I1534" s="98">
        <v>352635.88517999998</v>
      </c>
      <c r="J1534" s="97">
        <v>3.3719921013341039</v>
      </c>
      <c r="K1534" s="98">
        <v>2572.5251800000001</v>
      </c>
      <c r="L1534" s="99">
        <v>0</v>
      </c>
      <c r="M1534" s="98">
        <v>0</v>
      </c>
      <c r="N1534" s="99">
        <v>0</v>
      </c>
      <c r="O1534" s="98">
        <v>0</v>
      </c>
      <c r="P1534" s="99">
        <v>103815</v>
      </c>
      <c r="Q1534" s="98">
        <v>352635.88517999998</v>
      </c>
      <c r="R1534" s="96" t="s">
        <v>625</v>
      </c>
      <c r="S1534" s="96">
        <v>7414000005</v>
      </c>
      <c r="AA1534" s="129">
        <v>142481</v>
      </c>
      <c r="AB1534" s="130">
        <v>1058388.8999999999</v>
      </c>
      <c r="AC1534" s="130">
        <v>1058388.8999999999</v>
      </c>
    </row>
    <row r="1535" spans="1:29" x14ac:dyDescent="0.25">
      <c r="A1535" t="str">
        <f t="shared" si="24"/>
        <v xml:space="preserve">59181CREYCB 07-2         </v>
      </c>
      <c r="B1535" s="96">
        <v>59181</v>
      </c>
      <c r="C1535" s="96" t="s">
        <v>836</v>
      </c>
      <c r="D1535" s="96" t="s">
        <v>405</v>
      </c>
      <c r="E1535" s="96" t="s">
        <v>623</v>
      </c>
      <c r="F1535" s="96" t="s">
        <v>624</v>
      </c>
      <c r="G1535" s="99">
        <v>1405059</v>
      </c>
      <c r="H1535" s="97">
        <v>3.6096119999999998</v>
      </c>
      <c r="I1535" s="98">
        <v>5071717.8271080004</v>
      </c>
      <c r="J1535" s="97">
        <v>2.9150258957097175</v>
      </c>
      <c r="K1535" s="98">
        <v>975934.45710799994</v>
      </c>
      <c r="L1535" s="99">
        <v>0</v>
      </c>
      <c r="M1535" s="98">
        <v>0</v>
      </c>
      <c r="N1535" s="99">
        <v>0</v>
      </c>
      <c r="O1535" s="98">
        <v>0</v>
      </c>
      <c r="P1535" s="99">
        <v>1405059</v>
      </c>
      <c r="Q1535" s="98">
        <v>5071717.8271080004</v>
      </c>
      <c r="R1535" s="96" t="s">
        <v>625</v>
      </c>
      <c r="S1535" s="96">
        <v>7414000005</v>
      </c>
      <c r="AA1535" s="131" t="s">
        <v>366</v>
      </c>
      <c r="AB1535" s="130">
        <v>1058388.8999999999</v>
      </c>
      <c r="AC1535" s="130">
        <v>1058388.8999999999</v>
      </c>
    </row>
    <row r="1536" spans="1:29" x14ac:dyDescent="0.25">
      <c r="A1536" t="str">
        <f t="shared" si="24"/>
        <v xml:space="preserve">59181STERGOB ED          </v>
      </c>
      <c r="B1536" s="96">
        <v>59181</v>
      </c>
      <c r="C1536" s="96" t="s">
        <v>836</v>
      </c>
      <c r="D1536" s="96" t="s">
        <v>407</v>
      </c>
      <c r="E1536" s="96" t="s">
        <v>623</v>
      </c>
      <c r="F1536" s="96" t="s">
        <v>624</v>
      </c>
      <c r="G1536" s="99">
        <v>595924</v>
      </c>
      <c r="H1536" s="97">
        <v>2.7668819999999998</v>
      </c>
      <c r="I1536" s="98">
        <v>1648851.388968</v>
      </c>
      <c r="J1536" s="97">
        <v>2.4074613709130697</v>
      </c>
      <c r="K1536" s="98">
        <v>214187.378968</v>
      </c>
      <c r="L1536" s="99">
        <v>0</v>
      </c>
      <c r="M1536" s="98">
        <v>0</v>
      </c>
      <c r="N1536" s="99">
        <v>0</v>
      </c>
      <c r="O1536" s="98">
        <v>0</v>
      </c>
      <c r="P1536" s="99">
        <v>595924</v>
      </c>
      <c r="Q1536" s="98">
        <v>1648851.388968</v>
      </c>
      <c r="R1536" s="96" t="s">
        <v>625</v>
      </c>
      <c r="S1536" s="96">
        <v>7414000005</v>
      </c>
      <c r="AA1536" s="129">
        <v>142482</v>
      </c>
      <c r="AB1536" s="130">
        <v>208796.14</v>
      </c>
      <c r="AC1536" s="130">
        <v>208796.14</v>
      </c>
    </row>
    <row r="1537" spans="1:29" x14ac:dyDescent="0.25">
      <c r="A1537" t="str">
        <f t="shared" si="24"/>
        <v xml:space="preserve">59181SVIVE35 ED          </v>
      </c>
      <c r="B1537" s="96">
        <v>64518</v>
      </c>
      <c r="C1537" s="96" t="s">
        <v>837</v>
      </c>
      <c r="D1537" s="96" t="s">
        <v>375</v>
      </c>
      <c r="E1537" s="96" t="s">
        <v>623</v>
      </c>
      <c r="F1537" s="96" t="s">
        <v>624</v>
      </c>
      <c r="G1537" s="99">
        <v>5910</v>
      </c>
      <c r="H1537" s="97">
        <v>98.730349000000004</v>
      </c>
      <c r="I1537" s="98">
        <v>583496.36259000003</v>
      </c>
      <c r="J1537" s="97">
        <v>104.81191507</v>
      </c>
      <c r="K1537" s="98">
        <v>-35942.055473699998</v>
      </c>
      <c r="L1537" s="99">
        <v>0</v>
      </c>
      <c r="M1537" s="98">
        <v>0</v>
      </c>
      <c r="N1537" s="99">
        <v>0</v>
      </c>
      <c r="O1537" s="98">
        <v>0</v>
      </c>
      <c r="P1537" s="99">
        <v>5910</v>
      </c>
      <c r="Q1537" s="98">
        <v>583496.36259000003</v>
      </c>
      <c r="R1537" s="96" t="s">
        <v>625</v>
      </c>
      <c r="S1537" s="96">
        <v>7414000005</v>
      </c>
      <c r="AA1537" s="131" t="s">
        <v>366</v>
      </c>
      <c r="AB1537" s="130">
        <v>208796.14</v>
      </c>
      <c r="AC1537" s="130">
        <v>208796.14</v>
      </c>
    </row>
    <row r="1538" spans="1:29" x14ac:dyDescent="0.25">
      <c r="A1538" t="str">
        <f t="shared" si="24"/>
        <v xml:space="preserve">59181SVIVE60 ED          </v>
      </c>
      <c r="B1538" s="96">
        <v>64518</v>
      </c>
      <c r="C1538" s="96" t="s">
        <v>837</v>
      </c>
      <c r="D1538" s="96" t="s">
        <v>376</v>
      </c>
      <c r="E1538" s="96" t="s">
        <v>623</v>
      </c>
      <c r="F1538" s="96" t="s">
        <v>624</v>
      </c>
      <c r="G1538" s="99">
        <v>1120</v>
      </c>
      <c r="H1538" s="97">
        <v>99.247497999999993</v>
      </c>
      <c r="I1538" s="98">
        <v>111157.19776</v>
      </c>
      <c r="J1538" s="97">
        <v>315.84649010082143</v>
      </c>
      <c r="K1538" s="98">
        <v>464905.26667292003</v>
      </c>
      <c r="L1538" s="99">
        <v>0</v>
      </c>
      <c r="M1538" s="98">
        <v>0</v>
      </c>
      <c r="N1538" s="99">
        <v>0</v>
      </c>
      <c r="O1538" s="98">
        <v>0</v>
      </c>
      <c r="P1538" s="99">
        <v>1120</v>
      </c>
      <c r="Q1538" s="98">
        <v>111157.19776</v>
      </c>
      <c r="R1538" s="96" t="s">
        <v>625</v>
      </c>
      <c r="S1538" s="96">
        <v>7414000005</v>
      </c>
      <c r="AA1538" s="129">
        <v>65502313952</v>
      </c>
      <c r="AB1538" s="130">
        <v>1667338100.6397631</v>
      </c>
      <c r="AC1538" s="130">
        <v>1667338100.6397631</v>
      </c>
    </row>
    <row r="1539" spans="1:29" x14ac:dyDescent="0.25">
      <c r="A1539" t="str">
        <f t="shared" si="24"/>
        <v xml:space="preserve">64518GOBFED 240905       </v>
      </c>
      <c r="B1539" s="96">
        <v>64518</v>
      </c>
      <c r="C1539" s="96" t="s">
        <v>837</v>
      </c>
      <c r="D1539" s="96" t="s">
        <v>377</v>
      </c>
      <c r="E1539" s="96" t="s">
        <v>623</v>
      </c>
      <c r="F1539" s="96" t="s">
        <v>624</v>
      </c>
      <c r="G1539" s="99">
        <v>10000</v>
      </c>
      <c r="H1539" s="97">
        <v>94.973146999999997</v>
      </c>
      <c r="I1539" s="98">
        <v>949731.47</v>
      </c>
      <c r="J1539" s="97">
        <v>89.268734649999999</v>
      </c>
      <c r="K1539" s="98">
        <v>57044.123500000002</v>
      </c>
      <c r="L1539" s="99">
        <v>0</v>
      </c>
      <c r="M1539" s="98">
        <v>0</v>
      </c>
      <c r="N1539" s="99">
        <v>0</v>
      </c>
      <c r="O1539" s="98">
        <v>0</v>
      </c>
      <c r="P1539" s="99">
        <v>10000</v>
      </c>
      <c r="Q1539" s="98">
        <v>949731.47</v>
      </c>
      <c r="R1539" s="96" t="s">
        <v>625</v>
      </c>
      <c r="S1539" s="96">
        <v>7414000005</v>
      </c>
      <c r="AA1539" s="131" t="s">
        <v>479</v>
      </c>
      <c r="AB1539" s="130">
        <v>1667338100.6397631</v>
      </c>
      <c r="AC1539" s="130">
        <v>1667338100.6397631</v>
      </c>
    </row>
    <row r="1540" spans="1:29" x14ac:dyDescent="0.25">
      <c r="A1540" t="str">
        <f t="shared" si="24"/>
        <v xml:space="preserve">64518GOBFED 241205       </v>
      </c>
      <c r="B1540" s="96">
        <v>64518</v>
      </c>
      <c r="C1540" s="96" t="s">
        <v>837</v>
      </c>
      <c r="D1540" s="96" t="s">
        <v>378</v>
      </c>
      <c r="E1540" s="96" t="s">
        <v>623</v>
      </c>
      <c r="F1540" s="96" t="s">
        <v>624</v>
      </c>
      <c r="G1540" s="99">
        <v>25555</v>
      </c>
      <c r="H1540" s="97">
        <v>91.911821000000003</v>
      </c>
      <c r="I1540" s="98">
        <v>2348806.5856550001</v>
      </c>
      <c r="J1540" s="97">
        <v>93.2088459</v>
      </c>
      <c r="K1540" s="98">
        <v>-33145.4713195</v>
      </c>
      <c r="L1540" s="99">
        <v>0</v>
      </c>
      <c r="M1540" s="98">
        <v>0</v>
      </c>
      <c r="N1540" s="99">
        <v>0</v>
      </c>
      <c r="O1540" s="98">
        <v>0</v>
      </c>
      <c r="P1540" s="99">
        <v>25555</v>
      </c>
      <c r="Q1540" s="98">
        <v>2348806.5856550001</v>
      </c>
      <c r="R1540" s="96" t="s">
        <v>625</v>
      </c>
      <c r="S1540" s="96">
        <v>7414000005</v>
      </c>
      <c r="AA1540" s="129">
        <v>65502425394</v>
      </c>
      <c r="AB1540" s="130">
        <v>104963120.889327</v>
      </c>
      <c r="AC1540" s="130">
        <v>104963120.889327</v>
      </c>
    </row>
    <row r="1541" spans="1:29" x14ac:dyDescent="0.25">
      <c r="A1541" t="str">
        <f t="shared" si="24"/>
        <v xml:space="preserve">64518GOBFED 250306       </v>
      </c>
      <c r="B1541" s="96">
        <v>64518</v>
      </c>
      <c r="C1541" s="96" t="s">
        <v>837</v>
      </c>
      <c r="D1541" s="96" t="s">
        <v>379</v>
      </c>
      <c r="E1541" s="96" t="s">
        <v>623</v>
      </c>
      <c r="F1541" s="96" t="s">
        <v>624</v>
      </c>
      <c r="G1541" s="99">
        <v>2010</v>
      </c>
      <c r="H1541" s="97">
        <v>88.698122999999995</v>
      </c>
      <c r="I1541" s="98">
        <v>178283.22722999999</v>
      </c>
      <c r="J1541" s="97">
        <v>90.900324080000004</v>
      </c>
      <c r="K1541" s="98">
        <v>-4426.4241708</v>
      </c>
      <c r="L1541" s="99">
        <v>0</v>
      </c>
      <c r="M1541" s="98">
        <v>0</v>
      </c>
      <c r="N1541" s="99">
        <v>0</v>
      </c>
      <c r="O1541" s="98">
        <v>0</v>
      </c>
      <c r="P1541" s="99">
        <v>2010</v>
      </c>
      <c r="Q1541" s="98">
        <v>178283.22722999999</v>
      </c>
      <c r="R1541" s="96" t="s">
        <v>625</v>
      </c>
      <c r="S1541" s="96">
        <v>7414000005</v>
      </c>
      <c r="AA1541" s="131" t="s">
        <v>480</v>
      </c>
      <c r="AB1541" s="130">
        <v>104963120.889327</v>
      </c>
      <c r="AC1541" s="130">
        <v>104963120.889327</v>
      </c>
    </row>
    <row r="1542" spans="1:29" x14ac:dyDescent="0.25">
      <c r="A1542" t="str">
        <f t="shared" si="24"/>
        <v xml:space="preserve">64518GOBFED 260305       </v>
      </c>
      <c r="B1542" s="96">
        <v>64518</v>
      </c>
      <c r="C1542" s="96" t="s">
        <v>837</v>
      </c>
      <c r="D1542" s="96" t="s">
        <v>380</v>
      </c>
      <c r="E1542" s="96" t="s">
        <v>623</v>
      </c>
      <c r="F1542" s="96" t="s">
        <v>624</v>
      </c>
      <c r="G1542" s="99">
        <v>20130</v>
      </c>
      <c r="H1542" s="97">
        <v>93.314192000000006</v>
      </c>
      <c r="I1542" s="98">
        <v>1878414.68496</v>
      </c>
      <c r="J1542" s="97">
        <v>94.420573836751117</v>
      </c>
      <c r="K1542" s="98">
        <v>-22271.466373800002</v>
      </c>
      <c r="L1542" s="99">
        <v>0</v>
      </c>
      <c r="M1542" s="98">
        <v>0</v>
      </c>
      <c r="N1542" s="99">
        <v>0</v>
      </c>
      <c r="O1542" s="98">
        <v>0</v>
      </c>
      <c r="P1542" s="99">
        <v>20130</v>
      </c>
      <c r="Q1542" s="98">
        <v>1878414.68496</v>
      </c>
      <c r="R1542" s="96" t="s">
        <v>625</v>
      </c>
      <c r="S1542" s="96">
        <v>7414000005</v>
      </c>
      <c r="AA1542" s="129">
        <v>65506131264</v>
      </c>
      <c r="AB1542" s="130">
        <v>37645102.188365996</v>
      </c>
      <c r="AC1542" s="130">
        <v>37645102.188365996</v>
      </c>
    </row>
    <row r="1543" spans="1:29" x14ac:dyDescent="0.25">
      <c r="A1543" t="str">
        <f t="shared" ref="A1543:A1606" si="25">B1541&amp;D1541</f>
        <v xml:space="preserve">64518GOBFED 270304       </v>
      </c>
      <c r="B1543" s="96">
        <v>64518</v>
      </c>
      <c r="C1543" s="96" t="s">
        <v>837</v>
      </c>
      <c r="D1543" s="96" t="s">
        <v>381</v>
      </c>
      <c r="E1543" s="96" t="s">
        <v>623</v>
      </c>
      <c r="F1543" s="96" t="s">
        <v>624</v>
      </c>
      <c r="G1543" s="99">
        <v>980</v>
      </c>
      <c r="H1543" s="97">
        <v>94.870157000000006</v>
      </c>
      <c r="I1543" s="98">
        <v>92972.753859999997</v>
      </c>
      <c r="J1543" s="97">
        <v>110.15461827</v>
      </c>
      <c r="K1543" s="98">
        <v>-14978.7720446</v>
      </c>
      <c r="L1543" s="99">
        <v>0</v>
      </c>
      <c r="M1543" s="98">
        <v>0</v>
      </c>
      <c r="N1543" s="99">
        <v>0</v>
      </c>
      <c r="O1543" s="98">
        <v>0</v>
      </c>
      <c r="P1543" s="99">
        <v>980</v>
      </c>
      <c r="Q1543" s="98">
        <v>92972.753859999997</v>
      </c>
      <c r="R1543" s="96" t="s">
        <v>625</v>
      </c>
      <c r="S1543" s="96">
        <v>7414000005</v>
      </c>
      <c r="AA1543" s="131" t="s">
        <v>366</v>
      </c>
      <c r="AB1543" s="130">
        <v>-4494.99</v>
      </c>
      <c r="AC1543" s="130">
        <v>-4494.99</v>
      </c>
    </row>
    <row r="1544" spans="1:29" x14ac:dyDescent="0.25">
      <c r="A1544" t="str">
        <f t="shared" si="25"/>
        <v xml:space="preserve">64518GOBFED 270603       </v>
      </c>
      <c r="B1544" s="96">
        <v>64518</v>
      </c>
      <c r="C1544" s="96" t="s">
        <v>837</v>
      </c>
      <c r="D1544" s="96" t="s">
        <v>382</v>
      </c>
      <c r="E1544" s="96" t="s">
        <v>623</v>
      </c>
      <c r="F1544" s="96" t="s">
        <v>624</v>
      </c>
      <c r="G1544" s="99">
        <v>15123</v>
      </c>
      <c r="H1544" s="97">
        <v>89.489464999999996</v>
      </c>
      <c r="I1544" s="98">
        <v>1353349.1791950001</v>
      </c>
      <c r="J1544" s="97">
        <v>83.461737027988491</v>
      </c>
      <c r="K1544" s="98">
        <v>91157.330120729996</v>
      </c>
      <c r="L1544" s="99">
        <v>0</v>
      </c>
      <c r="M1544" s="98">
        <v>0</v>
      </c>
      <c r="N1544" s="99">
        <v>0</v>
      </c>
      <c r="O1544" s="98">
        <v>0</v>
      </c>
      <c r="P1544" s="99">
        <v>15123</v>
      </c>
      <c r="Q1544" s="98">
        <v>1353349.1791950001</v>
      </c>
      <c r="R1544" s="96" t="s">
        <v>625</v>
      </c>
      <c r="S1544" s="96">
        <v>7414000005</v>
      </c>
      <c r="AA1544" s="131" t="s">
        <v>389</v>
      </c>
      <c r="AB1544" s="130">
        <v>44711.709836000002</v>
      </c>
      <c r="AC1544" s="130">
        <v>44711.709836000002</v>
      </c>
    </row>
    <row r="1545" spans="1:29" x14ac:dyDescent="0.25">
      <c r="A1545" t="str">
        <f t="shared" si="25"/>
        <v xml:space="preserve">64518GOBFED 290531       </v>
      </c>
      <c r="B1545" s="96">
        <v>64518</v>
      </c>
      <c r="C1545" s="96" t="s">
        <v>837</v>
      </c>
      <c r="D1545" s="96" t="s">
        <v>427</v>
      </c>
      <c r="E1545" s="96" t="s">
        <v>623</v>
      </c>
      <c r="F1545" s="96" t="s">
        <v>624</v>
      </c>
      <c r="G1545" s="99">
        <v>2735</v>
      </c>
      <c r="H1545" s="97">
        <v>86.469353999999996</v>
      </c>
      <c r="I1545" s="98">
        <v>236493.68319000001</v>
      </c>
      <c r="J1545" s="97">
        <v>113.4670266</v>
      </c>
      <c r="K1545" s="98">
        <v>-73838.634560999999</v>
      </c>
      <c r="L1545" s="99">
        <v>0</v>
      </c>
      <c r="M1545" s="98">
        <v>0</v>
      </c>
      <c r="N1545" s="99">
        <v>0</v>
      </c>
      <c r="O1545" s="98">
        <v>0</v>
      </c>
      <c r="P1545" s="99">
        <v>2735</v>
      </c>
      <c r="Q1545" s="98">
        <v>236493.68319000001</v>
      </c>
      <c r="R1545" s="96" t="s">
        <v>625</v>
      </c>
      <c r="S1545" s="96">
        <v>7414000005</v>
      </c>
      <c r="AA1545" s="131" t="s">
        <v>407</v>
      </c>
      <c r="AB1545" s="130">
        <v>148520.69199600001</v>
      </c>
      <c r="AC1545" s="130">
        <v>148520.69199600001</v>
      </c>
    </row>
    <row r="1546" spans="1:29" x14ac:dyDescent="0.25">
      <c r="A1546" t="str">
        <f t="shared" si="25"/>
        <v xml:space="preserve">64518GOBFED 310529       </v>
      </c>
      <c r="B1546" s="96">
        <v>64518</v>
      </c>
      <c r="C1546" s="96" t="s">
        <v>837</v>
      </c>
      <c r="D1546" s="96" t="s">
        <v>418</v>
      </c>
      <c r="E1546" s="96" t="s">
        <v>623</v>
      </c>
      <c r="F1546" s="96" t="s">
        <v>624</v>
      </c>
      <c r="G1546" s="99">
        <v>950</v>
      </c>
      <c r="H1546" s="97">
        <v>101.45096599999999</v>
      </c>
      <c r="I1546" s="98">
        <v>96378.417700000005</v>
      </c>
      <c r="J1546" s="97">
        <v>126.46131133</v>
      </c>
      <c r="K1546" s="98">
        <v>-23759.828063500001</v>
      </c>
      <c r="L1546" s="99">
        <v>0</v>
      </c>
      <c r="M1546" s="98">
        <v>0</v>
      </c>
      <c r="N1546" s="99">
        <v>0</v>
      </c>
      <c r="O1546" s="98">
        <v>0</v>
      </c>
      <c r="P1546" s="99">
        <v>950</v>
      </c>
      <c r="Q1546" s="98">
        <v>96378.417700000005</v>
      </c>
      <c r="R1546" s="96" t="s">
        <v>625</v>
      </c>
      <c r="S1546" s="96">
        <v>7414000005</v>
      </c>
      <c r="AA1546" s="131" t="s">
        <v>406</v>
      </c>
      <c r="AB1546" s="130">
        <v>8705662.3878899999</v>
      </c>
      <c r="AC1546" s="130">
        <v>8705662.3878899999</v>
      </c>
    </row>
    <row r="1547" spans="1:29" x14ac:dyDescent="0.25">
      <c r="A1547" t="str">
        <f t="shared" si="25"/>
        <v xml:space="preserve">64518GOBFED 341123       </v>
      </c>
      <c r="B1547" s="96">
        <v>64518</v>
      </c>
      <c r="C1547" s="96" t="s">
        <v>837</v>
      </c>
      <c r="D1547" s="96" t="s">
        <v>408</v>
      </c>
      <c r="E1547" s="96" t="s">
        <v>623</v>
      </c>
      <c r="F1547" s="96" t="s">
        <v>624</v>
      </c>
      <c r="G1547" s="99">
        <v>605</v>
      </c>
      <c r="H1547" s="97">
        <v>89.643172000000007</v>
      </c>
      <c r="I1547" s="98">
        <v>54234.119059999997</v>
      </c>
      <c r="J1547" s="97">
        <v>103.43579450999999</v>
      </c>
      <c r="K1547" s="98">
        <v>-8344.5366185500006</v>
      </c>
      <c r="L1547" s="99">
        <v>0</v>
      </c>
      <c r="M1547" s="98">
        <v>0</v>
      </c>
      <c r="N1547" s="99">
        <v>0</v>
      </c>
      <c r="O1547" s="98">
        <v>0</v>
      </c>
      <c r="P1547" s="99">
        <v>605</v>
      </c>
      <c r="Q1547" s="98">
        <v>54234.119059999997</v>
      </c>
      <c r="R1547" s="96" t="s">
        <v>625</v>
      </c>
      <c r="S1547" s="96">
        <v>7414000005</v>
      </c>
      <c r="AA1547" s="131" t="s">
        <v>404</v>
      </c>
      <c r="AB1547" s="130">
        <v>1999156.7630799999</v>
      </c>
      <c r="AC1547" s="130">
        <v>1999156.7630799999</v>
      </c>
    </row>
    <row r="1548" spans="1:29" x14ac:dyDescent="0.25">
      <c r="A1548" t="str">
        <f t="shared" si="25"/>
        <v xml:space="preserve">64518GOBFED 361120       </v>
      </c>
      <c r="B1548" s="96">
        <v>64518</v>
      </c>
      <c r="C1548" s="96" t="s">
        <v>837</v>
      </c>
      <c r="D1548" s="96" t="s">
        <v>384</v>
      </c>
      <c r="E1548" s="96" t="s">
        <v>623</v>
      </c>
      <c r="F1548" s="96" t="s">
        <v>624</v>
      </c>
      <c r="G1548" s="99">
        <v>1843</v>
      </c>
      <c r="H1548" s="97">
        <v>81.738860000000003</v>
      </c>
      <c r="I1548" s="98">
        <v>150644.71898000001</v>
      </c>
      <c r="J1548" s="97">
        <v>98.027098190000004</v>
      </c>
      <c r="K1548" s="98">
        <v>-30019.222984169999</v>
      </c>
      <c r="L1548" s="99">
        <v>0</v>
      </c>
      <c r="M1548" s="98">
        <v>0</v>
      </c>
      <c r="N1548" s="99">
        <v>0</v>
      </c>
      <c r="O1548" s="98">
        <v>0</v>
      </c>
      <c r="P1548" s="99">
        <v>1843</v>
      </c>
      <c r="Q1548" s="98">
        <v>150644.71898000001</v>
      </c>
      <c r="R1548" s="96" t="s">
        <v>625</v>
      </c>
      <c r="S1548" s="96">
        <v>7414000005</v>
      </c>
      <c r="AA1548" s="131" t="s">
        <v>405</v>
      </c>
      <c r="AB1548" s="130">
        <v>26751545.625564002</v>
      </c>
      <c r="AC1548" s="130">
        <v>26751545.625564002</v>
      </c>
    </row>
    <row r="1549" spans="1:29" x14ac:dyDescent="0.25">
      <c r="A1549" t="str">
        <f t="shared" si="25"/>
        <v xml:space="preserve">64518GOBFED 381118       </v>
      </c>
      <c r="B1549" s="96">
        <v>64518</v>
      </c>
      <c r="C1549" s="96" t="s">
        <v>837</v>
      </c>
      <c r="D1549" s="96" t="s">
        <v>385</v>
      </c>
      <c r="E1549" s="96" t="s">
        <v>623</v>
      </c>
      <c r="F1549" s="96" t="s">
        <v>624</v>
      </c>
      <c r="G1549" s="99">
        <v>85</v>
      </c>
      <c r="H1549" s="97">
        <v>83.200761</v>
      </c>
      <c r="I1549" s="98">
        <v>7072.0646850000003</v>
      </c>
      <c r="J1549" s="97">
        <v>102.56996688</v>
      </c>
      <c r="K1549" s="98">
        <v>-1646.3824998</v>
      </c>
      <c r="L1549" s="99">
        <v>0</v>
      </c>
      <c r="M1549" s="98">
        <v>0</v>
      </c>
      <c r="N1549" s="99">
        <v>0</v>
      </c>
      <c r="O1549" s="98">
        <v>0</v>
      </c>
      <c r="P1549" s="99">
        <v>85</v>
      </c>
      <c r="Q1549" s="98">
        <v>7072.0646850000003</v>
      </c>
      <c r="R1549" s="96" t="s">
        <v>625</v>
      </c>
      <c r="S1549" s="96">
        <v>7414000005</v>
      </c>
      <c r="AA1549" s="129">
        <v>2000941</v>
      </c>
      <c r="AB1549" s="130">
        <v>842226568.90824604</v>
      </c>
      <c r="AC1549" s="130">
        <v>685946161.56824601</v>
      </c>
    </row>
    <row r="1550" spans="1:29" x14ac:dyDescent="0.25">
      <c r="A1550" t="str">
        <f t="shared" si="25"/>
        <v xml:space="preserve">64518GOBFED 421113       </v>
      </c>
      <c r="B1550" s="96">
        <v>64518</v>
      </c>
      <c r="C1550" s="96" t="s">
        <v>837</v>
      </c>
      <c r="D1550" s="96" t="s">
        <v>429</v>
      </c>
      <c r="E1550" s="96" t="s">
        <v>623</v>
      </c>
      <c r="F1550" s="96" t="s">
        <v>624</v>
      </c>
      <c r="G1550" s="99">
        <v>10000</v>
      </c>
      <c r="H1550" s="97">
        <v>98.007834000000003</v>
      </c>
      <c r="I1550" s="98">
        <v>980078.34</v>
      </c>
      <c r="J1550" s="97">
        <v>86.248249549999997</v>
      </c>
      <c r="K1550" s="98">
        <v>117595.84450000001</v>
      </c>
      <c r="L1550" s="99">
        <v>0</v>
      </c>
      <c r="M1550" s="98">
        <v>0</v>
      </c>
      <c r="N1550" s="99">
        <v>0</v>
      </c>
      <c r="O1550" s="98">
        <v>0</v>
      </c>
      <c r="P1550" s="99">
        <v>10000</v>
      </c>
      <c r="Q1550" s="98">
        <v>980078.34</v>
      </c>
      <c r="R1550" s="96" t="s">
        <v>625</v>
      </c>
      <c r="S1550" s="96">
        <v>7414000005</v>
      </c>
      <c r="AA1550" s="131" t="s">
        <v>380</v>
      </c>
      <c r="AB1550" s="130">
        <v>163460947.00999999</v>
      </c>
      <c r="AC1550" s="130">
        <v>0</v>
      </c>
    </row>
    <row r="1551" spans="1:29" x14ac:dyDescent="0.25">
      <c r="A1551" t="str">
        <f t="shared" si="25"/>
        <v xml:space="preserve">64518GOBFED 471107       </v>
      </c>
      <c r="B1551" s="96">
        <v>64518</v>
      </c>
      <c r="C1551" s="96" t="s">
        <v>837</v>
      </c>
      <c r="D1551" s="96" t="s">
        <v>389</v>
      </c>
      <c r="E1551" s="96" t="s">
        <v>623</v>
      </c>
      <c r="F1551" s="96" t="s">
        <v>624</v>
      </c>
      <c r="G1551" s="99">
        <v>15736059</v>
      </c>
      <c r="H1551" s="97">
        <v>3.3967719999999999</v>
      </c>
      <c r="I1551" s="98">
        <v>53451804.601548001</v>
      </c>
      <c r="J1551" s="97">
        <v>2.8005271173678237</v>
      </c>
      <c r="K1551" s="98">
        <v>9382544.6515480001</v>
      </c>
      <c r="L1551" s="99">
        <v>0</v>
      </c>
      <c r="M1551" s="98">
        <v>0</v>
      </c>
      <c r="N1551" s="99">
        <v>0</v>
      </c>
      <c r="O1551" s="98">
        <v>0</v>
      </c>
      <c r="P1551" s="99">
        <v>15736059</v>
      </c>
      <c r="Q1551" s="98">
        <v>53451804.601548001</v>
      </c>
      <c r="R1551" s="96" t="s">
        <v>625</v>
      </c>
      <c r="S1551" s="96">
        <v>7414000005</v>
      </c>
      <c r="AA1551" s="131" t="s">
        <v>382</v>
      </c>
      <c r="AB1551" s="130">
        <v>159681332.153355</v>
      </c>
      <c r="AC1551" s="130">
        <v>2411472.613355</v>
      </c>
    </row>
    <row r="1552" spans="1:29" x14ac:dyDescent="0.25">
      <c r="A1552" t="str">
        <f t="shared" si="25"/>
        <v xml:space="preserve">64518PEMEX 13-2          </v>
      </c>
      <c r="B1552" s="96">
        <v>64518</v>
      </c>
      <c r="C1552" s="96" t="s">
        <v>837</v>
      </c>
      <c r="D1552" s="96" t="s">
        <v>482</v>
      </c>
      <c r="E1552" s="96" t="s">
        <v>623</v>
      </c>
      <c r="F1552" s="96" t="s">
        <v>624</v>
      </c>
      <c r="G1552" s="99">
        <v>4763003</v>
      </c>
      <c r="H1552" s="97">
        <v>2.7842250000000002</v>
      </c>
      <c r="I1552" s="98">
        <v>13261272.027674999</v>
      </c>
      <c r="J1552" s="97">
        <v>1.4806143519120185</v>
      </c>
      <c r="K1552" s="98">
        <v>6209101.4276750004</v>
      </c>
      <c r="L1552" s="99">
        <v>0</v>
      </c>
      <c r="M1552" s="98">
        <v>0</v>
      </c>
      <c r="N1552" s="99">
        <v>0</v>
      </c>
      <c r="O1552" s="98">
        <v>0</v>
      </c>
      <c r="P1552" s="99">
        <v>4763003</v>
      </c>
      <c r="Q1552" s="98">
        <v>13261272.027674999</v>
      </c>
      <c r="R1552" s="96" t="s">
        <v>625</v>
      </c>
      <c r="S1552" s="96">
        <v>7414000005</v>
      </c>
      <c r="AA1552" s="131" t="s">
        <v>408</v>
      </c>
      <c r="AB1552" s="130">
        <v>167474861.93000001</v>
      </c>
      <c r="AC1552" s="130">
        <v>8964317.1999999993</v>
      </c>
    </row>
    <row r="1553" spans="1:29" x14ac:dyDescent="0.25">
      <c r="A1553" t="str">
        <f t="shared" si="25"/>
        <v xml:space="preserve">64518STERGOB ED          </v>
      </c>
      <c r="B1553" s="96">
        <v>64518</v>
      </c>
      <c r="C1553" s="96" t="s">
        <v>837</v>
      </c>
      <c r="D1553" s="96" t="s">
        <v>466</v>
      </c>
      <c r="E1553" s="96" t="s">
        <v>623</v>
      </c>
      <c r="F1553" s="96" t="s">
        <v>624</v>
      </c>
      <c r="G1553" s="99">
        <v>564</v>
      </c>
      <c r="H1553" s="97">
        <v>256.05011500000001</v>
      </c>
      <c r="I1553" s="98">
        <v>144412.26486</v>
      </c>
      <c r="J1553" s="97">
        <v>487.32003911999999</v>
      </c>
      <c r="K1553" s="98">
        <v>-130436.23720367999</v>
      </c>
      <c r="L1553" s="99">
        <v>0</v>
      </c>
      <c r="M1553" s="98">
        <v>0</v>
      </c>
      <c r="N1553" s="99">
        <v>0</v>
      </c>
      <c r="O1553" s="98">
        <v>0</v>
      </c>
      <c r="P1553" s="99">
        <v>564</v>
      </c>
      <c r="Q1553" s="98">
        <v>144412.26486</v>
      </c>
      <c r="R1553" s="96" t="s">
        <v>625</v>
      </c>
      <c r="S1553" s="96">
        <v>7414000005</v>
      </c>
      <c r="AA1553" s="131" t="s">
        <v>384</v>
      </c>
      <c r="AB1553" s="130">
        <v>-156475.29243999999</v>
      </c>
      <c r="AC1553" s="130">
        <v>4254180.70756</v>
      </c>
    </row>
    <row r="1554" spans="1:29" x14ac:dyDescent="0.25">
      <c r="A1554" t="str">
        <f t="shared" si="25"/>
        <v xml:space="preserve">64518SVIVE60 C3          </v>
      </c>
      <c r="B1554" s="96">
        <v>64518</v>
      </c>
      <c r="C1554" s="96" t="s">
        <v>837</v>
      </c>
      <c r="D1554" s="96" t="s">
        <v>391</v>
      </c>
      <c r="E1554" s="96" t="s">
        <v>623</v>
      </c>
      <c r="F1554" s="96" t="s">
        <v>624</v>
      </c>
      <c r="G1554" s="99">
        <v>1840</v>
      </c>
      <c r="H1554" s="97">
        <v>775.69178699999998</v>
      </c>
      <c r="I1554" s="98">
        <v>1427272.8880799999</v>
      </c>
      <c r="J1554" s="97">
        <v>619.14773060902178</v>
      </c>
      <c r="K1554" s="98">
        <v>288041.06375939999</v>
      </c>
      <c r="L1554" s="99">
        <v>0</v>
      </c>
      <c r="M1554" s="98">
        <v>0</v>
      </c>
      <c r="N1554" s="99">
        <v>0</v>
      </c>
      <c r="O1554" s="98">
        <v>0</v>
      </c>
      <c r="P1554" s="99">
        <v>1840</v>
      </c>
      <c r="Q1554" s="98">
        <v>1427272.8880799999</v>
      </c>
      <c r="R1554" s="96" t="s">
        <v>625</v>
      </c>
      <c r="S1554" s="96">
        <v>7414000005</v>
      </c>
      <c r="AA1554" s="131" t="s">
        <v>389</v>
      </c>
      <c r="AB1554" s="130">
        <v>146418268.06941199</v>
      </c>
      <c r="AC1554" s="130">
        <v>146418268.06941199</v>
      </c>
    </row>
    <row r="1555" spans="1:29" x14ac:dyDescent="0.25">
      <c r="A1555" t="str">
        <f t="shared" si="25"/>
        <v xml:space="preserve">64518TFOVICB 15U         </v>
      </c>
      <c r="B1555" s="96">
        <v>64518</v>
      </c>
      <c r="C1555" s="96" t="s">
        <v>837</v>
      </c>
      <c r="D1555" s="96" t="s">
        <v>392</v>
      </c>
      <c r="E1555" s="96" t="s">
        <v>623</v>
      </c>
      <c r="F1555" s="96" t="s">
        <v>624</v>
      </c>
      <c r="G1555" s="99">
        <v>1540</v>
      </c>
      <c r="H1555" s="97">
        <v>747.17843200000004</v>
      </c>
      <c r="I1555" s="98">
        <v>1150654.78528</v>
      </c>
      <c r="J1555" s="97">
        <v>712.00273322876626</v>
      </c>
      <c r="K1555" s="98">
        <v>54170.576107699999</v>
      </c>
      <c r="L1555" s="99">
        <v>0</v>
      </c>
      <c r="M1555" s="98">
        <v>0</v>
      </c>
      <c r="N1555" s="99">
        <v>0</v>
      </c>
      <c r="O1555" s="98">
        <v>0</v>
      </c>
      <c r="P1555" s="99">
        <v>1540</v>
      </c>
      <c r="Q1555" s="98">
        <v>1150654.78528</v>
      </c>
      <c r="R1555" s="96" t="s">
        <v>625</v>
      </c>
      <c r="S1555" s="96">
        <v>7414000005</v>
      </c>
      <c r="AA1555" s="131" t="s">
        <v>391</v>
      </c>
      <c r="AB1555" s="130">
        <v>-22351.205817999999</v>
      </c>
      <c r="AC1555" s="130">
        <v>1230247.1741820001</v>
      </c>
    </row>
    <row r="1556" spans="1:29" x14ac:dyDescent="0.25">
      <c r="A1556" t="str">
        <f t="shared" si="25"/>
        <v xml:space="preserve">64518UDIBONO 251204      </v>
      </c>
      <c r="B1556" s="96">
        <v>64518</v>
      </c>
      <c r="C1556" s="96" t="s">
        <v>837</v>
      </c>
      <c r="D1556" s="96" t="s">
        <v>393</v>
      </c>
      <c r="E1556" s="96" t="s">
        <v>623</v>
      </c>
      <c r="F1556" s="96" t="s">
        <v>624</v>
      </c>
      <c r="G1556" s="99">
        <v>2320</v>
      </c>
      <c r="H1556" s="97">
        <v>765.92388300000005</v>
      </c>
      <c r="I1556" s="98">
        <v>1776943.4085599999</v>
      </c>
      <c r="J1556" s="97">
        <v>608.64914745525857</v>
      </c>
      <c r="K1556" s="98">
        <v>364877.38646379998</v>
      </c>
      <c r="L1556" s="99">
        <v>0</v>
      </c>
      <c r="M1556" s="98">
        <v>0</v>
      </c>
      <c r="N1556" s="99">
        <v>0</v>
      </c>
      <c r="O1556" s="98">
        <v>0</v>
      </c>
      <c r="P1556" s="99">
        <v>2320</v>
      </c>
      <c r="Q1556" s="98">
        <v>1776943.4085599999</v>
      </c>
      <c r="R1556" s="96" t="s">
        <v>625</v>
      </c>
      <c r="S1556" s="96">
        <v>7414000005</v>
      </c>
      <c r="AA1556" s="131" t="s">
        <v>395</v>
      </c>
      <c r="AB1556" s="130">
        <v>-106000.308815</v>
      </c>
      <c r="AC1556" s="130">
        <v>6886006.331185</v>
      </c>
    </row>
    <row r="1557" spans="1:29" x14ac:dyDescent="0.25">
      <c r="A1557" t="str">
        <f t="shared" si="25"/>
        <v xml:space="preserve">64518UDIBONO 261203      </v>
      </c>
      <c r="B1557" s="96">
        <v>64518</v>
      </c>
      <c r="C1557" s="96" t="s">
        <v>837</v>
      </c>
      <c r="D1557" s="96" t="s">
        <v>394</v>
      </c>
      <c r="E1557" s="96" t="s">
        <v>623</v>
      </c>
      <c r="F1557" s="96" t="s">
        <v>624</v>
      </c>
      <c r="G1557" s="99">
        <v>570</v>
      </c>
      <c r="H1557" s="97">
        <v>684.88915799999995</v>
      </c>
      <c r="I1557" s="98">
        <v>390386.82006</v>
      </c>
      <c r="J1557" s="97">
        <v>666.02637400000003</v>
      </c>
      <c r="K1557" s="98">
        <v>10751.78688</v>
      </c>
      <c r="L1557" s="99">
        <v>0</v>
      </c>
      <c r="M1557" s="98">
        <v>0</v>
      </c>
      <c r="N1557" s="99">
        <v>0</v>
      </c>
      <c r="O1557" s="98">
        <v>0</v>
      </c>
      <c r="P1557" s="99">
        <v>570</v>
      </c>
      <c r="Q1557" s="98">
        <v>390386.82006</v>
      </c>
      <c r="R1557" s="96" t="s">
        <v>625</v>
      </c>
      <c r="S1557" s="96">
        <v>7414000005</v>
      </c>
      <c r="AA1557" s="131" t="s">
        <v>396</v>
      </c>
      <c r="AB1557" s="130">
        <v>-119003.73368</v>
      </c>
      <c r="AC1557" s="130">
        <v>8145360.2963199997</v>
      </c>
    </row>
    <row r="1558" spans="1:29" x14ac:dyDescent="0.25">
      <c r="A1558" t="str">
        <f t="shared" si="25"/>
        <v xml:space="preserve">64518UDIBONO 281130      </v>
      </c>
      <c r="B1558" s="96">
        <v>64518</v>
      </c>
      <c r="C1558" s="96" t="s">
        <v>837</v>
      </c>
      <c r="D1558" s="96" t="s">
        <v>395</v>
      </c>
      <c r="E1558" s="96" t="s">
        <v>623</v>
      </c>
      <c r="F1558" s="96" t="s">
        <v>624</v>
      </c>
      <c r="G1558" s="99">
        <v>408</v>
      </c>
      <c r="H1558" s="97">
        <v>772.926965</v>
      </c>
      <c r="I1558" s="98">
        <v>315354.20172000001</v>
      </c>
      <c r="J1558" s="97">
        <v>586.09956034000004</v>
      </c>
      <c r="K1558" s="98">
        <v>76225.581101279997</v>
      </c>
      <c r="L1558" s="99">
        <v>0</v>
      </c>
      <c r="M1558" s="98">
        <v>0</v>
      </c>
      <c r="N1558" s="99">
        <v>0</v>
      </c>
      <c r="O1558" s="98">
        <v>0</v>
      </c>
      <c r="P1558" s="99">
        <v>408</v>
      </c>
      <c r="Q1558" s="98">
        <v>315354.20172000001</v>
      </c>
      <c r="R1558" s="96" t="s">
        <v>625</v>
      </c>
      <c r="S1558" s="96">
        <v>7414000005</v>
      </c>
      <c r="AA1558" s="131" t="s">
        <v>398</v>
      </c>
      <c r="AB1558" s="130">
        <v>-84652.249909999999</v>
      </c>
      <c r="AC1558" s="130">
        <v>5313179.3600899996</v>
      </c>
    </row>
    <row r="1559" spans="1:29" x14ac:dyDescent="0.25">
      <c r="A1559" t="str">
        <f t="shared" si="25"/>
        <v xml:space="preserve">64518UDIBONO 311127      </v>
      </c>
      <c r="B1559" s="96">
        <v>64518</v>
      </c>
      <c r="C1559" s="96" t="s">
        <v>837</v>
      </c>
      <c r="D1559" s="96" t="s">
        <v>396</v>
      </c>
      <c r="E1559" s="96" t="s">
        <v>623</v>
      </c>
      <c r="F1559" s="96" t="s">
        <v>624</v>
      </c>
      <c r="G1559" s="99">
        <v>0</v>
      </c>
      <c r="H1559" s="97">
        <v>0</v>
      </c>
      <c r="I1559" s="98">
        <v>0</v>
      </c>
      <c r="J1559" s="97">
        <v>0</v>
      </c>
      <c r="K1559" s="98">
        <v>0</v>
      </c>
      <c r="L1559" s="99">
        <v>0</v>
      </c>
      <c r="M1559" s="98">
        <v>0</v>
      </c>
      <c r="N1559" s="99">
        <v>0</v>
      </c>
      <c r="O1559" s="98">
        <v>0</v>
      </c>
      <c r="P1559" s="99">
        <v>0</v>
      </c>
      <c r="Q1559" s="98">
        <v>0</v>
      </c>
      <c r="R1559" s="96" t="s">
        <v>625</v>
      </c>
      <c r="S1559" s="96">
        <v>7414000005</v>
      </c>
      <c r="AA1559" s="131" t="s">
        <v>357</v>
      </c>
      <c r="AB1559" s="130">
        <v>-40065.24</v>
      </c>
      <c r="AC1559" s="130">
        <v>8819872</v>
      </c>
    </row>
    <row r="1560" spans="1:29" x14ac:dyDescent="0.25">
      <c r="A1560" t="str">
        <f t="shared" si="25"/>
        <v xml:space="preserve">64518UDIBONO 351122      </v>
      </c>
      <c r="B1560" s="96">
        <v>64518</v>
      </c>
      <c r="C1560" s="96" t="s">
        <v>837</v>
      </c>
      <c r="D1560" s="96" t="s">
        <v>397</v>
      </c>
      <c r="E1560" s="96" t="s">
        <v>623</v>
      </c>
      <c r="F1560" s="96" t="s">
        <v>624</v>
      </c>
      <c r="G1560" s="99">
        <v>2867</v>
      </c>
      <c r="H1560" s="97">
        <v>635.96311900000001</v>
      </c>
      <c r="I1560" s="98">
        <v>1823306.262173</v>
      </c>
      <c r="J1560" s="97">
        <v>647.93802047999998</v>
      </c>
      <c r="K1560" s="98">
        <v>-34332.042543160002</v>
      </c>
      <c r="L1560" s="99">
        <v>0</v>
      </c>
      <c r="M1560" s="98">
        <v>0</v>
      </c>
      <c r="N1560" s="99">
        <v>0</v>
      </c>
      <c r="O1560" s="98">
        <v>0</v>
      </c>
      <c r="P1560" s="99">
        <v>2867</v>
      </c>
      <c r="Q1560" s="98">
        <v>1823306.262173</v>
      </c>
      <c r="R1560" s="96" t="s">
        <v>625</v>
      </c>
      <c r="S1560" s="96">
        <v>7414000005</v>
      </c>
      <c r="AA1560" s="131" t="s">
        <v>506</v>
      </c>
      <c r="AB1560" s="130">
        <v>-2736.78</v>
      </c>
      <c r="AC1560" s="130">
        <v>6081504</v>
      </c>
    </row>
    <row r="1561" spans="1:29" x14ac:dyDescent="0.25">
      <c r="A1561" t="str">
        <f t="shared" si="25"/>
        <v xml:space="preserve">64518UDIBONO 401115      </v>
      </c>
      <c r="B1561" s="96">
        <v>64518</v>
      </c>
      <c r="C1561" s="96" t="s">
        <v>837</v>
      </c>
      <c r="D1561" s="96" t="s">
        <v>398</v>
      </c>
      <c r="E1561" s="96" t="s">
        <v>623</v>
      </c>
      <c r="F1561" s="96" t="s">
        <v>624</v>
      </c>
      <c r="G1561" s="99">
        <v>872</v>
      </c>
      <c r="H1561" s="97">
        <v>709.36974099999998</v>
      </c>
      <c r="I1561" s="98">
        <v>618570.41415199998</v>
      </c>
      <c r="J1561" s="97">
        <v>653.27192515000002</v>
      </c>
      <c r="K1561" s="98">
        <v>48917.295421199997</v>
      </c>
      <c r="L1561" s="99">
        <v>0</v>
      </c>
      <c r="M1561" s="98">
        <v>0</v>
      </c>
      <c r="N1561" s="99">
        <v>0</v>
      </c>
      <c r="O1561" s="98">
        <v>0</v>
      </c>
      <c r="P1561" s="99">
        <v>872</v>
      </c>
      <c r="Q1561" s="98">
        <v>618570.41415199998</v>
      </c>
      <c r="R1561" s="96" t="s">
        <v>625</v>
      </c>
      <c r="S1561" s="96">
        <v>7414000005</v>
      </c>
      <c r="AA1561" s="131" t="s">
        <v>359</v>
      </c>
      <c r="AB1561" s="130">
        <v>3018139.99</v>
      </c>
      <c r="AC1561" s="130">
        <v>6375853</v>
      </c>
    </row>
    <row r="1562" spans="1:29" x14ac:dyDescent="0.25">
      <c r="A1562" t="str">
        <f t="shared" si="25"/>
        <v xml:space="preserve">64518UDIBONO 431112      </v>
      </c>
      <c r="B1562" s="96">
        <v>64518</v>
      </c>
      <c r="C1562" s="96" t="s">
        <v>837</v>
      </c>
      <c r="D1562" s="96" t="s">
        <v>399</v>
      </c>
      <c r="E1562" s="96" t="s">
        <v>623</v>
      </c>
      <c r="F1562" s="96" t="s">
        <v>624</v>
      </c>
      <c r="G1562" s="99">
        <v>3237</v>
      </c>
      <c r="H1562" s="97">
        <v>694.41118700000004</v>
      </c>
      <c r="I1562" s="98">
        <v>2247809.012319</v>
      </c>
      <c r="J1562" s="97">
        <v>726.98370775236947</v>
      </c>
      <c r="K1562" s="98">
        <v>-105437.24967542</v>
      </c>
      <c r="L1562" s="99">
        <v>0</v>
      </c>
      <c r="M1562" s="98">
        <v>0</v>
      </c>
      <c r="N1562" s="99">
        <v>0</v>
      </c>
      <c r="O1562" s="98">
        <v>0</v>
      </c>
      <c r="P1562" s="99">
        <v>3237</v>
      </c>
      <c r="Q1562" s="98">
        <v>2247809.012319</v>
      </c>
      <c r="R1562" s="96" t="s">
        <v>625</v>
      </c>
      <c r="S1562" s="96">
        <v>7414000005</v>
      </c>
      <c r="AA1562" s="131" t="s">
        <v>551</v>
      </c>
      <c r="AB1562" s="130">
        <v>-111649.95</v>
      </c>
      <c r="AC1562" s="130">
        <v>10239255</v>
      </c>
    </row>
    <row r="1563" spans="1:29" x14ac:dyDescent="0.25">
      <c r="A1563" t="str">
        <f t="shared" si="25"/>
        <v xml:space="preserve">64518UDIBONO 461108      </v>
      </c>
      <c r="B1563" s="96">
        <v>65723</v>
      </c>
      <c r="C1563" s="96" t="s">
        <v>838</v>
      </c>
      <c r="D1563" s="96" t="s">
        <v>598</v>
      </c>
      <c r="E1563" s="96" t="s">
        <v>623</v>
      </c>
      <c r="F1563" s="96" t="s">
        <v>624</v>
      </c>
      <c r="G1563" s="99">
        <v>0</v>
      </c>
      <c r="H1563" s="97">
        <v>0</v>
      </c>
      <c r="I1563" s="98">
        <v>0</v>
      </c>
      <c r="J1563" s="97">
        <v>0</v>
      </c>
      <c r="K1563" s="98">
        <v>0</v>
      </c>
      <c r="L1563" s="99">
        <v>0</v>
      </c>
      <c r="M1563" s="98">
        <v>0</v>
      </c>
      <c r="N1563" s="99">
        <v>0</v>
      </c>
      <c r="O1563" s="98">
        <v>0</v>
      </c>
      <c r="P1563" s="99">
        <v>0</v>
      </c>
      <c r="Q1563" s="98">
        <v>0</v>
      </c>
      <c r="R1563" s="96" t="s">
        <v>625</v>
      </c>
      <c r="S1563" s="96">
        <v>7414000005</v>
      </c>
      <c r="AA1563" s="131" t="s">
        <v>361</v>
      </c>
      <c r="AB1563" s="130">
        <v>-36565.03</v>
      </c>
      <c r="AC1563" s="130">
        <v>6152055</v>
      </c>
    </row>
    <row r="1564" spans="1:29" x14ac:dyDescent="0.25">
      <c r="A1564" t="str">
        <f t="shared" si="25"/>
        <v xml:space="preserve">64518UDIBONO 501103      </v>
      </c>
      <c r="B1564" s="96">
        <v>65723</v>
      </c>
      <c r="C1564" s="96" t="s">
        <v>838</v>
      </c>
      <c r="D1564" s="96" t="s">
        <v>376</v>
      </c>
      <c r="E1564" s="96" t="s">
        <v>623</v>
      </c>
      <c r="F1564" s="96" t="s">
        <v>624</v>
      </c>
      <c r="G1564" s="99">
        <v>0</v>
      </c>
      <c r="H1564" s="97">
        <v>0</v>
      </c>
      <c r="I1564" s="98">
        <v>0</v>
      </c>
      <c r="J1564" s="97">
        <v>0</v>
      </c>
      <c r="K1564" s="98">
        <v>0</v>
      </c>
      <c r="L1564" s="99">
        <v>0</v>
      </c>
      <c r="M1564" s="98">
        <v>0</v>
      </c>
      <c r="N1564" s="99">
        <v>0</v>
      </c>
      <c r="O1564" s="98">
        <v>0</v>
      </c>
      <c r="P1564" s="99">
        <v>0</v>
      </c>
      <c r="Q1564" s="98">
        <v>0</v>
      </c>
      <c r="R1564" s="96" t="s">
        <v>625</v>
      </c>
      <c r="S1564" s="96">
        <v>7414000005</v>
      </c>
      <c r="AA1564" s="131" t="s">
        <v>362</v>
      </c>
      <c r="AB1564" s="130">
        <v>-56574.879999999997</v>
      </c>
      <c r="AC1564" s="130">
        <v>20104990</v>
      </c>
    </row>
    <row r="1565" spans="1:29" x14ac:dyDescent="0.25">
      <c r="A1565" t="str">
        <f t="shared" si="25"/>
        <v xml:space="preserve">65723FOVISCB 19-2U       </v>
      </c>
      <c r="B1565" s="96">
        <v>65723</v>
      </c>
      <c r="C1565" s="96" t="s">
        <v>838</v>
      </c>
      <c r="D1565" s="96" t="s">
        <v>382</v>
      </c>
      <c r="E1565" s="96" t="s">
        <v>623</v>
      </c>
      <c r="F1565" s="96" t="s">
        <v>624</v>
      </c>
      <c r="G1565" s="99">
        <v>0</v>
      </c>
      <c r="H1565" s="97">
        <v>0</v>
      </c>
      <c r="I1565" s="98">
        <v>0</v>
      </c>
      <c r="J1565" s="97">
        <v>0</v>
      </c>
      <c r="K1565" s="98">
        <v>0</v>
      </c>
      <c r="L1565" s="99">
        <v>0</v>
      </c>
      <c r="M1565" s="98">
        <v>0</v>
      </c>
      <c r="N1565" s="99">
        <v>0</v>
      </c>
      <c r="O1565" s="98">
        <v>0</v>
      </c>
      <c r="P1565" s="99">
        <v>0</v>
      </c>
      <c r="Q1565" s="98">
        <v>0</v>
      </c>
      <c r="R1565" s="96" t="s">
        <v>625</v>
      </c>
      <c r="S1565" s="96">
        <v>7414000005</v>
      </c>
      <c r="AA1565" s="131" t="s">
        <v>369</v>
      </c>
      <c r="AB1565" s="130">
        <v>-24033.87</v>
      </c>
      <c r="AC1565" s="130">
        <v>32210550</v>
      </c>
    </row>
    <row r="1566" spans="1:29" x14ac:dyDescent="0.25">
      <c r="A1566" t="str">
        <f t="shared" si="25"/>
        <v xml:space="preserve">65723GOBFED 241205       </v>
      </c>
      <c r="B1566" s="96">
        <v>65723</v>
      </c>
      <c r="C1566" s="96" t="s">
        <v>838</v>
      </c>
      <c r="D1566" s="96" t="s">
        <v>396</v>
      </c>
      <c r="E1566" s="96" t="s">
        <v>623</v>
      </c>
      <c r="F1566" s="96" t="s">
        <v>624</v>
      </c>
      <c r="G1566" s="99">
        <v>0</v>
      </c>
      <c r="H1566" s="97">
        <v>0</v>
      </c>
      <c r="I1566" s="98">
        <v>0</v>
      </c>
      <c r="J1566" s="97">
        <v>0</v>
      </c>
      <c r="K1566" s="98">
        <v>0</v>
      </c>
      <c r="L1566" s="99">
        <v>0</v>
      </c>
      <c r="M1566" s="98">
        <v>0</v>
      </c>
      <c r="N1566" s="99">
        <v>0</v>
      </c>
      <c r="O1566" s="98">
        <v>0</v>
      </c>
      <c r="P1566" s="99">
        <v>0</v>
      </c>
      <c r="Q1566" s="98">
        <v>0</v>
      </c>
      <c r="R1566" s="96" t="s">
        <v>625</v>
      </c>
      <c r="S1566" s="96">
        <v>7414000005</v>
      </c>
      <c r="AA1566" s="131" t="s">
        <v>370</v>
      </c>
      <c r="AB1566" s="130">
        <v>-578.91</v>
      </c>
      <c r="AC1566" s="130">
        <v>6934470</v>
      </c>
    </row>
    <row r="1567" spans="1:29" x14ac:dyDescent="0.25">
      <c r="A1567" t="str">
        <f t="shared" si="25"/>
        <v xml:space="preserve">65723GOBFED 310529       </v>
      </c>
      <c r="B1567" s="96">
        <v>71358</v>
      </c>
      <c r="C1567" s="96" t="s">
        <v>839</v>
      </c>
      <c r="D1567" s="96" t="s">
        <v>376</v>
      </c>
      <c r="E1567" s="96" t="s">
        <v>623</v>
      </c>
      <c r="F1567" s="96" t="s">
        <v>624</v>
      </c>
      <c r="G1567" s="99">
        <v>0</v>
      </c>
      <c r="H1567" s="97">
        <v>0</v>
      </c>
      <c r="I1567" s="98">
        <v>0</v>
      </c>
      <c r="J1567" s="97">
        <v>0</v>
      </c>
      <c r="K1567" s="98">
        <v>0</v>
      </c>
      <c r="L1567" s="99">
        <v>0</v>
      </c>
      <c r="M1567" s="98">
        <v>0</v>
      </c>
      <c r="N1567" s="99">
        <v>0</v>
      </c>
      <c r="O1567" s="98">
        <v>0</v>
      </c>
      <c r="P1567" s="99">
        <v>0</v>
      </c>
      <c r="Q1567" s="98">
        <v>0</v>
      </c>
      <c r="R1567" s="96" t="s">
        <v>625</v>
      </c>
      <c r="S1567" s="96">
        <v>7414000005</v>
      </c>
      <c r="AA1567" s="131" t="s">
        <v>372</v>
      </c>
      <c r="AB1567" s="130">
        <v>-43199.69</v>
      </c>
      <c r="AC1567" s="130">
        <v>5085000</v>
      </c>
    </row>
    <row r="1568" spans="1:29" x14ac:dyDescent="0.25">
      <c r="A1568" t="str">
        <f t="shared" si="25"/>
        <v xml:space="preserve">65723UDIBONO 401115      </v>
      </c>
      <c r="B1568" s="96">
        <v>71358</v>
      </c>
      <c r="C1568" s="96" t="s">
        <v>839</v>
      </c>
      <c r="D1568" s="96" t="s">
        <v>382</v>
      </c>
      <c r="E1568" s="96" t="s">
        <v>623</v>
      </c>
      <c r="F1568" s="96" t="s">
        <v>624</v>
      </c>
      <c r="G1568" s="99">
        <v>0</v>
      </c>
      <c r="H1568" s="97">
        <v>0</v>
      </c>
      <c r="I1568" s="98">
        <v>0</v>
      </c>
      <c r="J1568" s="97">
        <v>0</v>
      </c>
      <c r="K1568" s="98">
        <v>0</v>
      </c>
      <c r="L1568" s="99">
        <v>0</v>
      </c>
      <c r="M1568" s="98">
        <v>0</v>
      </c>
      <c r="N1568" s="99">
        <v>0</v>
      </c>
      <c r="O1568" s="98">
        <v>0</v>
      </c>
      <c r="P1568" s="99">
        <v>0</v>
      </c>
      <c r="Q1568" s="98">
        <v>0</v>
      </c>
      <c r="R1568" s="96" t="s">
        <v>625</v>
      </c>
      <c r="S1568" s="96">
        <v>7414000005</v>
      </c>
      <c r="AA1568" s="131" t="s">
        <v>373</v>
      </c>
      <c r="AB1568" s="130">
        <v>27009.62</v>
      </c>
      <c r="AC1568" s="130">
        <v>36770096</v>
      </c>
    </row>
    <row r="1569" spans="1:29" x14ac:dyDescent="0.25">
      <c r="A1569" t="str">
        <f t="shared" si="25"/>
        <v xml:space="preserve">71358GOBFED 241205       </v>
      </c>
      <c r="B1569" s="96">
        <v>71358</v>
      </c>
      <c r="C1569" s="96" t="s">
        <v>839</v>
      </c>
      <c r="D1569" s="96" t="s">
        <v>396</v>
      </c>
      <c r="E1569" s="96" t="s">
        <v>623</v>
      </c>
      <c r="F1569" s="96" t="s">
        <v>624</v>
      </c>
      <c r="G1569" s="99">
        <v>0</v>
      </c>
      <c r="H1569" s="97">
        <v>0</v>
      </c>
      <c r="I1569" s="98">
        <v>0</v>
      </c>
      <c r="J1569" s="97">
        <v>0</v>
      </c>
      <c r="K1569" s="98">
        <v>0</v>
      </c>
      <c r="L1569" s="99">
        <v>0</v>
      </c>
      <c r="M1569" s="98">
        <v>0</v>
      </c>
      <c r="N1569" s="99">
        <v>0</v>
      </c>
      <c r="O1569" s="98">
        <v>0</v>
      </c>
      <c r="P1569" s="99">
        <v>0</v>
      </c>
      <c r="Q1569" s="98">
        <v>0</v>
      </c>
      <c r="R1569" s="96" t="s">
        <v>625</v>
      </c>
      <c r="S1569" s="96">
        <v>7414000005</v>
      </c>
      <c r="AA1569" s="131" t="s">
        <v>374</v>
      </c>
      <c r="AB1569" s="130">
        <v>4226633.62</v>
      </c>
      <c r="AC1569" s="130">
        <v>25936292</v>
      </c>
    </row>
    <row r="1570" spans="1:29" x14ac:dyDescent="0.25">
      <c r="A1570" t="str">
        <f t="shared" si="25"/>
        <v xml:space="preserve">71358GOBFED 310529       </v>
      </c>
      <c r="B1570" s="96">
        <v>71610</v>
      </c>
      <c r="C1570" s="96" t="s">
        <v>840</v>
      </c>
      <c r="D1570" s="96" t="s">
        <v>470</v>
      </c>
      <c r="E1570" s="96" t="s">
        <v>623</v>
      </c>
      <c r="F1570" s="96" t="s">
        <v>624</v>
      </c>
      <c r="G1570" s="99">
        <v>0</v>
      </c>
      <c r="H1570" s="97">
        <v>0</v>
      </c>
      <c r="I1570" s="98">
        <v>0</v>
      </c>
      <c r="J1570" s="97">
        <v>0</v>
      </c>
      <c r="K1570" s="98">
        <v>0</v>
      </c>
      <c r="L1570" s="99">
        <v>0</v>
      </c>
      <c r="M1570" s="98">
        <v>0</v>
      </c>
      <c r="N1570" s="99">
        <v>0</v>
      </c>
      <c r="O1570" s="98">
        <v>0</v>
      </c>
      <c r="P1570" s="99">
        <v>0</v>
      </c>
      <c r="Q1570" s="98">
        <v>0</v>
      </c>
      <c r="R1570" s="96" t="s">
        <v>625</v>
      </c>
      <c r="S1570" s="96">
        <v>7414000005</v>
      </c>
      <c r="AA1570" s="131" t="s">
        <v>387</v>
      </c>
      <c r="AB1570" s="130">
        <v>-82889.62</v>
      </c>
      <c r="AC1570" s="130">
        <v>7357428</v>
      </c>
    </row>
    <row r="1571" spans="1:29" x14ac:dyDescent="0.25">
      <c r="A1571" t="str">
        <f t="shared" si="25"/>
        <v xml:space="preserve">71358UDIBONO 401115      </v>
      </c>
      <c r="B1571" s="96">
        <v>71610</v>
      </c>
      <c r="C1571" s="96" t="s">
        <v>840</v>
      </c>
      <c r="D1571" s="96" t="s">
        <v>376</v>
      </c>
      <c r="E1571" s="96" t="s">
        <v>623</v>
      </c>
      <c r="F1571" s="96" t="s">
        <v>624</v>
      </c>
      <c r="G1571" s="99">
        <v>0</v>
      </c>
      <c r="H1571" s="97">
        <v>0</v>
      </c>
      <c r="I1571" s="98">
        <v>0</v>
      </c>
      <c r="J1571" s="97">
        <v>0</v>
      </c>
      <c r="K1571" s="98">
        <v>0</v>
      </c>
      <c r="L1571" s="99">
        <v>0</v>
      </c>
      <c r="M1571" s="98">
        <v>0</v>
      </c>
      <c r="N1571" s="99">
        <v>0</v>
      </c>
      <c r="O1571" s="98">
        <v>0</v>
      </c>
      <c r="P1571" s="99">
        <v>0</v>
      </c>
      <c r="Q1571" s="98">
        <v>0</v>
      </c>
      <c r="R1571" s="96" t="s">
        <v>625</v>
      </c>
      <c r="S1571" s="96">
        <v>7414000005</v>
      </c>
      <c r="AA1571" s="131" t="s">
        <v>419</v>
      </c>
      <c r="AB1571" s="130">
        <v>0</v>
      </c>
      <c r="AC1571" s="130">
        <v>0</v>
      </c>
    </row>
    <row r="1572" spans="1:29" x14ac:dyDescent="0.25">
      <c r="A1572" t="str">
        <f t="shared" si="25"/>
        <v xml:space="preserve">71610CETES 131017        </v>
      </c>
      <c r="B1572" s="96">
        <v>71610</v>
      </c>
      <c r="C1572" s="96" t="s">
        <v>840</v>
      </c>
      <c r="D1572" s="96" t="s">
        <v>382</v>
      </c>
      <c r="E1572" s="96" t="s">
        <v>623</v>
      </c>
      <c r="F1572" s="96" t="s">
        <v>624</v>
      </c>
      <c r="G1572" s="99">
        <v>0</v>
      </c>
      <c r="H1572" s="97">
        <v>0</v>
      </c>
      <c r="I1572" s="98">
        <v>0</v>
      </c>
      <c r="J1572" s="97">
        <v>0</v>
      </c>
      <c r="K1572" s="98">
        <v>0</v>
      </c>
      <c r="L1572" s="99">
        <v>0</v>
      </c>
      <c r="M1572" s="98">
        <v>0</v>
      </c>
      <c r="N1572" s="99">
        <v>0</v>
      </c>
      <c r="O1572" s="98">
        <v>0</v>
      </c>
      <c r="P1572" s="99">
        <v>0</v>
      </c>
      <c r="Q1572" s="98">
        <v>0</v>
      </c>
      <c r="R1572" s="96" t="s">
        <v>625</v>
      </c>
      <c r="S1572" s="96">
        <v>7414000005</v>
      </c>
      <c r="AA1572" s="131" t="s">
        <v>580</v>
      </c>
      <c r="AB1572" s="130">
        <v>6009.61</v>
      </c>
      <c r="AC1572" s="130">
        <v>6837534</v>
      </c>
    </row>
    <row r="1573" spans="1:29" x14ac:dyDescent="0.25">
      <c r="A1573" t="str">
        <f t="shared" si="25"/>
        <v xml:space="preserve">71610GOBFED 241205       </v>
      </c>
      <c r="B1573" s="96">
        <v>71610</v>
      </c>
      <c r="C1573" s="96" t="s">
        <v>840</v>
      </c>
      <c r="D1573" s="96" t="s">
        <v>396</v>
      </c>
      <c r="E1573" s="96" t="s">
        <v>623</v>
      </c>
      <c r="F1573" s="96" t="s">
        <v>624</v>
      </c>
      <c r="G1573" s="99">
        <v>0</v>
      </c>
      <c r="H1573" s="97">
        <v>0</v>
      </c>
      <c r="I1573" s="98">
        <v>0</v>
      </c>
      <c r="J1573" s="97">
        <v>0</v>
      </c>
      <c r="K1573" s="98">
        <v>0</v>
      </c>
      <c r="L1573" s="99">
        <v>0</v>
      </c>
      <c r="M1573" s="98">
        <v>0</v>
      </c>
      <c r="N1573" s="99">
        <v>0</v>
      </c>
      <c r="O1573" s="98">
        <v>0</v>
      </c>
      <c r="P1573" s="99">
        <v>0</v>
      </c>
      <c r="Q1573" s="98">
        <v>0</v>
      </c>
      <c r="R1573" s="96" t="s">
        <v>625</v>
      </c>
      <c r="S1573" s="96">
        <v>7414000005</v>
      </c>
      <c r="AA1573" s="131" t="s">
        <v>400</v>
      </c>
      <c r="AB1573" s="130">
        <v>2810911.39</v>
      </c>
      <c r="AC1573" s="130">
        <v>6506503</v>
      </c>
    </row>
    <row r="1574" spans="1:29" x14ac:dyDescent="0.25">
      <c r="A1574" t="str">
        <f t="shared" si="25"/>
        <v xml:space="preserve">71610GOBFED 310529       </v>
      </c>
      <c r="B1574" s="96">
        <v>72636</v>
      </c>
      <c r="C1574" s="96" t="s">
        <v>841</v>
      </c>
      <c r="D1574" s="96" t="s">
        <v>358</v>
      </c>
      <c r="E1574" s="96" t="s">
        <v>623</v>
      </c>
      <c r="F1574" s="96" t="s">
        <v>624</v>
      </c>
      <c r="G1574" s="99">
        <v>65</v>
      </c>
      <c r="H1574" s="97">
        <v>1786.5</v>
      </c>
      <c r="I1574" s="98">
        <v>116122.5</v>
      </c>
      <c r="J1574" s="97">
        <v>1492.6649230769231</v>
      </c>
      <c r="K1574" s="98">
        <v>19099.28</v>
      </c>
      <c r="L1574" s="99">
        <v>0</v>
      </c>
      <c r="M1574" s="98">
        <v>0</v>
      </c>
      <c r="N1574" s="99">
        <v>0</v>
      </c>
      <c r="O1574" s="98">
        <v>0</v>
      </c>
      <c r="P1574" s="99">
        <v>65</v>
      </c>
      <c r="Q1574" s="98">
        <v>116122.5</v>
      </c>
      <c r="R1574" s="96" t="s">
        <v>625</v>
      </c>
      <c r="S1574" s="96">
        <v>7414000005</v>
      </c>
      <c r="AA1574" s="131" t="s">
        <v>403</v>
      </c>
      <c r="AB1574" s="130">
        <v>21544.37</v>
      </c>
      <c r="AC1574" s="130">
        <v>22893208</v>
      </c>
    </row>
    <row r="1575" spans="1:29" x14ac:dyDescent="0.25">
      <c r="A1575" t="str">
        <f t="shared" si="25"/>
        <v xml:space="preserve">71610UDIBONO 401115      </v>
      </c>
      <c r="B1575" s="96">
        <v>72636</v>
      </c>
      <c r="C1575" s="96" t="s">
        <v>841</v>
      </c>
      <c r="D1575" s="96" t="s">
        <v>422</v>
      </c>
      <c r="E1575" s="96" t="s">
        <v>623</v>
      </c>
      <c r="F1575" s="96" t="s">
        <v>624</v>
      </c>
      <c r="G1575" s="99">
        <v>10</v>
      </c>
      <c r="H1575" s="97">
        <v>97.654420999999999</v>
      </c>
      <c r="I1575" s="98">
        <v>976.54421000000002</v>
      </c>
      <c r="J1575" s="97">
        <v>98.224185000000006</v>
      </c>
      <c r="K1575" s="98">
        <v>-5.6976399999999998</v>
      </c>
      <c r="L1575" s="99">
        <v>0</v>
      </c>
      <c r="M1575" s="98">
        <v>0</v>
      </c>
      <c r="N1575" s="99">
        <v>0</v>
      </c>
      <c r="O1575" s="98">
        <v>0</v>
      </c>
      <c r="P1575" s="99">
        <v>10</v>
      </c>
      <c r="Q1575" s="98">
        <v>976.54421000000002</v>
      </c>
      <c r="R1575" s="96" t="s">
        <v>625</v>
      </c>
      <c r="S1575" s="96">
        <v>7414000005</v>
      </c>
      <c r="AA1575" s="131" t="s">
        <v>358</v>
      </c>
      <c r="AB1575" s="130">
        <v>-15786</v>
      </c>
      <c r="AC1575" s="130">
        <v>1607850</v>
      </c>
    </row>
    <row r="1576" spans="1:29" x14ac:dyDescent="0.25">
      <c r="A1576" t="str">
        <f t="shared" si="25"/>
        <v xml:space="preserve">72636ACWI *              </v>
      </c>
      <c r="B1576" s="96">
        <v>72636</v>
      </c>
      <c r="C1576" s="96" t="s">
        <v>841</v>
      </c>
      <c r="D1576" s="96" t="s">
        <v>363</v>
      </c>
      <c r="E1576" s="96" t="s">
        <v>623</v>
      </c>
      <c r="F1576" s="96" t="s">
        <v>624</v>
      </c>
      <c r="G1576" s="99">
        <v>1149</v>
      </c>
      <c r="H1576" s="97">
        <v>9.4935880000000008</v>
      </c>
      <c r="I1576" s="98">
        <v>10908.132611999999</v>
      </c>
      <c r="J1576" s="97">
        <v>8.4405498100000003</v>
      </c>
      <c r="K1576" s="98">
        <v>1209.94088031</v>
      </c>
      <c r="L1576" s="99">
        <v>0</v>
      </c>
      <c r="M1576" s="98">
        <v>0</v>
      </c>
      <c r="N1576" s="99">
        <v>0</v>
      </c>
      <c r="O1576" s="98">
        <v>0</v>
      </c>
      <c r="P1576" s="99">
        <v>1149</v>
      </c>
      <c r="Q1576" s="98">
        <v>10908.132611999999</v>
      </c>
      <c r="R1576" s="96" t="s">
        <v>625</v>
      </c>
      <c r="S1576" s="96">
        <v>7414000005</v>
      </c>
      <c r="AA1576" s="131" t="s">
        <v>365</v>
      </c>
      <c r="AB1576" s="130">
        <v>-44346</v>
      </c>
      <c r="AC1576" s="130">
        <v>7699332</v>
      </c>
    </row>
    <row r="1577" spans="1:29" x14ac:dyDescent="0.25">
      <c r="A1577" t="str">
        <f t="shared" si="25"/>
        <v xml:space="preserve">72636CETELEM 22          </v>
      </c>
      <c r="B1577" s="96">
        <v>72636</v>
      </c>
      <c r="C1577" s="96" t="s">
        <v>841</v>
      </c>
      <c r="D1577" s="96" t="s">
        <v>409</v>
      </c>
      <c r="E1577" s="96" t="s">
        <v>623</v>
      </c>
      <c r="F1577" s="96" t="s">
        <v>624</v>
      </c>
      <c r="G1577" s="99">
        <v>1600</v>
      </c>
      <c r="H1577" s="97">
        <v>9.3381629999999998</v>
      </c>
      <c r="I1577" s="98">
        <v>14941.060799999999</v>
      </c>
      <c r="J1577" s="97">
        <v>8.3307969100000001</v>
      </c>
      <c r="K1577" s="98">
        <v>1611.785744</v>
      </c>
      <c r="L1577" s="99">
        <v>0</v>
      </c>
      <c r="M1577" s="98">
        <v>0</v>
      </c>
      <c r="N1577" s="99">
        <v>0</v>
      </c>
      <c r="O1577" s="98">
        <v>0</v>
      </c>
      <c r="P1577" s="99">
        <v>1600</v>
      </c>
      <c r="Q1577" s="98">
        <v>14941.060799999999</v>
      </c>
      <c r="R1577" s="96" t="s">
        <v>625</v>
      </c>
      <c r="S1577" s="96">
        <v>7414000005</v>
      </c>
      <c r="AA1577" s="131" t="s">
        <v>367</v>
      </c>
      <c r="AB1577" s="130">
        <v>0</v>
      </c>
      <c r="AC1577" s="130">
        <v>1870735.5</v>
      </c>
    </row>
    <row r="1578" spans="1:29" x14ac:dyDescent="0.25">
      <c r="A1578" t="str">
        <f t="shared" si="25"/>
        <v xml:space="preserve">72636CETES 241003        </v>
      </c>
      <c r="B1578" s="96">
        <v>72636</v>
      </c>
      <c r="C1578" s="96" t="s">
        <v>841</v>
      </c>
      <c r="D1578" s="96" t="s">
        <v>375</v>
      </c>
      <c r="E1578" s="96" t="s">
        <v>623</v>
      </c>
      <c r="F1578" s="96" t="s">
        <v>624</v>
      </c>
      <c r="G1578" s="99">
        <v>13</v>
      </c>
      <c r="H1578" s="97">
        <v>98.730349000000004</v>
      </c>
      <c r="I1578" s="98">
        <v>1283.494537</v>
      </c>
      <c r="J1578" s="97">
        <v>100.3572301</v>
      </c>
      <c r="K1578" s="98">
        <v>-21.149454299999999</v>
      </c>
      <c r="L1578" s="99">
        <v>0</v>
      </c>
      <c r="M1578" s="98">
        <v>0</v>
      </c>
      <c r="N1578" s="99">
        <v>0</v>
      </c>
      <c r="O1578" s="98">
        <v>0</v>
      </c>
      <c r="P1578" s="99">
        <v>13</v>
      </c>
      <c r="Q1578" s="98">
        <v>1283.494537</v>
      </c>
      <c r="R1578" s="96" t="s">
        <v>625</v>
      </c>
      <c r="S1578" s="96">
        <v>7414000005</v>
      </c>
      <c r="AA1578" s="131" t="s">
        <v>368</v>
      </c>
      <c r="AB1578" s="130">
        <v>-38479.4</v>
      </c>
      <c r="AC1578" s="130">
        <v>5260070</v>
      </c>
    </row>
    <row r="1579" spans="1:29" x14ac:dyDescent="0.25">
      <c r="A1579" t="str">
        <f t="shared" si="25"/>
        <v xml:space="preserve">72636CETES 241128        </v>
      </c>
      <c r="B1579" s="96">
        <v>72636</v>
      </c>
      <c r="C1579" s="96" t="s">
        <v>841</v>
      </c>
      <c r="D1579" s="96" t="s">
        <v>376</v>
      </c>
      <c r="E1579" s="96" t="s">
        <v>623</v>
      </c>
      <c r="F1579" s="96" t="s">
        <v>624</v>
      </c>
      <c r="G1579" s="99">
        <v>70</v>
      </c>
      <c r="H1579" s="97">
        <v>99.247497999999993</v>
      </c>
      <c r="I1579" s="98">
        <v>6947.3248599999997</v>
      </c>
      <c r="J1579" s="97">
        <v>111.35703942857143</v>
      </c>
      <c r="K1579" s="98">
        <v>-847.66790000000003</v>
      </c>
      <c r="L1579" s="99">
        <v>0</v>
      </c>
      <c r="M1579" s="98">
        <v>0</v>
      </c>
      <c r="N1579" s="99">
        <v>0</v>
      </c>
      <c r="O1579" s="98">
        <v>0</v>
      </c>
      <c r="P1579" s="99">
        <v>70</v>
      </c>
      <c r="Q1579" s="98">
        <v>6947.3248599999997</v>
      </c>
      <c r="R1579" s="96" t="s">
        <v>625</v>
      </c>
      <c r="S1579" s="96">
        <v>7414000005</v>
      </c>
      <c r="AA1579" s="131" t="s">
        <v>381</v>
      </c>
      <c r="AB1579" s="130">
        <v>-308305.43</v>
      </c>
      <c r="AC1579" s="130">
        <v>9487015.6999999993</v>
      </c>
    </row>
    <row r="1580" spans="1:29" x14ac:dyDescent="0.25">
      <c r="A1580" t="str">
        <f t="shared" si="25"/>
        <v xml:space="preserve">72636GOBFED 240905       </v>
      </c>
      <c r="B1580" s="96">
        <v>72636</v>
      </c>
      <c r="C1580" s="96" t="s">
        <v>841</v>
      </c>
      <c r="D1580" s="96" t="s">
        <v>377</v>
      </c>
      <c r="E1580" s="96" t="s">
        <v>623</v>
      </c>
      <c r="F1580" s="96" t="s">
        <v>624</v>
      </c>
      <c r="G1580" s="99">
        <v>20</v>
      </c>
      <c r="H1580" s="97">
        <v>94.973146999999997</v>
      </c>
      <c r="I1580" s="98">
        <v>1899.4629399999999</v>
      </c>
      <c r="J1580" s="97">
        <v>89.754779659999997</v>
      </c>
      <c r="K1580" s="98">
        <v>104.36734680000001</v>
      </c>
      <c r="L1580" s="99">
        <v>0</v>
      </c>
      <c r="M1580" s="98">
        <v>0</v>
      </c>
      <c r="N1580" s="99">
        <v>0</v>
      </c>
      <c r="O1580" s="98">
        <v>0</v>
      </c>
      <c r="P1580" s="99">
        <v>20</v>
      </c>
      <c r="Q1580" s="98">
        <v>1899.4629399999999</v>
      </c>
      <c r="R1580" s="96" t="s">
        <v>625</v>
      </c>
      <c r="S1580" s="96">
        <v>7414000005</v>
      </c>
      <c r="AA1580" s="131" t="s">
        <v>388</v>
      </c>
      <c r="AB1580" s="130">
        <v>-432985</v>
      </c>
      <c r="AC1580" s="130">
        <v>37969625</v>
      </c>
    </row>
    <row r="1581" spans="1:29" x14ac:dyDescent="0.25">
      <c r="A1581" t="str">
        <f t="shared" si="25"/>
        <v xml:space="preserve">72636GOBFED 241205       </v>
      </c>
      <c r="B1581" s="96">
        <v>72636</v>
      </c>
      <c r="C1581" s="96" t="s">
        <v>841</v>
      </c>
      <c r="D1581" s="96" t="s">
        <v>378</v>
      </c>
      <c r="E1581" s="96" t="s">
        <v>623</v>
      </c>
      <c r="F1581" s="96" t="s">
        <v>624</v>
      </c>
      <c r="G1581" s="99">
        <v>88</v>
      </c>
      <c r="H1581" s="97">
        <v>91.911821000000003</v>
      </c>
      <c r="I1581" s="98">
        <v>8088.2402480000001</v>
      </c>
      <c r="J1581" s="97">
        <v>93.2088459</v>
      </c>
      <c r="K1581" s="98">
        <v>-114.13819119999999</v>
      </c>
      <c r="L1581" s="99">
        <v>0</v>
      </c>
      <c r="M1581" s="98">
        <v>0</v>
      </c>
      <c r="N1581" s="99">
        <v>0</v>
      </c>
      <c r="O1581" s="98">
        <v>0</v>
      </c>
      <c r="P1581" s="99">
        <v>88</v>
      </c>
      <c r="Q1581" s="98">
        <v>8088.2402480000001</v>
      </c>
      <c r="R1581" s="96" t="s">
        <v>625</v>
      </c>
      <c r="S1581" s="96">
        <v>7414000005</v>
      </c>
      <c r="AA1581" s="131" t="s">
        <v>401</v>
      </c>
      <c r="AB1581" s="130">
        <v>-41634.300000000003</v>
      </c>
      <c r="AC1581" s="130">
        <v>11041700</v>
      </c>
    </row>
    <row r="1582" spans="1:29" x14ac:dyDescent="0.25">
      <c r="A1582" t="str">
        <f t="shared" si="25"/>
        <v xml:space="preserve">72636GOBFED 250306       </v>
      </c>
      <c r="B1582" s="96">
        <v>72636</v>
      </c>
      <c r="C1582" s="96" t="s">
        <v>841</v>
      </c>
      <c r="D1582" s="96" t="s">
        <v>499</v>
      </c>
      <c r="E1582" s="96" t="s">
        <v>623</v>
      </c>
      <c r="F1582" s="96" t="s">
        <v>624</v>
      </c>
      <c r="G1582" s="99">
        <v>50</v>
      </c>
      <c r="H1582" s="97">
        <v>92.954503000000003</v>
      </c>
      <c r="I1582" s="98">
        <v>4647.7251500000002</v>
      </c>
      <c r="J1582" s="97">
        <v>93.270420958000003</v>
      </c>
      <c r="K1582" s="98">
        <v>-15.7958979</v>
      </c>
      <c r="L1582" s="99">
        <v>0</v>
      </c>
      <c r="M1582" s="98">
        <v>0</v>
      </c>
      <c r="N1582" s="99">
        <v>0</v>
      </c>
      <c r="O1582" s="98">
        <v>0</v>
      </c>
      <c r="P1582" s="99">
        <v>50</v>
      </c>
      <c r="Q1582" s="98">
        <v>4647.7251500000002</v>
      </c>
      <c r="R1582" s="96" t="s">
        <v>625</v>
      </c>
      <c r="S1582" s="96">
        <v>7414000005</v>
      </c>
      <c r="AA1582" s="131" t="s">
        <v>576</v>
      </c>
      <c r="AB1582" s="130">
        <v>-2455.04</v>
      </c>
      <c r="AC1582" s="130">
        <v>2252393.7000000002</v>
      </c>
    </row>
    <row r="1583" spans="1:29" x14ac:dyDescent="0.25">
      <c r="A1583" t="str">
        <f t="shared" si="25"/>
        <v xml:space="preserve">72636GOBFED 260305       </v>
      </c>
      <c r="B1583" s="96">
        <v>72636</v>
      </c>
      <c r="C1583" s="96" t="s">
        <v>841</v>
      </c>
      <c r="D1583" s="96" t="s">
        <v>379</v>
      </c>
      <c r="E1583" s="96" t="s">
        <v>623</v>
      </c>
      <c r="F1583" s="96" t="s">
        <v>624</v>
      </c>
      <c r="G1583" s="99">
        <v>49</v>
      </c>
      <c r="H1583" s="97">
        <v>88.698122999999995</v>
      </c>
      <c r="I1583" s="98">
        <v>4346.2080269999997</v>
      </c>
      <c r="J1583" s="97">
        <v>85.58755992591837</v>
      </c>
      <c r="K1583" s="98">
        <v>152.41759063000001</v>
      </c>
      <c r="L1583" s="99">
        <v>0</v>
      </c>
      <c r="M1583" s="98">
        <v>0</v>
      </c>
      <c r="N1583" s="99">
        <v>0</v>
      </c>
      <c r="O1583" s="98">
        <v>0</v>
      </c>
      <c r="P1583" s="99">
        <v>49</v>
      </c>
      <c r="Q1583" s="98">
        <v>4346.2080269999997</v>
      </c>
      <c r="R1583" s="96" t="s">
        <v>625</v>
      </c>
      <c r="S1583" s="96">
        <v>7414000005</v>
      </c>
      <c r="AA1583" s="131" t="s">
        <v>577</v>
      </c>
      <c r="AB1583" s="130">
        <v>2784.17</v>
      </c>
      <c r="AC1583" s="130">
        <v>1830809.17</v>
      </c>
    </row>
    <row r="1584" spans="1:29" x14ac:dyDescent="0.25">
      <c r="A1584" t="str">
        <f t="shared" si="25"/>
        <v xml:space="preserve">72636GOBFED 260903       </v>
      </c>
      <c r="B1584" s="96">
        <v>72636</v>
      </c>
      <c r="C1584" s="96" t="s">
        <v>841</v>
      </c>
      <c r="D1584" s="96" t="s">
        <v>380</v>
      </c>
      <c r="E1584" s="96" t="s">
        <v>623</v>
      </c>
      <c r="F1584" s="96" t="s">
        <v>624</v>
      </c>
      <c r="G1584" s="99">
        <v>141</v>
      </c>
      <c r="H1584" s="97">
        <v>93.314192000000006</v>
      </c>
      <c r="I1584" s="98">
        <v>13157.301072</v>
      </c>
      <c r="J1584" s="97">
        <v>94.238964733120568</v>
      </c>
      <c r="K1584" s="98">
        <v>-130.39295537000001</v>
      </c>
      <c r="L1584" s="99">
        <v>0</v>
      </c>
      <c r="M1584" s="98">
        <v>0</v>
      </c>
      <c r="N1584" s="99">
        <v>0</v>
      </c>
      <c r="O1584" s="98">
        <v>0</v>
      </c>
      <c r="P1584" s="99">
        <v>141</v>
      </c>
      <c r="Q1584" s="98">
        <v>13157.301072</v>
      </c>
      <c r="R1584" s="96" t="s">
        <v>625</v>
      </c>
      <c r="S1584" s="96">
        <v>7414000005</v>
      </c>
      <c r="AA1584" s="131" t="s">
        <v>582</v>
      </c>
      <c r="AB1584" s="130">
        <v>-4797.3900000000003</v>
      </c>
      <c r="AC1584" s="130">
        <v>2563380</v>
      </c>
    </row>
    <row r="1585" spans="1:29" x14ac:dyDescent="0.25">
      <c r="A1585" t="str">
        <f t="shared" si="25"/>
        <v xml:space="preserve">72636GOBFED 270304       </v>
      </c>
      <c r="B1585" s="96">
        <v>72636</v>
      </c>
      <c r="C1585" s="96" t="s">
        <v>841</v>
      </c>
      <c r="D1585" s="96" t="s">
        <v>507</v>
      </c>
      <c r="E1585" s="96" t="s">
        <v>623</v>
      </c>
      <c r="F1585" s="96" t="s">
        <v>624</v>
      </c>
      <c r="G1585" s="99">
        <v>39</v>
      </c>
      <c r="H1585" s="97">
        <v>94.864168000000006</v>
      </c>
      <c r="I1585" s="98">
        <v>3699.7025520000002</v>
      </c>
      <c r="J1585" s="97">
        <v>96.596719710000002</v>
      </c>
      <c r="K1585" s="98">
        <v>-67.56951669</v>
      </c>
      <c r="L1585" s="99">
        <v>0</v>
      </c>
      <c r="M1585" s="98">
        <v>0</v>
      </c>
      <c r="N1585" s="99">
        <v>0</v>
      </c>
      <c r="O1585" s="98">
        <v>0</v>
      </c>
      <c r="P1585" s="99">
        <v>39</v>
      </c>
      <c r="Q1585" s="98">
        <v>3699.7025520000002</v>
      </c>
      <c r="R1585" s="96" t="s">
        <v>625</v>
      </c>
      <c r="S1585" s="96">
        <v>7414000005</v>
      </c>
      <c r="AA1585" s="131" t="s">
        <v>568</v>
      </c>
      <c r="AB1585" s="130">
        <v>-4.6569999999999997E-3</v>
      </c>
      <c r="AC1585" s="130">
        <v>36837704.855342999</v>
      </c>
    </row>
    <row r="1586" spans="1:29" x14ac:dyDescent="0.25">
      <c r="A1586" t="str">
        <f t="shared" si="25"/>
        <v xml:space="preserve">72636GOBFED 270603       </v>
      </c>
      <c r="B1586" s="96">
        <v>72636</v>
      </c>
      <c r="C1586" s="96" t="s">
        <v>841</v>
      </c>
      <c r="D1586" s="96" t="s">
        <v>381</v>
      </c>
      <c r="E1586" s="96" t="s">
        <v>623</v>
      </c>
      <c r="F1586" s="96" t="s">
        <v>624</v>
      </c>
      <c r="G1586" s="99">
        <v>313</v>
      </c>
      <c r="H1586" s="97">
        <v>94.870157000000006</v>
      </c>
      <c r="I1586" s="98">
        <v>29694.359141000001</v>
      </c>
      <c r="J1586" s="97">
        <v>97.013094704568687</v>
      </c>
      <c r="K1586" s="98">
        <v>-670.73950152999998</v>
      </c>
      <c r="L1586" s="99">
        <v>0</v>
      </c>
      <c r="M1586" s="98">
        <v>0</v>
      </c>
      <c r="N1586" s="99">
        <v>0</v>
      </c>
      <c r="O1586" s="98">
        <v>0</v>
      </c>
      <c r="P1586" s="99">
        <v>313</v>
      </c>
      <c r="Q1586" s="98">
        <v>29694.359141000001</v>
      </c>
      <c r="R1586" s="96" t="s">
        <v>625</v>
      </c>
      <c r="S1586" s="96">
        <v>7414000005</v>
      </c>
      <c r="AA1586" s="131" t="s">
        <v>393</v>
      </c>
      <c r="AB1586" s="130">
        <v>-18846.069544000002</v>
      </c>
      <c r="AC1586" s="130">
        <v>1096803.000456</v>
      </c>
    </row>
    <row r="1587" spans="1:29" x14ac:dyDescent="0.25">
      <c r="A1587" t="str">
        <f t="shared" si="25"/>
        <v xml:space="preserve">72636GOBFED 290301       </v>
      </c>
      <c r="B1587" s="96">
        <v>72636</v>
      </c>
      <c r="C1587" s="96" t="s">
        <v>841</v>
      </c>
      <c r="D1587" s="96" t="s">
        <v>382</v>
      </c>
      <c r="E1587" s="96" t="s">
        <v>623</v>
      </c>
      <c r="F1587" s="96" t="s">
        <v>624</v>
      </c>
      <c r="G1587" s="99">
        <v>154</v>
      </c>
      <c r="H1587" s="97">
        <v>89.489464999999996</v>
      </c>
      <c r="I1587" s="98">
        <v>13781.37761</v>
      </c>
      <c r="J1587" s="97">
        <v>89.354387602207794</v>
      </c>
      <c r="K1587" s="98">
        <v>20.801919259999998</v>
      </c>
      <c r="L1587" s="99">
        <v>0</v>
      </c>
      <c r="M1587" s="98">
        <v>0</v>
      </c>
      <c r="N1587" s="99">
        <v>0</v>
      </c>
      <c r="O1587" s="98">
        <v>0</v>
      </c>
      <c r="P1587" s="99">
        <v>154</v>
      </c>
      <c r="Q1587" s="98">
        <v>13781.37761</v>
      </c>
      <c r="R1587" s="96" t="s">
        <v>625</v>
      </c>
      <c r="S1587" s="96">
        <v>7414000005</v>
      </c>
      <c r="AA1587" s="131" t="s">
        <v>455</v>
      </c>
      <c r="AB1587" s="130">
        <v>1233508.0296199999</v>
      </c>
      <c r="AC1587" s="130">
        <v>1233508.0296199999</v>
      </c>
    </row>
    <row r="1588" spans="1:29" x14ac:dyDescent="0.25">
      <c r="A1588" t="str">
        <f t="shared" si="25"/>
        <v xml:space="preserve">72636GOBFED 290531       </v>
      </c>
      <c r="B1588" s="96">
        <v>72636</v>
      </c>
      <c r="C1588" s="96" t="s">
        <v>841</v>
      </c>
      <c r="D1588" s="96" t="s">
        <v>383</v>
      </c>
      <c r="E1588" s="96" t="s">
        <v>623</v>
      </c>
      <c r="F1588" s="96" t="s">
        <v>624</v>
      </c>
      <c r="G1588" s="99">
        <v>270</v>
      </c>
      <c r="H1588" s="97">
        <v>86.197128000000006</v>
      </c>
      <c r="I1588" s="98">
        <v>23273.224559999999</v>
      </c>
      <c r="J1588" s="97">
        <v>89.686593819999999</v>
      </c>
      <c r="K1588" s="98">
        <v>-942.15577140000005</v>
      </c>
      <c r="L1588" s="99">
        <v>0</v>
      </c>
      <c r="M1588" s="98">
        <v>0</v>
      </c>
      <c r="N1588" s="99">
        <v>0</v>
      </c>
      <c r="O1588" s="98">
        <v>0</v>
      </c>
      <c r="P1588" s="99">
        <v>270</v>
      </c>
      <c r="Q1588" s="98">
        <v>23273.224559999999</v>
      </c>
      <c r="R1588" s="96" t="s">
        <v>625</v>
      </c>
      <c r="S1588" s="96">
        <v>7414000005</v>
      </c>
      <c r="AA1588" s="131" t="s">
        <v>385</v>
      </c>
      <c r="AB1588" s="130">
        <v>-63063.160366999997</v>
      </c>
      <c r="AC1588" s="130">
        <v>1776585.8496330001</v>
      </c>
    </row>
    <row r="1589" spans="1:29" x14ac:dyDescent="0.25">
      <c r="A1589" t="str">
        <f t="shared" si="25"/>
        <v xml:space="preserve">72636GOBFED 310529       </v>
      </c>
      <c r="B1589" s="96">
        <v>72636</v>
      </c>
      <c r="C1589" s="96" t="s">
        <v>841</v>
      </c>
      <c r="D1589" s="96" t="s">
        <v>427</v>
      </c>
      <c r="E1589" s="96" t="s">
        <v>623</v>
      </c>
      <c r="F1589" s="96" t="s">
        <v>624</v>
      </c>
      <c r="G1589" s="99">
        <v>133</v>
      </c>
      <c r="H1589" s="97">
        <v>86.469353999999996</v>
      </c>
      <c r="I1589" s="98">
        <v>11500.424082</v>
      </c>
      <c r="J1589" s="97">
        <v>91.365268857894733</v>
      </c>
      <c r="K1589" s="98">
        <v>-651.15667610000003</v>
      </c>
      <c r="L1589" s="99">
        <v>0</v>
      </c>
      <c r="M1589" s="98">
        <v>0</v>
      </c>
      <c r="N1589" s="99">
        <v>0</v>
      </c>
      <c r="O1589" s="98">
        <v>0</v>
      </c>
      <c r="P1589" s="99">
        <v>133</v>
      </c>
      <c r="Q1589" s="98">
        <v>11500.424082</v>
      </c>
      <c r="R1589" s="96" t="s">
        <v>625</v>
      </c>
      <c r="S1589" s="96">
        <v>7414000005</v>
      </c>
      <c r="AA1589" s="131" t="s">
        <v>569</v>
      </c>
      <c r="AB1589" s="130">
        <v>3.264E-3</v>
      </c>
      <c r="AC1589" s="130">
        <v>40007841.773263998</v>
      </c>
    </row>
    <row r="1590" spans="1:29" x14ac:dyDescent="0.25">
      <c r="A1590" t="str">
        <f t="shared" si="25"/>
        <v xml:space="preserve">72636GOBFED 330526       </v>
      </c>
      <c r="B1590" s="96">
        <v>72636</v>
      </c>
      <c r="C1590" s="96" t="s">
        <v>841</v>
      </c>
      <c r="D1590" s="96" t="s">
        <v>418</v>
      </c>
      <c r="E1590" s="96" t="s">
        <v>623</v>
      </c>
      <c r="F1590" s="96" t="s">
        <v>624</v>
      </c>
      <c r="G1590" s="99">
        <v>3</v>
      </c>
      <c r="H1590" s="97">
        <v>101.45096599999999</v>
      </c>
      <c r="I1590" s="98">
        <v>304.35289799999998</v>
      </c>
      <c r="J1590" s="97">
        <v>114.11447106</v>
      </c>
      <c r="K1590" s="98">
        <v>-37.990515180000003</v>
      </c>
      <c r="L1590" s="99">
        <v>0</v>
      </c>
      <c r="M1590" s="98">
        <v>0</v>
      </c>
      <c r="N1590" s="99">
        <v>0</v>
      </c>
      <c r="O1590" s="98">
        <v>0</v>
      </c>
      <c r="P1590" s="99">
        <v>3</v>
      </c>
      <c r="Q1590" s="98">
        <v>304.35289799999998</v>
      </c>
      <c r="R1590" s="96" t="s">
        <v>625</v>
      </c>
      <c r="S1590" s="96">
        <v>7414000005</v>
      </c>
      <c r="AA1590" s="131" t="s">
        <v>541</v>
      </c>
      <c r="AB1590" s="130">
        <v>-5032.07</v>
      </c>
      <c r="AC1590" s="130">
        <v>5054400</v>
      </c>
    </row>
    <row r="1591" spans="1:29" x14ac:dyDescent="0.25">
      <c r="A1591" t="str">
        <f t="shared" si="25"/>
        <v xml:space="preserve">72636GOBFED 341123       </v>
      </c>
      <c r="B1591" s="96">
        <v>72636</v>
      </c>
      <c r="C1591" s="96" t="s">
        <v>841</v>
      </c>
      <c r="D1591" s="96" t="s">
        <v>408</v>
      </c>
      <c r="E1591" s="96" t="s">
        <v>623</v>
      </c>
      <c r="F1591" s="96" t="s">
        <v>624</v>
      </c>
      <c r="G1591" s="99">
        <v>5</v>
      </c>
      <c r="H1591" s="97">
        <v>89.643172000000007</v>
      </c>
      <c r="I1591" s="98">
        <v>448.21586000000002</v>
      </c>
      <c r="J1591" s="97">
        <v>108.47711812999999</v>
      </c>
      <c r="K1591" s="98">
        <v>-94.169730650000005</v>
      </c>
      <c r="L1591" s="99">
        <v>0</v>
      </c>
      <c r="M1591" s="98">
        <v>0</v>
      </c>
      <c r="N1591" s="99">
        <v>0</v>
      </c>
      <c r="O1591" s="98">
        <v>0</v>
      </c>
      <c r="P1591" s="99">
        <v>5</v>
      </c>
      <c r="Q1591" s="98">
        <v>448.21586000000002</v>
      </c>
      <c r="R1591" s="96" t="s">
        <v>625</v>
      </c>
      <c r="S1591" s="96">
        <v>7414000005</v>
      </c>
      <c r="AA1591" s="131" t="s">
        <v>371</v>
      </c>
      <c r="AB1591" s="130">
        <v>45199.59</v>
      </c>
      <c r="AC1591" s="130">
        <v>5427515</v>
      </c>
    </row>
    <row r="1592" spans="1:29" x14ac:dyDescent="0.25">
      <c r="A1592" t="str">
        <f t="shared" si="25"/>
        <v xml:space="preserve">72636GOBFED 361120       </v>
      </c>
      <c r="B1592" s="96">
        <v>72636</v>
      </c>
      <c r="C1592" s="96" t="s">
        <v>841</v>
      </c>
      <c r="D1592" s="96" t="s">
        <v>384</v>
      </c>
      <c r="E1592" s="96" t="s">
        <v>623</v>
      </c>
      <c r="F1592" s="96" t="s">
        <v>624</v>
      </c>
      <c r="G1592" s="99">
        <v>202</v>
      </c>
      <c r="H1592" s="97">
        <v>81.738860000000003</v>
      </c>
      <c r="I1592" s="98">
        <v>16511.24972</v>
      </c>
      <c r="J1592" s="97">
        <v>86.643181343564351</v>
      </c>
      <c r="K1592" s="98">
        <v>-990.67291139999998</v>
      </c>
      <c r="L1592" s="99">
        <v>0</v>
      </c>
      <c r="M1592" s="98">
        <v>0</v>
      </c>
      <c r="N1592" s="99">
        <v>0</v>
      </c>
      <c r="O1592" s="98">
        <v>0</v>
      </c>
      <c r="P1592" s="99">
        <v>202</v>
      </c>
      <c r="Q1592" s="98">
        <v>16511.24972</v>
      </c>
      <c r="R1592" s="96" t="s">
        <v>625</v>
      </c>
      <c r="S1592" s="96">
        <v>7414000005</v>
      </c>
      <c r="AA1592" s="131" t="s">
        <v>539</v>
      </c>
      <c r="AB1592" s="130">
        <v>-64958.15</v>
      </c>
      <c r="AC1592" s="130">
        <v>5709093.7000000002</v>
      </c>
    </row>
    <row r="1593" spans="1:29" x14ac:dyDescent="0.25">
      <c r="A1593" t="str">
        <f t="shared" si="25"/>
        <v xml:space="preserve">72636GOBFED 381118       </v>
      </c>
      <c r="B1593" s="96">
        <v>72636</v>
      </c>
      <c r="C1593" s="96" t="s">
        <v>841</v>
      </c>
      <c r="D1593" s="96" t="s">
        <v>385</v>
      </c>
      <c r="E1593" s="96" t="s">
        <v>623</v>
      </c>
      <c r="F1593" s="96" t="s">
        <v>624</v>
      </c>
      <c r="G1593" s="99">
        <v>53</v>
      </c>
      <c r="H1593" s="97">
        <v>83.200761</v>
      </c>
      <c r="I1593" s="98">
        <v>4409.6403330000003</v>
      </c>
      <c r="J1593" s="97">
        <v>93.041834525849055</v>
      </c>
      <c r="K1593" s="98">
        <v>-521.57689687000004</v>
      </c>
      <c r="L1593" s="99">
        <v>0</v>
      </c>
      <c r="M1593" s="98">
        <v>0</v>
      </c>
      <c r="N1593" s="99">
        <v>0</v>
      </c>
      <c r="O1593" s="98">
        <v>0</v>
      </c>
      <c r="P1593" s="99">
        <v>53</v>
      </c>
      <c r="Q1593" s="98">
        <v>4409.6403330000003</v>
      </c>
      <c r="R1593" s="96" t="s">
        <v>625</v>
      </c>
      <c r="S1593" s="96">
        <v>7414000005</v>
      </c>
      <c r="AA1593" s="131" t="s">
        <v>399</v>
      </c>
      <c r="AB1593" s="130">
        <v>-194395.65271600001</v>
      </c>
      <c r="AC1593" s="130">
        <v>9674536.6572840009</v>
      </c>
    </row>
    <row r="1594" spans="1:29" x14ac:dyDescent="0.25">
      <c r="A1594" t="str">
        <f t="shared" si="25"/>
        <v xml:space="preserve">72636GOBFED 421113       </v>
      </c>
      <c r="B1594" s="96">
        <v>72636</v>
      </c>
      <c r="C1594" s="96" t="s">
        <v>841</v>
      </c>
      <c r="D1594" s="96" t="s">
        <v>386</v>
      </c>
      <c r="E1594" s="96" t="s">
        <v>623</v>
      </c>
      <c r="F1594" s="96" t="s">
        <v>624</v>
      </c>
      <c r="G1594" s="99">
        <v>42</v>
      </c>
      <c r="H1594" s="97">
        <v>82.159907000000004</v>
      </c>
      <c r="I1594" s="98">
        <v>3450.7160939999999</v>
      </c>
      <c r="J1594" s="97">
        <v>86.420874420000004</v>
      </c>
      <c r="K1594" s="98">
        <v>-178.96063164</v>
      </c>
      <c r="L1594" s="99">
        <v>0</v>
      </c>
      <c r="M1594" s="98">
        <v>0</v>
      </c>
      <c r="N1594" s="99">
        <v>0</v>
      </c>
      <c r="O1594" s="98">
        <v>0</v>
      </c>
      <c r="P1594" s="99">
        <v>42</v>
      </c>
      <c r="Q1594" s="98">
        <v>3450.7160939999999</v>
      </c>
      <c r="R1594" s="96" t="s">
        <v>625</v>
      </c>
      <c r="S1594" s="96">
        <v>7414000005</v>
      </c>
      <c r="AA1594" s="131" t="s">
        <v>392</v>
      </c>
      <c r="AB1594" s="130">
        <v>-12663.96192</v>
      </c>
      <c r="AC1594" s="130">
        <v>982539.63807999995</v>
      </c>
    </row>
    <row r="1595" spans="1:29" x14ac:dyDescent="0.25">
      <c r="A1595" t="str">
        <f t="shared" si="25"/>
        <v xml:space="preserve">72636GOBFED 471107       </v>
      </c>
      <c r="B1595" s="96">
        <v>72636</v>
      </c>
      <c r="C1595" s="96" t="s">
        <v>841</v>
      </c>
      <c r="D1595" s="96" t="s">
        <v>430</v>
      </c>
      <c r="E1595" s="96" t="s">
        <v>623</v>
      </c>
      <c r="F1595" s="96" t="s">
        <v>624</v>
      </c>
      <c r="G1595" s="99">
        <v>37900</v>
      </c>
      <c r="H1595" s="97">
        <v>3.1390400000000001</v>
      </c>
      <c r="I1595" s="98">
        <v>118969.61599999999</v>
      </c>
      <c r="J1595" s="97">
        <v>2.3708472295514511</v>
      </c>
      <c r="K1595" s="98">
        <v>29114.506000000001</v>
      </c>
      <c r="L1595" s="99">
        <v>0</v>
      </c>
      <c r="M1595" s="98">
        <v>0</v>
      </c>
      <c r="N1595" s="99">
        <v>0</v>
      </c>
      <c r="O1595" s="98">
        <v>0</v>
      </c>
      <c r="P1595" s="99">
        <v>37900</v>
      </c>
      <c r="Q1595" s="98">
        <v>118969.61599999999</v>
      </c>
      <c r="R1595" s="96" t="s">
        <v>625</v>
      </c>
      <c r="S1595" s="96">
        <v>7414000005</v>
      </c>
      <c r="AA1595" s="131" t="s">
        <v>386</v>
      </c>
      <c r="AB1595" s="130">
        <v>-24053.179197000001</v>
      </c>
      <c r="AC1595" s="130">
        <v>1686660.730803</v>
      </c>
    </row>
    <row r="1596" spans="1:29" x14ac:dyDescent="0.25">
      <c r="A1596" t="str">
        <f t="shared" si="25"/>
        <v xml:space="preserve">72636GOBFED 530731       </v>
      </c>
      <c r="B1596" s="96">
        <v>72636</v>
      </c>
      <c r="C1596" s="96" t="s">
        <v>841</v>
      </c>
      <c r="D1596" s="96" t="s">
        <v>389</v>
      </c>
      <c r="E1596" s="96" t="s">
        <v>623</v>
      </c>
      <c r="F1596" s="96" t="s">
        <v>624</v>
      </c>
      <c r="G1596" s="99">
        <v>28105</v>
      </c>
      <c r="H1596" s="97">
        <v>3.3967719999999999</v>
      </c>
      <c r="I1596" s="98">
        <v>95466.277059999993</v>
      </c>
      <c r="J1596" s="97">
        <v>3.2662109944849669</v>
      </c>
      <c r="K1596" s="98">
        <v>3669.4170600000002</v>
      </c>
      <c r="L1596" s="99">
        <v>0</v>
      </c>
      <c r="M1596" s="98">
        <v>0</v>
      </c>
      <c r="N1596" s="99">
        <v>0</v>
      </c>
      <c r="O1596" s="98">
        <v>0</v>
      </c>
      <c r="P1596" s="99">
        <v>28105</v>
      </c>
      <c r="Q1596" s="98">
        <v>95466.277059999993</v>
      </c>
      <c r="R1596" s="96" t="s">
        <v>625</v>
      </c>
      <c r="S1596" s="96">
        <v>7414000005</v>
      </c>
      <c r="AA1596" s="131" t="s">
        <v>383</v>
      </c>
      <c r="AB1596" s="130">
        <v>-193201.78031999999</v>
      </c>
      <c r="AC1596" s="130">
        <v>5845027.2496800004</v>
      </c>
    </row>
    <row r="1597" spans="1:29" x14ac:dyDescent="0.25">
      <c r="A1597" t="str">
        <f t="shared" si="25"/>
        <v xml:space="preserve">72636ST&amp;ER-C ED          </v>
      </c>
      <c r="B1597" s="96">
        <v>72636</v>
      </c>
      <c r="C1597" s="96" t="s">
        <v>841</v>
      </c>
      <c r="D1597" s="96" t="s">
        <v>391</v>
      </c>
      <c r="E1597" s="96" t="s">
        <v>623</v>
      </c>
      <c r="F1597" s="96" t="s">
        <v>624</v>
      </c>
      <c r="G1597" s="99">
        <v>6</v>
      </c>
      <c r="H1597" s="97">
        <v>775.69178699999998</v>
      </c>
      <c r="I1597" s="98">
        <v>4654.1507220000003</v>
      </c>
      <c r="J1597" s="97">
        <v>766.69784126000002</v>
      </c>
      <c r="K1597" s="98">
        <v>53.963674439999998</v>
      </c>
      <c r="L1597" s="99">
        <v>0</v>
      </c>
      <c r="M1597" s="98">
        <v>0</v>
      </c>
      <c r="N1597" s="99">
        <v>0</v>
      </c>
      <c r="O1597" s="98">
        <v>0</v>
      </c>
      <c r="P1597" s="99">
        <v>6</v>
      </c>
      <c r="Q1597" s="98">
        <v>4654.1507220000003</v>
      </c>
      <c r="R1597" s="96" t="s">
        <v>625</v>
      </c>
      <c r="S1597" s="96">
        <v>7414000005</v>
      </c>
      <c r="AA1597" s="131" t="s">
        <v>360</v>
      </c>
      <c r="AB1597" s="130">
        <v>-160324.54999999999</v>
      </c>
      <c r="AC1597" s="130">
        <v>27231120</v>
      </c>
    </row>
    <row r="1598" spans="1:29" x14ac:dyDescent="0.25">
      <c r="A1598" t="str">
        <f t="shared" si="25"/>
        <v xml:space="preserve">72636STERGOB ED          </v>
      </c>
      <c r="B1598" s="96">
        <v>72636</v>
      </c>
      <c r="C1598" s="96" t="s">
        <v>841</v>
      </c>
      <c r="D1598" s="96" t="s">
        <v>392</v>
      </c>
      <c r="E1598" s="96" t="s">
        <v>623</v>
      </c>
      <c r="F1598" s="96" t="s">
        <v>624</v>
      </c>
      <c r="G1598" s="99">
        <v>12</v>
      </c>
      <c r="H1598" s="97">
        <v>747.17843200000004</v>
      </c>
      <c r="I1598" s="98">
        <v>8966.1411840000001</v>
      </c>
      <c r="J1598" s="97">
        <v>730.99471579999999</v>
      </c>
      <c r="K1598" s="98">
        <v>194.20459439999999</v>
      </c>
      <c r="L1598" s="99">
        <v>0</v>
      </c>
      <c r="M1598" s="98">
        <v>0</v>
      </c>
      <c r="N1598" s="99">
        <v>0</v>
      </c>
      <c r="O1598" s="98">
        <v>0</v>
      </c>
      <c r="P1598" s="99">
        <v>12</v>
      </c>
      <c r="Q1598" s="98">
        <v>8966.1411840000001</v>
      </c>
      <c r="R1598" s="96" t="s">
        <v>625</v>
      </c>
      <c r="S1598" s="96">
        <v>7414000005</v>
      </c>
      <c r="AA1598" s="131" t="s">
        <v>397</v>
      </c>
      <c r="AB1598" s="130">
        <v>-6952.8935140000003</v>
      </c>
      <c r="AC1598" s="130">
        <v>504954.71648599999</v>
      </c>
    </row>
    <row r="1599" spans="1:29" x14ac:dyDescent="0.25">
      <c r="A1599" t="str">
        <f t="shared" si="25"/>
        <v xml:space="preserve">72636UDIBONO 251204      </v>
      </c>
      <c r="B1599" s="96">
        <v>72636</v>
      </c>
      <c r="C1599" s="96" t="s">
        <v>841</v>
      </c>
      <c r="D1599" s="96" t="s">
        <v>393</v>
      </c>
      <c r="E1599" s="96" t="s">
        <v>623</v>
      </c>
      <c r="F1599" s="96" t="s">
        <v>624</v>
      </c>
      <c r="G1599" s="99">
        <v>3</v>
      </c>
      <c r="H1599" s="97">
        <v>765.92388300000005</v>
      </c>
      <c r="I1599" s="98">
        <v>2297.7716489999998</v>
      </c>
      <c r="J1599" s="97">
        <v>634.98991012333329</v>
      </c>
      <c r="K1599" s="98">
        <v>392.80191862999999</v>
      </c>
      <c r="L1599" s="99">
        <v>0</v>
      </c>
      <c r="M1599" s="98">
        <v>0</v>
      </c>
      <c r="N1599" s="99">
        <v>0</v>
      </c>
      <c r="O1599" s="98">
        <v>0</v>
      </c>
      <c r="P1599" s="99">
        <v>3</v>
      </c>
      <c r="Q1599" s="98">
        <v>2297.7716489999998</v>
      </c>
      <c r="R1599" s="96" t="s">
        <v>625</v>
      </c>
      <c r="S1599" s="96">
        <v>7414000005</v>
      </c>
      <c r="AA1599" s="131" t="s">
        <v>499</v>
      </c>
      <c r="AB1599" s="130">
        <v>-99844.711540000004</v>
      </c>
      <c r="AC1599" s="130">
        <v>10487127.02846</v>
      </c>
    </row>
    <row r="1600" spans="1:29" x14ac:dyDescent="0.25">
      <c r="A1600" t="str">
        <f t="shared" si="25"/>
        <v xml:space="preserve">72636UDIBONO 261203      </v>
      </c>
      <c r="B1600" s="96">
        <v>72636</v>
      </c>
      <c r="C1600" s="96" t="s">
        <v>841</v>
      </c>
      <c r="D1600" s="96" t="s">
        <v>394</v>
      </c>
      <c r="E1600" s="96" t="s">
        <v>623</v>
      </c>
      <c r="F1600" s="96" t="s">
        <v>624</v>
      </c>
      <c r="G1600" s="99">
        <v>22</v>
      </c>
      <c r="H1600" s="97">
        <v>684.88915799999995</v>
      </c>
      <c r="I1600" s="98">
        <v>15067.561476000001</v>
      </c>
      <c r="J1600" s="97">
        <v>674.82119490000002</v>
      </c>
      <c r="K1600" s="98">
        <v>221.4951882</v>
      </c>
      <c r="L1600" s="99">
        <v>0</v>
      </c>
      <c r="M1600" s="98">
        <v>0</v>
      </c>
      <c r="N1600" s="99">
        <v>0</v>
      </c>
      <c r="O1600" s="98">
        <v>0</v>
      </c>
      <c r="P1600" s="99">
        <v>22</v>
      </c>
      <c r="Q1600" s="98">
        <v>15067.561476000001</v>
      </c>
      <c r="R1600" s="96" t="s">
        <v>625</v>
      </c>
      <c r="S1600" s="96">
        <v>7414000005</v>
      </c>
      <c r="AA1600" s="131" t="s">
        <v>501</v>
      </c>
      <c r="AB1600" s="130">
        <v>0</v>
      </c>
      <c r="AC1600" s="130">
        <v>11883195.5</v>
      </c>
    </row>
    <row r="1601" spans="1:29" x14ac:dyDescent="0.25">
      <c r="A1601" t="str">
        <f t="shared" si="25"/>
        <v xml:space="preserve">72636UDIBONO 281130      </v>
      </c>
      <c r="B1601" s="96">
        <v>72636</v>
      </c>
      <c r="C1601" s="96" t="s">
        <v>841</v>
      </c>
      <c r="D1601" s="96" t="s">
        <v>395</v>
      </c>
      <c r="E1601" s="96" t="s">
        <v>623</v>
      </c>
      <c r="F1601" s="96" t="s">
        <v>624</v>
      </c>
      <c r="G1601" s="99">
        <v>13</v>
      </c>
      <c r="H1601" s="97">
        <v>772.926965</v>
      </c>
      <c r="I1601" s="98">
        <v>10048.050545</v>
      </c>
      <c r="J1601" s="97">
        <v>803.51182437</v>
      </c>
      <c r="K1601" s="98">
        <v>-397.60317180999999</v>
      </c>
      <c r="L1601" s="99">
        <v>0</v>
      </c>
      <c r="M1601" s="98">
        <v>0</v>
      </c>
      <c r="N1601" s="99">
        <v>0</v>
      </c>
      <c r="O1601" s="98">
        <v>0</v>
      </c>
      <c r="P1601" s="99">
        <v>13</v>
      </c>
      <c r="Q1601" s="98">
        <v>10048.050545</v>
      </c>
      <c r="R1601" s="96" t="s">
        <v>625</v>
      </c>
      <c r="S1601" s="96">
        <v>7414000005</v>
      </c>
      <c r="AA1601" s="131" t="s">
        <v>571</v>
      </c>
      <c r="AB1601" s="130">
        <v>4668558.496146</v>
      </c>
      <c r="AC1601" s="130">
        <v>4668558.496146</v>
      </c>
    </row>
    <row r="1602" spans="1:29" x14ac:dyDescent="0.25">
      <c r="A1602" t="str">
        <f t="shared" si="25"/>
        <v xml:space="preserve">72636UDIBONO 311127      </v>
      </c>
      <c r="B1602" s="96">
        <v>72636</v>
      </c>
      <c r="C1602" s="96" t="s">
        <v>841</v>
      </c>
      <c r="D1602" s="96" t="s">
        <v>396</v>
      </c>
      <c r="E1602" s="96" t="s">
        <v>623</v>
      </c>
      <c r="F1602" s="96" t="s">
        <v>624</v>
      </c>
      <c r="G1602" s="99">
        <v>13</v>
      </c>
      <c r="H1602" s="97">
        <v>721.59464000000003</v>
      </c>
      <c r="I1602" s="98">
        <v>9380.7303200000006</v>
      </c>
      <c r="J1602" s="97">
        <v>756.22640349384619</v>
      </c>
      <c r="K1602" s="98">
        <v>-450.21292541999998</v>
      </c>
      <c r="L1602" s="99">
        <v>0</v>
      </c>
      <c r="M1602" s="98">
        <v>0</v>
      </c>
      <c r="N1602" s="99">
        <v>0</v>
      </c>
      <c r="O1602" s="98">
        <v>0</v>
      </c>
      <c r="P1602" s="99">
        <v>13</v>
      </c>
      <c r="Q1602" s="98">
        <v>9380.7303200000006</v>
      </c>
      <c r="R1602" s="96" t="s">
        <v>625</v>
      </c>
      <c r="S1602" s="96">
        <v>7414000005</v>
      </c>
      <c r="AA1602" s="131" t="s">
        <v>572</v>
      </c>
      <c r="AB1602" s="130">
        <v>1099156.1569999999</v>
      </c>
      <c r="AC1602" s="130">
        <v>1099156.1569999999</v>
      </c>
    </row>
    <row r="1603" spans="1:29" x14ac:dyDescent="0.25">
      <c r="A1603" t="str">
        <f t="shared" si="25"/>
        <v xml:space="preserve">72636UDIBONO 351122      </v>
      </c>
      <c r="B1603" s="96">
        <v>72636</v>
      </c>
      <c r="C1603" s="96" t="s">
        <v>841</v>
      </c>
      <c r="D1603" s="96" t="s">
        <v>397</v>
      </c>
      <c r="E1603" s="96" t="s">
        <v>623</v>
      </c>
      <c r="F1603" s="96" t="s">
        <v>624</v>
      </c>
      <c r="G1603" s="99">
        <v>3</v>
      </c>
      <c r="H1603" s="97">
        <v>635.96311900000001</v>
      </c>
      <c r="I1603" s="98">
        <v>1907.889357</v>
      </c>
      <c r="J1603" s="97">
        <v>673.26646482000001</v>
      </c>
      <c r="K1603" s="98">
        <v>-111.91003746</v>
      </c>
      <c r="L1603" s="99">
        <v>0</v>
      </c>
      <c r="M1603" s="98">
        <v>0</v>
      </c>
      <c r="N1603" s="99">
        <v>0</v>
      </c>
      <c r="O1603" s="98">
        <v>0</v>
      </c>
      <c r="P1603" s="99">
        <v>3</v>
      </c>
      <c r="Q1603" s="98">
        <v>1907.889357</v>
      </c>
      <c r="R1603" s="96" t="s">
        <v>625</v>
      </c>
      <c r="S1603" s="96">
        <v>7414000005</v>
      </c>
      <c r="AA1603" s="131" t="s">
        <v>573</v>
      </c>
      <c r="AB1603" s="130">
        <v>5528919.0685799997</v>
      </c>
      <c r="AC1603" s="130">
        <v>5528919.0685799997</v>
      </c>
    </row>
    <row r="1604" spans="1:29" x14ac:dyDescent="0.25">
      <c r="A1604" t="str">
        <f t="shared" si="25"/>
        <v xml:space="preserve">72636UDIBONO 401115      </v>
      </c>
      <c r="B1604" s="96">
        <v>72636</v>
      </c>
      <c r="C1604" s="96" t="s">
        <v>841</v>
      </c>
      <c r="D1604" s="96" t="s">
        <v>398</v>
      </c>
      <c r="E1604" s="96" t="s">
        <v>623</v>
      </c>
      <c r="F1604" s="96" t="s">
        <v>624</v>
      </c>
      <c r="G1604" s="99">
        <v>15</v>
      </c>
      <c r="H1604" s="97">
        <v>709.36974099999998</v>
      </c>
      <c r="I1604" s="98">
        <v>10640.546114999999</v>
      </c>
      <c r="J1604" s="97">
        <v>725.54515143866672</v>
      </c>
      <c r="K1604" s="98">
        <v>-242.63115658000001</v>
      </c>
      <c r="L1604" s="99">
        <v>0</v>
      </c>
      <c r="M1604" s="98">
        <v>0</v>
      </c>
      <c r="N1604" s="99">
        <v>0</v>
      </c>
      <c r="O1604" s="98">
        <v>0</v>
      </c>
      <c r="P1604" s="99">
        <v>15</v>
      </c>
      <c r="Q1604" s="98">
        <v>10640.546114999999</v>
      </c>
      <c r="R1604" s="96" t="s">
        <v>625</v>
      </c>
      <c r="S1604" s="96">
        <v>7414000005</v>
      </c>
      <c r="AA1604" s="131" t="s">
        <v>574</v>
      </c>
      <c r="AB1604" s="130">
        <v>782778.74497600005</v>
      </c>
      <c r="AC1604" s="130">
        <v>782778.74497600005</v>
      </c>
    </row>
    <row r="1605" spans="1:29" x14ac:dyDescent="0.25">
      <c r="A1605" t="str">
        <f t="shared" si="25"/>
        <v xml:space="preserve">72636UDIBONO 431112      </v>
      </c>
      <c r="B1605" s="96">
        <v>72636</v>
      </c>
      <c r="C1605" s="96" t="s">
        <v>841</v>
      </c>
      <c r="D1605" s="96" t="s">
        <v>399</v>
      </c>
      <c r="E1605" s="96" t="s">
        <v>623</v>
      </c>
      <c r="F1605" s="96" t="s">
        <v>624</v>
      </c>
      <c r="G1605" s="99">
        <v>33</v>
      </c>
      <c r="H1605" s="97">
        <v>694.41118700000004</v>
      </c>
      <c r="I1605" s="98">
        <v>22915.569170999999</v>
      </c>
      <c r="J1605" s="97">
        <v>722.62972981424241</v>
      </c>
      <c r="K1605" s="98">
        <v>-931.21191286999999</v>
      </c>
      <c r="L1605" s="99">
        <v>0</v>
      </c>
      <c r="M1605" s="98">
        <v>0</v>
      </c>
      <c r="N1605" s="99">
        <v>0</v>
      </c>
      <c r="O1605" s="98">
        <v>0</v>
      </c>
      <c r="P1605" s="99">
        <v>33</v>
      </c>
      <c r="Q1605" s="98">
        <v>22915.569170999999</v>
      </c>
      <c r="R1605" s="96" t="s">
        <v>625</v>
      </c>
      <c r="S1605" s="96">
        <v>7414000005</v>
      </c>
      <c r="AA1605" s="131" t="s">
        <v>575</v>
      </c>
      <c r="AB1605" s="130">
        <v>3181874.6720759999</v>
      </c>
      <c r="AC1605" s="130">
        <v>3181874.6720759999</v>
      </c>
    </row>
    <row r="1606" spans="1:29" x14ac:dyDescent="0.25">
      <c r="A1606" t="str">
        <f t="shared" si="25"/>
        <v xml:space="preserve">72636UDIBONO 461108      </v>
      </c>
      <c r="B1606" s="96">
        <v>72637</v>
      </c>
      <c r="C1606" s="96" t="s">
        <v>842</v>
      </c>
      <c r="D1606" s="96" t="s">
        <v>357</v>
      </c>
      <c r="E1606" s="96" t="s">
        <v>623</v>
      </c>
      <c r="F1606" s="96" t="s">
        <v>624</v>
      </c>
      <c r="G1606" s="99">
        <v>3100</v>
      </c>
      <c r="H1606" s="97">
        <v>168.64</v>
      </c>
      <c r="I1606" s="98">
        <v>522784</v>
      </c>
      <c r="J1606" s="97">
        <v>178.5266935483871</v>
      </c>
      <c r="K1606" s="98">
        <v>-30648.75</v>
      </c>
      <c r="L1606" s="99">
        <v>0</v>
      </c>
      <c r="M1606" s="98">
        <v>0</v>
      </c>
      <c r="N1606" s="99">
        <v>0</v>
      </c>
      <c r="O1606" s="98">
        <v>0</v>
      </c>
      <c r="P1606" s="99">
        <v>3100</v>
      </c>
      <c r="Q1606" s="98">
        <v>522784</v>
      </c>
      <c r="R1606" s="96" t="s">
        <v>625</v>
      </c>
      <c r="S1606" s="96">
        <v>7414000005</v>
      </c>
      <c r="AA1606" s="131" t="s">
        <v>578</v>
      </c>
      <c r="AB1606" s="130">
        <v>1409503.23</v>
      </c>
      <c r="AC1606" s="130">
        <v>1409503.23</v>
      </c>
    </row>
    <row r="1607" spans="1:29" x14ac:dyDescent="0.25">
      <c r="A1607" t="str">
        <f t="shared" ref="A1607:A1670" si="26">B1605&amp;D1605</f>
        <v xml:space="preserve">72636UDIBONO 501103      </v>
      </c>
      <c r="B1607" s="96">
        <v>72637</v>
      </c>
      <c r="C1607" s="96" t="s">
        <v>842</v>
      </c>
      <c r="D1607" s="96" t="s">
        <v>358</v>
      </c>
      <c r="E1607" s="96" t="s">
        <v>623</v>
      </c>
      <c r="F1607" s="96" t="s">
        <v>624</v>
      </c>
      <c r="G1607" s="99">
        <v>3700</v>
      </c>
      <c r="H1607" s="97">
        <v>1786.5</v>
      </c>
      <c r="I1607" s="98">
        <v>6610050</v>
      </c>
      <c r="J1607" s="97">
        <v>1826.7352432432433</v>
      </c>
      <c r="K1607" s="98">
        <v>-148870.39999999999</v>
      </c>
      <c r="L1607" s="99">
        <v>0</v>
      </c>
      <c r="M1607" s="98">
        <v>0</v>
      </c>
      <c r="N1607" s="99">
        <v>0</v>
      </c>
      <c r="O1607" s="98">
        <v>0</v>
      </c>
      <c r="P1607" s="99">
        <v>3700</v>
      </c>
      <c r="Q1607" s="98">
        <v>6610050</v>
      </c>
      <c r="R1607" s="96" t="s">
        <v>625</v>
      </c>
      <c r="S1607" s="96">
        <v>7414000005</v>
      </c>
      <c r="AA1607" s="131" t="s">
        <v>579</v>
      </c>
      <c r="AB1607" s="130">
        <v>24959745.600000001</v>
      </c>
      <c r="AC1607" s="130">
        <v>24959745.600000001</v>
      </c>
    </row>
    <row r="1608" spans="1:29" x14ac:dyDescent="0.25">
      <c r="A1608" t="str">
        <f t="shared" si="26"/>
        <v xml:space="preserve">72637AC *                </v>
      </c>
      <c r="B1608" s="96">
        <v>72637</v>
      </c>
      <c r="C1608" s="96" t="s">
        <v>842</v>
      </c>
      <c r="D1608" s="96" t="s">
        <v>617</v>
      </c>
      <c r="E1608" s="96" t="s">
        <v>623</v>
      </c>
      <c r="F1608" s="96" t="s">
        <v>624</v>
      </c>
      <c r="G1608" s="99">
        <v>9800</v>
      </c>
      <c r="H1608" s="97">
        <v>11.86</v>
      </c>
      <c r="I1608" s="98">
        <v>116228</v>
      </c>
      <c r="J1608" s="97">
        <v>12.184011224489796</v>
      </c>
      <c r="K1608" s="98">
        <v>-3175.31</v>
      </c>
      <c r="L1608" s="99">
        <v>0</v>
      </c>
      <c r="M1608" s="98">
        <v>0</v>
      </c>
      <c r="N1608" s="99">
        <v>0</v>
      </c>
      <c r="O1608" s="98">
        <v>0</v>
      </c>
      <c r="P1608" s="99">
        <v>9800</v>
      </c>
      <c r="Q1608" s="98">
        <v>116228</v>
      </c>
      <c r="R1608" s="96" t="s">
        <v>625</v>
      </c>
      <c r="S1608" s="96">
        <v>7414000005</v>
      </c>
      <c r="AA1608" s="131" t="s">
        <v>581</v>
      </c>
      <c r="AB1608" s="130">
        <v>1542484.4361749999</v>
      </c>
      <c r="AC1608" s="130">
        <v>1542484.4361749999</v>
      </c>
    </row>
    <row r="1609" spans="1:29" x14ac:dyDescent="0.25">
      <c r="A1609" t="str">
        <f t="shared" si="26"/>
        <v xml:space="preserve">72637ACWI *              </v>
      </c>
      <c r="B1609" s="96">
        <v>72637</v>
      </c>
      <c r="C1609" s="96" t="s">
        <v>842</v>
      </c>
      <c r="D1609" s="96" t="s">
        <v>359</v>
      </c>
      <c r="E1609" s="96" t="s">
        <v>623</v>
      </c>
      <c r="F1609" s="96" t="s">
        <v>624</v>
      </c>
      <c r="G1609" s="99">
        <v>8600</v>
      </c>
      <c r="H1609" s="97">
        <v>73.37</v>
      </c>
      <c r="I1609" s="98">
        <v>630982</v>
      </c>
      <c r="J1609" s="97">
        <v>61.993534883720933</v>
      </c>
      <c r="K1609" s="98">
        <v>97837.6</v>
      </c>
      <c r="L1609" s="99">
        <v>0</v>
      </c>
      <c r="M1609" s="98">
        <v>0</v>
      </c>
      <c r="N1609" s="99">
        <v>0</v>
      </c>
      <c r="O1609" s="98">
        <v>0</v>
      </c>
      <c r="P1609" s="99">
        <v>8600</v>
      </c>
      <c r="Q1609" s="98">
        <v>630982</v>
      </c>
      <c r="R1609" s="96" t="s">
        <v>625</v>
      </c>
      <c r="S1609" s="96">
        <v>7414000005</v>
      </c>
      <c r="AA1609" s="131" t="s">
        <v>507</v>
      </c>
      <c r="AB1609" s="130">
        <v>-42881.337919999998</v>
      </c>
      <c r="AC1609" s="130">
        <v>3823974.6120799999</v>
      </c>
    </row>
    <row r="1610" spans="1:29" x14ac:dyDescent="0.25">
      <c r="A1610" t="str">
        <f t="shared" si="26"/>
        <v xml:space="preserve">72637ALPEK A             </v>
      </c>
      <c r="B1610" s="96">
        <v>72637</v>
      </c>
      <c r="C1610" s="96" t="s">
        <v>842</v>
      </c>
      <c r="D1610" s="96" t="s">
        <v>360</v>
      </c>
      <c r="E1610" s="96" t="s">
        <v>623</v>
      </c>
      <c r="F1610" s="96" t="s">
        <v>624</v>
      </c>
      <c r="G1610" s="99">
        <v>129000</v>
      </c>
      <c r="H1610" s="97">
        <v>15.12</v>
      </c>
      <c r="I1610" s="98">
        <v>1950480</v>
      </c>
      <c r="J1610" s="97">
        <v>16.199368839534884</v>
      </c>
      <c r="K1610" s="98">
        <v>-139238.5803</v>
      </c>
      <c r="L1610" s="99">
        <v>0</v>
      </c>
      <c r="M1610" s="98">
        <v>0</v>
      </c>
      <c r="N1610" s="99">
        <v>0</v>
      </c>
      <c r="O1610" s="98">
        <v>0</v>
      </c>
      <c r="P1610" s="99">
        <v>129000</v>
      </c>
      <c r="Q1610" s="98">
        <v>1950480</v>
      </c>
      <c r="R1610" s="96" t="s">
        <v>625</v>
      </c>
      <c r="S1610" s="96">
        <v>7414000005</v>
      </c>
      <c r="AA1610" s="131" t="s">
        <v>649</v>
      </c>
      <c r="AB1610" s="130">
        <v>153288181.78999999</v>
      </c>
      <c r="AC1610" s="130">
        <v>0</v>
      </c>
    </row>
    <row r="1611" spans="1:29" x14ac:dyDescent="0.25">
      <c r="A1611" t="str">
        <f t="shared" si="26"/>
        <v xml:space="preserve">72637ALSEA *             </v>
      </c>
      <c r="B1611" s="96">
        <v>72637</v>
      </c>
      <c r="C1611" s="96" t="s">
        <v>842</v>
      </c>
      <c r="D1611" s="96" t="s">
        <v>551</v>
      </c>
      <c r="E1611" s="96" t="s">
        <v>623</v>
      </c>
      <c r="F1611" s="96" t="s">
        <v>624</v>
      </c>
      <c r="G1611" s="99">
        <v>2400</v>
      </c>
      <c r="H1611" s="97">
        <v>525.09</v>
      </c>
      <c r="I1611" s="98">
        <v>1260216</v>
      </c>
      <c r="J1611" s="97">
        <v>492.05947083333331</v>
      </c>
      <c r="K1611" s="98">
        <v>79273.27</v>
      </c>
      <c r="L1611" s="99">
        <v>0</v>
      </c>
      <c r="M1611" s="98">
        <v>0</v>
      </c>
      <c r="N1611" s="99">
        <v>0</v>
      </c>
      <c r="O1611" s="98">
        <v>0</v>
      </c>
      <c r="P1611" s="99">
        <v>2400</v>
      </c>
      <c r="Q1611" s="98">
        <v>1260216</v>
      </c>
      <c r="R1611" s="96" t="s">
        <v>625</v>
      </c>
      <c r="S1611" s="96">
        <v>7414000005</v>
      </c>
      <c r="AA1611" s="129">
        <v>2000942</v>
      </c>
      <c r="AB1611" s="130">
        <v>12893457.061075</v>
      </c>
      <c r="AC1611" s="130">
        <v>19534703.461075004</v>
      </c>
    </row>
    <row r="1612" spans="1:29" x14ac:dyDescent="0.25">
      <c r="A1612" t="str">
        <f t="shared" si="26"/>
        <v xml:space="preserve">72637AMX B               </v>
      </c>
      <c r="B1612" s="96">
        <v>72637</v>
      </c>
      <c r="C1612" s="96" t="s">
        <v>842</v>
      </c>
      <c r="D1612" s="96" t="s">
        <v>361</v>
      </c>
      <c r="E1612" s="96" t="s">
        <v>623</v>
      </c>
      <c r="F1612" s="96" t="s">
        <v>624</v>
      </c>
      <c r="G1612" s="99">
        <v>5600</v>
      </c>
      <c r="H1612" s="97">
        <v>68.25</v>
      </c>
      <c r="I1612" s="98">
        <v>382200</v>
      </c>
      <c r="J1612" s="97">
        <v>78.630969642857139</v>
      </c>
      <c r="K1612" s="98">
        <v>-58133.43</v>
      </c>
      <c r="L1612" s="99">
        <v>0</v>
      </c>
      <c r="M1612" s="98">
        <v>0</v>
      </c>
      <c r="N1612" s="99">
        <v>0</v>
      </c>
      <c r="O1612" s="98">
        <v>0</v>
      </c>
      <c r="P1612" s="99">
        <v>5600</v>
      </c>
      <c r="Q1612" s="98">
        <v>382200</v>
      </c>
      <c r="R1612" s="96" t="s">
        <v>625</v>
      </c>
      <c r="S1612" s="96">
        <v>7414000005</v>
      </c>
      <c r="AA1612" s="131" t="s">
        <v>380</v>
      </c>
      <c r="AB1612" s="130">
        <v>2403837.46</v>
      </c>
      <c r="AC1612" s="130">
        <v>0</v>
      </c>
    </row>
    <row r="1613" spans="1:29" x14ac:dyDescent="0.25">
      <c r="A1613" t="str">
        <f t="shared" si="26"/>
        <v xml:space="preserve">72637ASUR B              </v>
      </c>
      <c r="B1613" s="96">
        <v>72637</v>
      </c>
      <c r="C1613" s="96" t="s">
        <v>842</v>
      </c>
      <c r="D1613" s="96" t="s">
        <v>362</v>
      </c>
      <c r="E1613" s="96" t="s">
        <v>623</v>
      </c>
      <c r="F1613" s="96" t="s">
        <v>624</v>
      </c>
      <c r="G1613" s="99">
        <v>156400</v>
      </c>
      <c r="H1613" s="97">
        <v>14.33</v>
      </c>
      <c r="I1613" s="98">
        <v>2241212</v>
      </c>
      <c r="J1613" s="97">
        <v>12.104430370843989</v>
      </c>
      <c r="K1613" s="98">
        <v>348079.09</v>
      </c>
      <c r="L1613" s="99">
        <v>0</v>
      </c>
      <c r="M1613" s="98">
        <v>0</v>
      </c>
      <c r="N1613" s="99">
        <v>0</v>
      </c>
      <c r="O1613" s="98">
        <v>0</v>
      </c>
      <c r="P1613" s="99">
        <v>156400</v>
      </c>
      <c r="Q1613" s="98">
        <v>2241212</v>
      </c>
      <c r="R1613" s="96" t="s">
        <v>625</v>
      </c>
      <c r="S1613" s="96">
        <v>7414000005</v>
      </c>
      <c r="AA1613" s="131" t="s">
        <v>382</v>
      </c>
      <c r="AB1613" s="130">
        <v>2388231.668995</v>
      </c>
      <c r="AC1613" s="130">
        <v>75439.618994999997</v>
      </c>
    </row>
    <row r="1614" spans="1:29" x14ac:dyDescent="0.25">
      <c r="A1614" t="str">
        <f t="shared" si="26"/>
        <v xml:space="preserve">72637BIMBO A             </v>
      </c>
      <c r="B1614" s="96">
        <v>72637</v>
      </c>
      <c r="C1614" s="96" t="s">
        <v>842</v>
      </c>
      <c r="D1614" s="96" t="s">
        <v>422</v>
      </c>
      <c r="E1614" s="96" t="s">
        <v>623</v>
      </c>
      <c r="F1614" s="96" t="s">
        <v>624</v>
      </c>
      <c r="G1614" s="99">
        <v>1072</v>
      </c>
      <c r="H1614" s="97">
        <v>97.654420999999999</v>
      </c>
      <c r="I1614" s="98">
        <v>104685.53931199999</v>
      </c>
      <c r="J1614" s="97">
        <v>98.224185000000006</v>
      </c>
      <c r="K1614" s="98">
        <v>-610.78700800000001</v>
      </c>
      <c r="L1614" s="99">
        <v>0</v>
      </c>
      <c r="M1614" s="98">
        <v>0</v>
      </c>
      <c r="N1614" s="99">
        <v>0</v>
      </c>
      <c r="O1614" s="98">
        <v>0</v>
      </c>
      <c r="P1614" s="99">
        <v>1072</v>
      </c>
      <c r="Q1614" s="98">
        <v>104685.53931199999</v>
      </c>
      <c r="R1614" s="96" t="s">
        <v>625</v>
      </c>
      <c r="S1614" s="96">
        <v>7414000005</v>
      </c>
      <c r="AA1614" s="131" t="s">
        <v>427</v>
      </c>
      <c r="AB1614" s="130">
        <v>143539.12763999999</v>
      </c>
      <c r="AC1614" s="130">
        <v>143539.12763999999</v>
      </c>
    </row>
    <row r="1615" spans="1:29" x14ac:dyDescent="0.25">
      <c r="A1615" t="str">
        <f t="shared" si="26"/>
        <v xml:space="preserve">72637CEMEX CPO           </v>
      </c>
      <c r="B1615" s="96">
        <v>72637</v>
      </c>
      <c r="C1615" s="96" t="s">
        <v>842</v>
      </c>
      <c r="D1615" s="96" t="s">
        <v>363</v>
      </c>
      <c r="E1615" s="96" t="s">
        <v>623</v>
      </c>
      <c r="F1615" s="96" t="s">
        <v>624</v>
      </c>
      <c r="G1615" s="99">
        <v>228935</v>
      </c>
      <c r="H1615" s="97">
        <v>9.4935880000000008</v>
      </c>
      <c r="I1615" s="98">
        <v>2173414.5687799999</v>
      </c>
      <c r="J1615" s="97">
        <v>8.4405498100000003</v>
      </c>
      <c r="K1615" s="98">
        <v>241077.29802764999</v>
      </c>
      <c r="L1615" s="99">
        <v>0</v>
      </c>
      <c r="M1615" s="98">
        <v>0</v>
      </c>
      <c r="N1615" s="99">
        <v>0</v>
      </c>
      <c r="O1615" s="98">
        <v>0</v>
      </c>
      <c r="P1615" s="99">
        <v>228935</v>
      </c>
      <c r="Q1615" s="98">
        <v>2173414.5687799999</v>
      </c>
      <c r="R1615" s="96" t="s">
        <v>625</v>
      </c>
      <c r="S1615" s="96">
        <v>7414000005</v>
      </c>
      <c r="AA1615" s="131" t="s">
        <v>408</v>
      </c>
      <c r="AB1615" s="130">
        <v>2331037.42</v>
      </c>
      <c r="AC1615" s="130">
        <v>0</v>
      </c>
    </row>
    <row r="1616" spans="1:29" x14ac:dyDescent="0.25">
      <c r="A1616" t="str">
        <f t="shared" si="26"/>
        <v xml:space="preserve">72637CETELEM 22          </v>
      </c>
      <c r="B1616" s="96">
        <v>72637</v>
      </c>
      <c r="C1616" s="96" t="s">
        <v>842</v>
      </c>
      <c r="D1616" s="96" t="s">
        <v>409</v>
      </c>
      <c r="E1616" s="96" t="s">
        <v>623</v>
      </c>
      <c r="F1616" s="96" t="s">
        <v>624</v>
      </c>
      <c r="G1616" s="99">
        <v>311790</v>
      </c>
      <c r="H1616" s="97">
        <v>9.3381629999999998</v>
      </c>
      <c r="I1616" s="98">
        <v>2911545.8417699998</v>
      </c>
      <c r="J1616" s="97">
        <v>8.3307969100000001</v>
      </c>
      <c r="K1616" s="98">
        <v>314086.67320110003</v>
      </c>
      <c r="L1616" s="99">
        <v>0</v>
      </c>
      <c r="M1616" s="98">
        <v>0</v>
      </c>
      <c r="N1616" s="99">
        <v>0</v>
      </c>
      <c r="O1616" s="98">
        <v>0</v>
      </c>
      <c r="P1616" s="99">
        <v>311790</v>
      </c>
      <c r="Q1616" s="98">
        <v>2911545.8417699998</v>
      </c>
      <c r="R1616" s="96" t="s">
        <v>625</v>
      </c>
      <c r="S1616" s="96">
        <v>7414000005</v>
      </c>
      <c r="AA1616" s="131" t="s">
        <v>384</v>
      </c>
      <c r="AB1616" s="130">
        <v>-1196.5837200000001</v>
      </c>
      <c r="AC1616" s="130">
        <v>32532.066279999999</v>
      </c>
    </row>
    <row r="1617" spans="1:29" x14ac:dyDescent="0.25">
      <c r="A1617" t="str">
        <f t="shared" si="26"/>
        <v xml:space="preserve">72637CETES 241003        </v>
      </c>
      <c r="B1617" s="96">
        <v>72637</v>
      </c>
      <c r="C1617" s="96" t="s">
        <v>842</v>
      </c>
      <c r="D1617" s="96" t="s">
        <v>365</v>
      </c>
      <c r="E1617" s="96" t="s">
        <v>623</v>
      </c>
      <c r="F1617" s="96" t="s">
        <v>624</v>
      </c>
      <c r="G1617" s="99">
        <v>2430</v>
      </c>
      <c r="H1617" s="97">
        <v>675.38</v>
      </c>
      <c r="I1617" s="98">
        <v>1641173.4</v>
      </c>
      <c r="J1617" s="97">
        <v>749.08651028806582</v>
      </c>
      <c r="K1617" s="98">
        <v>-179106.82</v>
      </c>
      <c r="L1617" s="99">
        <v>0</v>
      </c>
      <c r="M1617" s="98">
        <v>0</v>
      </c>
      <c r="N1617" s="99">
        <v>0</v>
      </c>
      <c r="O1617" s="98">
        <v>0</v>
      </c>
      <c r="P1617" s="99">
        <v>2430</v>
      </c>
      <c r="Q1617" s="98">
        <v>1641173.4</v>
      </c>
      <c r="R1617" s="96" t="s">
        <v>625</v>
      </c>
      <c r="S1617" s="96">
        <v>7414000005</v>
      </c>
      <c r="AA1617" s="131" t="s">
        <v>389</v>
      </c>
      <c r="AB1617" s="130">
        <v>3021527.2003879999</v>
      </c>
      <c r="AC1617" s="130">
        <v>3021527.2003879999</v>
      </c>
    </row>
    <row r="1618" spans="1:29" x14ac:dyDescent="0.25">
      <c r="A1618" t="str">
        <f t="shared" si="26"/>
        <v xml:space="preserve">72637CETES 241128        </v>
      </c>
      <c r="B1618" s="96">
        <v>72637</v>
      </c>
      <c r="C1618" s="96" t="s">
        <v>842</v>
      </c>
      <c r="D1618" s="96" t="s">
        <v>367</v>
      </c>
      <c r="E1618" s="96" t="s">
        <v>623</v>
      </c>
      <c r="F1618" s="96" t="s">
        <v>624</v>
      </c>
      <c r="G1618" s="99">
        <v>525</v>
      </c>
      <c r="H1618" s="97">
        <v>700.65</v>
      </c>
      <c r="I1618" s="98">
        <v>367841.25</v>
      </c>
      <c r="J1618" s="97">
        <v>742.85199999999998</v>
      </c>
      <c r="K1618" s="98">
        <v>-22156.05</v>
      </c>
      <c r="L1618" s="99">
        <v>0</v>
      </c>
      <c r="M1618" s="98">
        <v>0</v>
      </c>
      <c r="N1618" s="99">
        <v>0</v>
      </c>
      <c r="O1618" s="98">
        <v>0</v>
      </c>
      <c r="P1618" s="99">
        <v>525</v>
      </c>
      <c r="Q1618" s="98">
        <v>367841.25</v>
      </c>
      <c r="R1618" s="96" t="s">
        <v>625</v>
      </c>
      <c r="S1618" s="96">
        <v>7414000005</v>
      </c>
      <c r="AA1618" s="131" t="s">
        <v>395</v>
      </c>
      <c r="AB1618" s="130">
        <v>-3450.4501500000001</v>
      </c>
      <c r="AC1618" s="130">
        <v>224148.81985</v>
      </c>
    </row>
    <row r="1619" spans="1:29" x14ac:dyDescent="0.25">
      <c r="A1619" t="str">
        <f t="shared" si="26"/>
        <v xml:space="preserve">72637EEM *               </v>
      </c>
      <c r="B1619" s="96">
        <v>72637</v>
      </c>
      <c r="C1619" s="96" t="s">
        <v>842</v>
      </c>
      <c r="D1619" s="96" t="s">
        <v>368</v>
      </c>
      <c r="E1619" s="96" t="s">
        <v>623</v>
      </c>
      <c r="F1619" s="96" t="s">
        <v>624</v>
      </c>
      <c r="G1619" s="99">
        <v>1080</v>
      </c>
      <c r="H1619" s="97">
        <v>1151</v>
      </c>
      <c r="I1619" s="98">
        <v>1243080</v>
      </c>
      <c r="J1619" s="97">
        <v>968.06100000000004</v>
      </c>
      <c r="K1619" s="98">
        <v>197574.12</v>
      </c>
      <c r="L1619" s="99">
        <v>0</v>
      </c>
      <c r="M1619" s="98">
        <v>0</v>
      </c>
      <c r="N1619" s="99">
        <v>0</v>
      </c>
      <c r="O1619" s="98">
        <v>0</v>
      </c>
      <c r="P1619" s="99">
        <v>1080</v>
      </c>
      <c r="Q1619" s="98">
        <v>1243080</v>
      </c>
      <c r="R1619" s="96" t="s">
        <v>625</v>
      </c>
      <c r="S1619" s="96">
        <v>7414000005</v>
      </c>
      <c r="AA1619" s="131" t="s">
        <v>396</v>
      </c>
      <c r="AB1619" s="130">
        <v>-2456.3988800000002</v>
      </c>
      <c r="AC1619" s="130">
        <v>168131.55111999999</v>
      </c>
    </row>
    <row r="1620" spans="1:29" x14ac:dyDescent="0.25">
      <c r="A1620" t="str">
        <f t="shared" si="26"/>
        <v xml:space="preserve">72637EPP *               </v>
      </c>
      <c r="B1620" s="96">
        <v>72637</v>
      </c>
      <c r="C1620" s="96" t="s">
        <v>842</v>
      </c>
      <c r="D1620" s="96" t="s">
        <v>369</v>
      </c>
      <c r="E1620" s="96" t="s">
        <v>623</v>
      </c>
      <c r="F1620" s="96" t="s">
        <v>624</v>
      </c>
      <c r="G1620" s="99">
        <v>11600</v>
      </c>
      <c r="H1620" s="97">
        <v>207.81</v>
      </c>
      <c r="I1620" s="98">
        <v>2410596</v>
      </c>
      <c r="J1620" s="97">
        <v>177.41442931034481</v>
      </c>
      <c r="K1620" s="98">
        <v>352588.62</v>
      </c>
      <c r="L1620" s="99">
        <v>0</v>
      </c>
      <c r="M1620" s="98">
        <v>0</v>
      </c>
      <c r="N1620" s="99">
        <v>0</v>
      </c>
      <c r="O1620" s="98">
        <v>0</v>
      </c>
      <c r="P1620" s="99">
        <v>11600</v>
      </c>
      <c r="Q1620" s="98">
        <v>2410596</v>
      </c>
      <c r="R1620" s="96" t="s">
        <v>625</v>
      </c>
      <c r="S1620" s="96">
        <v>7414000005</v>
      </c>
      <c r="AA1620" s="131" t="s">
        <v>398</v>
      </c>
      <c r="AB1620" s="130">
        <v>-2622.0700879999999</v>
      </c>
      <c r="AC1620" s="130">
        <v>164573.779912</v>
      </c>
    </row>
    <row r="1621" spans="1:29" x14ac:dyDescent="0.25">
      <c r="A1621" t="str">
        <f t="shared" si="26"/>
        <v xml:space="preserve">72637EWJ *               </v>
      </c>
      <c r="B1621" s="96">
        <v>72637</v>
      </c>
      <c r="C1621" s="96" t="s">
        <v>842</v>
      </c>
      <c r="D1621" s="96" t="s">
        <v>370</v>
      </c>
      <c r="E1621" s="96" t="s">
        <v>623</v>
      </c>
      <c r="F1621" s="96" t="s">
        <v>624</v>
      </c>
      <c r="G1621" s="99">
        <v>1200</v>
      </c>
      <c r="H1621" s="97">
        <v>271.94</v>
      </c>
      <c r="I1621" s="98">
        <v>326328</v>
      </c>
      <c r="J1621" s="97">
        <v>293.563875</v>
      </c>
      <c r="K1621" s="98">
        <v>-25948.65</v>
      </c>
      <c r="L1621" s="99">
        <v>0</v>
      </c>
      <c r="M1621" s="98">
        <v>0</v>
      </c>
      <c r="N1621" s="99">
        <v>0</v>
      </c>
      <c r="O1621" s="98">
        <v>0</v>
      </c>
      <c r="P1621" s="99">
        <v>1200</v>
      </c>
      <c r="Q1621" s="98">
        <v>326328</v>
      </c>
      <c r="R1621" s="96" t="s">
        <v>625</v>
      </c>
      <c r="S1621" s="96">
        <v>7414000005</v>
      </c>
      <c r="AA1621" s="131" t="s">
        <v>357</v>
      </c>
      <c r="AB1621" s="130">
        <v>-1148.8900000000001</v>
      </c>
      <c r="AC1621" s="130">
        <v>252960</v>
      </c>
    </row>
    <row r="1622" spans="1:29" x14ac:dyDescent="0.25">
      <c r="A1622" t="str">
        <f t="shared" si="26"/>
        <v xml:space="preserve">72637FEMSA UBD           </v>
      </c>
      <c r="B1622" s="96">
        <v>72637</v>
      </c>
      <c r="C1622" s="96" t="s">
        <v>842</v>
      </c>
      <c r="D1622" s="96" t="s">
        <v>371</v>
      </c>
      <c r="E1622" s="96" t="s">
        <v>623</v>
      </c>
      <c r="F1622" s="96" t="s">
        <v>624</v>
      </c>
      <c r="G1622" s="99">
        <v>4000</v>
      </c>
      <c r="H1622" s="97">
        <v>193.15</v>
      </c>
      <c r="I1622" s="98">
        <v>772600</v>
      </c>
      <c r="J1622" s="97">
        <v>163.350145</v>
      </c>
      <c r="K1622" s="98">
        <v>119199.42</v>
      </c>
      <c r="L1622" s="99">
        <v>0</v>
      </c>
      <c r="M1622" s="98">
        <v>0</v>
      </c>
      <c r="N1622" s="99">
        <v>0</v>
      </c>
      <c r="O1622" s="98">
        <v>0</v>
      </c>
      <c r="P1622" s="99">
        <v>4000</v>
      </c>
      <c r="Q1622" s="98">
        <v>772600</v>
      </c>
      <c r="R1622" s="96" t="s">
        <v>625</v>
      </c>
      <c r="S1622" s="96">
        <v>7414000005</v>
      </c>
      <c r="AA1622" s="131" t="s">
        <v>506</v>
      </c>
      <c r="AB1622" s="130">
        <v>-77.400000000000006</v>
      </c>
      <c r="AC1622" s="130">
        <v>172224</v>
      </c>
    </row>
    <row r="1623" spans="1:29" x14ac:dyDescent="0.25">
      <c r="A1623" t="str">
        <f t="shared" si="26"/>
        <v xml:space="preserve">72637GAP B               </v>
      </c>
      <c r="B1623" s="96">
        <v>72637</v>
      </c>
      <c r="C1623" s="96" t="s">
        <v>842</v>
      </c>
      <c r="D1623" s="96" t="s">
        <v>372</v>
      </c>
      <c r="E1623" s="96" t="s">
        <v>623</v>
      </c>
      <c r="F1623" s="96" t="s">
        <v>624</v>
      </c>
      <c r="G1623" s="99">
        <v>29000</v>
      </c>
      <c r="H1623" s="97">
        <v>27.12</v>
      </c>
      <c r="I1623" s="98">
        <v>786480</v>
      </c>
      <c r="J1623" s="97">
        <v>22.472498620689656</v>
      </c>
      <c r="K1623" s="98">
        <v>134777.54</v>
      </c>
      <c r="L1623" s="99">
        <v>0</v>
      </c>
      <c r="M1623" s="98">
        <v>0</v>
      </c>
      <c r="N1623" s="99">
        <v>0</v>
      </c>
      <c r="O1623" s="98">
        <v>0</v>
      </c>
      <c r="P1623" s="99">
        <v>29000</v>
      </c>
      <c r="Q1623" s="98">
        <v>786480</v>
      </c>
      <c r="R1623" s="96" t="s">
        <v>625</v>
      </c>
      <c r="S1623" s="96">
        <v>7414000005</v>
      </c>
      <c r="AA1623" s="131" t="s">
        <v>359</v>
      </c>
      <c r="AB1623" s="130">
        <v>86840.58</v>
      </c>
      <c r="AC1623" s="130">
        <v>183425</v>
      </c>
    </row>
    <row r="1624" spans="1:29" x14ac:dyDescent="0.25">
      <c r="A1624" t="str">
        <f t="shared" si="26"/>
        <v xml:space="preserve">72637GCC *               </v>
      </c>
      <c r="B1624" s="96">
        <v>72637</v>
      </c>
      <c r="C1624" s="96" t="s">
        <v>842</v>
      </c>
      <c r="D1624" s="96" t="s">
        <v>373</v>
      </c>
      <c r="E1624" s="96" t="s">
        <v>623</v>
      </c>
      <c r="F1624" s="96" t="s">
        <v>624</v>
      </c>
      <c r="G1624" s="99">
        <v>18400</v>
      </c>
      <c r="H1624" s="97">
        <v>176.44</v>
      </c>
      <c r="I1624" s="98">
        <v>3246496</v>
      </c>
      <c r="J1624" s="97">
        <v>148.34452989130435</v>
      </c>
      <c r="K1624" s="98">
        <v>516956.65</v>
      </c>
      <c r="L1624" s="99">
        <v>0</v>
      </c>
      <c r="M1624" s="98">
        <v>0</v>
      </c>
      <c r="N1624" s="99">
        <v>0</v>
      </c>
      <c r="O1624" s="98">
        <v>0</v>
      </c>
      <c r="P1624" s="99">
        <v>18400</v>
      </c>
      <c r="Q1624" s="98">
        <v>3246496</v>
      </c>
      <c r="R1624" s="96" t="s">
        <v>625</v>
      </c>
      <c r="S1624" s="96">
        <v>7414000005</v>
      </c>
      <c r="AA1624" s="131" t="s">
        <v>551</v>
      </c>
      <c r="AB1624" s="130">
        <v>-3150.66</v>
      </c>
      <c r="AC1624" s="130">
        <v>288799.5</v>
      </c>
    </row>
    <row r="1625" spans="1:29" x14ac:dyDescent="0.25">
      <c r="A1625" t="str">
        <f t="shared" si="26"/>
        <v xml:space="preserve">72637GENTERA *           </v>
      </c>
      <c r="B1625" s="96">
        <v>72637</v>
      </c>
      <c r="C1625" s="96" t="s">
        <v>842</v>
      </c>
      <c r="D1625" s="96" t="s">
        <v>374</v>
      </c>
      <c r="E1625" s="96" t="s">
        <v>623</v>
      </c>
      <c r="F1625" s="96" t="s">
        <v>624</v>
      </c>
      <c r="G1625" s="99">
        <v>23300</v>
      </c>
      <c r="H1625" s="97">
        <v>104.12</v>
      </c>
      <c r="I1625" s="98">
        <v>2425996</v>
      </c>
      <c r="J1625" s="97">
        <v>83.804112875536475</v>
      </c>
      <c r="K1625" s="98">
        <v>473360.17</v>
      </c>
      <c r="L1625" s="99">
        <v>0</v>
      </c>
      <c r="M1625" s="98">
        <v>0</v>
      </c>
      <c r="N1625" s="99">
        <v>0</v>
      </c>
      <c r="O1625" s="98">
        <v>0</v>
      </c>
      <c r="P1625" s="99">
        <v>23300</v>
      </c>
      <c r="Q1625" s="98">
        <v>2425996</v>
      </c>
      <c r="R1625" s="96" t="s">
        <v>625</v>
      </c>
      <c r="S1625" s="96">
        <v>7414000005</v>
      </c>
      <c r="AA1625" s="131" t="s">
        <v>361</v>
      </c>
      <c r="AB1625" s="130">
        <v>-1034.6300000000001</v>
      </c>
      <c r="AC1625" s="130">
        <v>174037.5</v>
      </c>
    </row>
    <row r="1626" spans="1:29" x14ac:dyDescent="0.25">
      <c r="A1626" t="str">
        <f t="shared" si="26"/>
        <v xml:space="preserve">72637GFNORTE O           </v>
      </c>
      <c r="B1626" s="96">
        <v>72637</v>
      </c>
      <c r="C1626" s="96" t="s">
        <v>842</v>
      </c>
      <c r="D1626" s="96" t="s">
        <v>375</v>
      </c>
      <c r="E1626" s="96" t="s">
        <v>623</v>
      </c>
      <c r="F1626" s="96" t="s">
        <v>624</v>
      </c>
      <c r="G1626" s="99">
        <v>15697</v>
      </c>
      <c r="H1626" s="97">
        <v>98.730349000000004</v>
      </c>
      <c r="I1626" s="98">
        <v>1549770.288253</v>
      </c>
      <c r="J1626" s="97">
        <v>104.03952863687456</v>
      </c>
      <c r="K1626" s="98">
        <v>-83338.19276002</v>
      </c>
      <c r="L1626" s="99">
        <v>0</v>
      </c>
      <c r="M1626" s="98">
        <v>0</v>
      </c>
      <c r="N1626" s="99">
        <v>0</v>
      </c>
      <c r="O1626" s="98">
        <v>0</v>
      </c>
      <c r="P1626" s="99">
        <v>15697</v>
      </c>
      <c r="Q1626" s="98">
        <v>1549770.288253</v>
      </c>
      <c r="R1626" s="96" t="s">
        <v>625</v>
      </c>
      <c r="S1626" s="96">
        <v>7414000005</v>
      </c>
      <c r="AA1626" s="131" t="s">
        <v>362</v>
      </c>
      <c r="AB1626" s="130">
        <v>-1612.95</v>
      </c>
      <c r="AC1626" s="130">
        <v>573200</v>
      </c>
    </row>
    <row r="1627" spans="1:29" x14ac:dyDescent="0.25">
      <c r="A1627" t="str">
        <f t="shared" si="26"/>
        <v xml:space="preserve">72637GMEXICO B           </v>
      </c>
      <c r="B1627" s="96">
        <v>72637</v>
      </c>
      <c r="C1627" s="96" t="s">
        <v>842</v>
      </c>
      <c r="D1627" s="96" t="s">
        <v>376</v>
      </c>
      <c r="E1627" s="96" t="s">
        <v>623</v>
      </c>
      <c r="F1627" s="96" t="s">
        <v>624</v>
      </c>
      <c r="G1627" s="99">
        <v>17750</v>
      </c>
      <c r="H1627" s="97">
        <v>99.247497999999993</v>
      </c>
      <c r="I1627" s="98">
        <v>1761643.0895</v>
      </c>
      <c r="J1627" s="97">
        <v>112.3990265691245</v>
      </c>
      <c r="K1627" s="98">
        <v>-233439.63210196001</v>
      </c>
      <c r="L1627" s="99">
        <v>0</v>
      </c>
      <c r="M1627" s="98">
        <v>0</v>
      </c>
      <c r="N1627" s="99">
        <v>0</v>
      </c>
      <c r="O1627" s="98">
        <v>0</v>
      </c>
      <c r="P1627" s="99">
        <v>17750</v>
      </c>
      <c r="Q1627" s="98">
        <v>1761643.0895</v>
      </c>
      <c r="R1627" s="96" t="s">
        <v>625</v>
      </c>
      <c r="S1627" s="96">
        <v>7414000005</v>
      </c>
      <c r="AA1627" s="131" t="s">
        <v>369</v>
      </c>
      <c r="AB1627" s="130">
        <v>-681.88</v>
      </c>
      <c r="AC1627" s="130">
        <v>914364</v>
      </c>
    </row>
    <row r="1628" spans="1:29" x14ac:dyDescent="0.25">
      <c r="A1628" t="str">
        <f t="shared" si="26"/>
        <v xml:space="preserve">72637GOBFED 240905       </v>
      </c>
      <c r="B1628" s="96">
        <v>72637</v>
      </c>
      <c r="C1628" s="96" t="s">
        <v>842</v>
      </c>
      <c r="D1628" s="96" t="s">
        <v>377</v>
      </c>
      <c r="E1628" s="96" t="s">
        <v>623</v>
      </c>
      <c r="F1628" s="96" t="s">
        <v>624</v>
      </c>
      <c r="G1628" s="99">
        <v>5330</v>
      </c>
      <c r="H1628" s="97">
        <v>94.973146999999997</v>
      </c>
      <c r="I1628" s="98">
        <v>506206.87351</v>
      </c>
      <c r="J1628" s="97">
        <v>89.776596093696057</v>
      </c>
      <c r="K1628" s="98">
        <v>27697.616330600002</v>
      </c>
      <c r="L1628" s="99">
        <v>0</v>
      </c>
      <c r="M1628" s="98">
        <v>0</v>
      </c>
      <c r="N1628" s="99">
        <v>0</v>
      </c>
      <c r="O1628" s="98">
        <v>0</v>
      </c>
      <c r="P1628" s="99">
        <v>5330</v>
      </c>
      <c r="Q1628" s="98">
        <v>506206.87351</v>
      </c>
      <c r="R1628" s="96" t="s">
        <v>625</v>
      </c>
      <c r="S1628" s="96">
        <v>7414000005</v>
      </c>
      <c r="AA1628" s="131" t="s">
        <v>370</v>
      </c>
      <c r="AB1628" s="130">
        <v>-22.51</v>
      </c>
      <c r="AC1628" s="130">
        <v>190358</v>
      </c>
    </row>
    <row r="1629" spans="1:29" x14ac:dyDescent="0.25">
      <c r="A1629" t="str">
        <f t="shared" si="26"/>
        <v xml:space="preserve">72637GOBFED 241205       </v>
      </c>
      <c r="B1629" s="96">
        <v>72637</v>
      </c>
      <c r="C1629" s="96" t="s">
        <v>842</v>
      </c>
      <c r="D1629" s="96" t="s">
        <v>378</v>
      </c>
      <c r="E1629" s="96" t="s">
        <v>623</v>
      </c>
      <c r="F1629" s="96" t="s">
        <v>624</v>
      </c>
      <c r="G1629" s="99">
        <v>18336</v>
      </c>
      <c r="H1629" s="97">
        <v>91.911821000000003</v>
      </c>
      <c r="I1629" s="98">
        <v>1685295.149856</v>
      </c>
      <c r="J1629" s="97">
        <v>93.2088459</v>
      </c>
      <c r="K1629" s="98">
        <v>-23782.248566400001</v>
      </c>
      <c r="L1629" s="99">
        <v>0</v>
      </c>
      <c r="M1629" s="98">
        <v>0</v>
      </c>
      <c r="N1629" s="99">
        <v>0</v>
      </c>
      <c r="O1629" s="98">
        <v>0</v>
      </c>
      <c r="P1629" s="99">
        <v>18336</v>
      </c>
      <c r="Q1629" s="98">
        <v>1685295.149856</v>
      </c>
      <c r="R1629" s="96" t="s">
        <v>625</v>
      </c>
      <c r="S1629" s="96">
        <v>7414000005</v>
      </c>
      <c r="AA1629" s="131" t="s">
        <v>372</v>
      </c>
      <c r="AB1629" s="130">
        <v>-1220.94</v>
      </c>
      <c r="AC1629" s="130">
        <v>143736</v>
      </c>
    </row>
    <row r="1630" spans="1:29" x14ac:dyDescent="0.25">
      <c r="A1630" t="str">
        <f t="shared" si="26"/>
        <v xml:space="preserve">72637GOBFED 250306       </v>
      </c>
      <c r="B1630" s="96">
        <v>72637</v>
      </c>
      <c r="C1630" s="96" t="s">
        <v>842</v>
      </c>
      <c r="D1630" s="96" t="s">
        <v>499</v>
      </c>
      <c r="E1630" s="96" t="s">
        <v>623</v>
      </c>
      <c r="F1630" s="96" t="s">
        <v>624</v>
      </c>
      <c r="G1630" s="99">
        <v>9390</v>
      </c>
      <c r="H1630" s="97">
        <v>92.954503000000003</v>
      </c>
      <c r="I1630" s="98">
        <v>872842.78316999995</v>
      </c>
      <c r="J1630" s="97">
        <v>93.326188568146961</v>
      </c>
      <c r="K1630" s="98">
        <v>-3490.1274849000001</v>
      </c>
      <c r="L1630" s="99">
        <v>0</v>
      </c>
      <c r="M1630" s="98">
        <v>0</v>
      </c>
      <c r="N1630" s="99">
        <v>0</v>
      </c>
      <c r="O1630" s="98">
        <v>0</v>
      </c>
      <c r="P1630" s="99">
        <v>9390</v>
      </c>
      <c r="Q1630" s="98">
        <v>872842.78316999995</v>
      </c>
      <c r="R1630" s="96" t="s">
        <v>625</v>
      </c>
      <c r="S1630" s="96">
        <v>7414000005</v>
      </c>
      <c r="AA1630" s="131" t="s">
        <v>373</v>
      </c>
      <c r="AB1630" s="130">
        <v>765.03</v>
      </c>
      <c r="AC1630" s="130">
        <v>1040996</v>
      </c>
    </row>
    <row r="1631" spans="1:29" x14ac:dyDescent="0.25">
      <c r="A1631" t="str">
        <f t="shared" si="26"/>
        <v xml:space="preserve">72637GOBFED 260305       </v>
      </c>
      <c r="B1631" s="96">
        <v>72637</v>
      </c>
      <c r="C1631" s="96" t="s">
        <v>842</v>
      </c>
      <c r="D1631" s="96" t="s">
        <v>379</v>
      </c>
      <c r="E1631" s="96" t="s">
        <v>623</v>
      </c>
      <c r="F1631" s="96" t="s">
        <v>624</v>
      </c>
      <c r="G1631" s="99">
        <v>9384</v>
      </c>
      <c r="H1631" s="97">
        <v>88.698122999999995</v>
      </c>
      <c r="I1631" s="98">
        <v>832343.18623200001</v>
      </c>
      <c r="J1631" s="97">
        <v>85.582633650971871</v>
      </c>
      <c r="K1631" s="98">
        <v>29235.75205128</v>
      </c>
      <c r="L1631" s="99">
        <v>0</v>
      </c>
      <c r="M1631" s="98">
        <v>0</v>
      </c>
      <c r="N1631" s="99">
        <v>0</v>
      </c>
      <c r="O1631" s="98">
        <v>0</v>
      </c>
      <c r="P1631" s="99">
        <v>9384</v>
      </c>
      <c r="Q1631" s="98">
        <v>832343.18623200001</v>
      </c>
      <c r="R1631" s="96" t="s">
        <v>625</v>
      </c>
      <c r="S1631" s="96">
        <v>7414000005</v>
      </c>
      <c r="AA1631" s="131" t="s">
        <v>374</v>
      </c>
      <c r="AB1631" s="130">
        <v>120441.29</v>
      </c>
      <c r="AC1631" s="130">
        <v>739252</v>
      </c>
    </row>
    <row r="1632" spans="1:29" x14ac:dyDescent="0.25">
      <c r="A1632" t="str">
        <f t="shared" si="26"/>
        <v xml:space="preserve">72637GOBFED 260903       </v>
      </c>
      <c r="B1632" s="96">
        <v>72637</v>
      </c>
      <c r="C1632" s="96" t="s">
        <v>842</v>
      </c>
      <c r="D1632" s="96" t="s">
        <v>380</v>
      </c>
      <c r="E1632" s="96" t="s">
        <v>623</v>
      </c>
      <c r="F1632" s="96" t="s">
        <v>624</v>
      </c>
      <c r="G1632" s="99">
        <v>18740</v>
      </c>
      <c r="H1632" s="97">
        <v>93.314192000000006</v>
      </c>
      <c r="I1632" s="98">
        <v>1748707.95808</v>
      </c>
      <c r="J1632" s="97">
        <v>98.84379737696905</v>
      </c>
      <c r="K1632" s="98">
        <v>-103624.8047644</v>
      </c>
      <c r="L1632" s="99">
        <v>0</v>
      </c>
      <c r="M1632" s="98">
        <v>0</v>
      </c>
      <c r="N1632" s="99">
        <v>0</v>
      </c>
      <c r="O1632" s="98">
        <v>0</v>
      </c>
      <c r="P1632" s="99">
        <v>18740</v>
      </c>
      <c r="Q1632" s="98">
        <v>1748707.95808</v>
      </c>
      <c r="R1632" s="96" t="s">
        <v>625</v>
      </c>
      <c r="S1632" s="96">
        <v>7414000005</v>
      </c>
      <c r="AA1632" s="131" t="s">
        <v>387</v>
      </c>
      <c r="AB1632" s="130">
        <v>-2477.02</v>
      </c>
      <c r="AC1632" s="130">
        <v>220094</v>
      </c>
    </row>
    <row r="1633" spans="1:29" x14ac:dyDescent="0.25">
      <c r="A1633" t="str">
        <f t="shared" si="26"/>
        <v xml:space="preserve">72637GOBFED 270304       </v>
      </c>
      <c r="B1633" s="96">
        <v>72637</v>
      </c>
      <c r="C1633" s="96" t="s">
        <v>842</v>
      </c>
      <c r="D1633" s="96" t="s">
        <v>507</v>
      </c>
      <c r="E1633" s="96" t="s">
        <v>623</v>
      </c>
      <c r="F1633" s="96" t="s">
        <v>624</v>
      </c>
      <c r="G1633" s="99">
        <v>16620</v>
      </c>
      <c r="H1633" s="97">
        <v>94.864168000000006</v>
      </c>
      <c r="I1633" s="98">
        <v>1576642.4721599999</v>
      </c>
      <c r="J1633" s="97">
        <v>96.405382591450064</v>
      </c>
      <c r="K1633" s="98">
        <v>-25614.986509900002</v>
      </c>
      <c r="L1633" s="99">
        <v>0</v>
      </c>
      <c r="M1633" s="98">
        <v>0</v>
      </c>
      <c r="N1633" s="99">
        <v>0</v>
      </c>
      <c r="O1633" s="98">
        <v>0</v>
      </c>
      <c r="P1633" s="99">
        <v>16620</v>
      </c>
      <c r="Q1633" s="98">
        <v>1576642.4721599999</v>
      </c>
      <c r="R1633" s="96" t="s">
        <v>625</v>
      </c>
      <c r="S1633" s="96">
        <v>7414000005</v>
      </c>
      <c r="AA1633" s="131" t="s">
        <v>419</v>
      </c>
      <c r="AB1633" s="130">
        <v>0</v>
      </c>
      <c r="AC1633" s="130">
        <v>0</v>
      </c>
    </row>
    <row r="1634" spans="1:29" x14ac:dyDescent="0.25">
      <c r="A1634" t="str">
        <f t="shared" si="26"/>
        <v xml:space="preserve">72637GOBFED 270603       </v>
      </c>
      <c r="B1634" s="96">
        <v>72637</v>
      </c>
      <c r="C1634" s="96" t="s">
        <v>842</v>
      </c>
      <c r="D1634" s="96" t="s">
        <v>381</v>
      </c>
      <c r="E1634" s="96" t="s">
        <v>623</v>
      </c>
      <c r="F1634" s="96" t="s">
        <v>624</v>
      </c>
      <c r="G1634" s="99">
        <v>46662</v>
      </c>
      <c r="H1634" s="97">
        <v>94.870157000000006</v>
      </c>
      <c r="I1634" s="98">
        <v>4426831.2659339998</v>
      </c>
      <c r="J1634" s="97">
        <v>96.755545584115552</v>
      </c>
      <c r="K1634" s="98">
        <v>-87976.002112000002</v>
      </c>
      <c r="L1634" s="99">
        <v>0</v>
      </c>
      <c r="M1634" s="98">
        <v>0</v>
      </c>
      <c r="N1634" s="99">
        <v>0</v>
      </c>
      <c r="O1634" s="98">
        <v>0</v>
      </c>
      <c r="P1634" s="99">
        <v>46662</v>
      </c>
      <c r="Q1634" s="98">
        <v>4426831.2659339998</v>
      </c>
      <c r="R1634" s="96" t="s">
        <v>625</v>
      </c>
      <c r="S1634" s="96">
        <v>7414000005</v>
      </c>
      <c r="AA1634" s="131" t="s">
        <v>580</v>
      </c>
      <c r="AB1634" s="130">
        <v>168.86</v>
      </c>
      <c r="AC1634" s="130">
        <v>191850</v>
      </c>
    </row>
    <row r="1635" spans="1:29" ht="35.25" customHeight="1" x14ac:dyDescent="0.25">
      <c r="A1635" t="str">
        <f t="shared" si="26"/>
        <v xml:space="preserve">72637GOBFED 290301       </v>
      </c>
      <c r="B1635" s="96">
        <v>72637</v>
      </c>
      <c r="C1635" s="96" t="s">
        <v>842</v>
      </c>
      <c r="D1635" s="96" t="s">
        <v>382</v>
      </c>
      <c r="E1635" s="96" t="s">
        <v>623</v>
      </c>
      <c r="F1635" s="96" t="s">
        <v>624</v>
      </c>
      <c r="G1635" s="99">
        <v>31021</v>
      </c>
      <c r="H1635" s="97">
        <v>89.489464999999996</v>
      </c>
      <c r="I1635" s="98">
        <v>2776052.693765</v>
      </c>
      <c r="J1635" s="97">
        <v>91.625033696637118</v>
      </c>
      <c r="K1635" s="98">
        <v>-66247.476538379997</v>
      </c>
      <c r="L1635" s="99">
        <v>0</v>
      </c>
      <c r="M1635" s="98">
        <v>0</v>
      </c>
      <c r="N1635" s="99">
        <v>0</v>
      </c>
      <c r="O1635" s="98">
        <v>0</v>
      </c>
      <c r="P1635" s="99">
        <v>31021</v>
      </c>
      <c r="Q1635" s="98">
        <v>2776052.693765</v>
      </c>
      <c r="R1635" s="96" t="s">
        <v>625</v>
      </c>
      <c r="S1635" s="96">
        <v>7414000005</v>
      </c>
      <c r="AA1635" s="131" t="s">
        <v>400</v>
      </c>
      <c r="AB1635" s="130">
        <v>78569.899999999994</v>
      </c>
      <c r="AC1635" s="130">
        <v>181877</v>
      </c>
    </row>
    <row r="1636" spans="1:29" x14ac:dyDescent="0.25">
      <c r="A1636" t="str">
        <f t="shared" si="26"/>
        <v xml:space="preserve">72637GOBFED 290531       </v>
      </c>
      <c r="B1636" s="96">
        <v>72637</v>
      </c>
      <c r="C1636" s="96" t="s">
        <v>842</v>
      </c>
      <c r="D1636" s="96" t="s">
        <v>383</v>
      </c>
      <c r="E1636" s="96" t="s">
        <v>623</v>
      </c>
      <c r="F1636" s="96" t="s">
        <v>624</v>
      </c>
      <c r="G1636" s="99">
        <v>46364</v>
      </c>
      <c r="H1636" s="97">
        <v>86.197128000000006</v>
      </c>
      <c r="I1636" s="98">
        <v>3996443.6425919998</v>
      </c>
      <c r="J1636" s="97">
        <v>89.230285410432657</v>
      </c>
      <c r="K1636" s="98">
        <v>-140629.31017730001</v>
      </c>
      <c r="L1636" s="99">
        <v>0</v>
      </c>
      <c r="M1636" s="98">
        <v>0</v>
      </c>
      <c r="N1636" s="99">
        <v>0</v>
      </c>
      <c r="O1636" s="98">
        <v>0</v>
      </c>
      <c r="P1636" s="99">
        <v>46364</v>
      </c>
      <c r="Q1636" s="98">
        <v>3996443.6425919998</v>
      </c>
      <c r="R1636" s="96" t="s">
        <v>625</v>
      </c>
      <c r="S1636" s="96">
        <v>7414000005</v>
      </c>
      <c r="AA1636" s="131" t="s">
        <v>403</v>
      </c>
      <c r="AB1636" s="130">
        <v>607.82000000000005</v>
      </c>
      <c r="AC1636" s="130">
        <v>646074</v>
      </c>
    </row>
    <row r="1637" spans="1:29" s="25" customFormat="1" x14ac:dyDescent="0.25">
      <c r="A1637" t="str">
        <f t="shared" si="26"/>
        <v xml:space="preserve">72637GOBFED 310529       </v>
      </c>
      <c r="B1637" s="96">
        <v>72637</v>
      </c>
      <c r="C1637" s="96" t="s">
        <v>842</v>
      </c>
      <c r="D1637" s="96" t="s">
        <v>427</v>
      </c>
      <c r="E1637" s="96" t="s">
        <v>623</v>
      </c>
      <c r="F1637" s="96" t="s">
        <v>624</v>
      </c>
      <c r="G1637" s="99">
        <v>31170</v>
      </c>
      <c r="H1637" s="97">
        <v>86.469353999999996</v>
      </c>
      <c r="I1637" s="98">
        <v>2695249.7641799999</v>
      </c>
      <c r="J1637" s="97">
        <v>90.753331323054212</v>
      </c>
      <c r="K1637" s="98">
        <v>-133531.5731596</v>
      </c>
      <c r="L1637" s="99">
        <v>0</v>
      </c>
      <c r="M1637" s="98">
        <v>0</v>
      </c>
      <c r="N1637" s="99">
        <v>0</v>
      </c>
      <c r="O1637" s="98">
        <v>0</v>
      </c>
      <c r="P1637" s="99">
        <v>31170</v>
      </c>
      <c r="Q1637" s="98">
        <v>2695249.7641799999</v>
      </c>
      <c r="R1637" s="96" t="s">
        <v>625</v>
      </c>
      <c r="S1637" s="96">
        <v>7414000005</v>
      </c>
      <c r="X1637" s="26"/>
      <c r="AA1637" s="131" t="s">
        <v>358</v>
      </c>
      <c r="AB1637" s="130">
        <v>-2280.1999999999998</v>
      </c>
      <c r="AC1637" s="130">
        <v>232245</v>
      </c>
    </row>
    <row r="1638" spans="1:29" s="25" customFormat="1" x14ac:dyDescent="0.25">
      <c r="A1638" t="str">
        <f t="shared" si="26"/>
        <v xml:space="preserve">72637GOBFED 330526       </v>
      </c>
      <c r="B1638" s="96">
        <v>72637</v>
      </c>
      <c r="C1638" s="96" t="s">
        <v>842</v>
      </c>
      <c r="D1638" s="96" t="s">
        <v>418</v>
      </c>
      <c r="E1638" s="96" t="s">
        <v>623</v>
      </c>
      <c r="F1638" s="96" t="s">
        <v>624</v>
      </c>
      <c r="G1638" s="99">
        <v>1504</v>
      </c>
      <c r="H1638" s="97">
        <v>101.45096599999999</v>
      </c>
      <c r="I1638" s="98">
        <v>152582.25286400001</v>
      </c>
      <c r="J1638" s="97">
        <v>114.11447106</v>
      </c>
      <c r="K1638" s="98">
        <v>-19045.91161024</v>
      </c>
      <c r="L1638" s="99">
        <v>0</v>
      </c>
      <c r="M1638" s="98">
        <v>0</v>
      </c>
      <c r="N1638" s="99">
        <v>0</v>
      </c>
      <c r="O1638" s="98">
        <v>0</v>
      </c>
      <c r="P1638" s="99">
        <v>1504</v>
      </c>
      <c r="Q1638" s="98">
        <v>152582.25286400001</v>
      </c>
      <c r="R1638" s="96" t="s">
        <v>625</v>
      </c>
      <c r="S1638" s="96">
        <v>7414000005</v>
      </c>
      <c r="T1638" s="27"/>
      <c r="X1638" s="26"/>
      <c r="AA1638" s="131" t="s">
        <v>365</v>
      </c>
      <c r="AB1638" s="130">
        <v>-1167</v>
      </c>
      <c r="AC1638" s="130">
        <v>202614</v>
      </c>
    </row>
    <row r="1639" spans="1:29" x14ac:dyDescent="0.25">
      <c r="A1639" t="str">
        <f t="shared" si="26"/>
        <v xml:space="preserve">72637GOBFED 341123       </v>
      </c>
      <c r="B1639" s="96">
        <v>72637</v>
      </c>
      <c r="C1639" s="96" t="s">
        <v>842</v>
      </c>
      <c r="D1639" s="96" t="s">
        <v>408</v>
      </c>
      <c r="E1639" s="96" t="s">
        <v>623</v>
      </c>
      <c r="F1639" s="96" t="s">
        <v>624</v>
      </c>
      <c r="G1639" s="99">
        <v>1379</v>
      </c>
      <c r="H1639" s="97">
        <v>89.643172000000007</v>
      </c>
      <c r="I1639" s="98">
        <v>123617.934188</v>
      </c>
      <c r="J1639" s="97">
        <v>108.47711812999999</v>
      </c>
      <c r="K1639" s="98">
        <v>-25972.01171327</v>
      </c>
      <c r="L1639" s="99">
        <v>0</v>
      </c>
      <c r="M1639" s="98">
        <v>0</v>
      </c>
      <c r="N1639" s="99">
        <v>0</v>
      </c>
      <c r="O1639" s="98">
        <v>0</v>
      </c>
      <c r="P1639" s="99">
        <v>1379</v>
      </c>
      <c r="Q1639" s="98">
        <v>123617.934188</v>
      </c>
      <c r="R1639" s="96" t="s">
        <v>625</v>
      </c>
      <c r="S1639" s="96">
        <v>7414000005</v>
      </c>
      <c r="AA1639" s="131" t="s">
        <v>367</v>
      </c>
      <c r="AB1639" s="130">
        <v>0</v>
      </c>
      <c r="AC1639" s="130">
        <v>47644.2</v>
      </c>
    </row>
    <row r="1640" spans="1:29" x14ac:dyDescent="0.25">
      <c r="A1640" t="str">
        <f t="shared" si="26"/>
        <v xml:space="preserve">72637GOBFED 361120       </v>
      </c>
      <c r="B1640" s="96">
        <v>72637</v>
      </c>
      <c r="C1640" s="96" t="s">
        <v>842</v>
      </c>
      <c r="D1640" s="96" t="s">
        <v>384</v>
      </c>
      <c r="E1640" s="96" t="s">
        <v>623</v>
      </c>
      <c r="F1640" s="96" t="s">
        <v>624</v>
      </c>
      <c r="G1640" s="99">
        <v>37318</v>
      </c>
      <c r="H1640" s="97">
        <v>81.738860000000003</v>
      </c>
      <c r="I1640" s="98">
        <v>3050330.7774800002</v>
      </c>
      <c r="J1640" s="97">
        <v>86.583587935914039</v>
      </c>
      <c r="K1640" s="98">
        <v>-180795.55711244</v>
      </c>
      <c r="L1640" s="99">
        <v>0</v>
      </c>
      <c r="M1640" s="98">
        <v>0</v>
      </c>
      <c r="N1640" s="99">
        <v>0</v>
      </c>
      <c r="O1640" s="98">
        <v>0</v>
      </c>
      <c r="P1640" s="99">
        <v>37318</v>
      </c>
      <c r="Q1640" s="98">
        <v>3050330.7774800002</v>
      </c>
      <c r="R1640" s="96" t="s">
        <v>625</v>
      </c>
      <c r="S1640" s="96">
        <v>7414000005</v>
      </c>
      <c r="AA1640" s="131" t="s">
        <v>368</v>
      </c>
      <c r="AB1640" s="130">
        <v>-1010.4</v>
      </c>
      <c r="AC1640" s="130">
        <v>138120</v>
      </c>
    </row>
    <row r="1641" spans="1:29" x14ac:dyDescent="0.25">
      <c r="A1641" t="str">
        <f t="shared" si="26"/>
        <v xml:space="preserve">72637GOBFED 381118       </v>
      </c>
      <c r="B1641" s="96">
        <v>72637</v>
      </c>
      <c r="C1641" s="96" t="s">
        <v>842</v>
      </c>
      <c r="D1641" s="96" t="s">
        <v>385</v>
      </c>
      <c r="E1641" s="96" t="s">
        <v>623</v>
      </c>
      <c r="F1641" s="96" t="s">
        <v>624</v>
      </c>
      <c r="G1641" s="99">
        <v>5580</v>
      </c>
      <c r="H1641" s="97">
        <v>83.200761</v>
      </c>
      <c r="I1641" s="98">
        <v>464260.24638000003</v>
      </c>
      <c r="J1641" s="97">
        <v>94.43845025129032</v>
      </c>
      <c r="K1641" s="98">
        <v>-62706.306022199999</v>
      </c>
      <c r="L1641" s="99">
        <v>0</v>
      </c>
      <c r="M1641" s="98">
        <v>0</v>
      </c>
      <c r="N1641" s="99">
        <v>0</v>
      </c>
      <c r="O1641" s="98">
        <v>0</v>
      </c>
      <c r="P1641" s="99">
        <v>5580</v>
      </c>
      <c r="Q1641" s="98">
        <v>464260.24638000003</v>
      </c>
      <c r="R1641" s="96" t="s">
        <v>625</v>
      </c>
      <c r="S1641" s="96">
        <v>7414000005</v>
      </c>
      <c r="AA1641" s="131" t="s">
        <v>381</v>
      </c>
      <c r="AB1641" s="130">
        <v>-6751.89617</v>
      </c>
      <c r="AC1641" s="130">
        <v>207765.64382999999</v>
      </c>
    </row>
    <row r="1642" spans="1:29" x14ac:dyDescent="0.25">
      <c r="A1642" t="str">
        <f t="shared" si="26"/>
        <v xml:space="preserve">72637GOBFED 421113       </v>
      </c>
      <c r="B1642" s="96">
        <v>72637</v>
      </c>
      <c r="C1642" s="96" t="s">
        <v>842</v>
      </c>
      <c r="D1642" s="96" t="s">
        <v>386</v>
      </c>
      <c r="E1642" s="96" t="s">
        <v>623</v>
      </c>
      <c r="F1642" s="96" t="s">
        <v>624</v>
      </c>
      <c r="G1642" s="99">
        <v>45593</v>
      </c>
      <c r="H1642" s="97">
        <v>82.159907000000004</v>
      </c>
      <c r="I1642" s="98">
        <v>3745916.6398510002</v>
      </c>
      <c r="J1642" s="97">
        <v>83.99904384907903</v>
      </c>
      <c r="K1642" s="98">
        <v>-83851.766360060006</v>
      </c>
      <c r="L1642" s="99">
        <v>0</v>
      </c>
      <c r="M1642" s="98">
        <v>0</v>
      </c>
      <c r="N1642" s="99">
        <v>0</v>
      </c>
      <c r="O1642" s="98">
        <v>0</v>
      </c>
      <c r="P1642" s="99">
        <v>45593</v>
      </c>
      <c r="Q1642" s="98">
        <v>3745916.6398510002</v>
      </c>
      <c r="R1642" s="96" t="s">
        <v>625</v>
      </c>
      <c r="S1642" s="96">
        <v>7414000005</v>
      </c>
      <c r="AA1642" s="131" t="s">
        <v>388</v>
      </c>
      <c r="AB1642" s="130">
        <v>-10313.799999999999</v>
      </c>
      <c r="AC1642" s="130">
        <v>904445</v>
      </c>
    </row>
    <row r="1643" spans="1:29" x14ac:dyDescent="0.25">
      <c r="A1643" t="str">
        <f t="shared" si="26"/>
        <v xml:space="preserve">72637GOBFED 471107       </v>
      </c>
      <c r="B1643" s="96">
        <v>72637</v>
      </c>
      <c r="C1643" s="96" t="s">
        <v>842</v>
      </c>
      <c r="D1643" s="96" t="s">
        <v>387</v>
      </c>
      <c r="E1643" s="96" t="s">
        <v>623</v>
      </c>
      <c r="F1643" s="96" t="s">
        <v>624</v>
      </c>
      <c r="G1643" s="99">
        <v>2000</v>
      </c>
      <c r="H1643" s="97">
        <v>314.42</v>
      </c>
      <c r="I1643" s="98">
        <v>628840</v>
      </c>
      <c r="J1643" s="97">
        <v>283.67239000000001</v>
      </c>
      <c r="K1643" s="98">
        <v>61495.22</v>
      </c>
      <c r="L1643" s="99">
        <v>0</v>
      </c>
      <c r="M1643" s="98">
        <v>0</v>
      </c>
      <c r="N1643" s="99">
        <v>0</v>
      </c>
      <c r="O1643" s="98">
        <v>0</v>
      </c>
      <c r="P1643" s="99">
        <v>2000</v>
      </c>
      <c r="Q1643" s="98">
        <v>628840</v>
      </c>
      <c r="R1643" s="96" t="s">
        <v>625</v>
      </c>
      <c r="S1643" s="96">
        <v>7414000005</v>
      </c>
      <c r="AA1643" s="131" t="s">
        <v>401</v>
      </c>
      <c r="AB1643" s="130">
        <v>-1068.5999999999999</v>
      </c>
      <c r="AC1643" s="130">
        <v>283400</v>
      </c>
    </row>
    <row r="1644" spans="1:29" x14ac:dyDescent="0.25">
      <c r="A1644" t="str">
        <f t="shared" si="26"/>
        <v xml:space="preserve">72637GOBFED 530731       </v>
      </c>
      <c r="B1644" s="96">
        <v>72637</v>
      </c>
      <c r="C1644" s="96" t="s">
        <v>842</v>
      </c>
      <c r="D1644" s="96" t="s">
        <v>503</v>
      </c>
      <c r="E1644" s="96" t="s">
        <v>623</v>
      </c>
      <c r="F1644" s="96" t="s">
        <v>624</v>
      </c>
      <c r="G1644" s="99">
        <v>11900</v>
      </c>
      <c r="H1644" s="97">
        <v>43.85</v>
      </c>
      <c r="I1644" s="98">
        <v>521815</v>
      </c>
      <c r="J1644" s="97">
        <v>41.431910924369745</v>
      </c>
      <c r="K1644" s="98">
        <v>28775.26</v>
      </c>
      <c r="L1644" s="99">
        <v>0</v>
      </c>
      <c r="M1644" s="98">
        <v>0</v>
      </c>
      <c r="N1644" s="99">
        <v>0</v>
      </c>
      <c r="O1644" s="98">
        <v>0</v>
      </c>
      <c r="P1644" s="99">
        <v>11900</v>
      </c>
      <c r="Q1644" s="98">
        <v>521815</v>
      </c>
      <c r="R1644" s="96" t="s">
        <v>625</v>
      </c>
      <c r="S1644" s="96">
        <v>7414000005</v>
      </c>
      <c r="AA1644" s="131" t="s">
        <v>576</v>
      </c>
      <c r="AB1644" s="130">
        <v>-63.79</v>
      </c>
      <c r="AC1644" s="130">
        <v>58246.5</v>
      </c>
    </row>
    <row r="1645" spans="1:29" x14ac:dyDescent="0.25">
      <c r="A1645" t="str">
        <f t="shared" si="26"/>
        <v xml:space="preserve">72637GRUMA B             </v>
      </c>
      <c r="B1645" s="96">
        <v>72637</v>
      </c>
      <c r="C1645" s="96" t="s">
        <v>842</v>
      </c>
      <c r="D1645" s="96" t="s">
        <v>419</v>
      </c>
      <c r="E1645" s="96" t="s">
        <v>623</v>
      </c>
      <c r="F1645" s="96" t="s">
        <v>624</v>
      </c>
      <c r="G1645" s="99">
        <v>0</v>
      </c>
      <c r="H1645" s="97">
        <v>0</v>
      </c>
      <c r="I1645" s="98">
        <v>0</v>
      </c>
      <c r="J1645" s="97">
        <v>0</v>
      </c>
      <c r="K1645" s="98">
        <v>0</v>
      </c>
      <c r="L1645" s="99">
        <v>0</v>
      </c>
      <c r="M1645" s="98">
        <v>0</v>
      </c>
      <c r="N1645" s="99">
        <v>0</v>
      </c>
      <c r="O1645" s="98">
        <v>0</v>
      </c>
      <c r="P1645" s="99">
        <v>0</v>
      </c>
      <c r="Q1645" s="98">
        <v>0</v>
      </c>
      <c r="R1645" s="96" t="s">
        <v>625</v>
      </c>
      <c r="S1645" s="96">
        <v>7414000005</v>
      </c>
      <c r="AA1645" s="131" t="s">
        <v>577</v>
      </c>
      <c r="AB1645" s="130">
        <v>221.16</v>
      </c>
      <c r="AC1645" s="130">
        <v>56371.77</v>
      </c>
    </row>
    <row r="1646" spans="1:29" x14ac:dyDescent="0.25">
      <c r="A1646" t="str">
        <f t="shared" si="26"/>
        <v xml:space="preserve">72637HERDEZ *            </v>
      </c>
      <c r="B1646" s="96">
        <v>72637</v>
      </c>
      <c r="C1646" s="96" t="s">
        <v>842</v>
      </c>
      <c r="D1646" s="96" t="s">
        <v>388</v>
      </c>
      <c r="E1646" s="96" t="s">
        <v>623</v>
      </c>
      <c r="F1646" s="96" t="s">
        <v>624</v>
      </c>
      <c r="G1646" s="99">
        <v>946</v>
      </c>
      <c r="H1646" s="97">
        <v>8532.5</v>
      </c>
      <c r="I1646" s="98">
        <v>8071745</v>
      </c>
      <c r="J1646" s="97">
        <v>4566.3986469344609</v>
      </c>
      <c r="K1646" s="98">
        <v>3751931.88</v>
      </c>
      <c r="L1646" s="99">
        <v>0</v>
      </c>
      <c r="M1646" s="98">
        <v>0</v>
      </c>
      <c r="N1646" s="99">
        <v>0</v>
      </c>
      <c r="O1646" s="98">
        <v>0</v>
      </c>
      <c r="P1646" s="99">
        <v>946</v>
      </c>
      <c r="Q1646" s="98">
        <v>8071745</v>
      </c>
      <c r="R1646" s="96" t="s">
        <v>625</v>
      </c>
      <c r="S1646" s="96">
        <v>7414000005</v>
      </c>
      <c r="AA1646" s="131" t="s">
        <v>582</v>
      </c>
      <c r="AB1646" s="130">
        <v>-134.44999999999999</v>
      </c>
      <c r="AC1646" s="130">
        <v>71910</v>
      </c>
    </row>
    <row r="1647" spans="1:29" x14ac:dyDescent="0.25">
      <c r="A1647" t="str">
        <f t="shared" si="26"/>
        <v xml:space="preserve">72637IENOVA *            </v>
      </c>
      <c r="B1647" s="96">
        <v>72637</v>
      </c>
      <c r="C1647" s="96" t="s">
        <v>842</v>
      </c>
      <c r="D1647" s="96" t="s">
        <v>540</v>
      </c>
      <c r="E1647" s="96" t="s">
        <v>623</v>
      </c>
      <c r="F1647" s="96" t="s">
        <v>624</v>
      </c>
      <c r="G1647" s="99">
        <v>14400</v>
      </c>
      <c r="H1647" s="97">
        <v>36.28</v>
      </c>
      <c r="I1647" s="98">
        <v>522432</v>
      </c>
      <c r="J1647" s="97">
        <v>39.117790277777779</v>
      </c>
      <c r="K1647" s="98">
        <v>-40864.18</v>
      </c>
      <c r="L1647" s="99">
        <v>0</v>
      </c>
      <c r="M1647" s="98">
        <v>0</v>
      </c>
      <c r="N1647" s="99">
        <v>0</v>
      </c>
      <c r="O1647" s="98">
        <v>0</v>
      </c>
      <c r="P1647" s="99">
        <v>14400</v>
      </c>
      <c r="Q1647" s="98">
        <v>522432</v>
      </c>
      <c r="R1647" s="96" t="s">
        <v>625</v>
      </c>
      <c r="S1647" s="96">
        <v>7414000005</v>
      </c>
      <c r="AA1647" s="131" t="s">
        <v>568</v>
      </c>
      <c r="AB1647" s="130">
        <v>-7.7999999999999999E-5</v>
      </c>
      <c r="AC1647" s="130">
        <v>2563645.6499219998</v>
      </c>
    </row>
    <row r="1648" spans="1:29" x14ac:dyDescent="0.25">
      <c r="A1648" t="str">
        <f t="shared" si="26"/>
        <v xml:space="preserve">72637IVV *               </v>
      </c>
      <c r="B1648" s="96">
        <v>72637</v>
      </c>
      <c r="C1648" s="96" t="s">
        <v>842</v>
      </c>
      <c r="D1648" s="96" t="s">
        <v>553</v>
      </c>
      <c r="E1648" s="96" t="s">
        <v>623</v>
      </c>
      <c r="F1648" s="96" t="s">
        <v>624</v>
      </c>
      <c r="G1648" s="99">
        <v>1900</v>
      </c>
      <c r="H1648" s="97">
        <v>136.35</v>
      </c>
      <c r="I1648" s="98">
        <v>259065</v>
      </c>
      <c r="J1648" s="97">
        <v>119.00934736842105</v>
      </c>
      <c r="K1648" s="98">
        <v>32947.24</v>
      </c>
      <c r="L1648" s="99">
        <v>0</v>
      </c>
      <c r="M1648" s="98">
        <v>0</v>
      </c>
      <c r="N1648" s="99">
        <v>0</v>
      </c>
      <c r="O1648" s="98">
        <v>0</v>
      </c>
      <c r="P1648" s="99">
        <v>1900</v>
      </c>
      <c r="Q1648" s="98">
        <v>259065</v>
      </c>
      <c r="R1648" s="96" t="s">
        <v>625</v>
      </c>
      <c r="S1648" s="96">
        <v>7414000005</v>
      </c>
      <c r="AA1648" s="131" t="s">
        <v>583</v>
      </c>
      <c r="AB1648" s="130">
        <v>162.33000000000001</v>
      </c>
      <c r="AC1648" s="130">
        <v>50750</v>
      </c>
    </row>
    <row r="1649" spans="1:29" x14ac:dyDescent="0.25">
      <c r="A1649" t="str">
        <f t="shared" si="26"/>
        <v xml:space="preserve">72637LACOMER UBC         </v>
      </c>
      <c r="B1649" s="96">
        <v>72637</v>
      </c>
      <c r="C1649" s="96" t="s">
        <v>842</v>
      </c>
      <c r="D1649" s="96" t="s">
        <v>429</v>
      </c>
      <c r="E1649" s="96" t="s">
        <v>623</v>
      </c>
      <c r="F1649" s="96" t="s">
        <v>624</v>
      </c>
      <c r="G1649" s="99">
        <v>40257</v>
      </c>
      <c r="H1649" s="97">
        <v>98.007834000000003</v>
      </c>
      <c r="I1649" s="98">
        <v>3945501.3733379999</v>
      </c>
      <c r="J1649" s="97">
        <v>89.792370106188244</v>
      </c>
      <c r="K1649" s="98">
        <v>330729.92997318</v>
      </c>
      <c r="L1649" s="99">
        <v>0</v>
      </c>
      <c r="M1649" s="98">
        <v>0</v>
      </c>
      <c r="N1649" s="99">
        <v>0</v>
      </c>
      <c r="O1649" s="98">
        <v>0</v>
      </c>
      <c r="P1649" s="99">
        <v>40257</v>
      </c>
      <c r="Q1649" s="98">
        <v>3945501.3733379999</v>
      </c>
      <c r="R1649" s="96" t="s">
        <v>625</v>
      </c>
      <c r="S1649" s="96">
        <v>7414000005</v>
      </c>
      <c r="AA1649" s="131" t="s">
        <v>455</v>
      </c>
      <c r="AB1649" s="130">
        <v>123148.44636</v>
      </c>
      <c r="AC1649" s="130">
        <v>123148.44636</v>
      </c>
    </row>
    <row r="1650" spans="1:29" x14ac:dyDescent="0.25">
      <c r="A1650" t="str">
        <f t="shared" si="26"/>
        <v xml:space="preserve">72637LIVEPOL C-1         </v>
      </c>
      <c r="B1650" s="96">
        <v>72637</v>
      </c>
      <c r="C1650" s="96" t="s">
        <v>842</v>
      </c>
      <c r="D1650" s="96" t="s">
        <v>541</v>
      </c>
      <c r="E1650" s="96" t="s">
        <v>623</v>
      </c>
      <c r="F1650" s="96" t="s">
        <v>624</v>
      </c>
      <c r="G1650" s="99">
        <v>4500</v>
      </c>
      <c r="H1650" s="97">
        <v>156</v>
      </c>
      <c r="I1650" s="98">
        <v>702000</v>
      </c>
      <c r="J1650" s="97">
        <v>139.65624222222223</v>
      </c>
      <c r="K1650" s="98">
        <v>73546.91</v>
      </c>
      <c r="L1650" s="99">
        <v>0</v>
      </c>
      <c r="M1650" s="98">
        <v>0</v>
      </c>
      <c r="N1650" s="99">
        <v>0</v>
      </c>
      <c r="O1650" s="98">
        <v>0</v>
      </c>
      <c r="P1650" s="99">
        <v>4500</v>
      </c>
      <c r="Q1650" s="98">
        <v>702000</v>
      </c>
      <c r="R1650" s="96" t="s">
        <v>625</v>
      </c>
      <c r="S1650" s="96">
        <v>7414000005</v>
      </c>
      <c r="AA1650" s="131" t="s">
        <v>385</v>
      </c>
      <c r="AB1650" s="130">
        <v>-2693.465968</v>
      </c>
      <c r="AC1650" s="130">
        <v>75879.094031999994</v>
      </c>
    </row>
    <row r="1651" spans="1:29" x14ac:dyDescent="0.25">
      <c r="A1651" t="str">
        <f t="shared" si="26"/>
        <v xml:space="preserve">72637PEMEX 13-2          </v>
      </c>
      <c r="B1651" s="96">
        <v>72637</v>
      </c>
      <c r="C1651" s="96" t="s">
        <v>842</v>
      </c>
      <c r="D1651" s="96" t="s">
        <v>501</v>
      </c>
      <c r="E1651" s="96" t="s">
        <v>623</v>
      </c>
      <c r="F1651" s="96" t="s">
        <v>624</v>
      </c>
      <c r="G1651" s="99">
        <v>3621</v>
      </c>
      <c r="H1651" s="97">
        <v>682.55</v>
      </c>
      <c r="I1651" s="98">
        <v>2471513.5499999998</v>
      </c>
      <c r="J1651" s="97">
        <v>846.22250483291907</v>
      </c>
      <c r="K1651" s="98">
        <v>-592658.14</v>
      </c>
      <c r="L1651" s="99">
        <v>0</v>
      </c>
      <c r="M1651" s="98">
        <v>0</v>
      </c>
      <c r="N1651" s="99">
        <v>0</v>
      </c>
      <c r="O1651" s="98">
        <v>0</v>
      </c>
      <c r="P1651" s="99">
        <v>3621</v>
      </c>
      <c r="Q1651" s="98">
        <v>2471513.5499999998</v>
      </c>
      <c r="R1651" s="96" t="s">
        <v>625</v>
      </c>
      <c r="S1651" s="96">
        <v>7414000005</v>
      </c>
      <c r="AA1651" s="131" t="s">
        <v>569</v>
      </c>
      <c r="AB1651" s="130">
        <v>-1.632E-3</v>
      </c>
      <c r="AC1651" s="130">
        <v>2770048.5283679999</v>
      </c>
    </row>
    <row r="1652" spans="1:29" x14ac:dyDescent="0.25">
      <c r="A1652" t="str">
        <f t="shared" si="26"/>
        <v xml:space="preserve">72637R A                 </v>
      </c>
      <c r="B1652" s="96">
        <v>72637</v>
      </c>
      <c r="C1652" s="96" t="s">
        <v>842</v>
      </c>
      <c r="D1652" s="96" t="s">
        <v>389</v>
      </c>
      <c r="E1652" s="96" t="s">
        <v>623</v>
      </c>
      <c r="F1652" s="96" t="s">
        <v>624</v>
      </c>
      <c r="G1652" s="99">
        <v>1728933</v>
      </c>
      <c r="H1652" s="97">
        <v>3.3967719999999999</v>
      </c>
      <c r="I1652" s="98">
        <v>5872791.2042760001</v>
      </c>
      <c r="J1652" s="97">
        <v>3.3033328417006329</v>
      </c>
      <c r="K1652" s="98">
        <v>161550.044276</v>
      </c>
      <c r="L1652" s="99">
        <v>0</v>
      </c>
      <c r="M1652" s="98">
        <v>0</v>
      </c>
      <c r="N1652" s="99">
        <v>0</v>
      </c>
      <c r="O1652" s="98">
        <v>0</v>
      </c>
      <c r="P1652" s="99">
        <v>1728933</v>
      </c>
      <c r="Q1652" s="98">
        <v>5872791.2042760001</v>
      </c>
      <c r="R1652" s="96" t="s">
        <v>625</v>
      </c>
      <c r="S1652" s="96">
        <v>7414000005</v>
      </c>
      <c r="AA1652" s="131" t="s">
        <v>541</v>
      </c>
      <c r="AB1652" s="130">
        <v>-139.99</v>
      </c>
      <c r="AC1652" s="130">
        <v>140400</v>
      </c>
    </row>
    <row r="1653" spans="1:29" x14ac:dyDescent="0.25">
      <c r="A1653" t="str">
        <f t="shared" si="26"/>
        <v xml:space="preserve">72637SPSM *              </v>
      </c>
      <c r="B1653" s="96">
        <v>72637</v>
      </c>
      <c r="C1653" s="96" t="s">
        <v>842</v>
      </c>
      <c r="D1653" s="96" t="s">
        <v>500</v>
      </c>
      <c r="E1653" s="96" t="s">
        <v>623</v>
      </c>
      <c r="F1653" s="96" t="s">
        <v>624</v>
      </c>
      <c r="G1653" s="99">
        <v>19000</v>
      </c>
      <c r="H1653" s="97">
        <v>31.41</v>
      </c>
      <c r="I1653" s="98">
        <v>596790</v>
      </c>
      <c r="J1653" s="97">
        <v>32.11050946842105</v>
      </c>
      <c r="K1653" s="98">
        <v>-13309.679899999999</v>
      </c>
      <c r="L1653" s="99">
        <v>0</v>
      </c>
      <c r="M1653" s="98">
        <v>0</v>
      </c>
      <c r="N1653" s="99">
        <v>0</v>
      </c>
      <c r="O1653" s="98">
        <v>0</v>
      </c>
      <c r="P1653" s="99">
        <v>19000</v>
      </c>
      <c r="Q1653" s="98">
        <v>596790</v>
      </c>
      <c r="R1653" s="96" t="s">
        <v>625</v>
      </c>
      <c r="S1653" s="96">
        <v>7414000005</v>
      </c>
      <c r="AA1653" s="131" t="s">
        <v>371</v>
      </c>
      <c r="AB1653" s="130">
        <v>1287.77</v>
      </c>
      <c r="AC1653" s="130">
        <v>154520</v>
      </c>
    </row>
    <row r="1654" spans="1:29" x14ac:dyDescent="0.25">
      <c r="A1654" t="str">
        <f t="shared" si="26"/>
        <v xml:space="preserve">72637STERGOB ED          </v>
      </c>
      <c r="B1654" s="96">
        <v>72637</v>
      </c>
      <c r="C1654" s="96" t="s">
        <v>842</v>
      </c>
      <c r="D1654" s="96" t="s">
        <v>391</v>
      </c>
      <c r="E1654" s="96" t="s">
        <v>623</v>
      </c>
      <c r="F1654" s="96" t="s">
        <v>624</v>
      </c>
      <c r="G1654" s="99">
        <v>3169</v>
      </c>
      <c r="H1654" s="97">
        <v>775.69178699999998</v>
      </c>
      <c r="I1654" s="98">
        <v>2458167.2730029998</v>
      </c>
      <c r="J1654" s="97">
        <v>766.69784126000002</v>
      </c>
      <c r="K1654" s="98">
        <v>28501.814050059998</v>
      </c>
      <c r="L1654" s="99">
        <v>0</v>
      </c>
      <c r="M1654" s="98">
        <v>0</v>
      </c>
      <c r="N1654" s="99">
        <v>0</v>
      </c>
      <c r="O1654" s="98">
        <v>0</v>
      </c>
      <c r="P1654" s="99">
        <v>3169</v>
      </c>
      <c r="Q1654" s="98">
        <v>2458167.2730029998</v>
      </c>
      <c r="R1654" s="96" t="s">
        <v>625</v>
      </c>
      <c r="S1654" s="96">
        <v>7414000005</v>
      </c>
      <c r="AA1654" s="131" t="s">
        <v>539</v>
      </c>
      <c r="AB1654" s="130">
        <v>-1839.43</v>
      </c>
      <c r="AC1654" s="130">
        <v>161802.6</v>
      </c>
    </row>
    <row r="1655" spans="1:29" x14ac:dyDescent="0.25">
      <c r="A1655" t="str">
        <f t="shared" si="26"/>
        <v xml:space="preserve">72637TRAXION A           </v>
      </c>
      <c r="B1655" s="96">
        <v>72637</v>
      </c>
      <c r="C1655" s="96" t="s">
        <v>842</v>
      </c>
      <c r="D1655" s="96" t="s">
        <v>392</v>
      </c>
      <c r="E1655" s="96" t="s">
        <v>623</v>
      </c>
      <c r="F1655" s="96" t="s">
        <v>624</v>
      </c>
      <c r="G1655" s="99">
        <v>6500</v>
      </c>
      <c r="H1655" s="97">
        <v>747.17843200000004</v>
      </c>
      <c r="I1655" s="98">
        <v>4856659.8080000002</v>
      </c>
      <c r="J1655" s="97">
        <v>723.82397457606157</v>
      </c>
      <c r="K1655" s="98">
        <v>151803.97325559999</v>
      </c>
      <c r="L1655" s="99">
        <v>0</v>
      </c>
      <c r="M1655" s="98">
        <v>0</v>
      </c>
      <c r="N1655" s="99">
        <v>0</v>
      </c>
      <c r="O1655" s="98">
        <v>0</v>
      </c>
      <c r="P1655" s="99">
        <v>6500</v>
      </c>
      <c r="Q1655" s="98">
        <v>4856659.8080000002</v>
      </c>
      <c r="R1655" s="96" t="s">
        <v>625</v>
      </c>
      <c r="S1655" s="96">
        <v>7414000005</v>
      </c>
      <c r="AA1655" s="131" t="s">
        <v>399</v>
      </c>
      <c r="AB1655" s="130">
        <v>-5651.0392650000003</v>
      </c>
      <c r="AC1655" s="130">
        <v>281236.53073499998</v>
      </c>
    </row>
    <row r="1656" spans="1:29" x14ac:dyDescent="0.25">
      <c r="A1656" t="str">
        <f t="shared" si="26"/>
        <v xml:space="preserve">72637UDIBONO 251204      </v>
      </c>
      <c r="B1656" s="96">
        <v>72637</v>
      </c>
      <c r="C1656" s="96" t="s">
        <v>842</v>
      </c>
      <c r="D1656" s="96" t="s">
        <v>393</v>
      </c>
      <c r="E1656" s="96" t="s">
        <v>623</v>
      </c>
      <c r="F1656" s="96" t="s">
        <v>624</v>
      </c>
      <c r="G1656" s="99">
        <v>2128</v>
      </c>
      <c r="H1656" s="97">
        <v>765.92388300000005</v>
      </c>
      <c r="I1656" s="98">
        <v>1629886.023024</v>
      </c>
      <c r="J1656" s="97">
        <v>752.63389081660716</v>
      </c>
      <c r="K1656" s="98">
        <v>28281.103366259998</v>
      </c>
      <c r="L1656" s="99">
        <v>0</v>
      </c>
      <c r="M1656" s="98">
        <v>0</v>
      </c>
      <c r="N1656" s="99">
        <v>0</v>
      </c>
      <c r="O1656" s="98">
        <v>0</v>
      </c>
      <c r="P1656" s="99">
        <v>2128</v>
      </c>
      <c r="Q1656" s="98">
        <v>1629886.023024</v>
      </c>
      <c r="R1656" s="96" t="s">
        <v>625</v>
      </c>
      <c r="S1656" s="96">
        <v>7414000005</v>
      </c>
      <c r="AA1656" s="131" t="s">
        <v>386</v>
      </c>
      <c r="AB1656" s="130">
        <v>-684.25431200000003</v>
      </c>
      <c r="AC1656" s="130">
        <v>47981.385688000002</v>
      </c>
    </row>
    <row r="1657" spans="1:29" x14ac:dyDescent="0.25">
      <c r="A1657" t="str">
        <f t="shared" si="26"/>
        <v xml:space="preserve">72637UDIBONO 261203      </v>
      </c>
      <c r="B1657" s="96">
        <v>72637</v>
      </c>
      <c r="C1657" s="96" t="s">
        <v>842</v>
      </c>
      <c r="D1657" s="96" t="s">
        <v>394</v>
      </c>
      <c r="E1657" s="96" t="s">
        <v>623</v>
      </c>
      <c r="F1657" s="96" t="s">
        <v>624</v>
      </c>
      <c r="G1657" s="99">
        <v>3718</v>
      </c>
      <c r="H1657" s="97">
        <v>684.88915799999995</v>
      </c>
      <c r="I1657" s="98">
        <v>2546417.8894440001</v>
      </c>
      <c r="J1657" s="97">
        <v>680.58892409983866</v>
      </c>
      <c r="K1657" s="98">
        <v>15988.269640799999</v>
      </c>
      <c r="L1657" s="99">
        <v>0</v>
      </c>
      <c r="M1657" s="98">
        <v>0</v>
      </c>
      <c r="N1657" s="99">
        <v>0</v>
      </c>
      <c r="O1657" s="98">
        <v>0</v>
      </c>
      <c r="P1657" s="99">
        <v>3718</v>
      </c>
      <c r="Q1657" s="98">
        <v>2546417.8894440001</v>
      </c>
      <c r="R1657" s="96" t="s">
        <v>625</v>
      </c>
      <c r="S1657" s="96">
        <v>7414000005</v>
      </c>
      <c r="AA1657" s="131" t="s">
        <v>383</v>
      </c>
      <c r="AB1657" s="130">
        <v>-1282.1224</v>
      </c>
      <c r="AC1657" s="130">
        <v>38788.707600000002</v>
      </c>
    </row>
    <row r="1658" spans="1:29" x14ac:dyDescent="0.25">
      <c r="A1658" t="str">
        <f t="shared" si="26"/>
        <v xml:space="preserve">72637UDIBONO 281130      </v>
      </c>
      <c r="B1658" s="96">
        <v>72637</v>
      </c>
      <c r="C1658" s="96" t="s">
        <v>842</v>
      </c>
      <c r="D1658" s="96" t="s">
        <v>395</v>
      </c>
      <c r="E1658" s="96" t="s">
        <v>623</v>
      </c>
      <c r="F1658" s="96" t="s">
        <v>624</v>
      </c>
      <c r="G1658" s="99">
        <v>2212</v>
      </c>
      <c r="H1658" s="97">
        <v>772.926965</v>
      </c>
      <c r="I1658" s="98">
        <v>1709714.44658</v>
      </c>
      <c r="J1658" s="97">
        <v>801.58205912612118</v>
      </c>
      <c r="K1658" s="98">
        <v>-63385.068206980002</v>
      </c>
      <c r="L1658" s="99">
        <v>0</v>
      </c>
      <c r="M1658" s="98">
        <v>0</v>
      </c>
      <c r="N1658" s="99">
        <v>0</v>
      </c>
      <c r="O1658" s="98">
        <v>0</v>
      </c>
      <c r="P1658" s="99">
        <v>2212</v>
      </c>
      <c r="Q1658" s="98">
        <v>1709714.44658</v>
      </c>
      <c r="R1658" s="96" t="s">
        <v>625</v>
      </c>
      <c r="S1658" s="96">
        <v>7414000005</v>
      </c>
      <c r="AA1658" s="131" t="s">
        <v>360</v>
      </c>
      <c r="AB1658" s="130">
        <v>-4540.09</v>
      </c>
      <c r="AC1658" s="130">
        <v>771120</v>
      </c>
    </row>
    <row r="1659" spans="1:29" x14ac:dyDescent="0.25">
      <c r="A1659" t="str">
        <f t="shared" si="26"/>
        <v xml:space="preserve">72637UDIBONO 311127      </v>
      </c>
      <c r="B1659" s="96">
        <v>72637</v>
      </c>
      <c r="C1659" s="96" t="s">
        <v>842</v>
      </c>
      <c r="D1659" s="96" t="s">
        <v>396</v>
      </c>
      <c r="E1659" s="96" t="s">
        <v>623</v>
      </c>
      <c r="F1659" s="96" t="s">
        <v>624</v>
      </c>
      <c r="G1659" s="99">
        <v>2373</v>
      </c>
      <c r="H1659" s="97">
        <v>721.59464000000003</v>
      </c>
      <c r="I1659" s="98">
        <v>1712344.08072</v>
      </c>
      <c r="J1659" s="97">
        <v>757.17561373745468</v>
      </c>
      <c r="K1659" s="98">
        <v>-84433.650678980004</v>
      </c>
      <c r="L1659" s="99">
        <v>0</v>
      </c>
      <c r="M1659" s="98">
        <v>0</v>
      </c>
      <c r="N1659" s="99">
        <v>0</v>
      </c>
      <c r="O1659" s="98">
        <v>0</v>
      </c>
      <c r="P1659" s="99">
        <v>2373</v>
      </c>
      <c r="Q1659" s="98">
        <v>1712344.08072</v>
      </c>
      <c r="R1659" s="96" t="s">
        <v>625</v>
      </c>
      <c r="S1659" s="96">
        <v>7414000005</v>
      </c>
      <c r="AA1659" s="131" t="s">
        <v>397</v>
      </c>
      <c r="AB1659" s="130">
        <v>-394.05964499999999</v>
      </c>
      <c r="AC1659" s="130">
        <v>28618.340355</v>
      </c>
    </row>
    <row r="1660" spans="1:29" x14ac:dyDescent="0.25">
      <c r="A1660" t="str">
        <f t="shared" si="26"/>
        <v xml:space="preserve">72637UDIBONO 351122      </v>
      </c>
      <c r="B1660" s="96">
        <v>72637</v>
      </c>
      <c r="C1660" s="96" t="s">
        <v>842</v>
      </c>
      <c r="D1660" s="96" t="s">
        <v>397</v>
      </c>
      <c r="E1660" s="96" t="s">
        <v>623</v>
      </c>
      <c r="F1660" s="96" t="s">
        <v>624</v>
      </c>
      <c r="G1660" s="99">
        <v>1222</v>
      </c>
      <c r="H1660" s="97">
        <v>635.96311900000001</v>
      </c>
      <c r="I1660" s="98">
        <v>777146.93141800002</v>
      </c>
      <c r="J1660" s="97">
        <v>647.93802047999998</v>
      </c>
      <c r="K1660" s="98">
        <v>-14633.32960856</v>
      </c>
      <c r="L1660" s="99">
        <v>0</v>
      </c>
      <c r="M1660" s="98">
        <v>0</v>
      </c>
      <c r="N1660" s="99">
        <v>0</v>
      </c>
      <c r="O1660" s="98">
        <v>0</v>
      </c>
      <c r="P1660" s="99">
        <v>1222</v>
      </c>
      <c r="Q1660" s="98">
        <v>777146.93141800002</v>
      </c>
      <c r="R1660" s="96" t="s">
        <v>625</v>
      </c>
      <c r="S1660" s="96">
        <v>7414000005</v>
      </c>
      <c r="AA1660" s="131" t="s">
        <v>501</v>
      </c>
      <c r="AB1660" s="130">
        <v>0</v>
      </c>
      <c r="AC1660" s="130">
        <v>380862.9</v>
      </c>
    </row>
    <row r="1661" spans="1:29" x14ac:dyDescent="0.25">
      <c r="A1661" t="str">
        <f t="shared" si="26"/>
        <v xml:space="preserve">72637UDIBONO 401115      </v>
      </c>
      <c r="B1661" s="96">
        <v>72637</v>
      </c>
      <c r="C1661" s="96" t="s">
        <v>842</v>
      </c>
      <c r="D1661" s="96" t="s">
        <v>398</v>
      </c>
      <c r="E1661" s="96" t="s">
        <v>623</v>
      </c>
      <c r="F1661" s="96" t="s">
        <v>624</v>
      </c>
      <c r="G1661" s="99">
        <v>2810</v>
      </c>
      <c r="H1661" s="97">
        <v>709.36974099999998</v>
      </c>
      <c r="I1661" s="98">
        <v>1993328.97221</v>
      </c>
      <c r="J1661" s="97">
        <v>724.76747879626691</v>
      </c>
      <c r="K1661" s="98">
        <v>-43267.643207510002</v>
      </c>
      <c r="L1661" s="99">
        <v>0</v>
      </c>
      <c r="M1661" s="98">
        <v>0</v>
      </c>
      <c r="N1661" s="99">
        <v>0</v>
      </c>
      <c r="O1661" s="98">
        <v>0</v>
      </c>
      <c r="P1661" s="99">
        <v>2810</v>
      </c>
      <c r="Q1661" s="98">
        <v>1993328.97221</v>
      </c>
      <c r="R1661" s="96" t="s">
        <v>625</v>
      </c>
      <c r="S1661" s="96">
        <v>7414000005</v>
      </c>
      <c r="AA1661" s="131" t="s">
        <v>649</v>
      </c>
      <c r="AB1661" s="130">
        <v>2254237.9700000002</v>
      </c>
      <c r="AC1661" s="130">
        <v>0</v>
      </c>
    </row>
    <row r="1662" spans="1:29" x14ac:dyDescent="0.25">
      <c r="A1662" t="str">
        <f t="shared" si="26"/>
        <v xml:space="preserve">72637UDIBONO 431112      </v>
      </c>
      <c r="B1662" s="96">
        <v>72637</v>
      </c>
      <c r="C1662" s="96" t="s">
        <v>842</v>
      </c>
      <c r="D1662" s="96" t="s">
        <v>399</v>
      </c>
      <c r="E1662" s="96" t="s">
        <v>623</v>
      </c>
      <c r="F1662" s="96" t="s">
        <v>624</v>
      </c>
      <c r="G1662" s="99">
        <v>5009</v>
      </c>
      <c r="H1662" s="97">
        <v>694.41118700000004</v>
      </c>
      <c r="I1662" s="98">
        <v>3478305.6356830001</v>
      </c>
      <c r="J1662" s="97">
        <v>725.53455074740668</v>
      </c>
      <c r="K1662" s="98">
        <v>-155896.92901076001</v>
      </c>
      <c r="L1662" s="99">
        <v>0</v>
      </c>
      <c r="M1662" s="98">
        <v>0</v>
      </c>
      <c r="N1662" s="99">
        <v>0</v>
      </c>
      <c r="O1662" s="98">
        <v>0</v>
      </c>
      <c r="P1662" s="99">
        <v>5009</v>
      </c>
      <c r="Q1662" s="98">
        <v>3478305.6356830001</v>
      </c>
      <c r="R1662" s="96" t="s">
        <v>625</v>
      </c>
      <c r="S1662" s="96">
        <v>7414000005</v>
      </c>
      <c r="AA1662" s="129">
        <v>2001046</v>
      </c>
      <c r="AB1662" s="130">
        <v>14295149.869469</v>
      </c>
      <c r="AC1662" s="130">
        <v>14295149.869469</v>
      </c>
    </row>
    <row r="1663" spans="1:29" x14ac:dyDescent="0.25">
      <c r="A1663" t="str">
        <f t="shared" si="26"/>
        <v xml:space="preserve">72637UDIBONO 461108      </v>
      </c>
      <c r="B1663" s="96">
        <v>72637</v>
      </c>
      <c r="C1663" s="96" t="s">
        <v>842</v>
      </c>
      <c r="D1663" s="96" t="s">
        <v>400</v>
      </c>
      <c r="E1663" s="96" t="s">
        <v>623</v>
      </c>
      <c r="F1663" s="96" t="s">
        <v>624</v>
      </c>
      <c r="G1663" s="99">
        <v>15000</v>
      </c>
      <c r="H1663" s="97">
        <v>58.67</v>
      </c>
      <c r="I1663" s="98">
        <v>880050</v>
      </c>
      <c r="J1663" s="97">
        <v>59.627063333333332</v>
      </c>
      <c r="K1663" s="98">
        <v>-14355.95</v>
      </c>
      <c r="L1663" s="99">
        <v>0</v>
      </c>
      <c r="M1663" s="98">
        <v>0</v>
      </c>
      <c r="N1663" s="99">
        <v>0</v>
      </c>
      <c r="O1663" s="98">
        <v>0</v>
      </c>
      <c r="P1663" s="99">
        <v>15000</v>
      </c>
      <c r="Q1663" s="98">
        <v>880050</v>
      </c>
      <c r="R1663" s="96" t="s">
        <v>625</v>
      </c>
      <c r="S1663" s="96">
        <v>7414000005</v>
      </c>
      <c r="AA1663" s="131" t="s">
        <v>480</v>
      </c>
      <c r="AB1663" s="130">
        <v>98244.179352000006</v>
      </c>
      <c r="AC1663" s="130">
        <v>98244.179352000006</v>
      </c>
    </row>
    <row r="1664" spans="1:29" x14ac:dyDescent="0.25">
      <c r="A1664" t="str">
        <f t="shared" si="26"/>
        <v xml:space="preserve">72637UDIBONO 501103      </v>
      </c>
      <c r="B1664" s="96">
        <v>72637</v>
      </c>
      <c r="C1664" s="96" t="s">
        <v>842</v>
      </c>
      <c r="D1664" s="96" t="s">
        <v>401</v>
      </c>
      <c r="E1664" s="96" t="s">
        <v>623</v>
      </c>
      <c r="F1664" s="96" t="s">
        <v>624</v>
      </c>
      <c r="G1664" s="99">
        <v>2035</v>
      </c>
      <c r="H1664" s="97">
        <v>1090</v>
      </c>
      <c r="I1664" s="98">
        <v>2218150</v>
      </c>
      <c r="J1664" s="97">
        <v>1090.9993022113022</v>
      </c>
      <c r="K1664" s="98">
        <v>-2033.58</v>
      </c>
      <c r="L1664" s="99">
        <v>0</v>
      </c>
      <c r="M1664" s="98">
        <v>0</v>
      </c>
      <c r="N1664" s="99">
        <v>0</v>
      </c>
      <c r="O1664" s="98">
        <v>0</v>
      </c>
      <c r="P1664" s="99">
        <v>2035</v>
      </c>
      <c r="Q1664" s="98">
        <v>2218150</v>
      </c>
      <c r="R1664" s="96" t="s">
        <v>625</v>
      </c>
      <c r="S1664" s="96">
        <v>7414000005</v>
      </c>
      <c r="AA1664" s="131" t="s">
        <v>413</v>
      </c>
      <c r="AB1664" s="130">
        <v>2222763.8981659999</v>
      </c>
      <c r="AC1664" s="130">
        <v>2222763.8981659999</v>
      </c>
    </row>
    <row r="1665" spans="1:29" x14ac:dyDescent="0.25">
      <c r="A1665" t="str">
        <f t="shared" si="26"/>
        <v xml:space="preserve">72637VESTA *             </v>
      </c>
      <c r="B1665" s="96">
        <v>72637</v>
      </c>
      <c r="C1665" s="96" t="s">
        <v>842</v>
      </c>
      <c r="D1665" s="96" t="s">
        <v>403</v>
      </c>
      <c r="E1665" s="96" t="s">
        <v>623</v>
      </c>
      <c r="F1665" s="96" t="s">
        <v>624</v>
      </c>
      <c r="G1665" s="99">
        <v>33700</v>
      </c>
      <c r="H1665" s="97">
        <v>65.260000000000005</v>
      </c>
      <c r="I1665" s="98">
        <v>2199262</v>
      </c>
      <c r="J1665" s="97">
        <v>69.410171810089025</v>
      </c>
      <c r="K1665" s="98">
        <v>-139860.79</v>
      </c>
      <c r="L1665" s="99">
        <v>0</v>
      </c>
      <c r="M1665" s="98">
        <v>0</v>
      </c>
      <c r="N1665" s="99">
        <v>0</v>
      </c>
      <c r="O1665" s="98">
        <v>0</v>
      </c>
      <c r="P1665" s="99">
        <v>33700</v>
      </c>
      <c r="Q1665" s="98">
        <v>2199262</v>
      </c>
      <c r="R1665" s="96" t="s">
        <v>625</v>
      </c>
      <c r="S1665" s="96">
        <v>7414000005</v>
      </c>
      <c r="AA1665" s="131" t="s">
        <v>414</v>
      </c>
      <c r="AB1665" s="130">
        <v>8968868.2731040008</v>
      </c>
      <c r="AC1665" s="130">
        <v>8968868.2731040008</v>
      </c>
    </row>
    <row r="1666" spans="1:29" x14ac:dyDescent="0.25">
      <c r="A1666" t="str">
        <f t="shared" si="26"/>
        <v xml:space="preserve">72637VGK *               </v>
      </c>
      <c r="B1666" s="96">
        <v>75016</v>
      </c>
      <c r="C1666" s="96" t="s">
        <v>843</v>
      </c>
      <c r="D1666" s="96" t="s">
        <v>358</v>
      </c>
      <c r="E1666" s="96" t="s">
        <v>623</v>
      </c>
      <c r="F1666" s="96" t="s">
        <v>624</v>
      </c>
      <c r="G1666" s="99">
        <v>1352</v>
      </c>
      <c r="H1666" s="97">
        <v>1786.5</v>
      </c>
      <c r="I1666" s="98">
        <v>2415348</v>
      </c>
      <c r="J1666" s="97">
        <v>1814.4898816568048</v>
      </c>
      <c r="K1666" s="98">
        <v>-37842.32</v>
      </c>
      <c r="L1666" s="99">
        <v>0</v>
      </c>
      <c r="M1666" s="98">
        <v>0</v>
      </c>
      <c r="N1666" s="99">
        <v>0</v>
      </c>
      <c r="O1666" s="98">
        <v>0</v>
      </c>
      <c r="P1666" s="99">
        <v>1352</v>
      </c>
      <c r="Q1666" s="98">
        <v>2415348</v>
      </c>
      <c r="R1666" s="96" t="s">
        <v>625</v>
      </c>
      <c r="S1666" s="96">
        <v>7414000005</v>
      </c>
      <c r="AA1666" s="131" t="s">
        <v>415</v>
      </c>
      <c r="AB1666" s="130">
        <v>2598181.8802720001</v>
      </c>
      <c r="AC1666" s="130">
        <v>2598181.8802720001</v>
      </c>
    </row>
    <row r="1667" spans="1:29" x14ac:dyDescent="0.25">
      <c r="A1667" t="str">
        <f t="shared" si="26"/>
        <v xml:space="preserve">72637WALMEX *            </v>
      </c>
      <c r="B1667" s="96">
        <v>75016</v>
      </c>
      <c r="C1667" s="96" t="s">
        <v>843</v>
      </c>
      <c r="D1667" s="96" t="s">
        <v>422</v>
      </c>
      <c r="E1667" s="96" t="s">
        <v>623</v>
      </c>
      <c r="F1667" s="96" t="s">
        <v>624</v>
      </c>
      <c r="G1667" s="99">
        <v>422</v>
      </c>
      <c r="H1667" s="97">
        <v>97.654420999999999</v>
      </c>
      <c r="I1667" s="98">
        <v>41210.165661999999</v>
      </c>
      <c r="J1667" s="97">
        <v>98.224185000000006</v>
      </c>
      <c r="K1667" s="98">
        <v>-240.44040799999999</v>
      </c>
      <c r="L1667" s="99">
        <v>0</v>
      </c>
      <c r="M1667" s="98">
        <v>0</v>
      </c>
      <c r="N1667" s="99">
        <v>0</v>
      </c>
      <c r="O1667" s="98">
        <v>0</v>
      </c>
      <c r="P1667" s="99">
        <v>422</v>
      </c>
      <c r="Q1667" s="98">
        <v>41210.165661999999</v>
      </c>
      <c r="R1667" s="96" t="s">
        <v>625</v>
      </c>
      <c r="S1667" s="96">
        <v>7414000005</v>
      </c>
      <c r="AA1667" s="131" t="s">
        <v>416</v>
      </c>
      <c r="AB1667" s="130">
        <v>407091.63857499999</v>
      </c>
      <c r="AC1667" s="130">
        <v>407091.63857499999</v>
      </c>
    </row>
    <row r="1668" spans="1:29" x14ac:dyDescent="0.25">
      <c r="A1668" t="str">
        <f t="shared" si="26"/>
        <v xml:space="preserve">75016ACWI *              </v>
      </c>
      <c r="B1668" s="96">
        <v>75016</v>
      </c>
      <c r="C1668" s="96" t="s">
        <v>843</v>
      </c>
      <c r="D1668" s="96" t="s">
        <v>363</v>
      </c>
      <c r="E1668" s="96" t="s">
        <v>623</v>
      </c>
      <c r="F1668" s="96" t="s">
        <v>624</v>
      </c>
      <c r="G1668" s="99">
        <v>89744</v>
      </c>
      <c r="H1668" s="97">
        <v>9.4935880000000008</v>
      </c>
      <c r="I1668" s="98">
        <v>851992.56147199997</v>
      </c>
      <c r="J1668" s="97">
        <v>8.4405498100000003</v>
      </c>
      <c r="K1668" s="98">
        <v>94503.859323359997</v>
      </c>
      <c r="L1668" s="99">
        <v>0</v>
      </c>
      <c r="M1668" s="98">
        <v>0</v>
      </c>
      <c r="N1668" s="99">
        <v>0</v>
      </c>
      <c r="O1668" s="98">
        <v>0</v>
      </c>
      <c r="P1668" s="99">
        <v>89744</v>
      </c>
      <c r="Q1668" s="98">
        <v>851992.56147199997</v>
      </c>
      <c r="R1668" s="96" t="s">
        <v>625</v>
      </c>
      <c r="S1668" s="96">
        <v>7414000005</v>
      </c>
      <c r="AA1668" s="129">
        <v>2001047</v>
      </c>
      <c r="AB1668" s="130">
        <v>6102472.9441109998</v>
      </c>
      <c r="AC1668" s="130">
        <v>6102472.9441109998</v>
      </c>
    </row>
    <row r="1669" spans="1:29" x14ac:dyDescent="0.25">
      <c r="A1669" t="str">
        <f t="shared" si="26"/>
        <v xml:space="preserve">75016CETELEM 22          </v>
      </c>
      <c r="B1669" s="96">
        <v>75016</v>
      </c>
      <c r="C1669" s="96" t="s">
        <v>843</v>
      </c>
      <c r="D1669" s="96" t="s">
        <v>409</v>
      </c>
      <c r="E1669" s="96" t="s">
        <v>623</v>
      </c>
      <c r="F1669" s="96" t="s">
        <v>624</v>
      </c>
      <c r="G1669" s="99">
        <v>122230</v>
      </c>
      <c r="H1669" s="97">
        <v>9.3381629999999998</v>
      </c>
      <c r="I1669" s="98">
        <v>1141403.6634899999</v>
      </c>
      <c r="J1669" s="97">
        <v>8.3307969100000001</v>
      </c>
      <c r="K1669" s="98">
        <v>123130.3571807</v>
      </c>
      <c r="L1669" s="99">
        <v>0</v>
      </c>
      <c r="M1669" s="98">
        <v>0</v>
      </c>
      <c r="N1669" s="99">
        <v>0</v>
      </c>
      <c r="O1669" s="98">
        <v>0</v>
      </c>
      <c r="P1669" s="99">
        <v>122230</v>
      </c>
      <c r="Q1669" s="98">
        <v>1141403.6634899999</v>
      </c>
      <c r="R1669" s="96" t="s">
        <v>625</v>
      </c>
      <c r="S1669" s="96">
        <v>7414000005</v>
      </c>
      <c r="AA1669" s="131" t="s">
        <v>480</v>
      </c>
      <c r="AB1669" s="130">
        <v>75243.942305999997</v>
      </c>
      <c r="AC1669" s="130">
        <v>75243.942305999997</v>
      </c>
    </row>
    <row r="1670" spans="1:29" x14ac:dyDescent="0.25">
      <c r="A1670" t="str">
        <f t="shared" si="26"/>
        <v xml:space="preserve">75016CETES 241003        </v>
      </c>
      <c r="B1670" s="96">
        <v>75016</v>
      </c>
      <c r="C1670" s="96" t="s">
        <v>843</v>
      </c>
      <c r="D1670" s="96" t="s">
        <v>365</v>
      </c>
      <c r="E1670" s="96" t="s">
        <v>623</v>
      </c>
      <c r="F1670" s="96" t="s">
        <v>624</v>
      </c>
      <c r="G1670" s="99">
        <v>970</v>
      </c>
      <c r="H1670" s="97">
        <v>675.38</v>
      </c>
      <c r="I1670" s="98">
        <v>655118.6</v>
      </c>
      <c r="J1670" s="97">
        <v>743.5911340206186</v>
      </c>
      <c r="K1670" s="98">
        <v>-66164.800000000003</v>
      </c>
      <c r="L1670" s="99">
        <v>0</v>
      </c>
      <c r="M1670" s="98">
        <v>0</v>
      </c>
      <c r="N1670" s="99">
        <v>0</v>
      </c>
      <c r="O1670" s="98">
        <v>0</v>
      </c>
      <c r="P1670" s="99">
        <v>970</v>
      </c>
      <c r="Q1670" s="98">
        <v>655118.6</v>
      </c>
      <c r="R1670" s="96" t="s">
        <v>625</v>
      </c>
      <c r="S1670" s="96">
        <v>7414000005</v>
      </c>
      <c r="AA1670" s="131" t="s">
        <v>413</v>
      </c>
      <c r="AB1670" s="130">
        <v>976048.12150799995</v>
      </c>
      <c r="AC1670" s="130">
        <v>976048.12150799995</v>
      </c>
    </row>
    <row r="1671" spans="1:29" x14ac:dyDescent="0.25">
      <c r="A1671" t="str">
        <f t="shared" ref="A1671:A1734" si="27">B1669&amp;D1669</f>
        <v xml:space="preserve">75016CETES 241128        </v>
      </c>
      <c r="B1671" s="96">
        <v>75016</v>
      </c>
      <c r="C1671" s="96" t="s">
        <v>843</v>
      </c>
      <c r="D1671" s="96" t="s">
        <v>367</v>
      </c>
      <c r="E1671" s="96" t="s">
        <v>623</v>
      </c>
      <c r="F1671" s="96" t="s">
        <v>624</v>
      </c>
      <c r="G1671" s="99">
        <v>215</v>
      </c>
      <c r="H1671" s="97">
        <v>700.65</v>
      </c>
      <c r="I1671" s="98">
        <v>150639.75</v>
      </c>
      <c r="J1671" s="97">
        <v>752.98093023255819</v>
      </c>
      <c r="K1671" s="98">
        <v>-11251.15</v>
      </c>
      <c r="L1671" s="99">
        <v>0</v>
      </c>
      <c r="M1671" s="98">
        <v>0</v>
      </c>
      <c r="N1671" s="99">
        <v>0</v>
      </c>
      <c r="O1671" s="98">
        <v>0</v>
      </c>
      <c r="P1671" s="99">
        <v>215</v>
      </c>
      <c r="Q1671" s="98">
        <v>150639.75</v>
      </c>
      <c r="R1671" s="96" t="s">
        <v>625</v>
      </c>
      <c r="S1671" s="96">
        <v>7414000005</v>
      </c>
      <c r="AA1671" s="131" t="s">
        <v>414</v>
      </c>
      <c r="AB1671" s="130">
        <v>3737332.3975840001</v>
      </c>
      <c r="AC1671" s="130">
        <v>3737332.3975840001</v>
      </c>
    </row>
    <row r="1672" spans="1:29" x14ac:dyDescent="0.25">
      <c r="A1672" t="str">
        <f t="shared" si="27"/>
        <v xml:space="preserve">75016EEM *               </v>
      </c>
      <c r="B1672" s="96">
        <v>75016</v>
      </c>
      <c r="C1672" s="96" t="s">
        <v>843</v>
      </c>
      <c r="D1672" s="96" t="s">
        <v>368</v>
      </c>
      <c r="E1672" s="96" t="s">
        <v>623</v>
      </c>
      <c r="F1672" s="96" t="s">
        <v>624</v>
      </c>
      <c r="G1672" s="99">
        <v>440</v>
      </c>
      <c r="H1672" s="97">
        <v>1151</v>
      </c>
      <c r="I1672" s="98">
        <v>506440</v>
      </c>
      <c r="J1672" s="97">
        <v>970.12872727272725</v>
      </c>
      <c r="K1672" s="98">
        <v>79583.360000000001</v>
      </c>
      <c r="L1672" s="99">
        <v>0</v>
      </c>
      <c r="M1672" s="98">
        <v>0</v>
      </c>
      <c r="N1672" s="99">
        <v>0</v>
      </c>
      <c r="O1672" s="98">
        <v>0</v>
      </c>
      <c r="P1672" s="99">
        <v>440</v>
      </c>
      <c r="Q1672" s="98">
        <v>506440</v>
      </c>
      <c r="R1672" s="96" t="s">
        <v>625</v>
      </c>
      <c r="S1672" s="96">
        <v>7414000005</v>
      </c>
      <c r="AA1672" s="131" t="s">
        <v>415</v>
      </c>
      <c r="AB1672" s="130">
        <v>1204772.953888</v>
      </c>
      <c r="AC1672" s="130">
        <v>1204772.953888</v>
      </c>
    </row>
    <row r="1673" spans="1:29" x14ac:dyDescent="0.25">
      <c r="A1673" t="str">
        <f t="shared" si="27"/>
        <v xml:space="preserve">75016EPP *               </v>
      </c>
      <c r="B1673" s="96">
        <v>75016</v>
      </c>
      <c r="C1673" s="96" t="s">
        <v>843</v>
      </c>
      <c r="D1673" s="96" t="s">
        <v>375</v>
      </c>
      <c r="E1673" s="96" t="s">
        <v>623</v>
      </c>
      <c r="F1673" s="96" t="s">
        <v>624</v>
      </c>
      <c r="G1673" s="99">
        <v>6233</v>
      </c>
      <c r="H1673" s="97">
        <v>98.730349000000004</v>
      </c>
      <c r="I1673" s="98">
        <v>615386.26531699998</v>
      </c>
      <c r="J1673" s="97">
        <v>104.13969715082304</v>
      </c>
      <c r="K1673" s="98">
        <v>-33716.467024079997</v>
      </c>
      <c r="L1673" s="99">
        <v>0</v>
      </c>
      <c r="M1673" s="98">
        <v>0</v>
      </c>
      <c r="N1673" s="99">
        <v>0</v>
      </c>
      <c r="O1673" s="98">
        <v>0</v>
      </c>
      <c r="P1673" s="99">
        <v>6233</v>
      </c>
      <c r="Q1673" s="98">
        <v>615386.26531699998</v>
      </c>
      <c r="R1673" s="96" t="s">
        <v>625</v>
      </c>
      <c r="S1673" s="96">
        <v>7414000005</v>
      </c>
      <c r="AA1673" s="131" t="s">
        <v>416</v>
      </c>
      <c r="AB1673" s="130">
        <v>109075.528825</v>
      </c>
      <c r="AC1673" s="130">
        <v>109075.528825</v>
      </c>
    </row>
    <row r="1674" spans="1:29" x14ac:dyDescent="0.25">
      <c r="A1674" t="str">
        <f t="shared" si="27"/>
        <v xml:space="preserve">75016EWJ *               </v>
      </c>
      <c r="B1674" s="96">
        <v>75016</v>
      </c>
      <c r="C1674" s="96" t="s">
        <v>843</v>
      </c>
      <c r="D1674" s="96" t="s">
        <v>376</v>
      </c>
      <c r="E1674" s="96" t="s">
        <v>623</v>
      </c>
      <c r="F1674" s="96" t="s">
        <v>624</v>
      </c>
      <c r="G1674" s="99">
        <v>7000</v>
      </c>
      <c r="H1674" s="97">
        <v>99.247497999999993</v>
      </c>
      <c r="I1674" s="98">
        <v>694732.48600000003</v>
      </c>
      <c r="J1674" s="97">
        <v>112.48388743647143</v>
      </c>
      <c r="K1674" s="98">
        <v>-92654.726055299994</v>
      </c>
      <c r="L1674" s="99">
        <v>0</v>
      </c>
      <c r="M1674" s="98">
        <v>0</v>
      </c>
      <c r="N1674" s="99">
        <v>0</v>
      </c>
      <c r="O1674" s="98">
        <v>0</v>
      </c>
      <c r="P1674" s="99">
        <v>7000</v>
      </c>
      <c r="Q1674" s="98">
        <v>694732.48600000003</v>
      </c>
      <c r="R1674" s="96" t="s">
        <v>625</v>
      </c>
      <c r="S1674" s="96">
        <v>7414000005</v>
      </c>
      <c r="AA1674" s="129">
        <v>2001049</v>
      </c>
      <c r="AB1674" s="130">
        <v>10750642.521645</v>
      </c>
      <c r="AC1674" s="130">
        <v>10750642.521645</v>
      </c>
    </row>
    <row r="1675" spans="1:29" x14ac:dyDescent="0.25">
      <c r="A1675" t="str">
        <f t="shared" si="27"/>
        <v xml:space="preserve">75016GOBFED 240905       </v>
      </c>
      <c r="B1675" s="96">
        <v>75016</v>
      </c>
      <c r="C1675" s="96" t="s">
        <v>843</v>
      </c>
      <c r="D1675" s="96" t="s">
        <v>377</v>
      </c>
      <c r="E1675" s="96" t="s">
        <v>623</v>
      </c>
      <c r="F1675" s="96" t="s">
        <v>624</v>
      </c>
      <c r="G1675" s="99">
        <v>2110</v>
      </c>
      <c r="H1675" s="97">
        <v>94.973146999999997</v>
      </c>
      <c r="I1675" s="98">
        <v>200393.34017000001</v>
      </c>
      <c r="J1675" s="97">
        <v>89.777631726350705</v>
      </c>
      <c r="K1675" s="98">
        <v>10962.5372274</v>
      </c>
      <c r="L1675" s="99">
        <v>0</v>
      </c>
      <c r="M1675" s="98">
        <v>0</v>
      </c>
      <c r="N1675" s="99">
        <v>0</v>
      </c>
      <c r="O1675" s="98">
        <v>0</v>
      </c>
      <c r="P1675" s="99">
        <v>2110</v>
      </c>
      <c r="Q1675" s="98">
        <v>200393.34017000001</v>
      </c>
      <c r="R1675" s="96" t="s">
        <v>625</v>
      </c>
      <c r="S1675" s="96">
        <v>7414000005</v>
      </c>
      <c r="AA1675" s="131" t="s">
        <v>411</v>
      </c>
      <c r="AB1675" s="130">
        <v>10750642.521645</v>
      </c>
      <c r="AC1675" s="130">
        <v>10750642.521645</v>
      </c>
    </row>
    <row r="1676" spans="1:29" x14ac:dyDescent="0.25">
      <c r="A1676" t="str">
        <f t="shared" si="27"/>
        <v xml:space="preserve">75016GOBFED 241205       </v>
      </c>
      <c r="B1676" s="96">
        <v>75016</v>
      </c>
      <c r="C1676" s="96" t="s">
        <v>843</v>
      </c>
      <c r="D1676" s="96" t="s">
        <v>378</v>
      </c>
      <c r="E1676" s="96" t="s">
        <v>623</v>
      </c>
      <c r="F1676" s="96" t="s">
        <v>624</v>
      </c>
      <c r="G1676" s="99">
        <v>7269</v>
      </c>
      <c r="H1676" s="97">
        <v>91.911821000000003</v>
      </c>
      <c r="I1676" s="98">
        <v>668107.02684900002</v>
      </c>
      <c r="J1676" s="97">
        <v>93.2088459</v>
      </c>
      <c r="K1676" s="98">
        <v>-9428.0739981000006</v>
      </c>
      <c r="L1676" s="99">
        <v>0</v>
      </c>
      <c r="M1676" s="98">
        <v>0</v>
      </c>
      <c r="N1676" s="99">
        <v>0</v>
      </c>
      <c r="O1676" s="98">
        <v>0</v>
      </c>
      <c r="P1676" s="99">
        <v>7269</v>
      </c>
      <c r="Q1676" s="98">
        <v>668107.02684900002</v>
      </c>
      <c r="R1676" s="96" t="s">
        <v>625</v>
      </c>
      <c r="S1676" s="96">
        <v>7414000005</v>
      </c>
      <c r="AA1676" s="129">
        <v>2001050</v>
      </c>
      <c r="AB1676" s="130">
        <v>3958037.0935169999</v>
      </c>
      <c r="AC1676" s="130">
        <v>3958037.0935169999</v>
      </c>
    </row>
    <row r="1677" spans="1:29" x14ac:dyDescent="0.25">
      <c r="A1677" t="str">
        <f t="shared" si="27"/>
        <v xml:space="preserve">75016GOBFED 250306       </v>
      </c>
      <c r="B1677" s="96">
        <v>75016</v>
      </c>
      <c r="C1677" s="96" t="s">
        <v>843</v>
      </c>
      <c r="D1677" s="96" t="s">
        <v>499</v>
      </c>
      <c r="E1677" s="96" t="s">
        <v>623</v>
      </c>
      <c r="F1677" s="96" t="s">
        <v>624</v>
      </c>
      <c r="G1677" s="99">
        <v>3730</v>
      </c>
      <c r="H1677" s="97">
        <v>92.954503000000003</v>
      </c>
      <c r="I1677" s="98">
        <v>346720.29619000002</v>
      </c>
      <c r="J1677" s="97">
        <v>93.327063799731903</v>
      </c>
      <c r="K1677" s="98">
        <v>-1389.651783</v>
      </c>
      <c r="L1677" s="99">
        <v>0</v>
      </c>
      <c r="M1677" s="98">
        <v>0</v>
      </c>
      <c r="N1677" s="99">
        <v>0</v>
      </c>
      <c r="O1677" s="98">
        <v>0</v>
      </c>
      <c r="P1677" s="99">
        <v>3730</v>
      </c>
      <c r="Q1677" s="98">
        <v>346720.29619000002</v>
      </c>
      <c r="R1677" s="96" t="s">
        <v>625</v>
      </c>
      <c r="S1677" s="96">
        <v>7414000005</v>
      </c>
      <c r="AA1677" s="131" t="s">
        <v>411</v>
      </c>
      <c r="AB1677" s="130">
        <v>3958037.0935169999</v>
      </c>
      <c r="AC1677" s="130">
        <v>3958037.0935169999</v>
      </c>
    </row>
    <row r="1678" spans="1:29" x14ac:dyDescent="0.25">
      <c r="A1678" t="str">
        <f t="shared" si="27"/>
        <v xml:space="preserve">75016GOBFED 260305       </v>
      </c>
      <c r="B1678" s="96">
        <v>75016</v>
      </c>
      <c r="C1678" s="96" t="s">
        <v>843</v>
      </c>
      <c r="D1678" s="96" t="s">
        <v>379</v>
      </c>
      <c r="E1678" s="96" t="s">
        <v>623</v>
      </c>
      <c r="F1678" s="96" t="s">
        <v>624</v>
      </c>
      <c r="G1678" s="99">
        <v>3697</v>
      </c>
      <c r="H1678" s="97">
        <v>88.698122999999995</v>
      </c>
      <c r="I1678" s="98">
        <v>327916.960731</v>
      </c>
      <c r="J1678" s="97">
        <v>85.585960546770352</v>
      </c>
      <c r="K1678" s="98">
        <v>11505.66458959</v>
      </c>
      <c r="L1678" s="99">
        <v>0</v>
      </c>
      <c r="M1678" s="98">
        <v>0</v>
      </c>
      <c r="N1678" s="99">
        <v>0</v>
      </c>
      <c r="O1678" s="98">
        <v>0</v>
      </c>
      <c r="P1678" s="99">
        <v>3697</v>
      </c>
      <c r="Q1678" s="98">
        <v>327916.960731</v>
      </c>
      <c r="R1678" s="96" t="s">
        <v>625</v>
      </c>
      <c r="S1678" s="96">
        <v>7414000005</v>
      </c>
      <c r="AA1678" s="129">
        <v>1028703</v>
      </c>
      <c r="AB1678" s="130">
        <v>0</v>
      </c>
      <c r="AC1678" s="130">
        <v>0</v>
      </c>
    </row>
    <row r="1679" spans="1:29" x14ac:dyDescent="0.25">
      <c r="A1679" t="str">
        <f t="shared" si="27"/>
        <v xml:space="preserve">75016GOBFED 260903       </v>
      </c>
      <c r="B1679" s="96">
        <v>75016</v>
      </c>
      <c r="C1679" s="96" t="s">
        <v>843</v>
      </c>
      <c r="D1679" s="96" t="s">
        <v>380</v>
      </c>
      <c r="E1679" s="96" t="s">
        <v>623</v>
      </c>
      <c r="F1679" s="96" t="s">
        <v>624</v>
      </c>
      <c r="G1679" s="99">
        <v>7820</v>
      </c>
      <c r="H1679" s="97">
        <v>93.314192000000006</v>
      </c>
      <c r="I1679" s="98">
        <v>729716.98144</v>
      </c>
      <c r="J1679" s="97">
        <v>98.883737046611259</v>
      </c>
      <c r="K1679" s="98">
        <v>-43553.842264500003</v>
      </c>
      <c r="L1679" s="99">
        <v>0</v>
      </c>
      <c r="M1679" s="98">
        <v>0</v>
      </c>
      <c r="N1679" s="99">
        <v>0</v>
      </c>
      <c r="O1679" s="98">
        <v>0</v>
      </c>
      <c r="P1679" s="99">
        <v>7820</v>
      </c>
      <c r="Q1679" s="98">
        <v>729716.98144</v>
      </c>
      <c r="R1679" s="96" t="s">
        <v>625</v>
      </c>
      <c r="S1679" s="96">
        <v>7414000005</v>
      </c>
      <c r="AA1679" s="131" t="s">
        <v>378</v>
      </c>
      <c r="AB1679" s="130">
        <v>0</v>
      </c>
      <c r="AC1679" s="130">
        <v>0</v>
      </c>
    </row>
    <row r="1680" spans="1:29" x14ac:dyDescent="0.25">
      <c r="A1680" t="str">
        <f t="shared" si="27"/>
        <v xml:space="preserve">75016GOBFED 270304       </v>
      </c>
      <c r="B1680" s="96">
        <v>75016</v>
      </c>
      <c r="C1680" s="96" t="s">
        <v>843</v>
      </c>
      <c r="D1680" s="96" t="s">
        <v>507</v>
      </c>
      <c r="E1680" s="96" t="s">
        <v>623</v>
      </c>
      <c r="F1680" s="96" t="s">
        <v>624</v>
      </c>
      <c r="G1680" s="99">
        <v>6520</v>
      </c>
      <c r="H1680" s="97">
        <v>94.864168000000006</v>
      </c>
      <c r="I1680" s="98">
        <v>618514.37535999995</v>
      </c>
      <c r="J1680" s="97">
        <v>96.40582293817485</v>
      </c>
      <c r="K1680" s="98">
        <v>-10051.590196900001</v>
      </c>
      <c r="L1680" s="99">
        <v>0</v>
      </c>
      <c r="M1680" s="98">
        <v>0</v>
      </c>
      <c r="N1680" s="99">
        <v>0</v>
      </c>
      <c r="O1680" s="98">
        <v>0</v>
      </c>
      <c r="P1680" s="99">
        <v>6520</v>
      </c>
      <c r="Q1680" s="98">
        <v>618514.37535999995</v>
      </c>
      <c r="R1680" s="96" t="s">
        <v>625</v>
      </c>
      <c r="S1680" s="96">
        <v>7414000005</v>
      </c>
      <c r="AA1680" s="131" t="s">
        <v>391</v>
      </c>
      <c r="AB1680" s="130">
        <v>0</v>
      </c>
      <c r="AC1680" s="130">
        <v>0</v>
      </c>
    </row>
    <row r="1681" spans="1:29" x14ac:dyDescent="0.25">
      <c r="A1681" t="str">
        <f t="shared" si="27"/>
        <v xml:space="preserve">75016GOBFED 270603       </v>
      </c>
      <c r="B1681" s="96">
        <v>75016</v>
      </c>
      <c r="C1681" s="96" t="s">
        <v>843</v>
      </c>
      <c r="D1681" s="96" t="s">
        <v>381</v>
      </c>
      <c r="E1681" s="96" t="s">
        <v>623</v>
      </c>
      <c r="F1681" s="96" t="s">
        <v>624</v>
      </c>
      <c r="G1681" s="99">
        <v>24003</v>
      </c>
      <c r="H1681" s="97">
        <v>94.870157000000006</v>
      </c>
      <c r="I1681" s="98">
        <v>2277168.3784710001</v>
      </c>
      <c r="J1681" s="97">
        <v>96.986671955228928</v>
      </c>
      <c r="K1681" s="98">
        <v>-50802.708470359998</v>
      </c>
      <c r="L1681" s="99">
        <v>0</v>
      </c>
      <c r="M1681" s="98">
        <v>0</v>
      </c>
      <c r="N1681" s="99">
        <v>0</v>
      </c>
      <c r="O1681" s="98">
        <v>0</v>
      </c>
      <c r="P1681" s="99">
        <v>24003</v>
      </c>
      <c r="Q1681" s="98">
        <v>2277168.3784710001</v>
      </c>
      <c r="R1681" s="96" t="s">
        <v>625</v>
      </c>
      <c r="S1681" s="96">
        <v>7414000005</v>
      </c>
      <c r="AA1681" s="131" t="s">
        <v>393</v>
      </c>
      <c r="AB1681" s="130">
        <v>0</v>
      </c>
      <c r="AC1681" s="130">
        <v>0</v>
      </c>
    </row>
    <row r="1682" spans="1:29" x14ac:dyDescent="0.25">
      <c r="A1682" t="str">
        <f t="shared" si="27"/>
        <v xml:space="preserve">75016GOBFED 290301       </v>
      </c>
      <c r="B1682" s="96">
        <v>75016</v>
      </c>
      <c r="C1682" s="96" t="s">
        <v>843</v>
      </c>
      <c r="D1682" s="96" t="s">
        <v>382</v>
      </c>
      <c r="E1682" s="96" t="s">
        <v>623</v>
      </c>
      <c r="F1682" s="96" t="s">
        <v>624</v>
      </c>
      <c r="G1682" s="99">
        <v>7354</v>
      </c>
      <c r="H1682" s="97">
        <v>89.489464999999996</v>
      </c>
      <c r="I1682" s="98">
        <v>658105.52561000001</v>
      </c>
      <c r="J1682" s="97">
        <v>90.569192235050309</v>
      </c>
      <c r="K1682" s="98">
        <v>-7940.3140865599999</v>
      </c>
      <c r="L1682" s="99">
        <v>0</v>
      </c>
      <c r="M1682" s="98">
        <v>0</v>
      </c>
      <c r="N1682" s="99">
        <v>0</v>
      </c>
      <c r="O1682" s="98">
        <v>0</v>
      </c>
      <c r="P1682" s="99">
        <v>7354</v>
      </c>
      <c r="Q1682" s="98">
        <v>658105.52561000001</v>
      </c>
      <c r="R1682" s="96" t="s">
        <v>625</v>
      </c>
      <c r="S1682" s="96">
        <v>7414000005</v>
      </c>
      <c r="AA1682" s="131" t="s">
        <v>379</v>
      </c>
      <c r="AB1682" s="130">
        <v>0</v>
      </c>
      <c r="AC1682" s="130">
        <v>0</v>
      </c>
    </row>
    <row r="1683" spans="1:29" x14ac:dyDescent="0.25">
      <c r="A1683" t="str">
        <f t="shared" si="27"/>
        <v xml:space="preserve">75016GOBFED 290531       </v>
      </c>
      <c r="B1683" s="96">
        <v>75016</v>
      </c>
      <c r="C1683" s="96" t="s">
        <v>843</v>
      </c>
      <c r="D1683" s="96" t="s">
        <v>383</v>
      </c>
      <c r="E1683" s="96" t="s">
        <v>623</v>
      </c>
      <c r="F1683" s="96" t="s">
        <v>624</v>
      </c>
      <c r="G1683" s="99">
        <v>18137</v>
      </c>
      <c r="H1683" s="97">
        <v>86.197128000000006</v>
      </c>
      <c r="I1683" s="98">
        <v>1563357.3105359999</v>
      </c>
      <c r="J1683" s="97">
        <v>89.584872272594694</v>
      </c>
      <c r="K1683" s="98">
        <v>-61443.517872049997</v>
      </c>
      <c r="L1683" s="99">
        <v>0</v>
      </c>
      <c r="M1683" s="98">
        <v>0</v>
      </c>
      <c r="N1683" s="99">
        <v>0</v>
      </c>
      <c r="O1683" s="98">
        <v>0</v>
      </c>
      <c r="P1683" s="99">
        <v>18137</v>
      </c>
      <c r="Q1683" s="98">
        <v>1563357.3105359999</v>
      </c>
      <c r="R1683" s="96" t="s">
        <v>625</v>
      </c>
      <c r="S1683" s="96">
        <v>7414000005</v>
      </c>
      <c r="AA1683" s="129">
        <v>2000947</v>
      </c>
      <c r="AB1683" s="130">
        <v>22149393.044493999</v>
      </c>
      <c r="AC1683" s="130">
        <v>22149393.044493999</v>
      </c>
    </row>
    <row r="1684" spans="1:29" x14ac:dyDescent="0.25">
      <c r="A1684" t="str">
        <f t="shared" si="27"/>
        <v xml:space="preserve">75016GOBFED 310529       </v>
      </c>
      <c r="B1684" s="96">
        <v>75016</v>
      </c>
      <c r="C1684" s="96" t="s">
        <v>843</v>
      </c>
      <c r="D1684" s="96" t="s">
        <v>427</v>
      </c>
      <c r="E1684" s="96" t="s">
        <v>623</v>
      </c>
      <c r="F1684" s="96" t="s">
        <v>624</v>
      </c>
      <c r="G1684" s="99">
        <v>14719</v>
      </c>
      <c r="H1684" s="97">
        <v>86.469353999999996</v>
      </c>
      <c r="I1684" s="98">
        <v>1272742.4215259999</v>
      </c>
      <c r="J1684" s="97">
        <v>90.846223981571441</v>
      </c>
      <c r="K1684" s="98">
        <v>-64423.149258750003</v>
      </c>
      <c r="L1684" s="99">
        <v>0</v>
      </c>
      <c r="M1684" s="98">
        <v>0</v>
      </c>
      <c r="N1684" s="99">
        <v>0</v>
      </c>
      <c r="O1684" s="98">
        <v>0</v>
      </c>
      <c r="P1684" s="99">
        <v>14719</v>
      </c>
      <c r="Q1684" s="98">
        <v>1272742.4215259999</v>
      </c>
      <c r="R1684" s="96" t="s">
        <v>625</v>
      </c>
      <c r="S1684" s="96">
        <v>7414000005</v>
      </c>
      <c r="AA1684" s="131" t="s">
        <v>389</v>
      </c>
      <c r="AB1684" s="130">
        <v>13199.855992000001</v>
      </c>
      <c r="AC1684" s="130">
        <v>13199.855992000001</v>
      </c>
    </row>
    <row r="1685" spans="1:29" x14ac:dyDescent="0.25">
      <c r="A1685" t="str">
        <f t="shared" si="27"/>
        <v xml:space="preserve">75016GOBFED 330526       </v>
      </c>
      <c r="B1685" s="96">
        <v>75016</v>
      </c>
      <c r="C1685" s="96" t="s">
        <v>843</v>
      </c>
      <c r="D1685" s="96" t="s">
        <v>408</v>
      </c>
      <c r="E1685" s="96" t="s">
        <v>623</v>
      </c>
      <c r="F1685" s="96" t="s">
        <v>624</v>
      </c>
      <c r="G1685" s="99">
        <v>543</v>
      </c>
      <c r="H1685" s="97">
        <v>89.643172000000007</v>
      </c>
      <c r="I1685" s="98">
        <v>48676.242396000001</v>
      </c>
      <c r="J1685" s="97">
        <v>108.47711812999999</v>
      </c>
      <c r="K1685" s="98">
        <v>-10226.832748590001</v>
      </c>
      <c r="L1685" s="99">
        <v>0</v>
      </c>
      <c r="M1685" s="98">
        <v>0</v>
      </c>
      <c r="N1685" s="99">
        <v>0</v>
      </c>
      <c r="O1685" s="98">
        <v>0</v>
      </c>
      <c r="P1685" s="99">
        <v>543</v>
      </c>
      <c r="Q1685" s="98">
        <v>48676.242396000001</v>
      </c>
      <c r="R1685" s="96" t="s">
        <v>625</v>
      </c>
      <c r="S1685" s="96">
        <v>7414000005</v>
      </c>
      <c r="AA1685" s="131" t="s">
        <v>407</v>
      </c>
      <c r="AB1685" s="130">
        <v>22136193.188501999</v>
      </c>
      <c r="AC1685" s="130">
        <v>22136193.188501999</v>
      </c>
    </row>
    <row r="1686" spans="1:29" x14ac:dyDescent="0.25">
      <c r="A1686" t="str">
        <f t="shared" si="27"/>
        <v xml:space="preserve">75016GOBFED 341123       </v>
      </c>
      <c r="B1686" s="96">
        <v>75016</v>
      </c>
      <c r="C1686" s="96" t="s">
        <v>843</v>
      </c>
      <c r="D1686" s="96" t="s">
        <v>384</v>
      </c>
      <c r="E1686" s="96" t="s">
        <v>623</v>
      </c>
      <c r="F1686" s="96" t="s">
        <v>624</v>
      </c>
      <c r="G1686" s="99">
        <v>11957</v>
      </c>
      <c r="H1686" s="97">
        <v>81.738860000000003</v>
      </c>
      <c r="I1686" s="98">
        <v>977351.54902000003</v>
      </c>
      <c r="J1686" s="97">
        <v>86.357283414535416</v>
      </c>
      <c r="K1686" s="98">
        <v>-55222.4887676</v>
      </c>
      <c r="L1686" s="99">
        <v>0</v>
      </c>
      <c r="M1686" s="98">
        <v>0</v>
      </c>
      <c r="N1686" s="99">
        <v>0</v>
      </c>
      <c r="O1686" s="98">
        <v>0</v>
      </c>
      <c r="P1686" s="99">
        <v>11957</v>
      </c>
      <c r="Q1686" s="98">
        <v>977351.54902000003</v>
      </c>
      <c r="R1686" s="96" t="s">
        <v>625</v>
      </c>
      <c r="S1686" s="96">
        <v>7414000005</v>
      </c>
      <c r="AA1686" s="129">
        <v>65503071575</v>
      </c>
      <c r="AB1686" s="130">
        <v>209605148.93122199</v>
      </c>
      <c r="AC1686" s="130">
        <v>209605148.93122199</v>
      </c>
    </row>
    <row r="1687" spans="1:29" x14ac:dyDescent="0.25">
      <c r="A1687" t="str">
        <f t="shared" si="27"/>
        <v xml:space="preserve">75016GOBFED 381118       </v>
      </c>
      <c r="B1687" s="96">
        <v>75016</v>
      </c>
      <c r="C1687" s="96" t="s">
        <v>843</v>
      </c>
      <c r="D1687" s="96" t="s">
        <v>385</v>
      </c>
      <c r="E1687" s="96" t="s">
        <v>623</v>
      </c>
      <c r="F1687" s="96" t="s">
        <v>624</v>
      </c>
      <c r="G1687" s="99">
        <v>2220</v>
      </c>
      <c r="H1687" s="97">
        <v>83.200761</v>
      </c>
      <c r="I1687" s="98">
        <v>184705.68942000001</v>
      </c>
      <c r="J1687" s="97">
        <v>94.454636132162165</v>
      </c>
      <c r="K1687" s="98">
        <v>-24983.602793400001</v>
      </c>
      <c r="L1687" s="99">
        <v>0</v>
      </c>
      <c r="M1687" s="98">
        <v>0</v>
      </c>
      <c r="N1687" s="99">
        <v>0</v>
      </c>
      <c r="O1687" s="98">
        <v>0</v>
      </c>
      <c r="P1687" s="99">
        <v>2220</v>
      </c>
      <c r="Q1687" s="98">
        <v>184705.68942000001</v>
      </c>
      <c r="R1687" s="96" t="s">
        <v>625</v>
      </c>
      <c r="S1687" s="96">
        <v>7414000005</v>
      </c>
      <c r="AA1687" s="131" t="s">
        <v>480</v>
      </c>
      <c r="AB1687" s="130">
        <v>209605148.93122199</v>
      </c>
      <c r="AC1687" s="130">
        <v>209605148.93122199</v>
      </c>
    </row>
    <row r="1688" spans="1:29" x14ac:dyDescent="0.25">
      <c r="A1688" t="str">
        <f t="shared" si="27"/>
        <v xml:space="preserve">75016GOBFED 421113       </v>
      </c>
      <c r="B1688" s="96">
        <v>75016</v>
      </c>
      <c r="C1688" s="96" t="s">
        <v>843</v>
      </c>
      <c r="D1688" s="96" t="s">
        <v>386</v>
      </c>
      <c r="E1688" s="96" t="s">
        <v>623</v>
      </c>
      <c r="F1688" s="96" t="s">
        <v>624</v>
      </c>
      <c r="G1688" s="99">
        <v>18260</v>
      </c>
      <c r="H1688" s="97">
        <v>82.159907000000004</v>
      </c>
      <c r="I1688" s="98">
        <v>1500239.90182</v>
      </c>
      <c r="J1688" s="97">
        <v>84.026505772606797</v>
      </c>
      <c r="K1688" s="98">
        <v>-34084.093587800002</v>
      </c>
      <c r="L1688" s="99">
        <v>0</v>
      </c>
      <c r="M1688" s="98">
        <v>0</v>
      </c>
      <c r="N1688" s="99">
        <v>0</v>
      </c>
      <c r="O1688" s="98">
        <v>0</v>
      </c>
      <c r="P1688" s="99">
        <v>18260</v>
      </c>
      <c r="Q1688" s="98">
        <v>1500239.90182</v>
      </c>
      <c r="R1688" s="96" t="s">
        <v>625</v>
      </c>
      <c r="S1688" s="96">
        <v>7414000005</v>
      </c>
      <c r="AA1688" s="129">
        <v>65503040718</v>
      </c>
      <c r="AB1688" s="130">
        <v>179061138.29270801</v>
      </c>
      <c r="AC1688" s="130">
        <v>179061138.29270801</v>
      </c>
    </row>
    <row r="1689" spans="1:29" x14ac:dyDescent="0.25">
      <c r="A1689" t="str">
        <f t="shared" si="27"/>
        <v xml:space="preserve">75016GOBFED 471107       </v>
      </c>
      <c r="B1689" s="96">
        <v>75016</v>
      </c>
      <c r="C1689" s="96" t="s">
        <v>843</v>
      </c>
      <c r="D1689" s="96" t="s">
        <v>388</v>
      </c>
      <c r="E1689" s="96" t="s">
        <v>623</v>
      </c>
      <c r="F1689" s="96" t="s">
        <v>624</v>
      </c>
      <c r="G1689" s="99">
        <v>389</v>
      </c>
      <c r="H1689" s="97">
        <v>8532.5</v>
      </c>
      <c r="I1689" s="98">
        <v>3319142.5</v>
      </c>
      <c r="J1689" s="97">
        <v>4613.7907969151674</v>
      </c>
      <c r="K1689" s="98">
        <v>1524377.88</v>
      </c>
      <c r="L1689" s="99">
        <v>0</v>
      </c>
      <c r="M1689" s="98">
        <v>0</v>
      </c>
      <c r="N1689" s="99">
        <v>0</v>
      </c>
      <c r="O1689" s="98">
        <v>0</v>
      </c>
      <c r="P1689" s="99">
        <v>389</v>
      </c>
      <c r="Q1689" s="98">
        <v>3319142.5</v>
      </c>
      <c r="R1689" s="96" t="s">
        <v>625</v>
      </c>
      <c r="S1689" s="96">
        <v>7414000005</v>
      </c>
      <c r="AA1689" s="131" t="s">
        <v>389</v>
      </c>
      <c r="AB1689" s="130">
        <v>179061138.29270801</v>
      </c>
      <c r="AC1689" s="130">
        <v>179061138.29270801</v>
      </c>
    </row>
    <row r="1690" spans="1:29" x14ac:dyDescent="0.25">
      <c r="A1690" t="str">
        <f t="shared" si="27"/>
        <v xml:space="preserve">75016GOBFED 530731       </v>
      </c>
      <c r="B1690" s="96">
        <v>75016</v>
      </c>
      <c r="C1690" s="96" t="s">
        <v>843</v>
      </c>
      <c r="D1690" s="96" t="s">
        <v>429</v>
      </c>
      <c r="E1690" s="96" t="s">
        <v>623</v>
      </c>
      <c r="F1690" s="96" t="s">
        <v>624</v>
      </c>
      <c r="G1690" s="99">
        <v>16462</v>
      </c>
      <c r="H1690" s="97">
        <v>98.007834000000003</v>
      </c>
      <c r="I1690" s="98">
        <v>1613404.963308</v>
      </c>
      <c r="J1690" s="97">
        <v>89.770042304107648</v>
      </c>
      <c r="K1690" s="98">
        <v>135610.52689777999</v>
      </c>
      <c r="L1690" s="99">
        <v>0</v>
      </c>
      <c r="M1690" s="98">
        <v>0</v>
      </c>
      <c r="N1690" s="99">
        <v>0</v>
      </c>
      <c r="O1690" s="98">
        <v>0</v>
      </c>
      <c r="P1690" s="99">
        <v>16462</v>
      </c>
      <c r="Q1690" s="98">
        <v>1613404.963308</v>
      </c>
      <c r="R1690" s="96" t="s">
        <v>625</v>
      </c>
      <c r="S1690" s="96">
        <v>7414000005</v>
      </c>
      <c r="AA1690" s="129">
        <v>65507052215</v>
      </c>
      <c r="AB1690" s="130">
        <v>7911653.4124480002</v>
      </c>
      <c r="AC1690" s="130">
        <v>7911653.4124480002</v>
      </c>
    </row>
    <row r="1691" spans="1:29" x14ac:dyDescent="0.25">
      <c r="A1691" t="str">
        <f t="shared" si="27"/>
        <v xml:space="preserve">75016IVV *               </v>
      </c>
      <c r="B1691" s="96">
        <v>75016</v>
      </c>
      <c r="C1691" s="96" t="s">
        <v>843</v>
      </c>
      <c r="D1691" s="96" t="s">
        <v>501</v>
      </c>
      <c r="E1691" s="96" t="s">
        <v>623</v>
      </c>
      <c r="F1691" s="96" t="s">
        <v>624</v>
      </c>
      <c r="G1691" s="99">
        <v>1367</v>
      </c>
      <c r="H1691" s="97">
        <v>682.55</v>
      </c>
      <c r="I1691" s="98">
        <v>933045.85</v>
      </c>
      <c r="J1691" s="97">
        <v>848.0099122165326</v>
      </c>
      <c r="K1691" s="98">
        <v>-226183.7</v>
      </c>
      <c r="L1691" s="99">
        <v>0</v>
      </c>
      <c r="M1691" s="98">
        <v>0</v>
      </c>
      <c r="N1691" s="99">
        <v>0</v>
      </c>
      <c r="O1691" s="98">
        <v>0</v>
      </c>
      <c r="P1691" s="99">
        <v>1367</v>
      </c>
      <c r="Q1691" s="98">
        <v>933045.85</v>
      </c>
      <c r="R1691" s="96" t="s">
        <v>625</v>
      </c>
      <c r="S1691" s="96">
        <v>7414000005</v>
      </c>
      <c r="AA1691" s="131" t="s">
        <v>431</v>
      </c>
      <c r="AB1691" s="130">
        <v>7911653.4124480002</v>
      </c>
      <c r="AC1691" s="130">
        <v>7911653.4124480002</v>
      </c>
    </row>
    <row r="1692" spans="1:29" x14ac:dyDescent="0.25">
      <c r="A1692" t="str">
        <f t="shared" si="27"/>
        <v xml:space="preserve">75016PEMEX 13-2          </v>
      </c>
      <c r="B1692" s="96">
        <v>75016</v>
      </c>
      <c r="C1692" s="96" t="s">
        <v>843</v>
      </c>
      <c r="D1692" s="96" t="s">
        <v>430</v>
      </c>
      <c r="E1692" s="96" t="s">
        <v>623</v>
      </c>
      <c r="F1692" s="96" t="s">
        <v>624</v>
      </c>
      <c r="G1692" s="99">
        <v>2891290</v>
      </c>
      <c r="H1692" s="97">
        <v>3.1390400000000001</v>
      </c>
      <c r="I1692" s="98">
        <v>9075874.9616</v>
      </c>
      <c r="J1692" s="97">
        <v>2.3836754977881847</v>
      </c>
      <c r="K1692" s="98">
        <v>2183977.8316000002</v>
      </c>
      <c r="L1692" s="99">
        <v>0</v>
      </c>
      <c r="M1692" s="98">
        <v>0</v>
      </c>
      <c r="N1692" s="99">
        <v>0</v>
      </c>
      <c r="O1692" s="98">
        <v>0</v>
      </c>
      <c r="P1692" s="99">
        <v>2891290</v>
      </c>
      <c r="Q1692" s="98">
        <v>9075874.9616</v>
      </c>
      <c r="R1692" s="96" t="s">
        <v>625</v>
      </c>
      <c r="S1692" s="96">
        <v>7414000005</v>
      </c>
      <c r="AA1692" s="129">
        <v>65507052277</v>
      </c>
      <c r="AB1692" s="130">
        <v>5074705.3529690001</v>
      </c>
      <c r="AC1692" s="130">
        <v>5074705.3529690001</v>
      </c>
    </row>
    <row r="1693" spans="1:29" x14ac:dyDescent="0.25">
      <c r="A1693" t="str">
        <f t="shared" si="27"/>
        <v xml:space="preserve">75016SPSM *              </v>
      </c>
      <c r="B1693" s="96">
        <v>75016</v>
      </c>
      <c r="C1693" s="96" t="s">
        <v>843</v>
      </c>
      <c r="D1693" s="96" t="s">
        <v>389</v>
      </c>
      <c r="E1693" s="96" t="s">
        <v>623</v>
      </c>
      <c r="F1693" s="96" t="s">
        <v>624</v>
      </c>
      <c r="G1693" s="99">
        <v>667038</v>
      </c>
      <c r="H1693" s="97">
        <v>3.3967719999999999</v>
      </c>
      <c r="I1693" s="98">
        <v>2265776.0013359999</v>
      </c>
      <c r="J1693" s="97">
        <v>3.297121963066572</v>
      </c>
      <c r="K1693" s="98">
        <v>66470.361336000002</v>
      </c>
      <c r="L1693" s="99">
        <v>0</v>
      </c>
      <c r="M1693" s="98">
        <v>0</v>
      </c>
      <c r="N1693" s="99">
        <v>0</v>
      </c>
      <c r="O1693" s="98">
        <v>0</v>
      </c>
      <c r="P1693" s="99">
        <v>667038</v>
      </c>
      <c r="Q1693" s="98">
        <v>2265776.0013359999</v>
      </c>
      <c r="R1693" s="96" t="s">
        <v>625</v>
      </c>
      <c r="S1693" s="96">
        <v>7414000005</v>
      </c>
      <c r="AA1693" s="131" t="s">
        <v>412</v>
      </c>
      <c r="AB1693" s="130">
        <v>5074705.3529690001</v>
      </c>
      <c r="AC1693" s="130">
        <v>5074705.3529690001</v>
      </c>
    </row>
    <row r="1694" spans="1:29" x14ac:dyDescent="0.25">
      <c r="A1694" t="str">
        <f t="shared" si="27"/>
        <v xml:space="preserve">75016ST&amp;ER-C ED          </v>
      </c>
      <c r="B1694" s="96">
        <v>75016</v>
      </c>
      <c r="C1694" s="96" t="s">
        <v>843</v>
      </c>
      <c r="D1694" s="96" t="s">
        <v>391</v>
      </c>
      <c r="E1694" s="96" t="s">
        <v>623</v>
      </c>
      <c r="F1694" s="96" t="s">
        <v>624</v>
      </c>
      <c r="G1694" s="99">
        <v>1166</v>
      </c>
      <c r="H1694" s="97">
        <v>775.69178699999998</v>
      </c>
      <c r="I1694" s="98">
        <v>904456.62364200002</v>
      </c>
      <c r="J1694" s="97">
        <v>766.69784126000002</v>
      </c>
      <c r="K1694" s="98">
        <v>10486.940732839999</v>
      </c>
      <c r="L1694" s="99">
        <v>0</v>
      </c>
      <c r="M1694" s="98">
        <v>0</v>
      </c>
      <c r="N1694" s="99">
        <v>0</v>
      </c>
      <c r="O1694" s="98">
        <v>0</v>
      </c>
      <c r="P1694" s="99">
        <v>1166</v>
      </c>
      <c r="Q1694" s="98">
        <v>904456.62364200002</v>
      </c>
      <c r="R1694" s="96" t="s">
        <v>625</v>
      </c>
      <c r="S1694" s="96">
        <v>7414000005</v>
      </c>
      <c r="AA1694" s="129">
        <v>65507052294</v>
      </c>
      <c r="AB1694" s="130">
        <v>7726026.700096</v>
      </c>
      <c r="AC1694" s="130">
        <v>7726026.700096</v>
      </c>
    </row>
    <row r="1695" spans="1:29" x14ac:dyDescent="0.25">
      <c r="A1695" t="str">
        <f t="shared" si="27"/>
        <v xml:space="preserve">75016STERGOB ED          </v>
      </c>
      <c r="B1695" s="96">
        <v>75016</v>
      </c>
      <c r="C1695" s="96" t="s">
        <v>843</v>
      </c>
      <c r="D1695" s="96" t="s">
        <v>392</v>
      </c>
      <c r="E1695" s="96" t="s">
        <v>623</v>
      </c>
      <c r="F1695" s="96" t="s">
        <v>624</v>
      </c>
      <c r="G1695" s="99">
        <v>2547</v>
      </c>
      <c r="H1695" s="97">
        <v>747.17843200000004</v>
      </c>
      <c r="I1695" s="98">
        <v>1903063.466304</v>
      </c>
      <c r="J1695" s="97">
        <v>723.88630513345117</v>
      </c>
      <c r="K1695" s="98">
        <v>59325.047129099999</v>
      </c>
      <c r="L1695" s="99">
        <v>0</v>
      </c>
      <c r="M1695" s="98">
        <v>0</v>
      </c>
      <c r="N1695" s="99">
        <v>0</v>
      </c>
      <c r="O1695" s="98">
        <v>0</v>
      </c>
      <c r="P1695" s="99">
        <v>2547</v>
      </c>
      <c r="Q1695" s="98">
        <v>1903063.466304</v>
      </c>
      <c r="R1695" s="96" t="s">
        <v>625</v>
      </c>
      <c r="S1695" s="96">
        <v>7414000005</v>
      </c>
      <c r="AA1695" s="131" t="s">
        <v>431</v>
      </c>
      <c r="AB1695" s="130">
        <v>7726026.700096</v>
      </c>
      <c r="AC1695" s="130">
        <v>7726026.700096</v>
      </c>
    </row>
    <row r="1696" spans="1:29" x14ac:dyDescent="0.25">
      <c r="A1696" t="str">
        <f t="shared" si="27"/>
        <v xml:space="preserve">75016UDIBONO 251204      </v>
      </c>
      <c r="B1696" s="96">
        <v>75016</v>
      </c>
      <c r="C1696" s="96" t="s">
        <v>843</v>
      </c>
      <c r="D1696" s="96" t="s">
        <v>393</v>
      </c>
      <c r="E1696" s="96" t="s">
        <v>623</v>
      </c>
      <c r="F1696" s="96" t="s">
        <v>624</v>
      </c>
      <c r="G1696" s="99">
        <v>863</v>
      </c>
      <c r="H1696" s="97">
        <v>765.92388300000005</v>
      </c>
      <c r="I1696" s="98">
        <v>660992.31102899997</v>
      </c>
      <c r="J1696" s="97">
        <v>751.72813221592116</v>
      </c>
      <c r="K1696" s="98">
        <v>12250.93292666</v>
      </c>
      <c r="L1696" s="99">
        <v>0</v>
      </c>
      <c r="M1696" s="98">
        <v>0</v>
      </c>
      <c r="N1696" s="99">
        <v>0</v>
      </c>
      <c r="O1696" s="98">
        <v>0</v>
      </c>
      <c r="P1696" s="99">
        <v>863</v>
      </c>
      <c r="Q1696" s="98">
        <v>660992.31102899997</v>
      </c>
      <c r="R1696" s="96" t="s">
        <v>625</v>
      </c>
      <c r="S1696" s="96">
        <v>7414000005</v>
      </c>
      <c r="AA1696" s="129">
        <v>65507298252</v>
      </c>
      <c r="AB1696" s="130">
        <v>2911559188.6051269</v>
      </c>
      <c r="AC1696" s="130">
        <v>2911559188.6051269</v>
      </c>
    </row>
    <row r="1697" spans="1:29" x14ac:dyDescent="0.25">
      <c r="A1697" t="str">
        <f t="shared" si="27"/>
        <v xml:space="preserve">75016UDIBONO 261203      </v>
      </c>
      <c r="B1697" s="96">
        <v>75016</v>
      </c>
      <c r="C1697" s="96" t="s">
        <v>843</v>
      </c>
      <c r="D1697" s="96" t="s">
        <v>394</v>
      </c>
      <c r="E1697" s="96" t="s">
        <v>623</v>
      </c>
      <c r="F1697" s="96" t="s">
        <v>624</v>
      </c>
      <c r="G1697" s="99">
        <v>1460</v>
      </c>
      <c r="H1697" s="97">
        <v>684.88915799999995</v>
      </c>
      <c r="I1697" s="98">
        <v>999938.17067999998</v>
      </c>
      <c r="J1697" s="97">
        <v>680.55308054383556</v>
      </c>
      <c r="K1697" s="98">
        <v>6330.6730859999998</v>
      </c>
      <c r="L1697" s="99">
        <v>0</v>
      </c>
      <c r="M1697" s="98">
        <v>0</v>
      </c>
      <c r="N1697" s="99">
        <v>0</v>
      </c>
      <c r="O1697" s="98">
        <v>0</v>
      </c>
      <c r="P1697" s="99">
        <v>1460</v>
      </c>
      <c r="Q1697" s="98">
        <v>999938.17067999998</v>
      </c>
      <c r="R1697" s="96" t="s">
        <v>625</v>
      </c>
      <c r="S1697" s="96">
        <v>7414000005</v>
      </c>
      <c r="AA1697" s="131" t="s">
        <v>366</v>
      </c>
      <c r="AB1697" s="130">
        <v>70548482.469999999</v>
      </c>
      <c r="AC1697" s="130">
        <v>70548482.469999999</v>
      </c>
    </row>
    <row r="1698" spans="1:29" x14ac:dyDescent="0.25">
      <c r="A1698" t="str">
        <f t="shared" si="27"/>
        <v xml:space="preserve">75016UDIBONO 281130      </v>
      </c>
      <c r="B1698" s="96">
        <v>75016</v>
      </c>
      <c r="C1698" s="96" t="s">
        <v>843</v>
      </c>
      <c r="D1698" s="96" t="s">
        <v>395</v>
      </c>
      <c r="E1698" s="96" t="s">
        <v>623</v>
      </c>
      <c r="F1698" s="96" t="s">
        <v>624</v>
      </c>
      <c r="G1698" s="99">
        <v>859</v>
      </c>
      <c r="H1698" s="97">
        <v>772.926965</v>
      </c>
      <c r="I1698" s="98">
        <v>663944.26293500001</v>
      </c>
      <c r="J1698" s="97">
        <v>801.62103501598369</v>
      </c>
      <c r="K1698" s="98">
        <v>-24648.20614373</v>
      </c>
      <c r="L1698" s="99">
        <v>0</v>
      </c>
      <c r="M1698" s="98">
        <v>0</v>
      </c>
      <c r="N1698" s="99">
        <v>0</v>
      </c>
      <c r="O1698" s="98">
        <v>0</v>
      </c>
      <c r="P1698" s="99">
        <v>859</v>
      </c>
      <c r="Q1698" s="98">
        <v>663944.26293500001</v>
      </c>
      <c r="R1698" s="96" t="s">
        <v>625</v>
      </c>
      <c r="S1698" s="96">
        <v>7414000005</v>
      </c>
      <c r="AA1698" s="131" t="s">
        <v>380</v>
      </c>
      <c r="AB1698" s="130">
        <v>56739694.445600003</v>
      </c>
      <c r="AC1698" s="130">
        <v>56739694.445600003</v>
      </c>
    </row>
    <row r="1699" spans="1:29" x14ac:dyDescent="0.25">
      <c r="A1699" t="str">
        <f t="shared" si="27"/>
        <v xml:space="preserve">75016UDIBONO 311127      </v>
      </c>
      <c r="B1699" s="96">
        <v>75016</v>
      </c>
      <c r="C1699" s="96" t="s">
        <v>843</v>
      </c>
      <c r="D1699" s="96" t="s">
        <v>396</v>
      </c>
      <c r="E1699" s="96" t="s">
        <v>623</v>
      </c>
      <c r="F1699" s="96" t="s">
        <v>624</v>
      </c>
      <c r="G1699" s="99">
        <v>1076</v>
      </c>
      <c r="H1699" s="97">
        <v>721.59464000000003</v>
      </c>
      <c r="I1699" s="98">
        <v>776435.83264000004</v>
      </c>
      <c r="J1699" s="97">
        <v>756.87037317208183</v>
      </c>
      <c r="K1699" s="98">
        <v>-37956.688893159997</v>
      </c>
      <c r="L1699" s="99">
        <v>0</v>
      </c>
      <c r="M1699" s="98">
        <v>0</v>
      </c>
      <c r="N1699" s="99">
        <v>0</v>
      </c>
      <c r="O1699" s="98">
        <v>0</v>
      </c>
      <c r="P1699" s="99">
        <v>1076</v>
      </c>
      <c r="Q1699" s="98">
        <v>776435.83264000004</v>
      </c>
      <c r="R1699" s="96" t="s">
        <v>625</v>
      </c>
      <c r="S1699" s="96">
        <v>7414000005</v>
      </c>
      <c r="AA1699" s="131" t="s">
        <v>382</v>
      </c>
      <c r="AB1699" s="130">
        <v>356851859.70206499</v>
      </c>
      <c r="AC1699" s="130">
        <v>356851859.70206499</v>
      </c>
    </row>
    <row r="1700" spans="1:29" x14ac:dyDescent="0.25">
      <c r="A1700" t="str">
        <f t="shared" si="27"/>
        <v xml:space="preserve">75016UDIBONO 351122      </v>
      </c>
      <c r="B1700" s="96">
        <v>75016</v>
      </c>
      <c r="C1700" s="96" t="s">
        <v>843</v>
      </c>
      <c r="D1700" s="96" t="s">
        <v>397</v>
      </c>
      <c r="E1700" s="96" t="s">
        <v>623</v>
      </c>
      <c r="F1700" s="96" t="s">
        <v>624</v>
      </c>
      <c r="G1700" s="99">
        <v>485</v>
      </c>
      <c r="H1700" s="97">
        <v>635.96311900000001</v>
      </c>
      <c r="I1700" s="98">
        <v>308442.112715</v>
      </c>
      <c r="J1700" s="97">
        <v>647.93802047999998</v>
      </c>
      <c r="K1700" s="98">
        <v>-5807.8272177999997</v>
      </c>
      <c r="L1700" s="99">
        <v>0</v>
      </c>
      <c r="M1700" s="98">
        <v>0</v>
      </c>
      <c r="N1700" s="99">
        <v>0</v>
      </c>
      <c r="O1700" s="98">
        <v>0</v>
      </c>
      <c r="P1700" s="99">
        <v>485</v>
      </c>
      <c r="Q1700" s="98">
        <v>308442.112715</v>
      </c>
      <c r="R1700" s="96" t="s">
        <v>625</v>
      </c>
      <c r="S1700" s="96">
        <v>7414000005</v>
      </c>
      <c r="AA1700" s="131" t="s">
        <v>427</v>
      </c>
      <c r="AB1700" s="130">
        <v>39415325.633819997</v>
      </c>
      <c r="AC1700" s="130">
        <v>39415325.633819997</v>
      </c>
    </row>
    <row r="1701" spans="1:29" x14ac:dyDescent="0.25">
      <c r="A1701" t="str">
        <f t="shared" si="27"/>
        <v xml:space="preserve">75016UDIBONO 401115      </v>
      </c>
      <c r="B1701" s="96">
        <v>75016</v>
      </c>
      <c r="C1701" s="96" t="s">
        <v>843</v>
      </c>
      <c r="D1701" s="96" t="s">
        <v>398</v>
      </c>
      <c r="E1701" s="96" t="s">
        <v>623</v>
      </c>
      <c r="F1701" s="96" t="s">
        <v>624</v>
      </c>
      <c r="G1701" s="99">
        <v>1096</v>
      </c>
      <c r="H1701" s="97">
        <v>709.36974099999998</v>
      </c>
      <c r="I1701" s="98">
        <v>777469.23613600002</v>
      </c>
      <c r="J1701" s="97">
        <v>724.72356897511861</v>
      </c>
      <c r="K1701" s="98">
        <v>-16827.795460730002</v>
      </c>
      <c r="L1701" s="99">
        <v>0</v>
      </c>
      <c r="M1701" s="98">
        <v>0</v>
      </c>
      <c r="N1701" s="99">
        <v>0</v>
      </c>
      <c r="O1701" s="98">
        <v>0</v>
      </c>
      <c r="P1701" s="99">
        <v>1096</v>
      </c>
      <c r="Q1701" s="98">
        <v>777469.23613600002</v>
      </c>
      <c r="R1701" s="96" t="s">
        <v>625</v>
      </c>
      <c r="S1701" s="96">
        <v>7414000005</v>
      </c>
      <c r="AA1701" s="131" t="s">
        <v>391</v>
      </c>
      <c r="AB1701" s="130">
        <v>75138160.639541999</v>
      </c>
      <c r="AC1701" s="130">
        <v>75138160.639541999</v>
      </c>
    </row>
    <row r="1702" spans="1:29" x14ac:dyDescent="0.25">
      <c r="A1702" t="str">
        <f t="shared" si="27"/>
        <v xml:space="preserve">75016UDIBONO 431112      </v>
      </c>
      <c r="B1702" s="96">
        <v>75016</v>
      </c>
      <c r="C1702" s="96" t="s">
        <v>843</v>
      </c>
      <c r="D1702" s="96" t="s">
        <v>399</v>
      </c>
      <c r="E1702" s="96" t="s">
        <v>623</v>
      </c>
      <c r="F1702" s="96" t="s">
        <v>624</v>
      </c>
      <c r="G1702" s="99">
        <v>1970</v>
      </c>
      <c r="H1702" s="97">
        <v>694.41118700000004</v>
      </c>
      <c r="I1702" s="98">
        <v>1367990.0383899999</v>
      </c>
      <c r="J1702" s="97">
        <v>725.47381115552287</v>
      </c>
      <c r="K1702" s="98">
        <v>-61193.369586380002</v>
      </c>
      <c r="L1702" s="99">
        <v>0</v>
      </c>
      <c r="M1702" s="98">
        <v>0</v>
      </c>
      <c r="N1702" s="99">
        <v>0</v>
      </c>
      <c r="O1702" s="98">
        <v>0</v>
      </c>
      <c r="P1702" s="99">
        <v>1970</v>
      </c>
      <c r="Q1702" s="98">
        <v>1367990.0383899999</v>
      </c>
      <c r="R1702" s="96" t="s">
        <v>625</v>
      </c>
      <c r="S1702" s="96">
        <v>7414000005</v>
      </c>
      <c r="AA1702" s="131" t="s">
        <v>358</v>
      </c>
      <c r="AB1702" s="130">
        <v>0</v>
      </c>
      <c r="AC1702" s="130">
        <v>0</v>
      </c>
    </row>
    <row r="1703" spans="1:29" x14ac:dyDescent="0.25">
      <c r="A1703" t="str">
        <f t="shared" si="27"/>
        <v xml:space="preserve">75016UDIBONO 461108      </v>
      </c>
      <c r="B1703" s="96">
        <v>75016</v>
      </c>
      <c r="C1703" s="96" t="s">
        <v>843</v>
      </c>
      <c r="D1703" s="96" t="s">
        <v>401</v>
      </c>
      <c r="E1703" s="96" t="s">
        <v>623</v>
      </c>
      <c r="F1703" s="96" t="s">
        <v>624</v>
      </c>
      <c r="G1703" s="99">
        <v>820</v>
      </c>
      <c r="H1703" s="97">
        <v>1090</v>
      </c>
      <c r="I1703" s="98">
        <v>893800</v>
      </c>
      <c r="J1703" s="97">
        <v>1076.4355243902439</v>
      </c>
      <c r="K1703" s="98">
        <v>11122.87</v>
      </c>
      <c r="L1703" s="99">
        <v>0</v>
      </c>
      <c r="M1703" s="98">
        <v>0</v>
      </c>
      <c r="N1703" s="99">
        <v>0</v>
      </c>
      <c r="O1703" s="98">
        <v>0</v>
      </c>
      <c r="P1703" s="99">
        <v>820</v>
      </c>
      <c r="Q1703" s="98">
        <v>893800</v>
      </c>
      <c r="R1703" s="96" t="s">
        <v>625</v>
      </c>
      <c r="S1703" s="96">
        <v>7414000005</v>
      </c>
      <c r="AA1703" s="131" t="s">
        <v>381</v>
      </c>
      <c r="AB1703" s="130">
        <v>318711738.67396402</v>
      </c>
      <c r="AC1703" s="130">
        <v>318711738.67396402</v>
      </c>
    </row>
    <row r="1704" spans="1:29" x14ac:dyDescent="0.25">
      <c r="A1704" t="str">
        <f t="shared" si="27"/>
        <v xml:space="preserve">75016UDIBONO 501103      </v>
      </c>
      <c r="B1704" s="96">
        <v>75017</v>
      </c>
      <c r="C1704" s="96" t="s">
        <v>844</v>
      </c>
      <c r="D1704" s="96" t="s">
        <v>358</v>
      </c>
      <c r="E1704" s="96" t="s">
        <v>623</v>
      </c>
      <c r="F1704" s="96" t="s">
        <v>624</v>
      </c>
      <c r="G1704" s="99">
        <v>8</v>
      </c>
      <c r="H1704" s="97">
        <v>1786.5</v>
      </c>
      <c r="I1704" s="98">
        <v>14292</v>
      </c>
      <c r="J1704" s="97">
        <v>1448.2850000000001</v>
      </c>
      <c r="K1704" s="98">
        <v>2705.72</v>
      </c>
      <c r="L1704" s="99">
        <v>0</v>
      </c>
      <c r="M1704" s="98">
        <v>0</v>
      </c>
      <c r="N1704" s="99">
        <v>0</v>
      </c>
      <c r="O1704" s="98">
        <v>0</v>
      </c>
      <c r="P1704" s="99">
        <v>8</v>
      </c>
      <c r="Q1704" s="98">
        <v>14292</v>
      </c>
      <c r="R1704" s="96" t="s">
        <v>625</v>
      </c>
      <c r="S1704" s="96">
        <v>7414000005</v>
      </c>
      <c r="AA1704" s="131" t="s">
        <v>393</v>
      </c>
      <c r="AB1704" s="130">
        <v>241845827.52443099</v>
      </c>
      <c r="AC1704" s="130">
        <v>241845827.52443099</v>
      </c>
    </row>
    <row r="1705" spans="1:29" x14ac:dyDescent="0.25">
      <c r="A1705" t="str">
        <f t="shared" si="27"/>
        <v xml:space="preserve">75016VGK *               </v>
      </c>
      <c r="B1705" s="96">
        <v>75017</v>
      </c>
      <c r="C1705" s="96" t="s">
        <v>844</v>
      </c>
      <c r="D1705" s="96" t="s">
        <v>422</v>
      </c>
      <c r="E1705" s="96" t="s">
        <v>623</v>
      </c>
      <c r="F1705" s="96" t="s">
        <v>624</v>
      </c>
      <c r="G1705" s="99">
        <v>1</v>
      </c>
      <c r="H1705" s="97">
        <v>97.654420999999999</v>
      </c>
      <c r="I1705" s="98">
        <v>97.654420999999999</v>
      </c>
      <c r="J1705" s="97">
        <v>98.224185000000006</v>
      </c>
      <c r="K1705" s="98">
        <v>-0.56976400000000005</v>
      </c>
      <c r="L1705" s="99">
        <v>0</v>
      </c>
      <c r="M1705" s="98">
        <v>0</v>
      </c>
      <c r="N1705" s="99">
        <v>0</v>
      </c>
      <c r="O1705" s="98">
        <v>0</v>
      </c>
      <c r="P1705" s="99">
        <v>1</v>
      </c>
      <c r="Q1705" s="98">
        <v>97.654420999999999</v>
      </c>
      <c r="R1705" s="96" t="s">
        <v>625</v>
      </c>
      <c r="S1705" s="96">
        <v>7414000005</v>
      </c>
      <c r="AA1705" s="131" t="s">
        <v>483</v>
      </c>
      <c r="AB1705" s="130">
        <v>45724912.881577</v>
      </c>
      <c r="AC1705" s="130">
        <v>45724912.881577</v>
      </c>
    </row>
    <row r="1706" spans="1:29" x14ac:dyDescent="0.25">
      <c r="A1706" t="str">
        <f t="shared" si="27"/>
        <v xml:space="preserve">75017ACWI *              </v>
      </c>
      <c r="B1706" s="96">
        <v>75017</v>
      </c>
      <c r="C1706" s="96" t="s">
        <v>844</v>
      </c>
      <c r="D1706" s="96" t="s">
        <v>363</v>
      </c>
      <c r="E1706" s="96" t="s">
        <v>623</v>
      </c>
      <c r="F1706" s="96" t="s">
        <v>624</v>
      </c>
      <c r="G1706" s="99">
        <v>150</v>
      </c>
      <c r="H1706" s="97">
        <v>9.4935880000000008</v>
      </c>
      <c r="I1706" s="98">
        <v>1424.0382</v>
      </c>
      <c r="J1706" s="97">
        <v>8.4405498100000003</v>
      </c>
      <c r="K1706" s="98">
        <v>157.95572849999999</v>
      </c>
      <c r="L1706" s="99">
        <v>0</v>
      </c>
      <c r="M1706" s="98">
        <v>0</v>
      </c>
      <c r="N1706" s="99">
        <v>0</v>
      </c>
      <c r="O1706" s="98">
        <v>0</v>
      </c>
      <c r="P1706" s="99">
        <v>150</v>
      </c>
      <c r="Q1706" s="98">
        <v>1424.0382</v>
      </c>
      <c r="R1706" s="96" t="s">
        <v>625</v>
      </c>
      <c r="S1706" s="96">
        <v>7414000005</v>
      </c>
      <c r="AA1706" s="131" t="s">
        <v>484</v>
      </c>
      <c r="AB1706" s="130">
        <v>19559189.261364002</v>
      </c>
      <c r="AC1706" s="130">
        <v>19559189.261364002</v>
      </c>
    </row>
    <row r="1707" spans="1:29" x14ac:dyDescent="0.25">
      <c r="A1707" t="str">
        <f t="shared" si="27"/>
        <v xml:space="preserve">75017CETELEM 22          </v>
      </c>
      <c r="B1707" s="96">
        <v>75017</v>
      </c>
      <c r="C1707" s="96" t="s">
        <v>844</v>
      </c>
      <c r="D1707" s="96" t="s">
        <v>409</v>
      </c>
      <c r="E1707" s="96" t="s">
        <v>623</v>
      </c>
      <c r="F1707" s="96" t="s">
        <v>624</v>
      </c>
      <c r="G1707" s="99">
        <v>240</v>
      </c>
      <c r="H1707" s="97">
        <v>9.3381629999999998</v>
      </c>
      <c r="I1707" s="98">
        <v>2241.1591199999998</v>
      </c>
      <c r="J1707" s="97">
        <v>8.3307969100000001</v>
      </c>
      <c r="K1707" s="98">
        <v>241.7678616</v>
      </c>
      <c r="L1707" s="99">
        <v>0</v>
      </c>
      <c r="M1707" s="98">
        <v>0</v>
      </c>
      <c r="N1707" s="99">
        <v>0</v>
      </c>
      <c r="O1707" s="98">
        <v>0</v>
      </c>
      <c r="P1707" s="99">
        <v>240</v>
      </c>
      <c r="Q1707" s="98">
        <v>2241.1591199999998</v>
      </c>
      <c r="R1707" s="96" t="s">
        <v>625</v>
      </c>
      <c r="S1707" s="96">
        <v>7414000005</v>
      </c>
      <c r="AA1707" s="131" t="s">
        <v>485</v>
      </c>
      <c r="AB1707" s="130">
        <v>35567036.459495999</v>
      </c>
      <c r="AC1707" s="130">
        <v>35567036.459495999</v>
      </c>
    </row>
    <row r="1708" spans="1:29" x14ac:dyDescent="0.25">
      <c r="A1708" t="str">
        <f t="shared" si="27"/>
        <v xml:space="preserve">75017CETES 241003        </v>
      </c>
      <c r="B1708" s="96">
        <v>75017</v>
      </c>
      <c r="C1708" s="96" t="s">
        <v>844</v>
      </c>
      <c r="D1708" s="96" t="s">
        <v>375</v>
      </c>
      <c r="E1708" s="96" t="s">
        <v>623</v>
      </c>
      <c r="F1708" s="96" t="s">
        <v>624</v>
      </c>
      <c r="G1708" s="99">
        <v>9</v>
      </c>
      <c r="H1708" s="97">
        <v>98.730349000000004</v>
      </c>
      <c r="I1708" s="98">
        <v>888.57314099999996</v>
      </c>
      <c r="J1708" s="97">
        <v>100.35646306333334</v>
      </c>
      <c r="K1708" s="98">
        <v>-14.635026570000001</v>
      </c>
      <c r="L1708" s="99">
        <v>0</v>
      </c>
      <c r="M1708" s="98">
        <v>0</v>
      </c>
      <c r="N1708" s="99">
        <v>0</v>
      </c>
      <c r="O1708" s="98">
        <v>0</v>
      </c>
      <c r="P1708" s="99">
        <v>9</v>
      </c>
      <c r="Q1708" s="98">
        <v>888.57314099999996</v>
      </c>
      <c r="R1708" s="96" t="s">
        <v>625</v>
      </c>
      <c r="S1708" s="96">
        <v>7414000005</v>
      </c>
      <c r="AA1708" s="131" t="s">
        <v>486</v>
      </c>
      <c r="AB1708" s="130">
        <v>26003904.233769</v>
      </c>
      <c r="AC1708" s="130">
        <v>26003904.233769</v>
      </c>
    </row>
    <row r="1709" spans="1:29" x14ac:dyDescent="0.25">
      <c r="A1709" t="str">
        <f t="shared" si="27"/>
        <v xml:space="preserve">75017CETES 241128        </v>
      </c>
      <c r="B1709" s="96">
        <v>75017</v>
      </c>
      <c r="C1709" s="96" t="s">
        <v>844</v>
      </c>
      <c r="D1709" s="96" t="s">
        <v>376</v>
      </c>
      <c r="E1709" s="96" t="s">
        <v>623</v>
      </c>
      <c r="F1709" s="96" t="s">
        <v>624</v>
      </c>
      <c r="G1709" s="99">
        <v>8</v>
      </c>
      <c r="H1709" s="97">
        <v>99.247497999999993</v>
      </c>
      <c r="I1709" s="98">
        <v>793.97998399999994</v>
      </c>
      <c r="J1709" s="97">
        <v>110.86146857</v>
      </c>
      <c r="K1709" s="98">
        <v>-92.911764559999995</v>
      </c>
      <c r="L1709" s="99">
        <v>0</v>
      </c>
      <c r="M1709" s="98">
        <v>0</v>
      </c>
      <c r="N1709" s="99">
        <v>0</v>
      </c>
      <c r="O1709" s="98">
        <v>0</v>
      </c>
      <c r="P1709" s="99">
        <v>8</v>
      </c>
      <c r="Q1709" s="98">
        <v>793.97998399999994</v>
      </c>
      <c r="R1709" s="96" t="s">
        <v>625</v>
      </c>
      <c r="S1709" s="96">
        <v>7414000005</v>
      </c>
      <c r="AA1709" s="131" t="s">
        <v>487</v>
      </c>
      <c r="AB1709" s="130">
        <v>8076428.7051029997</v>
      </c>
      <c r="AC1709" s="130">
        <v>8076428.7051029997</v>
      </c>
    </row>
    <row r="1710" spans="1:29" x14ac:dyDescent="0.25">
      <c r="A1710" t="str">
        <f t="shared" si="27"/>
        <v xml:space="preserve">75017GOBFED 240905       </v>
      </c>
      <c r="B1710" s="96">
        <v>75017</v>
      </c>
      <c r="C1710" s="96" t="s">
        <v>844</v>
      </c>
      <c r="D1710" s="96" t="s">
        <v>378</v>
      </c>
      <c r="E1710" s="96" t="s">
        <v>623</v>
      </c>
      <c r="F1710" s="96" t="s">
        <v>624</v>
      </c>
      <c r="G1710" s="99">
        <v>1</v>
      </c>
      <c r="H1710" s="97">
        <v>91.911821000000003</v>
      </c>
      <c r="I1710" s="98">
        <v>91.911821000000003</v>
      </c>
      <c r="J1710" s="97">
        <v>103.18815141</v>
      </c>
      <c r="K1710" s="98">
        <v>-11.27633041</v>
      </c>
      <c r="L1710" s="99">
        <v>0</v>
      </c>
      <c r="M1710" s="98">
        <v>0</v>
      </c>
      <c r="N1710" s="99">
        <v>0</v>
      </c>
      <c r="O1710" s="98">
        <v>0</v>
      </c>
      <c r="P1710" s="99">
        <v>1</v>
      </c>
      <c r="Q1710" s="98">
        <v>91.911821000000003</v>
      </c>
      <c r="R1710" s="96" t="s">
        <v>625</v>
      </c>
      <c r="S1710" s="96">
        <v>7414000005</v>
      </c>
      <c r="AA1710" s="131" t="s">
        <v>488</v>
      </c>
      <c r="AB1710" s="130">
        <v>41750638.817787997</v>
      </c>
      <c r="AC1710" s="130">
        <v>41750638.817787997</v>
      </c>
    </row>
    <row r="1711" spans="1:29" x14ac:dyDescent="0.25">
      <c r="A1711" t="str">
        <f t="shared" si="27"/>
        <v xml:space="preserve">75017GOBFED 241205       </v>
      </c>
      <c r="B1711" s="96">
        <v>75017</v>
      </c>
      <c r="C1711" s="96" t="s">
        <v>844</v>
      </c>
      <c r="D1711" s="96" t="s">
        <v>499</v>
      </c>
      <c r="E1711" s="96" t="s">
        <v>623</v>
      </c>
      <c r="F1711" s="96" t="s">
        <v>624</v>
      </c>
      <c r="G1711" s="99">
        <v>10</v>
      </c>
      <c r="H1711" s="97">
        <v>92.954503000000003</v>
      </c>
      <c r="I1711" s="98">
        <v>929.54503</v>
      </c>
      <c r="J1711" s="97">
        <v>93.400039239999998</v>
      </c>
      <c r="K1711" s="98">
        <v>-4.4553624000000003</v>
      </c>
      <c r="L1711" s="99">
        <v>0</v>
      </c>
      <c r="M1711" s="98">
        <v>0</v>
      </c>
      <c r="N1711" s="99">
        <v>0</v>
      </c>
      <c r="O1711" s="98">
        <v>0</v>
      </c>
      <c r="P1711" s="99">
        <v>10</v>
      </c>
      <c r="Q1711" s="98">
        <v>929.54503</v>
      </c>
      <c r="R1711" s="96" t="s">
        <v>625</v>
      </c>
      <c r="S1711" s="96">
        <v>7414000005</v>
      </c>
      <c r="AA1711" s="131" t="s">
        <v>489</v>
      </c>
      <c r="AB1711" s="130">
        <v>37825725.564623997</v>
      </c>
      <c r="AC1711" s="130">
        <v>37825725.564623997</v>
      </c>
    </row>
    <row r="1712" spans="1:29" x14ac:dyDescent="0.25">
      <c r="A1712" t="str">
        <f t="shared" si="27"/>
        <v xml:space="preserve">75017GOBFED 260305       </v>
      </c>
      <c r="B1712" s="96">
        <v>75017</v>
      </c>
      <c r="C1712" s="96" t="s">
        <v>844</v>
      </c>
      <c r="D1712" s="96" t="s">
        <v>379</v>
      </c>
      <c r="E1712" s="96" t="s">
        <v>623</v>
      </c>
      <c r="F1712" s="96" t="s">
        <v>624</v>
      </c>
      <c r="G1712" s="99">
        <v>4</v>
      </c>
      <c r="H1712" s="97">
        <v>88.698122999999995</v>
      </c>
      <c r="I1712" s="98">
        <v>354.79249199999998</v>
      </c>
      <c r="J1712" s="97">
        <v>85.318791529999999</v>
      </c>
      <c r="K1712" s="98">
        <v>13.51732588</v>
      </c>
      <c r="L1712" s="99">
        <v>0</v>
      </c>
      <c r="M1712" s="98">
        <v>0</v>
      </c>
      <c r="N1712" s="99">
        <v>0</v>
      </c>
      <c r="O1712" s="98">
        <v>0</v>
      </c>
      <c r="P1712" s="99">
        <v>4</v>
      </c>
      <c r="Q1712" s="98">
        <v>354.79249199999998</v>
      </c>
      <c r="R1712" s="96" t="s">
        <v>625</v>
      </c>
      <c r="S1712" s="96">
        <v>7414000005</v>
      </c>
      <c r="AA1712" s="131" t="s">
        <v>490</v>
      </c>
      <c r="AB1712" s="130">
        <v>34633294.062707998</v>
      </c>
      <c r="AC1712" s="130">
        <v>34633294.062707998</v>
      </c>
    </row>
    <row r="1713" spans="1:29" x14ac:dyDescent="0.25">
      <c r="A1713" t="str">
        <f t="shared" si="27"/>
        <v xml:space="preserve">75017GOBFED 260903       </v>
      </c>
      <c r="B1713" s="96">
        <v>75017</v>
      </c>
      <c r="C1713" s="96" t="s">
        <v>844</v>
      </c>
      <c r="D1713" s="96" t="s">
        <v>380</v>
      </c>
      <c r="E1713" s="96" t="s">
        <v>623</v>
      </c>
      <c r="F1713" s="96" t="s">
        <v>624</v>
      </c>
      <c r="G1713" s="99">
        <v>20</v>
      </c>
      <c r="H1713" s="97">
        <v>93.314192000000006</v>
      </c>
      <c r="I1713" s="98">
        <v>1866.2838400000001</v>
      </c>
      <c r="J1713" s="97">
        <v>95.22442762</v>
      </c>
      <c r="K1713" s="98">
        <v>-38.204712399999998</v>
      </c>
      <c r="L1713" s="99">
        <v>0</v>
      </c>
      <c r="M1713" s="98">
        <v>0</v>
      </c>
      <c r="N1713" s="99">
        <v>0</v>
      </c>
      <c r="O1713" s="98">
        <v>0</v>
      </c>
      <c r="P1713" s="99">
        <v>20</v>
      </c>
      <c r="Q1713" s="98">
        <v>1866.2838400000001</v>
      </c>
      <c r="R1713" s="96" t="s">
        <v>625</v>
      </c>
      <c r="S1713" s="96">
        <v>7414000005</v>
      </c>
      <c r="AA1713" s="131" t="s">
        <v>491</v>
      </c>
      <c r="AB1713" s="130">
        <v>17174781.242082</v>
      </c>
      <c r="AC1713" s="130">
        <v>17174781.242082</v>
      </c>
    </row>
    <row r="1714" spans="1:29" x14ac:dyDescent="0.25">
      <c r="A1714" t="str">
        <f t="shared" si="27"/>
        <v xml:space="preserve">75017GOBFED 270304       </v>
      </c>
      <c r="B1714" s="96">
        <v>75017</v>
      </c>
      <c r="C1714" s="96" t="s">
        <v>844</v>
      </c>
      <c r="D1714" s="96" t="s">
        <v>507</v>
      </c>
      <c r="E1714" s="96" t="s">
        <v>623</v>
      </c>
      <c r="F1714" s="96" t="s">
        <v>624</v>
      </c>
      <c r="G1714" s="99">
        <v>10</v>
      </c>
      <c r="H1714" s="97">
        <v>94.864168000000006</v>
      </c>
      <c r="I1714" s="98">
        <v>948.64167999999995</v>
      </c>
      <c r="J1714" s="97">
        <v>96.263034200000007</v>
      </c>
      <c r="K1714" s="98">
        <v>-13.988662</v>
      </c>
      <c r="L1714" s="99">
        <v>0</v>
      </c>
      <c r="M1714" s="98">
        <v>0</v>
      </c>
      <c r="N1714" s="99">
        <v>0</v>
      </c>
      <c r="O1714" s="98">
        <v>0</v>
      </c>
      <c r="P1714" s="99">
        <v>10</v>
      </c>
      <c r="Q1714" s="98">
        <v>948.64167999999995</v>
      </c>
      <c r="R1714" s="96" t="s">
        <v>625</v>
      </c>
      <c r="S1714" s="96">
        <v>7414000005</v>
      </c>
      <c r="AA1714" s="131" t="s">
        <v>492</v>
      </c>
      <c r="AB1714" s="130">
        <v>12940645.681645</v>
      </c>
      <c r="AC1714" s="130">
        <v>12940645.681645</v>
      </c>
    </row>
    <row r="1715" spans="1:29" x14ac:dyDescent="0.25">
      <c r="A1715" t="str">
        <f t="shared" si="27"/>
        <v xml:space="preserve">75017GOBFED 270603       </v>
      </c>
      <c r="B1715" s="96">
        <v>75017</v>
      </c>
      <c r="C1715" s="96" t="s">
        <v>844</v>
      </c>
      <c r="D1715" s="96" t="s">
        <v>381</v>
      </c>
      <c r="E1715" s="96" t="s">
        <v>623</v>
      </c>
      <c r="F1715" s="96" t="s">
        <v>624</v>
      </c>
      <c r="G1715" s="99">
        <v>32</v>
      </c>
      <c r="H1715" s="97">
        <v>94.870157000000006</v>
      </c>
      <c r="I1715" s="98">
        <v>3035.8450240000002</v>
      </c>
      <c r="J1715" s="97">
        <v>97.769921886874997</v>
      </c>
      <c r="K1715" s="98">
        <v>-92.792476379999997</v>
      </c>
      <c r="L1715" s="99">
        <v>0</v>
      </c>
      <c r="M1715" s="98">
        <v>0</v>
      </c>
      <c r="N1715" s="99">
        <v>0</v>
      </c>
      <c r="O1715" s="98">
        <v>0</v>
      </c>
      <c r="P1715" s="99">
        <v>32</v>
      </c>
      <c r="Q1715" s="98">
        <v>3035.8450240000002</v>
      </c>
      <c r="R1715" s="96" t="s">
        <v>625</v>
      </c>
      <c r="S1715" s="96">
        <v>7414000005</v>
      </c>
      <c r="AA1715" s="131" t="s">
        <v>429</v>
      </c>
      <c r="AB1715" s="130">
        <v>93804277.999740005</v>
      </c>
      <c r="AC1715" s="130">
        <v>93804277.999740005</v>
      </c>
    </row>
    <row r="1716" spans="1:29" x14ac:dyDescent="0.25">
      <c r="A1716" t="str">
        <f t="shared" si="27"/>
        <v xml:space="preserve">75017GOBFED 290301       </v>
      </c>
      <c r="B1716" s="96">
        <v>75017</v>
      </c>
      <c r="C1716" s="96" t="s">
        <v>844</v>
      </c>
      <c r="D1716" s="96" t="s">
        <v>382</v>
      </c>
      <c r="E1716" s="96" t="s">
        <v>623</v>
      </c>
      <c r="F1716" s="96" t="s">
        <v>624</v>
      </c>
      <c r="G1716" s="99">
        <v>11</v>
      </c>
      <c r="H1716" s="97">
        <v>89.489464999999996</v>
      </c>
      <c r="I1716" s="98">
        <v>984.38411499999995</v>
      </c>
      <c r="J1716" s="97">
        <v>91.710125919090913</v>
      </c>
      <c r="K1716" s="98">
        <v>-24.427270109999998</v>
      </c>
      <c r="L1716" s="99">
        <v>0</v>
      </c>
      <c r="M1716" s="98">
        <v>0</v>
      </c>
      <c r="N1716" s="99">
        <v>0</v>
      </c>
      <c r="O1716" s="98">
        <v>0</v>
      </c>
      <c r="P1716" s="99">
        <v>11</v>
      </c>
      <c r="Q1716" s="98">
        <v>984.38411499999995</v>
      </c>
      <c r="R1716" s="96" t="s">
        <v>625</v>
      </c>
      <c r="S1716" s="96">
        <v>7414000005</v>
      </c>
      <c r="AA1716" s="131" t="s">
        <v>394</v>
      </c>
      <c r="AB1716" s="130">
        <v>892596862.72497594</v>
      </c>
      <c r="AC1716" s="130">
        <v>892596862.72497594</v>
      </c>
    </row>
    <row r="1717" spans="1:29" x14ac:dyDescent="0.25">
      <c r="A1717" t="str">
        <f t="shared" si="27"/>
        <v xml:space="preserve">75017GOBFED 290531       </v>
      </c>
      <c r="B1717" s="96">
        <v>75017</v>
      </c>
      <c r="C1717" s="96" t="s">
        <v>844</v>
      </c>
      <c r="D1717" s="96" t="s">
        <v>383</v>
      </c>
      <c r="E1717" s="96" t="s">
        <v>623</v>
      </c>
      <c r="F1717" s="96" t="s">
        <v>624</v>
      </c>
      <c r="G1717" s="99">
        <v>45</v>
      </c>
      <c r="H1717" s="97">
        <v>86.197128000000006</v>
      </c>
      <c r="I1717" s="98">
        <v>3878.8707599999998</v>
      </c>
      <c r="J1717" s="97">
        <v>89.62975480555555</v>
      </c>
      <c r="K1717" s="98">
        <v>-154.46820625000001</v>
      </c>
      <c r="L1717" s="99">
        <v>0</v>
      </c>
      <c r="M1717" s="98">
        <v>0</v>
      </c>
      <c r="N1717" s="99">
        <v>0</v>
      </c>
      <c r="O1717" s="98">
        <v>0</v>
      </c>
      <c r="P1717" s="99">
        <v>45</v>
      </c>
      <c r="Q1717" s="98">
        <v>3878.8707599999998</v>
      </c>
      <c r="R1717" s="96" t="s">
        <v>625</v>
      </c>
      <c r="S1717" s="96">
        <v>7414000005</v>
      </c>
      <c r="AA1717" s="131" t="s">
        <v>424</v>
      </c>
      <c r="AB1717" s="130">
        <v>30990181.896839999</v>
      </c>
      <c r="AC1717" s="130">
        <v>30990181.896839999</v>
      </c>
    </row>
    <row r="1718" spans="1:29" x14ac:dyDescent="0.25">
      <c r="A1718" t="str">
        <f t="shared" si="27"/>
        <v xml:space="preserve">75017GOBFED 310529       </v>
      </c>
      <c r="B1718" s="96">
        <v>75017</v>
      </c>
      <c r="C1718" s="96" t="s">
        <v>844</v>
      </c>
      <c r="D1718" s="96" t="s">
        <v>427</v>
      </c>
      <c r="E1718" s="96" t="s">
        <v>623</v>
      </c>
      <c r="F1718" s="96" t="s">
        <v>624</v>
      </c>
      <c r="G1718" s="99">
        <v>14</v>
      </c>
      <c r="H1718" s="97">
        <v>86.469353999999996</v>
      </c>
      <c r="I1718" s="98">
        <v>1210.570956</v>
      </c>
      <c r="J1718" s="97">
        <v>91.488263128571433</v>
      </c>
      <c r="K1718" s="98">
        <v>-70.264727800000003</v>
      </c>
      <c r="L1718" s="99">
        <v>0</v>
      </c>
      <c r="M1718" s="98">
        <v>0</v>
      </c>
      <c r="N1718" s="99">
        <v>0</v>
      </c>
      <c r="O1718" s="98">
        <v>0</v>
      </c>
      <c r="P1718" s="99">
        <v>14</v>
      </c>
      <c r="Q1718" s="98">
        <v>1210.570956</v>
      </c>
      <c r="R1718" s="96" t="s">
        <v>625</v>
      </c>
      <c r="S1718" s="96">
        <v>7414000005</v>
      </c>
      <c r="AA1718" s="131" t="s">
        <v>471</v>
      </c>
      <c r="AB1718" s="130">
        <v>0</v>
      </c>
      <c r="AC1718" s="130">
        <v>0</v>
      </c>
    </row>
    <row r="1719" spans="1:29" x14ac:dyDescent="0.25">
      <c r="A1719" t="str">
        <f t="shared" si="27"/>
        <v xml:space="preserve">75017GOBFED 330526       </v>
      </c>
      <c r="B1719" s="96">
        <v>75017</v>
      </c>
      <c r="C1719" s="96" t="s">
        <v>844</v>
      </c>
      <c r="D1719" s="96" t="s">
        <v>418</v>
      </c>
      <c r="E1719" s="96" t="s">
        <v>623</v>
      </c>
      <c r="F1719" s="96" t="s">
        <v>624</v>
      </c>
      <c r="G1719" s="99">
        <v>3</v>
      </c>
      <c r="H1719" s="97">
        <v>101.45096599999999</v>
      </c>
      <c r="I1719" s="98">
        <v>304.35289799999998</v>
      </c>
      <c r="J1719" s="97">
        <v>114.11447106</v>
      </c>
      <c r="K1719" s="98">
        <v>-37.990515180000003</v>
      </c>
      <c r="L1719" s="99">
        <v>0</v>
      </c>
      <c r="M1719" s="98">
        <v>0</v>
      </c>
      <c r="N1719" s="99">
        <v>0</v>
      </c>
      <c r="O1719" s="98">
        <v>0</v>
      </c>
      <c r="P1719" s="99">
        <v>3</v>
      </c>
      <c r="Q1719" s="98">
        <v>304.35289799999998</v>
      </c>
      <c r="R1719" s="96" t="s">
        <v>625</v>
      </c>
      <c r="S1719" s="96">
        <v>7414000005</v>
      </c>
      <c r="AA1719" s="131" t="s">
        <v>363</v>
      </c>
      <c r="AB1719" s="130">
        <v>3943361.141148</v>
      </c>
      <c r="AC1719" s="130">
        <v>3943361.141148</v>
      </c>
    </row>
    <row r="1720" spans="1:29" x14ac:dyDescent="0.25">
      <c r="A1720" t="str">
        <f t="shared" si="27"/>
        <v xml:space="preserve">75017GOBFED 341123       </v>
      </c>
      <c r="B1720" s="96">
        <v>75017</v>
      </c>
      <c r="C1720" s="96" t="s">
        <v>844</v>
      </c>
      <c r="D1720" s="96" t="s">
        <v>384</v>
      </c>
      <c r="E1720" s="96" t="s">
        <v>623</v>
      </c>
      <c r="F1720" s="96" t="s">
        <v>624</v>
      </c>
      <c r="G1720" s="99">
        <v>32</v>
      </c>
      <c r="H1720" s="97">
        <v>81.738860000000003</v>
      </c>
      <c r="I1720" s="98">
        <v>2615.6435200000001</v>
      </c>
      <c r="J1720" s="97">
        <v>86.467200957499998</v>
      </c>
      <c r="K1720" s="98">
        <v>-151.30691064000001</v>
      </c>
      <c r="L1720" s="99">
        <v>0</v>
      </c>
      <c r="M1720" s="98">
        <v>0</v>
      </c>
      <c r="N1720" s="99">
        <v>0</v>
      </c>
      <c r="O1720" s="98">
        <v>0</v>
      </c>
      <c r="P1720" s="99">
        <v>32</v>
      </c>
      <c r="Q1720" s="98">
        <v>2615.6435200000001</v>
      </c>
      <c r="R1720" s="96" t="s">
        <v>625</v>
      </c>
      <c r="S1720" s="96">
        <v>7414000005</v>
      </c>
      <c r="AA1720" s="131" t="s">
        <v>383</v>
      </c>
      <c r="AB1720" s="130">
        <v>254362552.90031999</v>
      </c>
      <c r="AC1720" s="130">
        <v>254362552.90031999</v>
      </c>
    </row>
    <row r="1721" spans="1:29" x14ac:dyDescent="0.25">
      <c r="A1721" t="str">
        <f t="shared" si="27"/>
        <v xml:space="preserve">75017GOBFED 361120       </v>
      </c>
      <c r="B1721" s="96">
        <v>75017</v>
      </c>
      <c r="C1721" s="96" t="s">
        <v>844</v>
      </c>
      <c r="D1721" s="96" t="s">
        <v>385</v>
      </c>
      <c r="E1721" s="96" t="s">
        <v>623</v>
      </c>
      <c r="F1721" s="96" t="s">
        <v>624</v>
      </c>
      <c r="G1721" s="99">
        <v>2</v>
      </c>
      <c r="H1721" s="97">
        <v>83.200761</v>
      </c>
      <c r="I1721" s="98">
        <v>166.401522</v>
      </c>
      <c r="J1721" s="97">
        <v>89.305669589999994</v>
      </c>
      <c r="K1721" s="98">
        <v>-12.20981718</v>
      </c>
      <c r="L1721" s="99">
        <v>0</v>
      </c>
      <c r="M1721" s="98">
        <v>0</v>
      </c>
      <c r="N1721" s="99">
        <v>0</v>
      </c>
      <c r="O1721" s="98">
        <v>0</v>
      </c>
      <c r="P1721" s="99">
        <v>2</v>
      </c>
      <c r="Q1721" s="98">
        <v>166.401522</v>
      </c>
      <c r="R1721" s="96" t="s">
        <v>625</v>
      </c>
      <c r="S1721" s="96">
        <v>7414000005</v>
      </c>
      <c r="AA1721" s="131" t="s">
        <v>364</v>
      </c>
      <c r="AB1721" s="130">
        <v>139082062.93608001</v>
      </c>
      <c r="AC1721" s="130">
        <v>139082062.93608001</v>
      </c>
    </row>
    <row r="1722" spans="1:29" x14ac:dyDescent="0.25">
      <c r="A1722" t="str">
        <f t="shared" si="27"/>
        <v xml:space="preserve">75017GOBFED 421113       </v>
      </c>
      <c r="B1722" s="96">
        <v>75017</v>
      </c>
      <c r="C1722" s="96" t="s">
        <v>844</v>
      </c>
      <c r="D1722" s="96" t="s">
        <v>386</v>
      </c>
      <c r="E1722" s="96" t="s">
        <v>623</v>
      </c>
      <c r="F1722" s="96" t="s">
        <v>624</v>
      </c>
      <c r="G1722" s="99">
        <v>2</v>
      </c>
      <c r="H1722" s="97">
        <v>82.159907000000004</v>
      </c>
      <c r="I1722" s="98">
        <v>164.31981400000001</v>
      </c>
      <c r="J1722" s="97">
        <v>82.790352400000003</v>
      </c>
      <c r="K1722" s="98">
        <v>-1.2608908000000001</v>
      </c>
      <c r="L1722" s="99">
        <v>0</v>
      </c>
      <c r="M1722" s="98">
        <v>0</v>
      </c>
      <c r="N1722" s="99">
        <v>0</v>
      </c>
      <c r="O1722" s="98">
        <v>0</v>
      </c>
      <c r="P1722" s="99">
        <v>2</v>
      </c>
      <c r="Q1722" s="98">
        <v>164.31981400000001</v>
      </c>
      <c r="R1722" s="96" t="s">
        <v>625</v>
      </c>
      <c r="S1722" s="96">
        <v>7414000005</v>
      </c>
      <c r="AA1722" s="131" t="s">
        <v>502</v>
      </c>
      <c r="AB1722" s="130">
        <v>11846531.030355001</v>
      </c>
      <c r="AC1722" s="130">
        <v>11846531.030355001</v>
      </c>
    </row>
    <row r="1723" spans="1:29" x14ac:dyDescent="0.25">
      <c r="A1723" t="str">
        <f t="shared" si="27"/>
        <v xml:space="preserve">75017GOBFED 471107       </v>
      </c>
      <c r="B1723" s="96">
        <v>75017</v>
      </c>
      <c r="C1723" s="96" t="s">
        <v>844</v>
      </c>
      <c r="D1723" s="96" t="s">
        <v>430</v>
      </c>
      <c r="E1723" s="96" t="s">
        <v>623</v>
      </c>
      <c r="F1723" s="96" t="s">
        <v>624</v>
      </c>
      <c r="G1723" s="99">
        <v>4870</v>
      </c>
      <c r="H1723" s="97">
        <v>3.1390400000000001</v>
      </c>
      <c r="I1723" s="98">
        <v>15287.1248</v>
      </c>
      <c r="J1723" s="97">
        <v>2.3371252566735112</v>
      </c>
      <c r="K1723" s="98">
        <v>3905.3247999999999</v>
      </c>
      <c r="L1723" s="99">
        <v>0</v>
      </c>
      <c r="M1723" s="98">
        <v>0</v>
      </c>
      <c r="N1723" s="99">
        <v>0</v>
      </c>
      <c r="O1723" s="98">
        <v>0</v>
      </c>
      <c r="P1723" s="99">
        <v>4870</v>
      </c>
      <c r="Q1723" s="98">
        <v>15287.1248</v>
      </c>
      <c r="R1723" s="96" t="s">
        <v>625</v>
      </c>
      <c r="S1723" s="96">
        <v>7414000005</v>
      </c>
      <c r="AA1723" s="131" t="s">
        <v>554</v>
      </c>
      <c r="AB1723" s="130">
        <v>23715786.976089999</v>
      </c>
      <c r="AC1723" s="130">
        <v>23715786.976089999</v>
      </c>
    </row>
    <row r="1724" spans="1:29" x14ac:dyDescent="0.25">
      <c r="A1724" t="str">
        <f t="shared" si="27"/>
        <v xml:space="preserve">75017GOBFED 530731       </v>
      </c>
      <c r="B1724" s="96">
        <v>75017</v>
      </c>
      <c r="C1724" s="96" t="s">
        <v>844</v>
      </c>
      <c r="D1724" s="96" t="s">
        <v>389</v>
      </c>
      <c r="E1724" s="96" t="s">
        <v>623</v>
      </c>
      <c r="F1724" s="96" t="s">
        <v>624</v>
      </c>
      <c r="G1724" s="99">
        <v>4881</v>
      </c>
      <c r="H1724" s="97">
        <v>3.3967719999999999</v>
      </c>
      <c r="I1724" s="98">
        <v>16579.644132000001</v>
      </c>
      <c r="J1724" s="97">
        <v>3.2792337635730382</v>
      </c>
      <c r="K1724" s="98">
        <v>573.70413199999996</v>
      </c>
      <c r="L1724" s="99">
        <v>0</v>
      </c>
      <c r="M1724" s="98">
        <v>0</v>
      </c>
      <c r="N1724" s="99">
        <v>0</v>
      </c>
      <c r="O1724" s="98">
        <v>0</v>
      </c>
      <c r="P1724" s="99">
        <v>4881</v>
      </c>
      <c r="Q1724" s="98">
        <v>16579.644132000001</v>
      </c>
      <c r="R1724" s="96" t="s">
        <v>625</v>
      </c>
      <c r="S1724" s="96">
        <v>7414000005</v>
      </c>
      <c r="AA1724" s="131" t="s">
        <v>615</v>
      </c>
      <c r="AB1724" s="130">
        <v>22709925</v>
      </c>
      <c r="AC1724" s="130">
        <v>22709925</v>
      </c>
    </row>
    <row r="1725" spans="1:29" x14ac:dyDescent="0.25">
      <c r="A1725" t="str">
        <f t="shared" si="27"/>
        <v xml:space="preserve">75017ST&amp;ER-C ED          </v>
      </c>
      <c r="B1725" s="96">
        <v>75017</v>
      </c>
      <c r="C1725" s="96" t="s">
        <v>844</v>
      </c>
      <c r="D1725" s="96" t="s">
        <v>391</v>
      </c>
      <c r="E1725" s="96" t="s">
        <v>623</v>
      </c>
      <c r="F1725" s="96" t="s">
        <v>624</v>
      </c>
      <c r="G1725" s="99">
        <v>2</v>
      </c>
      <c r="H1725" s="97">
        <v>775.69178699999998</v>
      </c>
      <c r="I1725" s="98">
        <v>1551.383574</v>
      </c>
      <c r="J1725" s="97">
        <v>766.69784126000002</v>
      </c>
      <c r="K1725" s="98">
        <v>17.987891479999998</v>
      </c>
      <c r="L1725" s="99">
        <v>0</v>
      </c>
      <c r="M1725" s="98">
        <v>0</v>
      </c>
      <c r="N1725" s="99">
        <v>0</v>
      </c>
      <c r="O1725" s="98">
        <v>0</v>
      </c>
      <c r="P1725" s="99">
        <v>2</v>
      </c>
      <c r="Q1725" s="98">
        <v>1551.383574</v>
      </c>
      <c r="R1725" s="96" t="s">
        <v>625</v>
      </c>
      <c r="S1725" s="96">
        <v>7414000005</v>
      </c>
      <c r="AA1725" s="129">
        <v>1031627</v>
      </c>
      <c r="AB1725" s="130">
        <v>39123214.861036003</v>
      </c>
      <c r="AC1725" s="130">
        <v>39123214.861036003</v>
      </c>
    </row>
    <row r="1726" spans="1:29" x14ac:dyDescent="0.25">
      <c r="A1726" t="str">
        <f t="shared" si="27"/>
        <v xml:space="preserve">75017STERGOB ED          </v>
      </c>
      <c r="B1726" s="96">
        <v>75017</v>
      </c>
      <c r="C1726" s="96" t="s">
        <v>844</v>
      </c>
      <c r="D1726" s="96" t="s">
        <v>392</v>
      </c>
      <c r="E1726" s="96" t="s">
        <v>623</v>
      </c>
      <c r="F1726" s="96" t="s">
        <v>624</v>
      </c>
      <c r="G1726" s="99">
        <v>1</v>
      </c>
      <c r="H1726" s="97">
        <v>747.17843200000004</v>
      </c>
      <c r="I1726" s="98">
        <v>747.17843200000004</v>
      </c>
      <c r="J1726" s="97">
        <v>730.99471579999999</v>
      </c>
      <c r="K1726" s="98">
        <v>16.183716199999999</v>
      </c>
      <c r="L1726" s="99">
        <v>0</v>
      </c>
      <c r="M1726" s="98">
        <v>0</v>
      </c>
      <c r="N1726" s="99">
        <v>0</v>
      </c>
      <c r="O1726" s="98">
        <v>0</v>
      </c>
      <c r="P1726" s="99">
        <v>1</v>
      </c>
      <c r="Q1726" s="98">
        <v>747.17843200000004</v>
      </c>
      <c r="R1726" s="96" t="s">
        <v>625</v>
      </c>
      <c r="S1726" s="96">
        <v>7414000005</v>
      </c>
      <c r="AA1726" s="131" t="s">
        <v>389</v>
      </c>
      <c r="AB1726" s="130">
        <v>39123214.861036003</v>
      </c>
      <c r="AC1726" s="130">
        <v>39123214.861036003</v>
      </c>
    </row>
    <row r="1727" spans="1:29" x14ac:dyDescent="0.25">
      <c r="A1727" t="str">
        <f t="shared" si="27"/>
        <v xml:space="preserve">75017UDIBONO 251204      </v>
      </c>
      <c r="B1727" s="96">
        <v>75017</v>
      </c>
      <c r="C1727" s="96" t="s">
        <v>844</v>
      </c>
      <c r="D1727" s="96" t="s">
        <v>394</v>
      </c>
      <c r="E1727" s="96" t="s">
        <v>623</v>
      </c>
      <c r="F1727" s="96" t="s">
        <v>624</v>
      </c>
      <c r="G1727" s="99">
        <v>1</v>
      </c>
      <c r="H1727" s="97">
        <v>684.88915799999995</v>
      </c>
      <c r="I1727" s="98">
        <v>684.88915799999995</v>
      </c>
      <c r="J1727" s="97">
        <v>674.82119490000002</v>
      </c>
      <c r="K1727" s="98">
        <v>10.0679631</v>
      </c>
      <c r="L1727" s="99">
        <v>0</v>
      </c>
      <c r="M1727" s="98">
        <v>0</v>
      </c>
      <c r="N1727" s="99">
        <v>0</v>
      </c>
      <c r="O1727" s="98">
        <v>0</v>
      </c>
      <c r="P1727" s="99">
        <v>1</v>
      </c>
      <c r="Q1727" s="98">
        <v>684.88915799999995</v>
      </c>
      <c r="R1727" s="96" t="s">
        <v>625</v>
      </c>
      <c r="S1727" s="96">
        <v>7414000005</v>
      </c>
      <c r="AA1727" s="129">
        <v>1031629</v>
      </c>
      <c r="AB1727" s="130">
        <v>30111901.438375998</v>
      </c>
      <c r="AC1727" s="130">
        <v>30111901.438375998</v>
      </c>
    </row>
    <row r="1728" spans="1:29" x14ac:dyDescent="0.25">
      <c r="A1728" t="str">
        <f t="shared" si="27"/>
        <v xml:space="preserve">75017UDIBONO 261203      </v>
      </c>
      <c r="B1728" s="96">
        <v>75017</v>
      </c>
      <c r="C1728" s="96" t="s">
        <v>844</v>
      </c>
      <c r="D1728" s="96" t="s">
        <v>395</v>
      </c>
      <c r="E1728" s="96" t="s">
        <v>623</v>
      </c>
      <c r="F1728" s="96" t="s">
        <v>624</v>
      </c>
      <c r="G1728" s="99">
        <v>1</v>
      </c>
      <c r="H1728" s="97">
        <v>772.926965</v>
      </c>
      <c r="I1728" s="98">
        <v>772.926965</v>
      </c>
      <c r="J1728" s="97">
        <v>798.93664675000002</v>
      </c>
      <c r="K1728" s="98">
        <v>-26.009681749999999</v>
      </c>
      <c r="L1728" s="99">
        <v>0</v>
      </c>
      <c r="M1728" s="98">
        <v>0</v>
      </c>
      <c r="N1728" s="99">
        <v>0</v>
      </c>
      <c r="O1728" s="98">
        <v>0</v>
      </c>
      <c r="P1728" s="99">
        <v>1</v>
      </c>
      <c r="Q1728" s="98">
        <v>772.926965</v>
      </c>
      <c r="R1728" s="96" t="s">
        <v>625</v>
      </c>
      <c r="S1728" s="96">
        <v>7414000005</v>
      </c>
      <c r="AA1728" s="131" t="s">
        <v>389</v>
      </c>
      <c r="AB1728" s="130">
        <v>30111901.438375998</v>
      </c>
      <c r="AC1728" s="130">
        <v>30111901.438375998</v>
      </c>
    </row>
    <row r="1729" spans="1:29" x14ac:dyDescent="0.25">
      <c r="A1729" t="str">
        <f t="shared" si="27"/>
        <v xml:space="preserve">75017UDIBONO 311127      </v>
      </c>
      <c r="B1729" s="96">
        <v>75017</v>
      </c>
      <c r="C1729" s="96" t="s">
        <v>844</v>
      </c>
      <c r="D1729" s="96" t="s">
        <v>396</v>
      </c>
      <c r="E1729" s="96" t="s">
        <v>623</v>
      </c>
      <c r="F1729" s="96" t="s">
        <v>624</v>
      </c>
      <c r="G1729" s="99">
        <v>2</v>
      </c>
      <c r="H1729" s="97">
        <v>721.59464000000003</v>
      </c>
      <c r="I1729" s="98">
        <v>1443.1892800000001</v>
      </c>
      <c r="J1729" s="97">
        <v>664.31076667000002</v>
      </c>
      <c r="K1729" s="98">
        <v>114.56774666</v>
      </c>
      <c r="L1729" s="99">
        <v>0</v>
      </c>
      <c r="M1729" s="98">
        <v>0</v>
      </c>
      <c r="N1729" s="99">
        <v>0</v>
      </c>
      <c r="O1729" s="98">
        <v>0</v>
      </c>
      <c r="P1729" s="99">
        <v>2</v>
      </c>
      <c r="Q1729" s="98">
        <v>1443.1892800000001</v>
      </c>
      <c r="R1729" s="96" t="s">
        <v>625</v>
      </c>
      <c r="S1729" s="96">
        <v>7414000005</v>
      </c>
      <c r="AA1729" s="129">
        <v>2001140</v>
      </c>
      <c r="AB1729" s="130">
        <v>-39978562.270000003</v>
      </c>
      <c r="AC1729" s="130">
        <v>-0.02</v>
      </c>
    </row>
    <row r="1730" spans="1:29" x14ac:dyDescent="0.25">
      <c r="A1730" t="str">
        <f t="shared" si="27"/>
        <v xml:space="preserve">75017UDIBONO 351122      </v>
      </c>
      <c r="B1730" s="96">
        <v>75017</v>
      </c>
      <c r="C1730" s="96" t="s">
        <v>844</v>
      </c>
      <c r="D1730" s="96" t="s">
        <v>398</v>
      </c>
      <c r="E1730" s="96" t="s">
        <v>623</v>
      </c>
      <c r="F1730" s="96" t="s">
        <v>624</v>
      </c>
      <c r="G1730" s="99">
        <v>1</v>
      </c>
      <c r="H1730" s="97">
        <v>709.36974099999998</v>
      </c>
      <c r="I1730" s="98">
        <v>709.36974099999998</v>
      </c>
      <c r="J1730" s="97">
        <v>724.63651936999997</v>
      </c>
      <c r="K1730" s="98">
        <v>-15.266778370000001</v>
      </c>
      <c r="L1730" s="99">
        <v>0</v>
      </c>
      <c r="M1730" s="98">
        <v>0</v>
      </c>
      <c r="N1730" s="99">
        <v>0</v>
      </c>
      <c r="O1730" s="98">
        <v>0</v>
      </c>
      <c r="P1730" s="99">
        <v>1</v>
      </c>
      <c r="Q1730" s="98">
        <v>709.36974099999998</v>
      </c>
      <c r="R1730" s="96" t="s">
        <v>625</v>
      </c>
      <c r="S1730" s="96">
        <v>7414000005</v>
      </c>
      <c r="AA1730" s="131" t="s">
        <v>366</v>
      </c>
      <c r="AB1730" s="130">
        <v>-0.02</v>
      </c>
      <c r="AC1730" s="130">
        <v>-0.02</v>
      </c>
    </row>
    <row r="1731" spans="1:29" x14ac:dyDescent="0.25">
      <c r="A1731" t="str">
        <f t="shared" si="27"/>
        <v xml:space="preserve">75017UDIBONO 401115      </v>
      </c>
      <c r="B1731" s="96">
        <v>75017</v>
      </c>
      <c r="C1731" s="96" t="s">
        <v>844</v>
      </c>
      <c r="D1731" s="96" t="s">
        <v>399</v>
      </c>
      <c r="E1731" s="96" t="s">
        <v>623</v>
      </c>
      <c r="F1731" s="96" t="s">
        <v>624</v>
      </c>
      <c r="G1731" s="99">
        <v>3</v>
      </c>
      <c r="H1731" s="97">
        <v>694.41118700000004</v>
      </c>
      <c r="I1731" s="98">
        <v>2083.233561</v>
      </c>
      <c r="J1731" s="97">
        <v>723.26483082666664</v>
      </c>
      <c r="K1731" s="98">
        <v>-86.560931479999994</v>
      </c>
      <c r="L1731" s="99">
        <v>0</v>
      </c>
      <c r="M1731" s="98">
        <v>0</v>
      </c>
      <c r="N1731" s="99">
        <v>0</v>
      </c>
      <c r="O1731" s="98">
        <v>0</v>
      </c>
      <c r="P1731" s="99">
        <v>3</v>
      </c>
      <c r="Q1731" s="98">
        <v>2083.233561</v>
      </c>
      <c r="R1731" s="96" t="s">
        <v>625</v>
      </c>
      <c r="S1731" s="96">
        <v>7414000005</v>
      </c>
      <c r="AA1731" s="131" t="s">
        <v>426</v>
      </c>
      <c r="AB1731" s="130">
        <v>0</v>
      </c>
      <c r="AC1731" s="130">
        <v>0</v>
      </c>
    </row>
    <row r="1732" spans="1:29" x14ac:dyDescent="0.25">
      <c r="A1732" t="str">
        <f t="shared" si="27"/>
        <v xml:space="preserve">75017UDIBONO 461108      </v>
      </c>
      <c r="B1732" s="96">
        <v>75218</v>
      </c>
      <c r="C1732" s="96" t="s">
        <v>845</v>
      </c>
      <c r="D1732" s="96" t="s">
        <v>376</v>
      </c>
      <c r="E1732" s="96" t="s">
        <v>623</v>
      </c>
      <c r="F1732" s="96" t="s">
        <v>624</v>
      </c>
      <c r="G1732" s="99">
        <v>0</v>
      </c>
      <c r="H1732" s="97">
        <v>0</v>
      </c>
      <c r="I1732" s="98">
        <v>0</v>
      </c>
      <c r="J1732" s="97">
        <v>0</v>
      </c>
      <c r="K1732" s="98">
        <v>0</v>
      </c>
      <c r="L1732" s="99">
        <v>0</v>
      </c>
      <c r="M1732" s="98">
        <v>0</v>
      </c>
      <c r="N1732" s="99">
        <v>0</v>
      </c>
      <c r="O1732" s="98">
        <v>0</v>
      </c>
      <c r="P1732" s="99">
        <v>0</v>
      </c>
      <c r="Q1732" s="98">
        <v>0</v>
      </c>
      <c r="R1732" s="96" t="s">
        <v>625</v>
      </c>
      <c r="S1732" s="96">
        <v>7414000005</v>
      </c>
      <c r="AA1732" s="131" t="s">
        <v>380</v>
      </c>
      <c r="AB1732" s="130">
        <v>0</v>
      </c>
      <c r="AC1732" s="130">
        <v>0</v>
      </c>
    </row>
    <row r="1733" spans="1:29" x14ac:dyDescent="0.25">
      <c r="A1733" t="str">
        <f t="shared" si="27"/>
        <v xml:space="preserve">75017UDIBONO 501103      </v>
      </c>
      <c r="B1733" s="96">
        <v>75218</v>
      </c>
      <c r="C1733" s="96" t="s">
        <v>845</v>
      </c>
      <c r="D1733" s="96" t="s">
        <v>382</v>
      </c>
      <c r="E1733" s="96" t="s">
        <v>623</v>
      </c>
      <c r="F1733" s="96" t="s">
        <v>624</v>
      </c>
      <c r="G1733" s="99">
        <v>0</v>
      </c>
      <c r="H1733" s="97">
        <v>0</v>
      </c>
      <c r="I1733" s="98">
        <v>0</v>
      </c>
      <c r="J1733" s="97">
        <v>0</v>
      </c>
      <c r="K1733" s="98">
        <v>0</v>
      </c>
      <c r="L1733" s="99">
        <v>0</v>
      </c>
      <c r="M1733" s="98">
        <v>0</v>
      </c>
      <c r="N1733" s="99">
        <v>0</v>
      </c>
      <c r="O1733" s="98">
        <v>0</v>
      </c>
      <c r="P1733" s="99">
        <v>0</v>
      </c>
      <c r="Q1733" s="98">
        <v>0</v>
      </c>
      <c r="R1733" s="96" t="s">
        <v>625</v>
      </c>
      <c r="S1733" s="96">
        <v>7414000005</v>
      </c>
      <c r="AA1733" s="131" t="s">
        <v>427</v>
      </c>
      <c r="AB1733" s="130">
        <v>0</v>
      </c>
      <c r="AC1733" s="130">
        <v>0</v>
      </c>
    </row>
    <row r="1734" spans="1:29" x14ac:dyDescent="0.25">
      <c r="A1734" t="str">
        <f t="shared" si="27"/>
        <v xml:space="preserve">75218GOBFED 241205       </v>
      </c>
      <c r="B1734" s="96">
        <v>75218</v>
      </c>
      <c r="C1734" s="96" t="s">
        <v>845</v>
      </c>
      <c r="D1734" s="96" t="s">
        <v>396</v>
      </c>
      <c r="E1734" s="96" t="s">
        <v>623</v>
      </c>
      <c r="F1734" s="96" t="s">
        <v>624</v>
      </c>
      <c r="G1734" s="99">
        <v>0</v>
      </c>
      <c r="H1734" s="97">
        <v>0</v>
      </c>
      <c r="I1734" s="98">
        <v>0</v>
      </c>
      <c r="J1734" s="97">
        <v>0</v>
      </c>
      <c r="K1734" s="98">
        <v>0</v>
      </c>
      <c r="L1734" s="99">
        <v>0</v>
      </c>
      <c r="M1734" s="98">
        <v>0</v>
      </c>
      <c r="N1734" s="99">
        <v>0</v>
      </c>
      <c r="O1734" s="98">
        <v>0</v>
      </c>
      <c r="P1734" s="99">
        <v>0</v>
      </c>
      <c r="Q1734" s="98">
        <v>0</v>
      </c>
      <c r="R1734" s="96" t="s">
        <v>625</v>
      </c>
      <c r="S1734" s="96">
        <v>7414000005</v>
      </c>
      <c r="AA1734" s="131" t="s">
        <v>384</v>
      </c>
      <c r="AB1734" s="130">
        <v>0</v>
      </c>
      <c r="AC1734" s="130">
        <v>0</v>
      </c>
    </row>
    <row r="1735" spans="1:29" x14ac:dyDescent="0.25">
      <c r="A1735" t="str">
        <f t="shared" ref="A1735:A1798" si="28">B1733&amp;D1733</f>
        <v xml:space="preserve">75218GOBFED 310529       </v>
      </c>
      <c r="B1735" s="96">
        <v>75219</v>
      </c>
      <c r="C1735" s="96" t="s">
        <v>846</v>
      </c>
      <c r="D1735" s="96" t="s">
        <v>357</v>
      </c>
      <c r="E1735" s="96" t="s">
        <v>623</v>
      </c>
      <c r="F1735" s="96" t="s">
        <v>624</v>
      </c>
      <c r="G1735" s="99">
        <v>160</v>
      </c>
      <c r="H1735" s="97">
        <v>168.64</v>
      </c>
      <c r="I1735" s="98">
        <v>26982.400000000001</v>
      </c>
      <c r="J1735" s="97">
        <v>151.93293750000001</v>
      </c>
      <c r="K1735" s="98">
        <v>2673.13</v>
      </c>
      <c r="L1735" s="99">
        <v>0</v>
      </c>
      <c r="M1735" s="98">
        <v>0</v>
      </c>
      <c r="N1735" s="99">
        <v>0</v>
      </c>
      <c r="O1735" s="98">
        <v>0</v>
      </c>
      <c r="P1735" s="99">
        <v>160</v>
      </c>
      <c r="Q1735" s="98">
        <v>26982.400000000001</v>
      </c>
      <c r="R1735" s="96" t="s">
        <v>625</v>
      </c>
      <c r="S1735" s="96">
        <v>7414000005</v>
      </c>
      <c r="AA1735" s="131" t="s">
        <v>395</v>
      </c>
      <c r="AB1735" s="130">
        <v>0</v>
      </c>
      <c r="AC1735" s="130">
        <v>0</v>
      </c>
    </row>
    <row r="1736" spans="1:29" x14ac:dyDescent="0.25">
      <c r="A1736" t="str">
        <f t="shared" si="28"/>
        <v xml:space="preserve">75218UDIBONO 401115      </v>
      </c>
      <c r="B1736" s="96">
        <v>75219</v>
      </c>
      <c r="C1736" s="96" t="s">
        <v>846</v>
      </c>
      <c r="D1736" s="96" t="s">
        <v>506</v>
      </c>
      <c r="E1736" s="96" t="s">
        <v>623</v>
      </c>
      <c r="F1736" s="96" t="s">
        <v>624</v>
      </c>
      <c r="G1736" s="99">
        <v>3870</v>
      </c>
      <c r="H1736" s="97">
        <v>12.48</v>
      </c>
      <c r="I1736" s="98">
        <v>48297.599999999999</v>
      </c>
      <c r="J1736" s="97">
        <v>11.507379844961241</v>
      </c>
      <c r="K1736" s="98">
        <v>3764.04</v>
      </c>
      <c r="L1736" s="99">
        <v>0</v>
      </c>
      <c r="M1736" s="98">
        <v>0</v>
      </c>
      <c r="N1736" s="99">
        <v>0</v>
      </c>
      <c r="O1736" s="98">
        <v>0</v>
      </c>
      <c r="P1736" s="99">
        <v>3870</v>
      </c>
      <c r="Q1736" s="98">
        <v>48297.599999999999</v>
      </c>
      <c r="R1736" s="96" t="s">
        <v>625</v>
      </c>
      <c r="S1736" s="96">
        <v>7414000005</v>
      </c>
      <c r="AA1736" s="131" t="s">
        <v>826</v>
      </c>
      <c r="AB1736" s="130">
        <v>-39978562.25</v>
      </c>
      <c r="AC1736" s="130">
        <v>0</v>
      </c>
    </row>
    <row r="1737" spans="1:29" x14ac:dyDescent="0.25">
      <c r="A1737" t="str">
        <f t="shared" si="28"/>
        <v xml:space="preserve">75219AC *                </v>
      </c>
      <c r="B1737" s="96">
        <v>75219</v>
      </c>
      <c r="C1737" s="96" t="s">
        <v>846</v>
      </c>
      <c r="D1737" s="96" t="s">
        <v>359</v>
      </c>
      <c r="E1737" s="96" t="s">
        <v>623</v>
      </c>
      <c r="F1737" s="96" t="s">
        <v>624</v>
      </c>
      <c r="G1737" s="99">
        <v>1070</v>
      </c>
      <c r="H1737" s="97">
        <v>73.37</v>
      </c>
      <c r="I1737" s="98">
        <v>78505.899999999994</v>
      </c>
      <c r="J1737" s="97">
        <v>61.213467289719624</v>
      </c>
      <c r="K1737" s="98">
        <v>13007.49</v>
      </c>
      <c r="L1737" s="99">
        <v>0</v>
      </c>
      <c r="M1737" s="98">
        <v>0</v>
      </c>
      <c r="N1737" s="99">
        <v>0</v>
      </c>
      <c r="O1737" s="98">
        <v>0</v>
      </c>
      <c r="P1737" s="99">
        <v>1070</v>
      </c>
      <c r="Q1737" s="98">
        <v>78505.899999999994</v>
      </c>
      <c r="R1737" s="96" t="s">
        <v>625</v>
      </c>
      <c r="S1737" s="96">
        <v>7414000005</v>
      </c>
      <c r="AA1737" s="131" t="s">
        <v>385</v>
      </c>
      <c r="AB1737" s="130">
        <v>0</v>
      </c>
      <c r="AC1737" s="130">
        <v>0</v>
      </c>
    </row>
    <row r="1738" spans="1:29" x14ac:dyDescent="0.25">
      <c r="A1738" t="str">
        <f t="shared" si="28"/>
        <v xml:space="preserve">75219ALFA A              </v>
      </c>
      <c r="B1738" s="96">
        <v>75219</v>
      </c>
      <c r="C1738" s="96" t="s">
        <v>846</v>
      </c>
      <c r="D1738" s="96" t="s">
        <v>360</v>
      </c>
      <c r="E1738" s="96" t="s">
        <v>623</v>
      </c>
      <c r="F1738" s="96" t="s">
        <v>624</v>
      </c>
      <c r="G1738" s="99">
        <v>14690</v>
      </c>
      <c r="H1738" s="97">
        <v>15.12</v>
      </c>
      <c r="I1738" s="98">
        <v>222112.8</v>
      </c>
      <c r="J1738" s="97">
        <v>16.88830768550034</v>
      </c>
      <c r="K1738" s="98">
        <v>-25976.439900000001</v>
      </c>
      <c r="L1738" s="99">
        <v>0</v>
      </c>
      <c r="M1738" s="98">
        <v>0</v>
      </c>
      <c r="N1738" s="99">
        <v>0</v>
      </c>
      <c r="O1738" s="98">
        <v>0</v>
      </c>
      <c r="P1738" s="99">
        <v>14690</v>
      </c>
      <c r="Q1738" s="98">
        <v>222112.8</v>
      </c>
      <c r="R1738" s="96" t="s">
        <v>625</v>
      </c>
      <c r="S1738" s="96">
        <v>7414000005</v>
      </c>
      <c r="AA1738" s="131" t="s">
        <v>586</v>
      </c>
      <c r="AB1738" s="130">
        <v>0</v>
      </c>
      <c r="AC1738" s="130">
        <v>0</v>
      </c>
    </row>
    <row r="1739" spans="1:29" x14ac:dyDescent="0.25">
      <c r="A1739" t="str">
        <f t="shared" si="28"/>
        <v xml:space="preserve">75219ALSEA *             </v>
      </c>
      <c r="B1739" s="96">
        <v>75219</v>
      </c>
      <c r="C1739" s="96" t="s">
        <v>846</v>
      </c>
      <c r="D1739" s="96" t="s">
        <v>551</v>
      </c>
      <c r="E1739" s="96" t="s">
        <v>623</v>
      </c>
      <c r="F1739" s="96" t="s">
        <v>624</v>
      </c>
      <c r="G1739" s="99">
        <v>190</v>
      </c>
      <c r="H1739" s="97">
        <v>525.09</v>
      </c>
      <c r="I1739" s="98">
        <v>99767.1</v>
      </c>
      <c r="J1739" s="97">
        <v>517.22252631578942</v>
      </c>
      <c r="K1739" s="98">
        <v>1494.82</v>
      </c>
      <c r="L1739" s="99">
        <v>0</v>
      </c>
      <c r="M1739" s="98">
        <v>0</v>
      </c>
      <c r="N1739" s="99">
        <v>0</v>
      </c>
      <c r="O1739" s="98">
        <v>0</v>
      </c>
      <c r="P1739" s="99">
        <v>190</v>
      </c>
      <c r="Q1739" s="98">
        <v>99767.1</v>
      </c>
      <c r="R1739" s="96" t="s">
        <v>625</v>
      </c>
      <c r="S1739" s="96">
        <v>7414000005</v>
      </c>
      <c r="AA1739" s="131" t="s">
        <v>584</v>
      </c>
      <c r="AB1739" s="130">
        <v>0</v>
      </c>
      <c r="AC1739" s="130">
        <v>0</v>
      </c>
    </row>
    <row r="1740" spans="1:29" x14ac:dyDescent="0.25">
      <c r="A1740" t="str">
        <f t="shared" si="28"/>
        <v xml:space="preserve">75219AMX B               </v>
      </c>
      <c r="B1740" s="96">
        <v>75219</v>
      </c>
      <c r="C1740" s="96" t="s">
        <v>846</v>
      </c>
      <c r="D1740" s="96" t="s">
        <v>361</v>
      </c>
      <c r="E1740" s="96" t="s">
        <v>623</v>
      </c>
      <c r="F1740" s="96" t="s">
        <v>624</v>
      </c>
      <c r="G1740" s="99">
        <v>520</v>
      </c>
      <c r="H1740" s="97">
        <v>68.25</v>
      </c>
      <c r="I1740" s="98">
        <v>35490</v>
      </c>
      <c r="J1740" s="97">
        <v>79.080423076923083</v>
      </c>
      <c r="K1740" s="98">
        <v>-5631.82</v>
      </c>
      <c r="L1740" s="99">
        <v>0</v>
      </c>
      <c r="M1740" s="98">
        <v>0</v>
      </c>
      <c r="N1740" s="99">
        <v>0</v>
      </c>
      <c r="O1740" s="98">
        <v>0</v>
      </c>
      <c r="P1740" s="99">
        <v>520</v>
      </c>
      <c r="Q1740" s="98">
        <v>35490</v>
      </c>
      <c r="R1740" s="96" t="s">
        <v>625</v>
      </c>
      <c r="S1740" s="96">
        <v>7414000005</v>
      </c>
      <c r="AA1740" s="131" t="s">
        <v>394</v>
      </c>
      <c r="AB1740" s="130">
        <v>0</v>
      </c>
      <c r="AC1740" s="130">
        <v>0</v>
      </c>
    </row>
    <row r="1741" spans="1:29" x14ac:dyDescent="0.25">
      <c r="A1741" t="str">
        <f t="shared" si="28"/>
        <v xml:space="preserve">75219ASUR B              </v>
      </c>
      <c r="B1741" s="96">
        <v>75219</v>
      </c>
      <c r="C1741" s="96" t="s">
        <v>846</v>
      </c>
      <c r="D1741" s="96" t="s">
        <v>362</v>
      </c>
      <c r="E1741" s="96" t="s">
        <v>623</v>
      </c>
      <c r="F1741" s="96" t="s">
        <v>624</v>
      </c>
      <c r="G1741" s="99">
        <v>13160</v>
      </c>
      <c r="H1741" s="97">
        <v>14.33</v>
      </c>
      <c r="I1741" s="98">
        <v>188582.8</v>
      </c>
      <c r="J1741" s="97">
        <v>11.973391337386019</v>
      </c>
      <c r="K1741" s="98">
        <v>31012.97</v>
      </c>
      <c r="L1741" s="99">
        <v>0</v>
      </c>
      <c r="M1741" s="98">
        <v>0</v>
      </c>
      <c r="N1741" s="99">
        <v>0</v>
      </c>
      <c r="O1741" s="98">
        <v>0</v>
      </c>
      <c r="P1741" s="99">
        <v>13160</v>
      </c>
      <c r="Q1741" s="98">
        <v>188582.8</v>
      </c>
      <c r="R1741" s="96" t="s">
        <v>625</v>
      </c>
      <c r="S1741" s="96">
        <v>7414000005</v>
      </c>
      <c r="AA1741" s="131" t="s">
        <v>585</v>
      </c>
      <c r="AB1741" s="130">
        <v>0</v>
      </c>
      <c r="AC1741" s="130">
        <v>0</v>
      </c>
    </row>
    <row r="1742" spans="1:29" x14ac:dyDescent="0.25">
      <c r="A1742" t="str">
        <f t="shared" si="28"/>
        <v xml:space="preserve">75219BIMBO A             </v>
      </c>
      <c r="B1742" s="96">
        <v>75219</v>
      </c>
      <c r="C1742" s="96" t="s">
        <v>846</v>
      </c>
      <c r="D1742" s="96" t="s">
        <v>409</v>
      </c>
      <c r="E1742" s="96" t="s">
        <v>623</v>
      </c>
      <c r="F1742" s="96" t="s">
        <v>624</v>
      </c>
      <c r="G1742" s="99">
        <v>92910</v>
      </c>
      <c r="H1742" s="97">
        <v>9.3381629999999998</v>
      </c>
      <c r="I1742" s="98">
        <v>867608.72433</v>
      </c>
      <c r="J1742" s="97">
        <v>8.3307969100000001</v>
      </c>
      <c r="K1742" s="98">
        <v>93594.383421899998</v>
      </c>
      <c r="L1742" s="99">
        <v>0</v>
      </c>
      <c r="M1742" s="98">
        <v>0</v>
      </c>
      <c r="N1742" s="99">
        <v>0</v>
      </c>
      <c r="O1742" s="98">
        <v>0</v>
      </c>
      <c r="P1742" s="99">
        <v>92910</v>
      </c>
      <c r="Q1742" s="98">
        <v>867608.72433</v>
      </c>
      <c r="R1742" s="96" t="s">
        <v>625</v>
      </c>
      <c r="S1742" s="96">
        <v>7414000005</v>
      </c>
      <c r="AA1742" s="131" t="s">
        <v>392</v>
      </c>
      <c r="AB1742" s="130">
        <v>0</v>
      </c>
      <c r="AC1742" s="130">
        <v>0</v>
      </c>
    </row>
    <row r="1743" spans="1:29" x14ac:dyDescent="0.25">
      <c r="A1743" t="str">
        <f t="shared" si="28"/>
        <v xml:space="preserve">75219CEMEX CPO           </v>
      </c>
      <c r="B1743" s="96">
        <v>75219</v>
      </c>
      <c r="C1743" s="96" t="s">
        <v>846</v>
      </c>
      <c r="D1743" s="96" t="s">
        <v>370</v>
      </c>
      <c r="E1743" s="96" t="s">
        <v>623</v>
      </c>
      <c r="F1743" s="96" t="s">
        <v>624</v>
      </c>
      <c r="G1743" s="99">
        <v>80</v>
      </c>
      <c r="H1743" s="97">
        <v>271.94</v>
      </c>
      <c r="I1743" s="98">
        <v>21755.200000000001</v>
      </c>
      <c r="J1743" s="97">
        <v>308.26662499999998</v>
      </c>
      <c r="K1743" s="98">
        <v>-2906.13</v>
      </c>
      <c r="L1743" s="99">
        <v>0</v>
      </c>
      <c r="M1743" s="98">
        <v>0</v>
      </c>
      <c r="N1743" s="99">
        <v>0</v>
      </c>
      <c r="O1743" s="98">
        <v>0</v>
      </c>
      <c r="P1743" s="99">
        <v>80</v>
      </c>
      <c r="Q1743" s="98">
        <v>21755.200000000001</v>
      </c>
      <c r="R1743" s="96" t="s">
        <v>625</v>
      </c>
      <c r="S1743" s="96">
        <v>7414000005</v>
      </c>
      <c r="AA1743" s="131" t="s">
        <v>471</v>
      </c>
      <c r="AB1743" s="130">
        <v>0</v>
      </c>
      <c r="AC1743" s="130">
        <v>0</v>
      </c>
    </row>
    <row r="1744" spans="1:29" x14ac:dyDescent="0.25">
      <c r="A1744" t="str">
        <f t="shared" si="28"/>
        <v xml:space="preserve">75219CETES 241128        </v>
      </c>
      <c r="B1744" s="96">
        <v>75219</v>
      </c>
      <c r="C1744" s="96" t="s">
        <v>846</v>
      </c>
      <c r="D1744" s="96" t="s">
        <v>371</v>
      </c>
      <c r="E1744" s="96" t="s">
        <v>623</v>
      </c>
      <c r="F1744" s="96" t="s">
        <v>624</v>
      </c>
      <c r="G1744" s="99">
        <v>510</v>
      </c>
      <c r="H1744" s="97">
        <v>193.15</v>
      </c>
      <c r="I1744" s="98">
        <v>98506.5</v>
      </c>
      <c r="J1744" s="97">
        <v>155.03731372549021</v>
      </c>
      <c r="K1744" s="98">
        <v>19437.47</v>
      </c>
      <c r="L1744" s="99">
        <v>0</v>
      </c>
      <c r="M1744" s="98">
        <v>0</v>
      </c>
      <c r="N1744" s="99">
        <v>0</v>
      </c>
      <c r="O1744" s="98">
        <v>0</v>
      </c>
      <c r="P1744" s="99">
        <v>510</v>
      </c>
      <c r="Q1744" s="98">
        <v>98506.5</v>
      </c>
      <c r="R1744" s="96" t="s">
        <v>625</v>
      </c>
      <c r="S1744" s="96">
        <v>7414000005</v>
      </c>
      <c r="AA1744" s="131" t="s">
        <v>386</v>
      </c>
      <c r="AB1744" s="130">
        <v>0</v>
      </c>
      <c r="AC1744" s="130">
        <v>0</v>
      </c>
    </row>
    <row r="1745" spans="1:29" x14ac:dyDescent="0.25">
      <c r="A1745" t="str">
        <f t="shared" si="28"/>
        <v xml:space="preserve">75219GAP B               </v>
      </c>
      <c r="B1745" s="96">
        <v>75219</v>
      </c>
      <c r="C1745" s="96" t="s">
        <v>846</v>
      </c>
      <c r="D1745" s="96" t="s">
        <v>372</v>
      </c>
      <c r="E1745" s="96" t="s">
        <v>623</v>
      </c>
      <c r="F1745" s="96" t="s">
        <v>624</v>
      </c>
      <c r="G1745" s="99">
        <v>2280</v>
      </c>
      <c r="H1745" s="97">
        <v>27.12</v>
      </c>
      <c r="I1745" s="98">
        <v>61833.599999999999</v>
      </c>
      <c r="J1745" s="97">
        <v>19.816337719298247</v>
      </c>
      <c r="K1745" s="98">
        <v>16652.349999999999</v>
      </c>
      <c r="L1745" s="99">
        <v>0</v>
      </c>
      <c r="M1745" s="98">
        <v>0</v>
      </c>
      <c r="N1745" s="99">
        <v>0</v>
      </c>
      <c r="O1745" s="98">
        <v>0</v>
      </c>
      <c r="P1745" s="99">
        <v>2280</v>
      </c>
      <c r="Q1745" s="98">
        <v>61833.599999999999</v>
      </c>
      <c r="R1745" s="96" t="s">
        <v>625</v>
      </c>
      <c r="S1745" s="96">
        <v>7414000005</v>
      </c>
      <c r="AA1745" s="131" t="s">
        <v>383</v>
      </c>
      <c r="AB1745" s="130">
        <v>0</v>
      </c>
      <c r="AC1745" s="130">
        <v>0</v>
      </c>
    </row>
    <row r="1746" spans="1:29" x14ac:dyDescent="0.25">
      <c r="A1746" t="str">
        <f t="shared" si="28"/>
        <v xml:space="preserve">75219GCC *               </v>
      </c>
      <c r="B1746" s="96">
        <v>75219</v>
      </c>
      <c r="C1746" s="96" t="s">
        <v>846</v>
      </c>
      <c r="D1746" s="96" t="s">
        <v>373</v>
      </c>
      <c r="E1746" s="96" t="s">
        <v>623</v>
      </c>
      <c r="F1746" s="96" t="s">
        <v>624</v>
      </c>
      <c r="G1746" s="99">
        <v>1700</v>
      </c>
      <c r="H1746" s="97">
        <v>176.44</v>
      </c>
      <c r="I1746" s="98">
        <v>299948</v>
      </c>
      <c r="J1746" s="97">
        <v>149.10319411764706</v>
      </c>
      <c r="K1746" s="98">
        <v>46472.57</v>
      </c>
      <c r="L1746" s="99">
        <v>0</v>
      </c>
      <c r="M1746" s="98">
        <v>0</v>
      </c>
      <c r="N1746" s="99">
        <v>0</v>
      </c>
      <c r="O1746" s="98">
        <v>0</v>
      </c>
      <c r="P1746" s="99">
        <v>1700</v>
      </c>
      <c r="Q1746" s="98">
        <v>299948</v>
      </c>
      <c r="R1746" s="96" t="s">
        <v>625</v>
      </c>
      <c r="S1746" s="96">
        <v>7414000005</v>
      </c>
      <c r="AA1746" s="131" t="s">
        <v>397</v>
      </c>
      <c r="AB1746" s="130">
        <v>0</v>
      </c>
      <c r="AC1746" s="130">
        <v>0</v>
      </c>
    </row>
    <row r="1747" spans="1:29" x14ac:dyDescent="0.25">
      <c r="A1747" t="str">
        <f t="shared" si="28"/>
        <v xml:space="preserve">75219GENTERA *           </v>
      </c>
      <c r="B1747" s="96">
        <v>75219</v>
      </c>
      <c r="C1747" s="96" t="s">
        <v>846</v>
      </c>
      <c r="D1747" s="96" t="s">
        <v>374</v>
      </c>
      <c r="E1747" s="96" t="s">
        <v>623</v>
      </c>
      <c r="F1747" s="96" t="s">
        <v>624</v>
      </c>
      <c r="G1747" s="99">
        <v>2140</v>
      </c>
      <c r="H1747" s="97">
        <v>104.12</v>
      </c>
      <c r="I1747" s="98">
        <v>222816.8</v>
      </c>
      <c r="J1747" s="97">
        <v>82.153672897196259</v>
      </c>
      <c r="K1747" s="98">
        <v>47007.94</v>
      </c>
      <c r="L1747" s="99">
        <v>0</v>
      </c>
      <c r="M1747" s="98">
        <v>0</v>
      </c>
      <c r="N1747" s="99">
        <v>0</v>
      </c>
      <c r="O1747" s="98">
        <v>0</v>
      </c>
      <c r="P1747" s="99">
        <v>2140</v>
      </c>
      <c r="Q1747" s="98">
        <v>222816.8</v>
      </c>
      <c r="R1747" s="96" t="s">
        <v>625</v>
      </c>
      <c r="S1747" s="96">
        <v>7414000005</v>
      </c>
      <c r="AA1747" s="131" t="s">
        <v>825</v>
      </c>
      <c r="AB1747" s="130">
        <v>0</v>
      </c>
      <c r="AC1747" s="130">
        <v>0</v>
      </c>
    </row>
    <row r="1748" spans="1:29" x14ac:dyDescent="0.25">
      <c r="A1748" t="str">
        <f t="shared" si="28"/>
        <v xml:space="preserve">75219GFNORTE O           </v>
      </c>
      <c r="B1748" s="96">
        <v>75219</v>
      </c>
      <c r="C1748" s="96" t="s">
        <v>846</v>
      </c>
      <c r="D1748" s="96" t="s">
        <v>375</v>
      </c>
      <c r="E1748" s="96" t="s">
        <v>623</v>
      </c>
      <c r="F1748" s="96" t="s">
        <v>624</v>
      </c>
      <c r="G1748" s="99">
        <v>4990</v>
      </c>
      <c r="H1748" s="97">
        <v>98.730349000000004</v>
      </c>
      <c r="I1748" s="98">
        <v>492664.44150999998</v>
      </c>
      <c r="J1748" s="97">
        <v>107.55063955478958</v>
      </c>
      <c r="K1748" s="98">
        <v>-44013.249868400002</v>
      </c>
      <c r="L1748" s="99">
        <v>0</v>
      </c>
      <c r="M1748" s="98">
        <v>0</v>
      </c>
      <c r="N1748" s="99">
        <v>0</v>
      </c>
      <c r="O1748" s="98">
        <v>0</v>
      </c>
      <c r="P1748" s="99">
        <v>4990</v>
      </c>
      <c r="Q1748" s="98">
        <v>492664.44150999998</v>
      </c>
      <c r="R1748" s="96" t="s">
        <v>625</v>
      </c>
      <c r="S1748" s="96">
        <v>7414000005</v>
      </c>
      <c r="AA1748" s="131" t="s">
        <v>618</v>
      </c>
      <c r="AB1748" s="130">
        <v>0</v>
      </c>
      <c r="AC1748" s="130">
        <v>0</v>
      </c>
    </row>
    <row r="1749" spans="1:29" x14ac:dyDescent="0.25">
      <c r="A1749" t="str">
        <f t="shared" si="28"/>
        <v xml:space="preserve">75219GMEXICO B           </v>
      </c>
      <c r="B1749" s="96">
        <v>75219</v>
      </c>
      <c r="C1749" s="96" t="s">
        <v>846</v>
      </c>
      <c r="D1749" s="96" t="s">
        <v>376</v>
      </c>
      <c r="E1749" s="96" t="s">
        <v>623</v>
      </c>
      <c r="F1749" s="96" t="s">
        <v>624</v>
      </c>
      <c r="G1749" s="99">
        <v>1321</v>
      </c>
      <c r="H1749" s="97">
        <v>99.247497999999993</v>
      </c>
      <c r="I1749" s="98">
        <v>131105.944858</v>
      </c>
      <c r="J1749" s="97">
        <v>28.061871944776684</v>
      </c>
      <c r="K1749" s="98">
        <v>168175.67769705001</v>
      </c>
      <c r="L1749" s="99">
        <v>0</v>
      </c>
      <c r="M1749" s="98">
        <v>0</v>
      </c>
      <c r="N1749" s="99">
        <v>0</v>
      </c>
      <c r="O1749" s="98">
        <v>0</v>
      </c>
      <c r="P1749" s="99">
        <v>1321</v>
      </c>
      <c r="Q1749" s="98">
        <v>131105.944858</v>
      </c>
      <c r="R1749" s="96" t="s">
        <v>625</v>
      </c>
      <c r="S1749" s="96">
        <v>7414000005</v>
      </c>
      <c r="AA1749" s="129">
        <v>2001141</v>
      </c>
      <c r="AB1749" s="130">
        <v>0</v>
      </c>
      <c r="AC1749" s="130">
        <v>0</v>
      </c>
    </row>
    <row r="1750" spans="1:29" x14ac:dyDescent="0.25">
      <c r="A1750" t="str">
        <f t="shared" si="28"/>
        <v xml:space="preserve">75219GOBFED 240905       </v>
      </c>
      <c r="B1750" s="96">
        <v>75219</v>
      </c>
      <c r="C1750" s="96" t="s">
        <v>846</v>
      </c>
      <c r="D1750" s="96" t="s">
        <v>377</v>
      </c>
      <c r="E1750" s="96" t="s">
        <v>623</v>
      </c>
      <c r="F1750" s="96" t="s">
        <v>624</v>
      </c>
      <c r="G1750" s="99">
        <v>5320</v>
      </c>
      <c r="H1750" s="97">
        <v>94.973146999999997</v>
      </c>
      <c r="I1750" s="98">
        <v>505257.14204000001</v>
      </c>
      <c r="J1750" s="97">
        <v>89.982256403590227</v>
      </c>
      <c r="K1750" s="98">
        <v>26551.537972900001</v>
      </c>
      <c r="L1750" s="99">
        <v>0</v>
      </c>
      <c r="M1750" s="98">
        <v>0</v>
      </c>
      <c r="N1750" s="99">
        <v>0</v>
      </c>
      <c r="O1750" s="98">
        <v>0</v>
      </c>
      <c r="P1750" s="99">
        <v>5320</v>
      </c>
      <c r="Q1750" s="98">
        <v>505257.14204000001</v>
      </c>
      <c r="R1750" s="96" t="s">
        <v>625</v>
      </c>
      <c r="S1750" s="96">
        <v>7414000005</v>
      </c>
      <c r="AA1750" s="131" t="s">
        <v>366</v>
      </c>
      <c r="AB1750" s="130">
        <v>0</v>
      </c>
      <c r="AC1750" s="130">
        <v>0</v>
      </c>
    </row>
    <row r="1751" spans="1:29" x14ac:dyDescent="0.25">
      <c r="A1751" t="str">
        <f t="shared" si="28"/>
        <v xml:space="preserve">75219GOBFED 241205       </v>
      </c>
      <c r="B1751" s="96">
        <v>75219</v>
      </c>
      <c r="C1751" s="96" t="s">
        <v>846</v>
      </c>
      <c r="D1751" s="96" t="s">
        <v>378</v>
      </c>
      <c r="E1751" s="96" t="s">
        <v>623</v>
      </c>
      <c r="F1751" s="96" t="s">
        <v>624</v>
      </c>
      <c r="G1751" s="99">
        <v>3051</v>
      </c>
      <c r="H1751" s="97">
        <v>91.911821000000003</v>
      </c>
      <c r="I1751" s="98">
        <v>280422.96587100002</v>
      </c>
      <c r="J1751" s="97">
        <v>93.2088459</v>
      </c>
      <c r="K1751" s="98">
        <v>-3957.2229699</v>
      </c>
      <c r="L1751" s="99">
        <v>0</v>
      </c>
      <c r="M1751" s="98">
        <v>0</v>
      </c>
      <c r="N1751" s="99">
        <v>0</v>
      </c>
      <c r="O1751" s="98">
        <v>0</v>
      </c>
      <c r="P1751" s="99">
        <v>3051</v>
      </c>
      <c r="Q1751" s="98">
        <v>280422.96587100002</v>
      </c>
      <c r="R1751" s="96" t="s">
        <v>625</v>
      </c>
      <c r="S1751" s="96">
        <v>7414000005</v>
      </c>
      <c r="AA1751" s="131" t="s">
        <v>427</v>
      </c>
      <c r="AB1751" s="130">
        <v>0</v>
      </c>
      <c r="AC1751" s="130">
        <v>0</v>
      </c>
    </row>
    <row r="1752" spans="1:29" x14ac:dyDescent="0.25">
      <c r="A1752" t="str">
        <f t="shared" si="28"/>
        <v xml:space="preserve">75219GOBFED 250306       </v>
      </c>
      <c r="B1752" s="96">
        <v>75219</v>
      </c>
      <c r="C1752" s="96" t="s">
        <v>846</v>
      </c>
      <c r="D1752" s="96" t="s">
        <v>379</v>
      </c>
      <c r="E1752" s="96" t="s">
        <v>623</v>
      </c>
      <c r="F1752" s="96" t="s">
        <v>624</v>
      </c>
      <c r="G1752" s="99">
        <v>5564</v>
      </c>
      <c r="H1752" s="97">
        <v>88.698122999999995</v>
      </c>
      <c r="I1752" s="98">
        <v>493516.35637200001</v>
      </c>
      <c r="J1752" s="97">
        <v>88.428377748727527</v>
      </c>
      <c r="K1752" s="98">
        <v>1500.86257808</v>
      </c>
      <c r="L1752" s="99">
        <v>0</v>
      </c>
      <c r="M1752" s="98">
        <v>0</v>
      </c>
      <c r="N1752" s="99">
        <v>0</v>
      </c>
      <c r="O1752" s="98">
        <v>0</v>
      </c>
      <c r="P1752" s="99">
        <v>5564</v>
      </c>
      <c r="Q1752" s="98">
        <v>493516.35637200001</v>
      </c>
      <c r="R1752" s="96" t="s">
        <v>625</v>
      </c>
      <c r="S1752" s="96">
        <v>7414000005</v>
      </c>
      <c r="AA1752" s="131" t="s">
        <v>418</v>
      </c>
      <c r="AB1752" s="130">
        <v>0</v>
      </c>
      <c r="AC1752" s="130">
        <v>0</v>
      </c>
    </row>
    <row r="1753" spans="1:29" x14ac:dyDescent="0.25">
      <c r="A1753" t="str">
        <f t="shared" si="28"/>
        <v xml:space="preserve">75219GOBFED 260305       </v>
      </c>
      <c r="B1753" s="96">
        <v>75219</v>
      </c>
      <c r="C1753" s="96" t="s">
        <v>846</v>
      </c>
      <c r="D1753" s="96" t="s">
        <v>380</v>
      </c>
      <c r="E1753" s="96" t="s">
        <v>623</v>
      </c>
      <c r="F1753" s="96" t="s">
        <v>624</v>
      </c>
      <c r="G1753" s="99">
        <v>3909</v>
      </c>
      <c r="H1753" s="97">
        <v>93.314192000000006</v>
      </c>
      <c r="I1753" s="98">
        <v>364765.17652799998</v>
      </c>
      <c r="J1753" s="97">
        <v>100.18644899711691</v>
      </c>
      <c r="K1753" s="98">
        <v>-26863.652601729998</v>
      </c>
      <c r="L1753" s="99">
        <v>0</v>
      </c>
      <c r="M1753" s="98">
        <v>0</v>
      </c>
      <c r="N1753" s="99">
        <v>0</v>
      </c>
      <c r="O1753" s="98">
        <v>0</v>
      </c>
      <c r="P1753" s="99">
        <v>3909</v>
      </c>
      <c r="Q1753" s="98">
        <v>364765.17652799998</v>
      </c>
      <c r="R1753" s="96" t="s">
        <v>625</v>
      </c>
      <c r="S1753" s="96">
        <v>7414000005</v>
      </c>
      <c r="AA1753" s="131" t="s">
        <v>384</v>
      </c>
      <c r="AB1753" s="130">
        <v>0</v>
      </c>
      <c r="AC1753" s="130">
        <v>0</v>
      </c>
    </row>
    <row r="1754" spans="1:29" x14ac:dyDescent="0.25">
      <c r="A1754" t="str">
        <f t="shared" si="28"/>
        <v xml:space="preserve">75219GOBFED 270304       </v>
      </c>
      <c r="B1754" s="96">
        <v>75219</v>
      </c>
      <c r="C1754" s="96" t="s">
        <v>846</v>
      </c>
      <c r="D1754" s="96" t="s">
        <v>381</v>
      </c>
      <c r="E1754" s="96" t="s">
        <v>623</v>
      </c>
      <c r="F1754" s="96" t="s">
        <v>624</v>
      </c>
      <c r="G1754" s="99">
        <v>14699</v>
      </c>
      <c r="H1754" s="97">
        <v>94.870157000000006</v>
      </c>
      <c r="I1754" s="98">
        <v>1394496.437743</v>
      </c>
      <c r="J1754" s="97">
        <v>97.301623267432475</v>
      </c>
      <c r="K1754" s="98">
        <v>-35740.122664989998</v>
      </c>
      <c r="L1754" s="99">
        <v>0</v>
      </c>
      <c r="M1754" s="98">
        <v>0</v>
      </c>
      <c r="N1754" s="99">
        <v>0</v>
      </c>
      <c r="O1754" s="98">
        <v>0</v>
      </c>
      <c r="P1754" s="99">
        <v>14699</v>
      </c>
      <c r="Q1754" s="98">
        <v>1394496.437743</v>
      </c>
      <c r="R1754" s="96" t="s">
        <v>625</v>
      </c>
      <c r="S1754" s="96">
        <v>7414000005</v>
      </c>
      <c r="AA1754" s="131" t="s">
        <v>396</v>
      </c>
      <c r="AB1754" s="130">
        <v>0</v>
      </c>
      <c r="AC1754" s="130">
        <v>0</v>
      </c>
    </row>
    <row r="1755" spans="1:29" x14ac:dyDescent="0.25">
      <c r="A1755" t="str">
        <f t="shared" si="28"/>
        <v xml:space="preserve">75219GOBFED 270603       </v>
      </c>
      <c r="B1755" s="96">
        <v>75219</v>
      </c>
      <c r="C1755" s="96" t="s">
        <v>846</v>
      </c>
      <c r="D1755" s="96" t="s">
        <v>382</v>
      </c>
      <c r="E1755" s="96" t="s">
        <v>623</v>
      </c>
      <c r="F1755" s="96" t="s">
        <v>624</v>
      </c>
      <c r="G1755" s="99">
        <v>67</v>
      </c>
      <c r="H1755" s="97">
        <v>89.489464999999996</v>
      </c>
      <c r="I1755" s="98">
        <v>5995.7941549999996</v>
      </c>
      <c r="J1755" s="97">
        <v>140.25098242149252</v>
      </c>
      <c r="K1755" s="98">
        <v>15392.609977239999</v>
      </c>
      <c r="L1755" s="99">
        <v>0</v>
      </c>
      <c r="M1755" s="98">
        <v>0</v>
      </c>
      <c r="N1755" s="99">
        <v>0</v>
      </c>
      <c r="O1755" s="98">
        <v>0</v>
      </c>
      <c r="P1755" s="99">
        <v>67</v>
      </c>
      <c r="Q1755" s="98">
        <v>5995.7941549999996</v>
      </c>
      <c r="R1755" s="96" t="s">
        <v>625</v>
      </c>
      <c r="S1755" s="96">
        <v>7414000005</v>
      </c>
      <c r="AA1755" s="131" t="s">
        <v>398</v>
      </c>
      <c r="AB1755" s="130">
        <v>0</v>
      </c>
      <c r="AC1755" s="130">
        <v>0</v>
      </c>
    </row>
    <row r="1756" spans="1:29" x14ac:dyDescent="0.25">
      <c r="A1756" t="str">
        <f t="shared" si="28"/>
        <v xml:space="preserve">75219GOBFED 290531       </v>
      </c>
      <c r="B1756" s="96">
        <v>75219</v>
      </c>
      <c r="C1756" s="96" t="s">
        <v>846</v>
      </c>
      <c r="D1756" s="96" t="s">
        <v>383</v>
      </c>
      <c r="E1756" s="96" t="s">
        <v>623</v>
      </c>
      <c r="F1756" s="96" t="s">
        <v>624</v>
      </c>
      <c r="G1756" s="99">
        <v>8610</v>
      </c>
      <c r="H1756" s="97">
        <v>86.197128000000006</v>
      </c>
      <c r="I1756" s="98">
        <v>742157.27208000002</v>
      </c>
      <c r="J1756" s="97">
        <v>90.244415667770028</v>
      </c>
      <c r="K1756" s="98">
        <v>-34847.146819499998</v>
      </c>
      <c r="L1756" s="99">
        <v>0</v>
      </c>
      <c r="M1756" s="98">
        <v>0</v>
      </c>
      <c r="N1756" s="99">
        <v>0</v>
      </c>
      <c r="O1756" s="98">
        <v>0</v>
      </c>
      <c r="P1756" s="99">
        <v>8610</v>
      </c>
      <c r="Q1756" s="98">
        <v>742157.27208000002</v>
      </c>
      <c r="R1756" s="96" t="s">
        <v>625</v>
      </c>
      <c r="S1756" s="96">
        <v>7414000005</v>
      </c>
      <c r="AA1756" s="131" t="s">
        <v>385</v>
      </c>
      <c r="AB1756" s="130">
        <v>0</v>
      </c>
      <c r="AC1756" s="130">
        <v>0</v>
      </c>
    </row>
    <row r="1757" spans="1:29" x14ac:dyDescent="0.25">
      <c r="A1757" t="str">
        <f t="shared" si="28"/>
        <v xml:space="preserve">75219GOBFED 310529       </v>
      </c>
      <c r="B1757" s="96">
        <v>75219</v>
      </c>
      <c r="C1757" s="96" t="s">
        <v>846</v>
      </c>
      <c r="D1757" s="96" t="s">
        <v>427</v>
      </c>
      <c r="E1757" s="96" t="s">
        <v>623</v>
      </c>
      <c r="F1757" s="96" t="s">
        <v>624</v>
      </c>
      <c r="G1757" s="99">
        <v>11652</v>
      </c>
      <c r="H1757" s="97">
        <v>86.469353999999996</v>
      </c>
      <c r="I1757" s="98">
        <v>1007540.912808</v>
      </c>
      <c r="J1757" s="97">
        <v>91.173060342068311</v>
      </c>
      <c r="K1757" s="98">
        <v>-54807.586297779999</v>
      </c>
      <c r="L1757" s="99">
        <v>0</v>
      </c>
      <c r="M1757" s="98">
        <v>0</v>
      </c>
      <c r="N1757" s="99">
        <v>0</v>
      </c>
      <c r="O1757" s="98">
        <v>0</v>
      </c>
      <c r="P1757" s="99">
        <v>11652</v>
      </c>
      <c r="Q1757" s="98">
        <v>1007540.912808</v>
      </c>
      <c r="R1757" s="96" t="s">
        <v>625</v>
      </c>
      <c r="S1757" s="96">
        <v>7414000005</v>
      </c>
      <c r="AA1757" s="131" t="s">
        <v>392</v>
      </c>
      <c r="AB1757" s="130">
        <v>0</v>
      </c>
      <c r="AC1757" s="130">
        <v>0</v>
      </c>
    </row>
    <row r="1758" spans="1:29" x14ac:dyDescent="0.25">
      <c r="A1758" t="str">
        <f t="shared" si="28"/>
        <v xml:space="preserve">75219GOBFED 330526       </v>
      </c>
      <c r="B1758" s="96">
        <v>75219</v>
      </c>
      <c r="C1758" s="96" t="s">
        <v>846</v>
      </c>
      <c r="D1758" s="96" t="s">
        <v>418</v>
      </c>
      <c r="E1758" s="96" t="s">
        <v>623</v>
      </c>
      <c r="F1758" s="96" t="s">
        <v>624</v>
      </c>
      <c r="G1758" s="99">
        <v>411</v>
      </c>
      <c r="H1758" s="97">
        <v>101.45096599999999</v>
      </c>
      <c r="I1758" s="98">
        <v>41696.347026000003</v>
      </c>
      <c r="J1758" s="97">
        <v>114.11447106</v>
      </c>
      <c r="K1758" s="98">
        <v>-5204.7005796599997</v>
      </c>
      <c r="L1758" s="99">
        <v>0</v>
      </c>
      <c r="M1758" s="98">
        <v>0</v>
      </c>
      <c r="N1758" s="99">
        <v>0</v>
      </c>
      <c r="O1758" s="98">
        <v>0</v>
      </c>
      <c r="P1758" s="99">
        <v>411</v>
      </c>
      <c r="Q1758" s="98">
        <v>41696.347026000003</v>
      </c>
      <c r="R1758" s="96" t="s">
        <v>625</v>
      </c>
      <c r="S1758" s="96">
        <v>7414000005</v>
      </c>
      <c r="AA1758" s="131" t="s">
        <v>386</v>
      </c>
      <c r="AB1758" s="130">
        <v>0</v>
      </c>
      <c r="AC1758" s="130">
        <v>0</v>
      </c>
    </row>
    <row r="1759" spans="1:29" x14ac:dyDescent="0.25">
      <c r="A1759" t="str">
        <f t="shared" si="28"/>
        <v xml:space="preserve">75219GOBFED 341123       </v>
      </c>
      <c r="B1759" s="96">
        <v>75219</v>
      </c>
      <c r="C1759" s="96" t="s">
        <v>846</v>
      </c>
      <c r="D1759" s="96" t="s">
        <v>408</v>
      </c>
      <c r="E1759" s="96" t="s">
        <v>623</v>
      </c>
      <c r="F1759" s="96" t="s">
        <v>624</v>
      </c>
      <c r="G1759" s="99">
        <v>327</v>
      </c>
      <c r="H1759" s="97">
        <v>89.643172000000007</v>
      </c>
      <c r="I1759" s="98">
        <v>29313.317244000002</v>
      </c>
      <c r="J1759" s="97">
        <v>108.47711812999999</v>
      </c>
      <c r="K1759" s="98">
        <v>-6158.7003845099998</v>
      </c>
      <c r="L1759" s="99">
        <v>0</v>
      </c>
      <c r="M1759" s="98">
        <v>0</v>
      </c>
      <c r="N1759" s="99">
        <v>0</v>
      </c>
      <c r="O1759" s="98">
        <v>0</v>
      </c>
      <c r="P1759" s="99">
        <v>327</v>
      </c>
      <c r="Q1759" s="98">
        <v>29313.317244000002</v>
      </c>
      <c r="R1759" s="96" t="s">
        <v>625</v>
      </c>
      <c r="S1759" s="96">
        <v>7414000005</v>
      </c>
      <c r="AA1759" s="131" t="s">
        <v>383</v>
      </c>
      <c r="AB1759" s="130">
        <v>0</v>
      </c>
      <c r="AC1759" s="130">
        <v>0</v>
      </c>
    </row>
    <row r="1760" spans="1:29" x14ac:dyDescent="0.25">
      <c r="A1760" t="str">
        <f t="shared" si="28"/>
        <v xml:space="preserve">75219GOBFED 361120       </v>
      </c>
      <c r="B1760" s="96">
        <v>75219</v>
      </c>
      <c r="C1760" s="96" t="s">
        <v>846</v>
      </c>
      <c r="D1760" s="96" t="s">
        <v>384</v>
      </c>
      <c r="E1760" s="96" t="s">
        <v>623</v>
      </c>
      <c r="F1760" s="96" t="s">
        <v>624</v>
      </c>
      <c r="G1760" s="99">
        <v>8295</v>
      </c>
      <c r="H1760" s="97">
        <v>81.738860000000003</v>
      </c>
      <c r="I1760" s="98">
        <v>678023.84369999997</v>
      </c>
      <c r="J1760" s="97">
        <v>84.352152406641352</v>
      </c>
      <c r="K1760" s="98">
        <v>-21677.260513090001</v>
      </c>
      <c r="L1760" s="99">
        <v>0</v>
      </c>
      <c r="M1760" s="98">
        <v>0</v>
      </c>
      <c r="N1760" s="99">
        <v>0</v>
      </c>
      <c r="O1760" s="98">
        <v>0</v>
      </c>
      <c r="P1760" s="99">
        <v>8295</v>
      </c>
      <c r="Q1760" s="98">
        <v>678023.84369999997</v>
      </c>
      <c r="R1760" s="96" t="s">
        <v>625</v>
      </c>
      <c r="S1760" s="96">
        <v>7414000005</v>
      </c>
      <c r="AA1760" s="131" t="s">
        <v>397</v>
      </c>
      <c r="AB1760" s="130">
        <v>0</v>
      </c>
      <c r="AC1760" s="130">
        <v>0</v>
      </c>
    </row>
    <row r="1761" spans="1:29" x14ac:dyDescent="0.25">
      <c r="A1761" t="str">
        <f t="shared" si="28"/>
        <v xml:space="preserve">75219GOBFED 381118       </v>
      </c>
      <c r="B1761" s="96">
        <v>75219</v>
      </c>
      <c r="C1761" s="96" t="s">
        <v>846</v>
      </c>
      <c r="D1761" s="96" t="s">
        <v>385</v>
      </c>
      <c r="E1761" s="96" t="s">
        <v>623</v>
      </c>
      <c r="F1761" s="96" t="s">
        <v>624</v>
      </c>
      <c r="G1761" s="99">
        <v>1440</v>
      </c>
      <c r="H1761" s="97">
        <v>83.200761</v>
      </c>
      <c r="I1761" s="98">
        <v>119809.09583999999</v>
      </c>
      <c r="J1761" s="97">
        <v>96.799409990000001</v>
      </c>
      <c r="K1761" s="98">
        <v>-19582.0545456</v>
      </c>
      <c r="L1761" s="99">
        <v>0</v>
      </c>
      <c r="M1761" s="98">
        <v>0</v>
      </c>
      <c r="N1761" s="99">
        <v>0</v>
      </c>
      <c r="O1761" s="98">
        <v>0</v>
      </c>
      <c r="P1761" s="99">
        <v>1440</v>
      </c>
      <c r="Q1761" s="98">
        <v>119809.09583999999</v>
      </c>
      <c r="R1761" s="96" t="s">
        <v>625</v>
      </c>
      <c r="S1761" s="96">
        <v>7414000005</v>
      </c>
      <c r="AA1761" s="129">
        <v>2001142</v>
      </c>
      <c r="AB1761" s="130">
        <v>0</v>
      </c>
      <c r="AC1761" s="130">
        <v>0</v>
      </c>
    </row>
    <row r="1762" spans="1:29" x14ac:dyDescent="0.25">
      <c r="A1762" t="str">
        <f t="shared" si="28"/>
        <v xml:space="preserve">75219GOBFED 421113       </v>
      </c>
      <c r="B1762" s="96">
        <v>75219</v>
      </c>
      <c r="C1762" s="96" t="s">
        <v>846</v>
      </c>
      <c r="D1762" s="96" t="s">
        <v>386</v>
      </c>
      <c r="E1762" s="96" t="s">
        <v>623</v>
      </c>
      <c r="F1762" s="96" t="s">
        <v>624</v>
      </c>
      <c r="G1762" s="99">
        <v>794</v>
      </c>
      <c r="H1762" s="97">
        <v>82.159907000000004</v>
      </c>
      <c r="I1762" s="98">
        <v>65234.966158000003</v>
      </c>
      <c r="J1762" s="97">
        <v>88.605995219999997</v>
      </c>
      <c r="K1762" s="98">
        <v>-5118.1940466799997</v>
      </c>
      <c r="L1762" s="99">
        <v>0</v>
      </c>
      <c r="M1762" s="98">
        <v>0</v>
      </c>
      <c r="N1762" s="99">
        <v>0</v>
      </c>
      <c r="O1762" s="98">
        <v>0</v>
      </c>
      <c r="P1762" s="99">
        <v>794</v>
      </c>
      <c r="Q1762" s="98">
        <v>65234.966158000003</v>
      </c>
      <c r="R1762" s="96" t="s">
        <v>625</v>
      </c>
      <c r="S1762" s="96">
        <v>7414000005</v>
      </c>
      <c r="AA1762" s="131" t="s">
        <v>366</v>
      </c>
      <c r="AB1762" s="130">
        <v>0</v>
      </c>
      <c r="AC1762" s="130">
        <v>0</v>
      </c>
    </row>
    <row r="1763" spans="1:29" x14ac:dyDescent="0.25">
      <c r="A1763" t="str">
        <f t="shared" si="28"/>
        <v xml:space="preserve">75219GOBFED 471107       </v>
      </c>
      <c r="B1763" s="96">
        <v>75219</v>
      </c>
      <c r="C1763" s="96" t="s">
        <v>846</v>
      </c>
      <c r="D1763" s="96" t="s">
        <v>387</v>
      </c>
      <c r="E1763" s="96" t="s">
        <v>623</v>
      </c>
      <c r="F1763" s="96" t="s">
        <v>624</v>
      </c>
      <c r="G1763" s="99">
        <v>270</v>
      </c>
      <c r="H1763" s="97">
        <v>314.42</v>
      </c>
      <c r="I1763" s="98">
        <v>84893.4</v>
      </c>
      <c r="J1763" s="97">
        <v>265.38955555555555</v>
      </c>
      <c r="K1763" s="98">
        <v>13238.22</v>
      </c>
      <c r="L1763" s="99">
        <v>0</v>
      </c>
      <c r="M1763" s="98">
        <v>0</v>
      </c>
      <c r="N1763" s="99">
        <v>0</v>
      </c>
      <c r="O1763" s="98">
        <v>0</v>
      </c>
      <c r="P1763" s="99">
        <v>270</v>
      </c>
      <c r="Q1763" s="98">
        <v>84893.4</v>
      </c>
      <c r="R1763" s="96" t="s">
        <v>625</v>
      </c>
      <c r="S1763" s="96">
        <v>7414000005</v>
      </c>
      <c r="AA1763" s="131" t="s">
        <v>418</v>
      </c>
      <c r="AB1763" s="130">
        <v>0</v>
      </c>
      <c r="AC1763" s="130">
        <v>0</v>
      </c>
    </row>
    <row r="1764" spans="1:29" x14ac:dyDescent="0.25">
      <c r="A1764" t="str">
        <f t="shared" si="28"/>
        <v xml:space="preserve">75219GOBFED 530731       </v>
      </c>
      <c r="B1764" s="96">
        <v>75219</v>
      </c>
      <c r="C1764" s="96" t="s">
        <v>846</v>
      </c>
      <c r="D1764" s="96" t="s">
        <v>503</v>
      </c>
      <c r="E1764" s="96" t="s">
        <v>623</v>
      </c>
      <c r="F1764" s="96" t="s">
        <v>624</v>
      </c>
      <c r="G1764" s="99">
        <v>760</v>
      </c>
      <c r="H1764" s="97">
        <v>43.85</v>
      </c>
      <c r="I1764" s="98">
        <v>33326</v>
      </c>
      <c r="J1764" s="97">
        <v>39.786986842105264</v>
      </c>
      <c r="K1764" s="98">
        <v>3087.89</v>
      </c>
      <c r="L1764" s="99">
        <v>0</v>
      </c>
      <c r="M1764" s="98">
        <v>0</v>
      </c>
      <c r="N1764" s="99">
        <v>0</v>
      </c>
      <c r="O1764" s="98">
        <v>0</v>
      </c>
      <c r="P1764" s="99">
        <v>760</v>
      </c>
      <c r="Q1764" s="98">
        <v>33326</v>
      </c>
      <c r="R1764" s="96" t="s">
        <v>625</v>
      </c>
      <c r="S1764" s="96">
        <v>7414000005</v>
      </c>
      <c r="AA1764" s="131" t="s">
        <v>384</v>
      </c>
      <c r="AB1764" s="130">
        <v>0</v>
      </c>
      <c r="AC1764" s="130">
        <v>0</v>
      </c>
    </row>
    <row r="1765" spans="1:29" x14ac:dyDescent="0.25">
      <c r="A1765" t="str">
        <f t="shared" si="28"/>
        <v xml:space="preserve">75219GRUMA B             </v>
      </c>
      <c r="B1765" s="96">
        <v>75219</v>
      </c>
      <c r="C1765" s="96" t="s">
        <v>846</v>
      </c>
      <c r="D1765" s="96" t="s">
        <v>419</v>
      </c>
      <c r="E1765" s="96" t="s">
        <v>623</v>
      </c>
      <c r="F1765" s="96" t="s">
        <v>624</v>
      </c>
      <c r="G1765" s="99">
        <v>0</v>
      </c>
      <c r="H1765" s="97">
        <v>0</v>
      </c>
      <c r="I1765" s="98">
        <v>0</v>
      </c>
      <c r="J1765" s="97">
        <v>0</v>
      </c>
      <c r="K1765" s="98">
        <v>0</v>
      </c>
      <c r="L1765" s="99">
        <v>0</v>
      </c>
      <c r="M1765" s="98">
        <v>0</v>
      </c>
      <c r="N1765" s="99">
        <v>0</v>
      </c>
      <c r="O1765" s="98">
        <v>0</v>
      </c>
      <c r="P1765" s="99">
        <v>0</v>
      </c>
      <c r="Q1765" s="98">
        <v>0</v>
      </c>
      <c r="R1765" s="96" t="s">
        <v>625</v>
      </c>
      <c r="S1765" s="96">
        <v>7414000005</v>
      </c>
      <c r="AA1765" s="131" t="s">
        <v>392</v>
      </c>
      <c r="AB1765" s="130">
        <v>0</v>
      </c>
      <c r="AC1765" s="130">
        <v>0</v>
      </c>
    </row>
    <row r="1766" spans="1:29" x14ac:dyDescent="0.25">
      <c r="A1766" t="str">
        <f t="shared" si="28"/>
        <v xml:space="preserve">75219HERDEZ *            </v>
      </c>
      <c r="B1766" s="96">
        <v>75219</v>
      </c>
      <c r="C1766" s="96" t="s">
        <v>846</v>
      </c>
      <c r="D1766" s="96" t="s">
        <v>540</v>
      </c>
      <c r="E1766" s="96" t="s">
        <v>623</v>
      </c>
      <c r="F1766" s="96" t="s">
        <v>624</v>
      </c>
      <c r="G1766" s="99">
        <v>810</v>
      </c>
      <c r="H1766" s="97">
        <v>36.28</v>
      </c>
      <c r="I1766" s="98">
        <v>29386.799999999999</v>
      </c>
      <c r="J1766" s="97">
        <v>38.549444444444447</v>
      </c>
      <c r="K1766" s="98">
        <v>-1838.25</v>
      </c>
      <c r="L1766" s="99">
        <v>0</v>
      </c>
      <c r="M1766" s="98">
        <v>0</v>
      </c>
      <c r="N1766" s="99">
        <v>0</v>
      </c>
      <c r="O1766" s="98">
        <v>0</v>
      </c>
      <c r="P1766" s="99">
        <v>810</v>
      </c>
      <c r="Q1766" s="98">
        <v>29386.799999999999</v>
      </c>
      <c r="R1766" s="96" t="s">
        <v>625</v>
      </c>
      <c r="S1766" s="96">
        <v>7414000005</v>
      </c>
      <c r="AA1766" s="129">
        <v>65502128155</v>
      </c>
      <c r="AB1766" s="130">
        <v>142354598.82729799</v>
      </c>
      <c r="AC1766" s="130">
        <v>142354598.82729799</v>
      </c>
    </row>
    <row r="1767" spans="1:29" x14ac:dyDescent="0.25">
      <c r="A1767" t="str">
        <f t="shared" si="28"/>
        <v xml:space="preserve">75219IENOVA *            </v>
      </c>
      <c r="B1767" s="96">
        <v>75219</v>
      </c>
      <c r="C1767" s="96" t="s">
        <v>846</v>
      </c>
      <c r="D1767" s="96" t="s">
        <v>553</v>
      </c>
      <c r="E1767" s="96" t="s">
        <v>623</v>
      </c>
      <c r="F1767" s="96" t="s">
        <v>624</v>
      </c>
      <c r="G1767" s="99">
        <v>280</v>
      </c>
      <c r="H1767" s="97">
        <v>136.35</v>
      </c>
      <c r="I1767" s="98">
        <v>38178</v>
      </c>
      <c r="J1767" s="97">
        <v>125.99514285714285</v>
      </c>
      <c r="K1767" s="98">
        <v>2899.36</v>
      </c>
      <c r="L1767" s="99">
        <v>0</v>
      </c>
      <c r="M1767" s="98">
        <v>0</v>
      </c>
      <c r="N1767" s="99">
        <v>0</v>
      </c>
      <c r="O1767" s="98">
        <v>0</v>
      </c>
      <c r="P1767" s="99">
        <v>280</v>
      </c>
      <c r="Q1767" s="98">
        <v>38178</v>
      </c>
      <c r="R1767" s="96" t="s">
        <v>625</v>
      </c>
      <c r="S1767" s="96">
        <v>7414000005</v>
      </c>
      <c r="AA1767" s="131" t="s">
        <v>479</v>
      </c>
      <c r="AB1767" s="130">
        <v>142354598.82729799</v>
      </c>
      <c r="AC1767" s="130">
        <v>142354598.82729799</v>
      </c>
    </row>
    <row r="1768" spans="1:29" x14ac:dyDescent="0.25">
      <c r="A1768" t="str">
        <f t="shared" si="28"/>
        <v xml:space="preserve">75219LACOMER UBC         </v>
      </c>
      <c r="B1768" s="96">
        <v>75219</v>
      </c>
      <c r="C1768" s="96" t="s">
        <v>846</v>
      </c>
      <c r="D1768" s="96" t="s">
        <v>544</v>
      </c>
      <c r="E1768" s="96" t="s">
        <v>623</v>
      </c>
      <c r="F1768" s="96" t="s">
        <v>624</v>
      </c>
      <c r="G1768" s="99">
        <v>5100</v>
      </c>
      <c r="H1768" s="97">
        <v>2.95</v>
      </c>
      <c r="I1768" s="98">
        <v>15045</v>
      </c>
      <c r="J1768" s="97">
        <v>4.4892352941176474</v>
      </c>
      <c r="K1768" s="98">
        <v>-7850.1</v>
      </c>
      <c r="L1768" s="99">
        <v>0</v>
      </c>
      <c r="M1768" s="98">
        <v>0</v>
      </c>
      <c r="N1768" s="99">
        <v>0</v>
      </c>
      <c r="O1768" s="98">
        <v>0</v>
      </c>
      <c r="P1768" s="99">
        <v>5100</v>
      </c>
      <c r="Q1768" s="98">
        <v>15045</v>
      </c>
      <c r="R1768" s="96" t="s">
        <v>625</v>
      </c>
      <c r="S1768" s="96">
        <v>7414000005</v>
      </c>
      <c r="AA1768" s="129">
        <v>1033543</v>
      </c>
      <c r="AB1768" s="130">
        <v>1160397.0025419998</v>
      </c>
      <c r="AC1768" s="130">
        <v>1160397.0025419998</v>
      </c>
    </row>
    <row r="1769" spans="1:29" x14ac:dyDescent="0.25">
      <c r="A1769" t="str">
        <f t="shared" si="28"/>
        <v xml:space="preserve">75219LIVEPOL C-1         </v>
      </c>
      <c r="B1769" s="96">
        <v>75219</v>
      </c>
      <c r="C1769" s="96" t="s">
        <v>846</v>
      </c>
      <c r="D1769" s="96" t="s">
        <v>429</v>
      </c>
      <c r="E1769" s="96" t="s">
        <v>623</v>
      </c>
      <c r="F1769" s="96" t="s">
        <v>624</v>
      </c>
      <c r="G1769" s="99">
        <v>4205</v>
      </c>
      <c r="H1769" s="97">
        <v>98.007834000000003</v>
      </c>
      <c r="I1769" s="98">
        <v>412122.94196999999</v>
      </c>
      <c r="J1769" s="97">
        <v>91.982023083876342</v>
      </c>
      <c r="K1769" s="98">
        <v>25338.534902300002</v>
      </c>
      <c r="L1769" s="99">
        <v>0</v>
      </c>
      <c r="M1769" s="98">
        <v>0</v>
      </c>
      <c r="N1769" s="99">
        <v>0</v>
      </c>
      <c r="O1769" s="98">
        <v>0</v>
      </c>
      <c r="P1769" s="99">
        <v>4205</v>
      </c>
      <c r="Q1769" s="98">
        <v>412122.94196999999</v>
      </c>
      <c r="R1769" s="96" t="s">
        <v>625</v>
      </c>
      <c r="S1769" s="96">
        <v>7414000005</v>
      </c>
      <c r="AA1769" s="131" t="s">
        <v>480</v>
      </c>
      <c r="AB1769" s="130">
        <v>3537.1083990000002</v>
      </c>
      <c r="AC1769" s="130">
        <v>3537.1083990000002</v>
      </c>
    </row>
    <row r="1770" spans="1:29" x14ac:dyDescent="0.25">
      <c r="A1770" t="str">
        <f t="shared" si="28"/>
        <v xml:space="preserve">75219NEMAK A             </v>
      </c>
      <c r="B1770" s="96">
        <v>75219</v>
      </c>
      <c r="C1770" s="96" t="s">
        <v>846</v>
      </c>
      <c r="D1770" s="96" t="s">
        <v>541</v>
      </c>
      <c r="E1770" s="96" t="s">
        <v>623</v>
      </c>
      <c r="F1770" s="96" t="s">
        <v>624</v>
      </c>
      <c r="G1770" s="99">
        <v>450</v>
      </c>
      <c r="H1770" s="97">
        <v>156</v>
      </c>
      <c r="I1770" s="98">
        <v>70200</v>
      </c>
      <c r="J1770" s="97">
        <v>144.7482</v>
      </c>
      <c r="K1770" s="98">
        <v>5063.3100000000004</v>
      </c>
      <c r="L1770" s="99">
        <v>0</v>
      </c>
      <c r="M1770" s="98">
        <v>0</v>
      </c>
      <c r="N1770" s="99">
        <v>0</v>
      </c>
      <c r="O1770" s="98">
        <v>0</v>
      </c>
      <c r="P1770" s="99">
        <v>450</v>
      </c>
      <c r="Q1770" s="98">
        <v>70200</v>
      </c>
      <c r="R1770" s="96" t="s">
        <v>625</v>
      </c>
      <c r="S1770" s="96">
        <v>7414000005</v>
      </c>
      <c r="AA1770" s="131" t="s">
        <v>413</v>
      </c>
      <c r="AB1770" s="130">
        <v>147325.43255</v>
      </c>
      <c r="AC1770" s="130">
        <v>147325.43255</v>
      </c>
    </row>
    <row r="1771" spans="1:29" x14ac:dyDescent="0.25">
      <c r="A1771" t="str">
        <f t="shared" si="28"/>
        <v xml:space="preserve">75219PEMEX 13-2          </v>
      </c>
      <c r="B1771" s="96">
        <v>75219</v>
      </c>
      <c r="C1771" s="96" t="s">
        <v>846</v>
      </c>
      <c r="D1771" s="96" t="s">
        <v>459</v>
      </c>
      <c r="E1771" s="96" t="s">
        <v>623</v>
      </c>
      <c r="F1771" s="96" t="s">
        <v>624</v>
      </c>
      <c r="G1771" s="99">
        <v>780000</v>
      </c>
      <c r="H1771" s="97">
        <v>4.5848760000000004</v>
      </c>
      <c r="I1771" s="98">
        <v>3576203.28</v>
      </c>
      <c r="J1771" s="97">
        <v>4.0790305</v>
      </c>
      <c r="K1771" s="98">
        <v>394559.49</v>
      </c>
      <c r="L1771" s="99">
        <v>0</v>
      </c>
      <c r="M1771" s="98">
        <v>0</v>
      </c>
      <c r="N1771" s="99">
        <v>0</v>
      </c>
      <c r="O1771" s="98">
        <v>0</v>
      </c>
      <c r="P1771" s="99">
        <v>780000</v>
      </c>
      <c r="Q1771" s="98">
        <v>3576203.28</v>
      </c>
      <c r="R1771" s="96" t="s">
        <v>625</v>
      </c>
      <c r="S1771" s="96">
        <v>7414000005</v>
      </c>
      <c r="AA1771" s="131" t="s">
        <v>414</v>
      </c>
      <c r="AB1771" s="130">
        <v>996789.00907200004</v>
      </c>
      <c r="AC1771" s="130">
        <v>996789.00907200004</v>
      </c>
    </row>
    <row r="1772" spans="1:29" x14ac:dyDescent="0.25">
      <c r="A1772" t="str">
        <f t="shared" si="28"/>
        <v xml:space="preserve">75219R A                 </v>
      </c>
      <c r="B1772" s="96">
        <v>75219</v>
      </c>
      <c r="C1772" s="96" t="s">
        <v>846</v>
      </c>
      <c r="D1772" s="96" t="s">
        <v>389</v>
      </c>
      <c r="E1772" s="96" t="s">
        <v>623</v>
      </c>
      <c r="F1772" s="96" t="s">
        <v>624</v>
      </c>
      <c r="G1772" s="99">
        <v>3174398</v>
      </c>
      <c r="H1772" s="97">
        <v>3.3967719999999999</v>
      </c>
      <c r="I1772" s="98">
        <v>10782706.243256001</v>
      </c>
      <c r="J1772" s="97">
        <v>3.2194642637753677</v>
      </c>
      <c r="K1772" s="98">
        <v>562845.32325599995</v>
      </c>
      <c r="L1772" s="99">
        <v>0</v>
      </c>
      <c r="M1772" s="98">
        <v>0</v>
      </c>
      <c r="N1772" s="99">
        <v>0</v>
      </c>
      <c r="O1772" s="98">
        <v>0</v>
      </c>
      <c r="P1772" s="99">
        <v>3174398</v>
      </c>
      <c r="Q1772" s="98">
        <v>10782706.243256001</v>
      </c>
      <c r="R1772" s="96" t="s">
        <v>625</v>
      </c>
      <c r="S1772" s="96">
        <v>7414000005</v>
      </c>
      <c r="AA1772" s="131" t="s">
        <v>415</v>
      </c>
      <c r="AB1772" s="130">
        <v>12573.742096</v>
      </c>
      <c r="AC1772" s="130">
        <v>12573.742096</v>
      </c>
    </row>
    <row r="1773" spans="1:29" x14ac:dyDescent="0.25">
      <c r="A1773" t="str">
        <f t="shared" si="28"/>
        <v xml:space="preserve">75219STER-OP ED          </v>
      </c>
      <c r="B1773" s="96">
        <v>75219</v>
      </c>
      <c r="C1773" s="96" t="s">
        <v>846</v>
      </c>
      <c r="D1773" s="96" t="s">
        <v>500</v>
      </c>
      <c r="E1773" s="96" t="s">
        <v>623</v>
      </c>
      <c r="F1773" s="96" t="s">
        <v>624</v>
      </c>
      <c r="G1773" s="99">
        <v>1180</v>
      </c>
      <c r="H1773" s="97">
        <v>31.41</v>
      </c>
      <c r="I1773" s="98">
        <v>37063.800000000003</v>
      </c>
      <c r="J1773" s="97">
        <v>32.790262711864408</v>
      </c>
      <c r="K1773" s="98">
        <v>-1628.71</v>
      </c>
      <c r="L1773" s="99">
        <v>0</v>
      </c>
      <c r="M1773" s="98">
        <v>0</v>
      </c>
      <c r="N1773" s="99">
        <v>0</v>
      </c>
      <c r="O1773" s="98">
        <v>0</v>
      </c>
      <c r="P1773" s="99">
        <v>1180</v>
      </c>
      <c r="Q1773" s="98">
        <v>37063.800000000003</v>
      </c>
      <c r="R1773" s="96" t="s">
        <v>625</v>
      </c>
      <c r="S1773" s="96">
        <v>7414000005</v>
      </c>
      <c r="AA1773" s="131" t="s">
        <v>416</v>
      </c>
      <c r="AB1773" s="130">
        <v>171.71042499999999</v>
      </c>
      <c r="AC1773" s="130">
        <v>171.71042499999999</v>
      </c>
    </row>
    <row r="1774" spans="1:29" x14ac:dyDescent="0.25">
      <c r="A1774" t="str">
        <f t="shared" si="28"/>
        <v xml:space="preserve">75219STERGOB ED          </v>
      </c>
      <c r="B1774" s="96">
        <v>75219</v>
      </c>
      <c r="C1774" s="96" t="s">
        <v>846</v>
      </c>
      <c r="D1774" s="96" t="s">
        <v>391</v>
      </c>
      <c r="E1774" s="96" t="s">
        <v>623</v>
      </c>
      <c r="F1774" s="96" t="s">
        <v>624</v>
      </c>
      <c r="G1774" s="99">
        <v>97</v>
      </c>
      <c r="H1774" s="97">
        <v>775.69178699999998</v>
      </c>
      <c r="I1774" s="98">
        <v>75242.103338999994</v>
      </c>
      <c r="J1774" s="97">
        <v>728.26654728000005</v>
      </c>
      <c r="K1774" s="98">
        <v>4600.2482528399996</v>
      </c>
      <c r="L1774" s="99">
        <v>0</v>
      </c>
      <c r="M1774" s="98">
        <v>0</v>
      </c>
      <c r="N1774" s="99">
        <v>0</v>
      </c>
      <c r="O1774" s="98">
        <v>0</v>
      </c>
      <c r="P1774" s="99">
        <v>97</v>
      </c>
      <c r="Q1774" s="98">
        <v>75242.103338999994</v>
      </c>
      <c r="R1774" s="96" t="s">
        <v>625</v>
      </c>
      <c r="S1774" s="96">
        <v>7414000005</v>
      </c>
      <c r="AA1774" s="129">
        <v>1033544</v>
      </c>
      <c r="AB1774" s="130">
        <v>48967.917637999999</v>
      </c>
      <c r="AC1774" s="130">
        <v>48967.917637999999</v>
      </c>
    </row>
    <row r="1775" spans="1:29" x14ac:dyDescent="0.25">
      <c r="A1775" t="str">
        <f t="shared" si="28"/>
        <v xml:space="preserve">75219TRAXION A           </v>
      </c>
      <c r="B1775" s="96">
        <v>75219</v>
      </c>
      <c r="C1775" s="96" t="s">
        <v>846</v>
      </c>
      <c r="D1775" s="96" t="s">
        <v>392</v>
      </c>
      <c r="E1775" s="96" t="s">
        <v>623</v>
      </c>
      <c r="F1775" s="96" t="s">
        <v>624</v>
      </c>
      <c r="G1775" s="99">
        <v>650</v>
      </c>
      <c r="H1775" s="97">
        <v>747.17843200000004</v>
      </c>
      <c r="I1775" s="98">
        <v>485665.98080000002</v>
      </c>
      <c r="J1775" s="97">
        <v>709.71028535646155</v>
      </c>
      <c r="K1775" s="98">
        <v>24354.295318299999</v>
      </c>
      <c r="L1775" s="99">
        <v>0</v>
      </c>
      <c r="M1775" s="98">
        <v>0</v>
      </c>
      <c r="N1775" s="99">
        <v>0</v>
      </c>
      <c r="O1775" s="98">
        <v>0</v>
      </c>
      <c r="P1775" s="99">
        <v>650</v>
      </c>
      <c r="Q1775" s="98">
        <v>485665.98080000002</v>
      </c>
      <c r="R1775" s="96" t="s">
        <v>625</v>
      </c>
      <c r="S1775" s="96">
        <v>7414000005</v>
      </c>
      <c r="AA1775" s="131" t="s">
        <v>480</v>
      </c>
      <c r="AB1775" s="130">
        <v>4299.4473900000003</v>
      </c>
      <c r="AC1775" s="130">
        <v>4299.4473900000003</v>
      </c>
    </row>
    <row r="1776" spans="1:29" x14ac:dyDescent="0.25">
      <c r="A1776" t="str">
        <f t="shared" si="28"/>
        <v xml:space="preserve">75219UDIBONO 251204      </v>
      </c>
      <c r="B1776" s="96">
        <v>75219</v>
      </c>
      <c r="C1776" s="96" t="s">
        <v>846</v>
      </c>
      <c r="D1776" s="96" t="s">
        <v>393</v>
      </c>
      <c r="E1776" s="96" t="s">
        <v>623</v>
      </c>
      <c r="F1776" s="96" t="s">
        <v>624</v>
      </c>
      <c r="G1776" s="99">
        <v>328</v>
      </c>
      <c r="H1776" s="97">
        <v>765.92388300000005</v>
      </c>
      <c r="I1776" s="98">
        <v>251223.033624</v>
      </c>
      <c r="J1776" s="97">
        <v>769.82142402981708</v>
      </c>
      <c r="K1776" s="98">
        <v>-1278.3934577800001</v>
      </c>
      <c r="L1776" s="99">
        <v>0</v>
      </c>
      <c r="M1776" s="98">
        <v>0</v>
      </c>
      <c r="N1776" s="99">
        <v>0</v>
      </c>
      <c r="O1776" s="98">
        <v>0</v>
      </c>
      <c r="P1776" s="99">
        <v>328</v>
      </c>
      <c r="Q1776" s="98">
        <v>251223.033624</v>
      </c>
      <c r="R1776" s="96" t="s">
        <v>625</v>
      </c>
      <c r="S1776" s="96">
        <v>7414000005</v>
      </c>
      <c r="AA1776" s="131" t="s">
        <v>413</v>
      </c>
      <c r="AB1776" s="130">
        <v>24257.303778000001</v>
      </c>
      <c r="AC1776" s="130">
        <v>24257.303778000001</v>
      </c>
    </row>
    <row r="1777" spans="1:29" x14ac:dyDescent="0.25">
      <c r="A1777" t="str">
        <f t="shared" si="28"/>
        <v xml:space="preserve">75219UDIBONO 261203      </v>
      </c>
      <c r="B1777" s="96">
        <v>75219</v>
      </c>
      <c r="C1777" s="96" t="s">
        <v>846</v>
      </c>
      <c r="D1777" s="96" t="s">
        <v>394</v>
      </c>
      <c r="E1777" s="96" t="s">
        <v>623</v>
      </c>
      <c r="F1777" s="96" t="s">
        <v>624</v>
      </c>
      <c r="G1777" s="99">
        <v>208</v>
      </c>
      <c r="H1777" s="97">
        <v>684.88915799999995</v>
      </c>
      <c r="I1777" s="98">
        <v>142456.94486399999</v>
      </c>
      <c r="J1777" s="97">
        <v>674.82119490000002</v>
      </c>
      <c r="K1777" s="98">
        <v>2094.1363247999998</v>
      </c>
      <c r="L1777" s="99">
        <v>0</v>
      </c>
      <c r="M1777" s="98">
        <v>0</v>
      </c>
      <c r="N1777" s="99">
        <v>0</v>
      </c>
      <c r="O1777" s="98">
        <v>0</v>
      </c>
      <c r="P1777" s="99">
        <v>208</v>
      </c>
      <c r="Q1777" s="98">
        <v>142456.94486399999</v>
      </c>
      <c r="R1777" s="96" t="s">
        <v>625</v>
      </c>
      <c r="S1777" s="96">
        <v>7414000005</v>
      </c>
      <c r="AA1777" s="131" t="s">
        <v>414</v>
      </c>
      <c r="AB1777" s="130">
        <v>19964.36304</v>
      </c>
      <c r="AC1777" s="130">
        <v>19964.36304</v>
      </c>
    </row>
    <row r="1778" spans="1:29" x14ac:dyDescent="0.25">
      <c r="A1778" t="str">
        <f t="shared" si="28"/>
        <v xml:space="preserve">75219UDIBONO 281130      </v>
      </c>
      <c r="B1778" s="96">
        <v>75219</v>
      </c>
      <c r="C1778" s="96" t="s">
        <v>846</v>
      </c>
      <c r="D1778" s="96" t="s">
        <v>395</v>
      </c>
      <c r="E1778" s="96" t="s">
        <v>623</v>
      </c>
      <c r="F1778" s="96" t="s">
        <v>624</v>
      </c>
      <c r="G1778" s="99">
        <v>206</v>
      </c>
      <c r="H1778" s="97">
        <v>772.926965</v>
      </c>
      <c r="I1778" s="98">
        <v>159222.95478999999</v>
      </c>
      <c r="J1778" s="97">
        <v>798.93664675000002</v>
      </c>
      <c r="K1778" s="98">
        <v>-5357.9944404999997</v>
      </c>
      <c r="L1778" s="99">
        <v>0</v>
      </c>
      <c r="M1778" s="98">
        <v>0</v>
      </c>
      <c r="N1778" s="99">
        <v>0</v>
      </c>
      <c r="O1778" s="98">
        <v>0</v>
      </c>
      <c r="P1778" s="99">
        <v>206</v>
      </c>
      <c r="Q1778" s="98">
        <v>159222.95478999999</v>
      </c>
      <c r="R1778" s="96" t="s">
        <v>625</v>
      </c>
      <c r="S1778" s="96">
        <v>7414000005</v>
      </c>
      <c r="AA1778" s="131" t="s">
        <v>415</v>
      </c>
      <c r="AB1778" s="130">
        <v>362.35568000000001</v>
      </c>
      <c r="AC1778" s="130">
        <v>362.35568000000001</v>
      </c>
    </row>
    <row r="1779" spans="1:29" x14ac:dyDescent="0.25">
      <c r="A1779" t="str">
        <f t="shared" si="28"/>
        <v xml:space="preserve">75219UDIBONO 311127      </v>
      </c>
      <c r="B1779" s="96">
        <v>75219</v>
      </c>
      <c r="C1779" s="96" t="s">
        <v>846</v>
      </c>
      <c r="D1779" s="96" t="s">
        <v>396</v>
      </c>
      <c r="E1779" s="96" t="s">
        <v>623</v>
      </c>
      <c r="F1779" s="96" t="s">
        <v>624</v>
      </c>
      <c r="G1779" s="99">
        <v>92</v>
      </c>
      <c r="H1779" s="97">
        <v>721.59464000000003</v>
      </c>
      <c r="I1779" s="98">
        <v>66386.706879999998</v>
      </c>
      <c r="J1779" s="97">
        <v>604.35270151641305</v>
      </c>
      <c r="K1779" s="98">
        <v>10786.25834049</v>
      </c>
      <c r="L1779" s="99">
        <v>0</v>
      </c>
      <c r="M1779" s="98">
        <v>0</v>
      </c>
      <c r="N1779" s="99">
        <v>0</v>
      </c>
      <c r="O1779" s="98">
        <v>0</v>
      </c>
      <c r="P1779" s="99">
        <v>92</v>
      </c>
      <c r="Q1779" s="98">
        <v>66386.706879999998</v>
      </c>
      <c r="R1779" s="96" t="s">
        <v>625</v>
      </c>
      <c r="S1779" s="96">
        <v>7414000005</v>
      </c>
      <c r="AA1779" s="131" t="s">
        <v>416</v>
      </c>
      <c r="AB1779" s="130">
        <v>84.447749999999999</v>
      </c>
      <c r="AC1779" s="130">
        <v>84.447749999999999</v>
      </c>
    </row>
    <row r="1780" spans="1:29" x14ac:dyDescent="0.25">
      <c r="A1780" t="str">
        <f t="shared" si="28"/>
        <v xml:space="preserve">75219UDIBONO 351122      </v>
      </c>
      <c r="B1780" s="96">
        <v>75219</v>
      </c>
      <c r="C1780" s="96" t="s">
        <v>846</v>
      </c>
      <c r="D1780" s="96" t="s">
        <v>398</v>
      </c>
      <c r="E1780" s="96" t="s">
        <v>623</v>
      </c>
      <c r="F1780" s="96" t="s">
        <v>624</v>
      </c>
      <c r="G1780" s="99">
        <v>203</v>
      </c>
      <c r="H1780" s="97">
        <v>709.36974099999998</v>
      </c>
      <c r="I1780" s="98">
        <v>144002.05742299999</v>
      </c>
      <c r="J1780" s="97">
        <v>697.59365855901478</v>
      </c>
      <c r="K1780" s="98">
        <v>2390.5447355199999</v>
      </c>
      <c r="L1780" s="99">
        <v>0</v>
      </c>
      <c r="M1780" s="98">
        <v>0</v>
      </c>
      <c r="N1780" s="99">
        <v>0</v>
      </c>
      <c r="O1780" s="98">
        <v>0</v>
      </c>
      <c r="P1780" s="99">
        <v>203</v>
      </c>
      <c r="Q1780" s="98">
        <v>144002.05742299999</v>
      </c>
      <c r="R1780" s="96" t="s">
        <v>625</v>
      </c>
      <c r="S1780" s="96">
        <v>7414000005</v>
      </c>
      <c r="AA1780" s="129">
        <v>65507504761</v>
      </c>
      <c r="AB1780" s="130">
        <v>21481585.130616002</v>
      </c>
      <c r="AC1780" s="130">
        <v>21481585.130616002</v>
      </c>
    </row>
    <row r="1781" spans="1:29" x14ac:dyDescent="0.25">
      <c r="A1781" t="str">
        <f t="shared" si="28"/>
        <v xml:space="preserve">75219UDIBONO 401115      </v>
      </c>
      <c r="B1781" s="96">
        <v>75219</v>
      </c>
      <c r="C1781" s="96" t="s">
        <v>846</v>
      </c>
      <c r="D1781" s="96" t="s">
        <v>400</v>
      </c>
      <c r="E1781" s="96" t="s">
        <v>623</v>
      </c>
      <c r="F1781" s="96" t="s">
        <v>624</v>
      </c>
      <c r="G1781" s="99">
        <v>1930</v>
      </c>
      <c r="H1781" s="97">
        <v>58.67</v>
      </c>
      <c r="I1781" s="98">
        <v>113233.1</v>
      </c>
      <c r="J1781" s="97">
        <v>51.220227979274611</v>
      </c>
      <c r="K1781" s="98">
        <v>14378.06</v>
      </c>
      <c r="L1781" s="99">
        <v>0</v>
      </c>
      <c r="M1781" s="98">
        <v>0</v>
      </c>
      <c r="N1781" s="99">
        <v>0</v>
      </c>
      <c r="O1781" s="98">
        <v>0</v>
      </c>
      <c r="P1781" s="99">
        <v>1930</v>
      </c>
      <c r="Q1781" s="98">
        <v>113233.1</v>
      </c>
      <c r="R1781" s="96" t="s">
        <v>625</v>
      </c>
      <c r="S1781" s="96">
        <v>7414000005</v>
      </c>
      <c r="AA1781" s="131" t="s">
        <v>389</v>
      </c>
      <c r="AB1781" s="130">
        <v>4866137.4414440002</v>
      </c>
      <c r="AC1781" s="130">
        <v>4866137.4414440002</v>
      </c>
    </row>
    <row r="1782" spans="1:29" x14ac:dyDescent="0.25">
      <c r="A1782" t="str">
        <f t="shared" si="28"/>
        <v xml:space="preserve">75219UDIBONO 461108      </v>
      </c>
      <c r="B1782" s="96">
        <v>75219</v>
      </c>
      <c r="C1782" s="96" t="s">
        <v>846</v>
      </c>
      <c r="D1782" s="96" t="s">
        <v>403</v>
      </c>
      <c r="E1782" s="96" t="s">
        <v>623</v>
      </c>
      <c r="F1782" s="96" t="s">
        <v>624</v>
      </c>
      <c r="G1782" s="99">
        <v>3000</v>
      </c>
      <c r="H1782" s="97">
        <v>65.260000000000005</v>
      </c>
      <c r="I1782" s="98">
        <v>195780</v>
      </c>
      <c r="J1782" s="97">
        <v>68.574976666666672</v>
      </c>
      <c r="K1782" s="98">
        <v>-9944.93</v>
      </c>
      <c r="L1782" s="99">
        <v>0</v>
      </c>
      <c r="M1782" s="98">
        <v>0</v>
      </c>
      <c r="N1782" s="99">
        <v>0</v>
      </c>
      <c r="O1782" s="98">
        <v>0</v>
      </c>
      <c r="P1782" s="99">
        <v>3000</v>
      </c>
      <c r="Q1782" s="98">
        <v>195780</v>
      </c>
      <c r="R1782" s="96" t="s">
        <v>625</v>
      </c>
      <c r="S1782" s="96">
        <v>7414000005</v>
      </c>
      <c r="AA1782" s="131" t="s">
        <v>459</v>
      </c>
      <c r="AB1782" s="130">
        <v>2443532.5885800002</v>
      </c>
      <c r="AC1782" s="130">
        <v>2443532.5885800002</v>
      </c>
    </row>
    <row r="1783" spans="1:29" x14ac:dyDescent="0.25">
      <c r="A1783" t="str">
        <f t="shared" si="28"/>
        <v xml:space="preserve">75219VESTA *             </v>
      </c>
      <c r="B1783" s="96">
        <v>75220</v>
      </c>
      <c r="C1783" s="96" t="s">
        <v>847</v>
      </c>
      <c r="D1783" s="96" t="s">
        <v>357</v>
      </c>
      <c r="E1783" s="96" t="s">
        <v>623</v>
      </c>
      <c r="F1783" s="96" t="s">
        <v>624</v>
      </c>
      <c r="G1783" s="99">
        <v>11</v>
      </c>
      <c r="H1783" s="97">
        <v>168.64</v>
      </c>
      <c r="I1783" s="98">
        <v>1855.04</v>
      </c>
      <c r="J1783" s="97">
        <v>151.87181818181818</v>
      </c>
      <c r="K1783" s="98">
        <v>184.45</v>
      </c>
      <c r="L1783" s="99">
        <v>0</v>
      </c>
      <c r="M1783" s="98">
        <v>0</v>
      </c>
      <c r="N1783" s="99">
        <v>0</v>
      </c>
      <c r="O1783" s="98">
        <v>0</v>
      </c>
      <c r="P1783" s="99">
        <v>11</v>
      </c>
      <c r="Q1783" s="98">
        <v>1855.04</v>
      </c>
      <c r="R1783" s="96" t="s">
        <v>625</v>
      </c>
      <c r="S1783" s="96">
        <v>7414000005</v>
      </c>
      <c r="AA1783" s="131" t="s">
        <v>407</v>
      </c>
      <c r="AB1783" s="130">
        <v>13789188.080592001</v>
      </c>
      <c r="AC1783" s="130">
        <v>13789188.080592001</v>
      </c>
    </row>
    <row r="1784" spans="1:29" x14ac:dyDescent="0.25">
      <c r="A1784" t="str">
        <f t="shared" si="28"/>
        <v xml:space="preserve">75219WALMEX *            </v>
      </c>
      <c r="B1784" s="96">
        <v>75220</v>
      </c>
      <c r="C1784" s="96" t="s">
        <v>847</v>
      </c>
      <c r="D1784" s="96" t="s">
        <v>506</v>
      </c>
      <c r="E1784" s="96" t="s">
        <v>623</v>
      </c>
      <c r="F1784" s="96" t="s">
        <v>624</v>
      </c>
      <c r="G1784" s="99">
        <v>258</v>
      </c>
      <c r="H1784" s="97">
        <v>12.48</v>
      </c>
      <c r="I1784" s="98">
        <v>3219.84</v>
      </c>
      <c r="J1784" s="97">
        <v>11.509883720930233</v>
      </c>
      <c r="K1784" s="98">
        <v>250.29</v>
      </c>
      <c r="L1784" s="99">
        <v>0</v>
      </c>
      <c r="M1784" s="98">
        <v>0</v>
      </c>
      <c r="N1784" s="99">
        <v>0</v>
      </c>
      <c r="O1784" s="98">
        <v>0</v>
      </c>
      <c r="P1784" s="99">
        <v>258</v>
      </c>
      <c r="Q1784" s="98">
        <v>3219.84</v>
      </c>
      <c r="R1784" s="96" t="s">
        <v>625</v>
      </c>
      <c r="S1784" s="96">
        <v>7414000005</v>
      </c>
      <c r="AA1784" s="131" t="s">
        <v>493</v>
      </c>
      <c r="AB1784" s="130">
        <v>382727.02</v>
      </c>
      <c r="AC1784" s="130">
        <v>382727.02</v>
      </c>
    </row>
    <row r="1785" spans="1:29" x14ac:dyDescent="0.25">
      <c r="A1785" t="str">
        <f t="shared" si="28"/>
        <v xml:space="preserve">75220AC *                </v>
      </c>
      <c r="B1785" s="96">
        <v>75220</v>
      </c>
      <c r="C1785" s="96" t="s">
        <v>847</v>
      </c>
      <c r="D1785" s="96" t="s">
        <v>359</v>
      </c>
      <c r="E1785" s="96" t="s">
        <v>623</v>
      </c>
      <c r="F1785" s="96" t="s">
        <v>624</v>
      </c>
      <c r="G1785" s="99">
        <v>71</v>
      </c>
      <c r="H1785" s="97">
        <v>73.37</v>
      </c>
      <c r="I1785" s="98">
        <v>5209.2700000000004</v>
      </c>
      <c r="J1785" s="97">
        <v>62.266197183098591</v>
      </c>
      <c r="K1785" s="98">
        <v>788.37</v>
      </c>
      <c r="L1785" s="99">
        <v>0</v>
      </c>
      <c r="M1785" s="98">
        <v>0</v>
      </c>
      <c r="N1785" s="99">
        <v>0</v>
      </c>
      <c r="O1785" s="98">
        <v>0</v>
      </c>
      <c r="P1785" s="99">
        <v>71</v>
      </c>
      <c r="Q1785" s="98">
        <v>5209.2700000000004</v>
      </c>
      <c r="R1785" s="96" t="s">
        <v>625</v>
      </c>
      <c r="S1785" s="96">
        <v>7414000005</v>
      </c>
      <c r="AA1785" s="129">
        <v>1033545</v>
      </c>
      <c r="AB1785" s="130">
        <v>6653932.8813429996</v>
      </c>
      <c r="AC1785" s="130">
        <v>6653932.8813429996</v>
      </c>
    </row>
    <row r="1786" spans="1:29" x14ac:dyDescent="0.25">
      <c r="A1786" t="str">
        <f t="shared" si="28"/>
        <v xml:space="preserve">75220ALFA A              </v>
      </c>
      <c r="B1786" s="96">
        <v>75220</v>
      </c>
      <c r="C1786" s="96" t="s">
        <v>847</v>
      </c>
      <c r="D1786" s="96" t="s">
        <v>360</v>
      </c>
      <c r="E1786" s="96" t="s">
        <v>623</v>
      </c>
      <c r="F1786" s="96" t="s">
        <v>624</v>
      </c>
      <c r="G1786" s="99">
        <v>978</v>
      </c>
      <c r="H1786" s="97">
        <v>15.12</v>
      </c>
      <c r="I1786" s="98">
        <v>14787.36</v>
      </c>
      <c r="J1786" s="97">
        <v>16.722719836400817</v>
      </c>
      <c r="K1786" s="98">
        <v>-1567.46</v>
      </c>
      <c r="L1786" s="99">
        <v>0</v>
      </c>
      <c r="M1786" s="98">
        <v>0</v>
      </c>
      <c r="N1786" s="99">
        <v>0</v>
      </c>
      <c r="O1786" s="98">
        <v>0</v>
      </c>
      <c r="P1786" s="99">
        <v>978</v>
      </c>
      <c r="Q1786" s="98">
        <v>14787.36</v>
      </c>
      <c r="R1786" s="96" t="s">
        <v>625</v>
      </c>
      <c r="S1786" s="96">
        <v>7414000005</v>
      </c>
      <c r="AA1786" s="131" t="s">
        <v>480</v>
      </c>
      <c r="AB1786" s="130">
        <v>10578.808368</v>
      </c>
      <c r="AC1786" s="130">
        <v>10578.808368</v>
      </c>
    </row>
    <row r="1787" spans="1:29" x14ac:dyDescent="0.25">
      <c r="A1787" t="str">
        <f t="shared" si="28"/>
        <v xml:space="preserve">75220ALSEA *             </v>
      </c>
      <c r="B1787" s="96">
        <v>75220</v>
      </c>
      <c r="C1787" s="96" t="s">
        <v>847</v>
      </c>
      <c r="D1787" s="96" t="s">
        <v>551</v>
      </c>
      <c r="E1787" s="96" t="s">
        <v>623</v>
      </c>
      <c r="F1787" s="96" t="s">
        <v>624</v>
      </c>
      <c r="G1787" s="99">
        <v>13</v>
      </c>
      <c r="H1787" s="97">
        <v>525.09</v>
      </c>
      <c r="I1787" s="98">
        <v>6826.17</v>
      </c>
      <c r="J1787" s="97">
        <v>517.24538461538464</v>
      </c>
      <c r="K1787" s="98">
        <v>101.98</v>
      </c>
      <c r="L1787" s="99">
        <v>0</v>
      </c>
      <c r="M1787" s="98">
        <v>0</v>
      </c>
      <c r="N1787" s="99">
        <v>0</v>
      </c>
      <c r="O1787" s="98">
        <v>0</v>
      </c>
      <c r="P1787" s="99">
        <v>13</v>
      </c>
      <c r="Q1787" s="98">
        <v>6826.17</v>
      </c>
      <c r="R1787" s="96" t="s">
        <v>625</v>
      </c>
      <c r="S1787" s="96">
        <v>7414000005</v>
      </c>
      <c r="AA1787" s="131" t="s">
        <v>413</v>
      </c>
      <c r="AB1787" s="130">
        <v>1473665.466242</v>
      </c>
      <c r="AC1787" s="130">
        <v>1473665.466242</v>
      </c>
    </row>
    <row r="1788" spans="1:29" x14ac:dyDescent="0.25">
      <c r="A1788" t="str">
        <f t="shared" si="28"/>
        <v xml:space="preserve">75220AMX B               </v>
      </c>
      <c r="B1788" s="96">
        <v>75220</v>
      </c>
      <c r="C1788" s="96" t="s">
        <v>847</v>
      </c>
      <c r="D1788" s="96" t="s">
        <v>361</v>
      </c>
      <c r="E1788" s="96" t="s">
        <v>623</v>
      </c>
      <c r="F1788" s="96" t="s">
        <v>624</v>
      </c>
      <c r="G1788" s="99">
        <v>35</v>
      </c>
      <c r="H1788" s="97">
        <v>68.25</v>
      </c>
      <c r="I1788" s="98">
        <v>2388.75</v>
      </c>
      <c r="J1788" s="97">
        <v>79.098571428571432</v>
      </c>
      <c r="K1788" s="98">
        <v>-379.7</v>
      </c>
      <c r="L1788" s="99">
        <v>0</v>
      </c>
      <c r="M1788" s="98">
        <v>0</v>
      </c>
      <c r="N1788" s="99">
        <v>0</v>
      </c>
      <c r="O1788" s="98">
        <v>0</v>
      </c>
      <c r="P1788" s="99">
        <v>35</v>
      </c>
      <c r="Q1788" s="98">
        <v>2388.75</v>
      </c>
      <c r="R1788" s="96" t="s">
        <v>625</v>
      </c>
      <c r="S1788" s="96">
        <v>7414000005</v>
      </c>
      <c r="AA1788" s="131" t="s">
        <v>414</v>
      </c>
      <c r="AB1788" s="130">
        <v>3264398.8197920001</v>
      </c>
      <c r="AC1788" s="130">
        <v>3264398.8197920001</v>
      </c>
    </row>
    <row r="1789" spans="1:29" x14ac:dyDescent="0.25">
      <c r="A1789" t="str">
        <f t="shared" si="28"/>
        <v xml:space="preserve">75220ASUR B              </v>
      </c>
      <c r="B1789" s="96">
        <v>75220</v>
      </c>
      <c r="C1789" s="96" t="s">
        <v>847</v>
      </c>
      <c r="D1789" s="96" t="s">
        <v>362</v>
      </c>
      <c r="E1789" s="96" t="s">
        <v>623</v>
      </c>
      <c r="F1789" s="96" t="s">
        <v>624</v>
      </c>
      <c r="G1789" s="99">
        <v>877</v>
      </c>
      <c r="H1789" s="97">
        <v>14.33</v>
      </c>
      <c r="I1789" s="98">
        <v>12567.41</v>
      </c>
      <c r="J1789" s="97">
        <v>11.760866590649943</v>
      </c>
      <c r="K1789" s="98">
        <v>2253.13</v>
      </c>
      <c r="L1789" s="99">
        <v>0</v>
      </c>
      <c r="M1789" s="98">
        <v>0</v>
      </c>
      <c r="N1789" s="99">
        <v>0</v>
      </c>
      <c r="O1789" s="98">
        <v>0</v>
      </c>
      <c r="P1789" s="99">
        <v>877</v>
      </c>
      <c r="Q1789" s="98">
        <v>12567.41</v>
      </c>
      <c r="R1789" s="96" t="s">
        <v>625</v>
      </c>
      <c r="S1789" s="96">
        <v>7414000005</v>
      </c>
      <c r="AA1789" s="131" t="s">
        <v>415</v>
      </c>
      <c r="AB1789" s="130">
        <v>1545562.076416</v>
      </c>
      <c r="AC1789" s="130">
        <v>1545562.076416</v>
      </c>
    </row>
    <row r="1790" spans="1:29" x14ac:dyDescent="0.25">
      <c r="A1790" t="str">
        <f t="shared" si="28"/>
        <v xml:space="preserve">75220BIMBO A             </v>
      </c>
      <c r="B1790" s="96">
        <v>75220</v>
      </c>
      <c r="C1790" s="96" t="s">
        <v>847</v>
      </c>
      <c r="D1790" s="96" t="s">
        <v>409</v>
      </c>
      <c r="E1790" s="96" t="s">
        <v>623</v>
      </c>
      <c r="F1790" s="96" t="s">
        <v>624</v>
      </c>
      <c r="G1790" s="99">
        <v>7970</v>
      </c>
      <c r="H1790" s="97">
        <v>9.3381629999999998</v>
      </c>
      <c r="I1790" s="98">
        <v>74425.159109999993</v>
      </c>
      <c r="J1790" s="97">
        <v>8.3307969100000001</v>
      </c>
      <c r="K1790" s="98">
        <v>8028.7077373000002</v>
      </c>
      <c r="L1790" s="99">
        <v>0</v>
      </c>
      <c r="M1790" s="98">
        <v>0</v>
      </c>
      <c r="N1790" s="99">
        <v>0</v>
      </c>
      <c r="O1790" s="98">
        <v>0</v>
      </c>
      <c r="P1790" s="99">
        <v>7970</v>
      </c>
      <c r="Q1790" s="98">
        <v>74425.159109999993</v>
      </c>
      <c r="R1790" s="96" t="s">
        <v>625</v>
      </c>
      <c r="S1790" s="96">
        <v>7414000005</v>
      </c>
      <c r="AA1790" s="131" t="s">
        <v>416</v>
      </c>
      <c r="AB1790" s="130">
        <v>359727.710525</v>
      </c>
      <c r="AC1790" s="130">
        <v>359727.710525</v>
      </c>
    </row>
    <row r="1791" spans="1:29" x14ac:dyDescent="0.25">
      <c r="A1791" t="str">
        <f t="shared" si="28"/>
        <v xml:space="preserve">75220CEMEX CPO           </v>
      </c>
      <c r="B1791" s="96">
        <v>75220</v>
      </c>
      <c r="C1791" s="96" t="s">
        <v>847</v>
      </c>
      <c r="D1791" s="96" t="s">
        <v>370</v>
      </c>
      <c r="E1791" s="96" t="s">
        <v>623</v>
      </c>
      <c r="F1791" s="96" t="s">
        <v>624</v>
      </c>
      <c r="G1791" s="99">
        <v>5</v>
      </c>
      <c r="H1791" s="97">
        <v>271.94</v>
      </c>
      <c r="I1791" s="98">
        <v>1359.7</v>
      </c>
      <c r="J1791" s="97">
        <v>246.51</v>
      </c>
      <c r="K1791" s="98">
        <v>127.15</v>
      </c>
      <c r="L1791" s="99">
        <v>0</v>
      </c>
      <c r="M1791" s="98">
        <v>0</v>
      </c>
      <c r="N1791" s="99">
        <v>0</v>
      </c>
      <c r="O1791" s="98">
        <v>0</v>
      </c>
      <c r="P1791" s="99">
        <v>5</v>
      </c>
      <c r="Q1791" s="98">
        <v>1359.7</v>
      </c>
      <c r="R1791" s="96" t="s">
        <v>625</v>
      </c>
      <c r="S1791" s="96">
        <v>7414000005</v>
      </c>
      <c r="AA1791" s="129">
        <v>1033546</v>
      </c>
      <c r="AB1791" s="130">
        <v>3056053.010545</v>
      </c>
      <c r="AC1791" s="130">
        <v>3056053.010545</v>
      </c>
    </row>
    <row r="1792" spans="1:29" x14ac:dyDescent="0.25">
      <c r="A1792" t="str">
        <f t="shared" si="28"/>
        <v xml:space="preserve">75220CETES 241128        </v>
      </c>
      <c r="B1792" s="96">
        <v>75220</v>
      </c>
      <c r="C1792" s="96" t="s">
        <v>847</v>
      </c>
      <c r="D1792" s="96" t="s">
        <v>371</v>
      </c>
      <c r="E1792" s="96" t="s">
        <v>623</v>
      </c>
      <c r="F1792" s="96" t="s">
        <v>624</v>
      </c>
      <c r="G1792" s="99">
        <v>34</v>
      </c>
      <c r="H1792" s="97">
        <v>193.15</v>
      </c>
      <c r="I1792" s="98">
        <v>6567.1</v>
      </c>
      <c r="J1792" s="97">
        <v>156.17441176470589</v>
      </c>
      <c r="K1792" s="98">
        <v>1257.17</v>
      </c>
      <c r="L1792" s="99">
        <v>0</v>
      </c>
      <c r="M1792" s="98">
        <v>0</v>
      </c>
      <c r="N1792" s="99">
        <v>0</v>
      </c>
      <c r="O1792" s="98">
        <v>0</v>
      </c>
      <c r="P1792" s="99">
        <v>34</v>
      </c>
      <c r="Q1792" s="98">
        <v>6567.1</v>
      </c>
      <c r="R1792" s="96" t="s">
        <v>625</v>
      </c>
      <c r="S1792" s="96">
        <v>7414000005</v>
      </c>
      <c r="AA1792" s="131" t="s">
        <v>480</v>
      </c>
      <c r="AB1792" s="130">
        <v>9538.2698400000008</v>
      </c>
      <c r="AC1792" s="130">
        <v>9538.2698400000008</v>
      </c>
    </row>
    <row r="1793" spans="1:29" x14ac:dyDescent="0.25">
      <c r="A1793" t="str">
        <f t="shared" si="28"/>
        <v xml:space="preserve">75220GAP B               </v>
      </c>
      <c r="B1793" s="96">
        <v>75220</v>
      </c>
      <c r="C1793" s="96" t="s">
        <v>847</v>
      </c>
      <c r="D1793" s="96" t="s">
        <v>372</v>
      </c>
      <c r="E1793" s="96" t="s">
        <v>623</v>
      </c>
      <c r="F1793" s="96" t="s">
        <v>624</v>
      </c>
      <c r="G1793" s="99">
        <v>151</v>
      </c>
      <c r="H1793" s="97">
        <v>27.12</v>
      </c>
      <c r="I1793" s="98">
        <v>4095.12</v>
      </c>
      <c r="J1793" s="97">
        <v>20.532649006622517</v>
      </c>
      <c r="K1793" s="98">
        <v>994.69</v>
      </c>
      <c r="L1793" s="99">
        <v>0</v>
      </c>
      <c r="M1793" s="98">
        <v>0</v>
      </c>
      <c r="N1793" s="99">
        <v>0</v>
      </c>
      <c r="O1793" s="98">
        <v>0</v>
      </c>
      <c r="P1793" s="99">
        <v>151</v>
      </c>
      <c r="Q1793" s="98">
        <v>4095.12</v>
      </c>
      <c r="R1793" s="96" t="s">
        <v>625</v>
      </c>
      <c r="S1793" s="96">
        <v>7414000005</v>
      </c>
      <c r="AA1793" s="131" t="s">
        <v>413</v>
      </c>
      <c r="AB1793" s="130">
        <v>646176.19950999995</v>
      </c>
      <c r="AC1793" s="130">
        <v>646176.19950999995</v>
      </c>
    </row>
    <row r="1794" spans="1:29" x14ac:dyDescent="0.25">
      <c r="A1794" t="str">
        <f t="shared" si="28"/>
        <v xml:space="preserve">75220GCC *               </v>
      </c>
      <c r="B1794" s="96">
        <v>75220</v>
      </c>
      <c r="C1794" s="96" t="s">
        <v>847</v>
      </c>
      <c r="D1794" s="96" t="s">
        <v>373</v>
      </c>
      <c r="E1794" s="96" t="s">
        <v>623</v>
      </c>
      <c r="F1794" s="96" t="s">
        <v>624</v>
      </c>
      <c r="G1794" s="99">
        <v>113</v>
      </c>
      <c r="H1794" s="97">
        <v>176.44</v>
      </c>
      <c r="I1794" s="98">
        <v>19937.72</v>
      </c>
      <c r="J1794" s="97">
        <v>148.18530973451328</v>
      </c>
      <c r="K1794" s="98">
        <v>3192.78</v>
      </c>
      <c r="L1794" s="99">
        <v>0</v>
      </c>
      <c r="M1794" s="98">
        <v>0</v>
      </c>
      <c r="N1794" s="99">
        <v>0</v>
      </c>
      <c r="O1794" s="98">
        <v>0</v>
      </c>
      <c r="P1794" s="99">
        <v>113</v>
      </c>
      <c r="Q1794" s="98">
        <v>19937.72</v>
      </c>
      <c r="R1794" s="96" t="s">
        <v>625</v>
      </c>
      <c r="S1794" s="96">
        <v>7414000005</v>
      </c>
      <c r="AA1794" s="131" t="s">
        <v>414</v>
      </c>
      <c r="AB1794" s="130">
        <v>1497269.044064</v>
      </c>
      <c r="AC1794" s="130">
        <v>1497269.044064</v>
      </c>
    </row>
    <row r="1795" spans="1:29" x14ac:dyDescent="0.25">
      <c r="A1795" t="str">
        <f t="shared" si="28"/>
        <v xml:space="preserve">75220GENTERA *           </v>
      </c>
      <c r="B1795" s="96">
        <v>75220</v>
      </c>
      <c r="C1795" s="96" t="s">
        <v>847</v>
      </c>
      <c r="D1795" s="96" t="s">
        <v>374</v>
      </c>
      <c r="E1795" s="96" t="s">
        <v>623</v>
      </c>
      <c r="F1795" s="96" t="s">
        <v>624</v>
      </c>
      <c r="G1795" s="99">
        <v>143</v>
      </c>
      <c r="H1795" s="97">
        <v>104.12</v>
      </c>
      <c r="I1795" s="98">
        <v>14889.16</v>
      </c>
      <c r="J1795" s="97">
        <v>81.289020979020975</v>
      </c>
      <c r="K1795" s="98">
        <v>3264.83</v>
      </c>
      <c r="L1795" s="99">
        <v>0</v>
      </c>
      <c r="M1795" s="98">
        <v>0</v>
      </c>
      <c r="N1795" s="99">
        <v>0</v>
      </c>
      <c r="O1795" s="98">
        <v>0</v>
      </c>
      <c r="P1795" s="99">
        <v>143</v>
      </c>
      <c r="Q1795" s="98">
        <v>14889.16</v>
      </c>
      <c r="R1795" s="96" t="s">
        <v>625</v>
      </c>
      <c r="S1795" s="96">
        <v>7414000005</v>
      </c>
      <c r="AA1795" s="131" t="s">
        <v>415</v>
      </c>
      <c r="AB1795" s="130">
        <v>739288.71585599997</v>
      </c>
      <c r="AC1795" s="130">
        <v>739288.71585599997</v>
      </c>
    </row>
    <row r="1796" spans="1:29" x14ac:dyDescent="0.25">
      <c r="A1796" t="str">
        <f t="shared" si="28"/>
        <v xml:space="preserve">75220GFNORTE O           </v>
      </c>
      <c r="B1796" s="96">
        <v>75220</v>
      </c>
      <c r="C1796" s="96" t="s">
        <v>847</v>
      </c>
      <c r="D1796" s="96" t="s">
        <v>375</v>
      </c>
      <c r="E1796" s="96" t="s">
        <v>623</v>
      </c>
      <c r="F1796" s="96" t="s">
        <v>624</v>
      </c>
      <c r="G1796" s="99">
        <v>480</v>
      </c>
      <c r="H1796" s="97">
        <v>98.730349000000004</v>
      </c>
      <c r="I1796" s="98">
        <v>47390.567519999997</v>
      </c>
      <c r="J1796" s="97">
        <v>107.90983107562499</v>
      </c>
      <c r="K1796" s="98">
        <v>-4406.1513962999998</v>
      </c>
      <c r="L1796" s="99">
        <v>0</v>
      </c>
      <c r="M1796" s="98">
        <v>0</v>
      </c>
      <c r="N1796" s="99">
        <v>0</v>
      </c>
      <c r="O1796" s="98">
        <v>0</v>
      </c>
      <c r="P1796" s="99">
        <v>480</v>
      </c>
      <c r="Q1796" s="98">
        <v>47390.567519999997</v>
      </c>
      <c r="R1796" s="96" t="s">
        <v>625</v>
      </c>
      <c r="S1796" s="96">
        <v>7414000005</v>
      </c>
      <c r="AA1796" s="131" t="s">
        <v>416</v>
      </c>
      <c r="AB1796" s="130">
        <v>163780.78127499999</v>
      </c>
      <c r="AC1796" s="130">
        <v>163780.78127499999</v>
      </c>
    </row>
    <row r="1797" spans="1:29" x14ac:dyDescent="0.25">
      <c r="A1797" t="str">
        <f t="shared" si="28"/>
        <v xml:space="preserve">75220GMEXICO B           </v>
      </c>
      <c r="B1797" s="96">
        <v>75220</v>
      </c>
      <c r="C1797" s="96" t="s">
        <v>847</v>
      </c>
      <c r="D1797" s="96" t="s">
        <v>376</v>
      </c>
      <c r="E1797" s="96" t="s">
        <v>623</v>
      </c>
      <c r="F1797" s="96" t="s">
        <v>624</v>
      </c>
      <c r="G1797" s="99">
        <v>163</v>
      </c>
      <c r="H1797" s="97">
        <v>99.247497999999993</v>
      </c>
      <c r="I1797" s="98">
        <v>16177.342173999999</v>
      </c>
      <c r="J1797" s="97">
        <v>15.363401382269938</v>
      </c>
      <c r="K1797" s="98">
        <v>13673.107748689999</v>
      </c>
      <c r="L1797" s="99">
        <v>0</v>
      </c>
      <c r="M1797" s="98">
        <v>0</v>
      </c>
      <c r="N1797" s="99">
        <v>0</v>
      </c>
      <c r="O1797" s="98">
        <v>0</v>
      </c>
      <c r="P1797" s="99">
        <v>163</v>
      </c>
      <c r="Q1797" s="98">
        <v>16177.342173999999</v>
      </c>
      <c r="R1797" s="96" t="s">
        <v>625</v>
      </c>
      <c r="S1797" s="96">
        <v>7414000005</v>
      </c>
      <c r="AA1797" s="129">
        <v>1031341</v>
      </c>
      <c r="AB1797" s="130">
        <v>26358687.108624</v>
      </c>
      <c r="AC1797" s="130">
        <v>26358687.108624</v>
      </c>
    </row>
    <row r="1798" spans="1:29" x14ac:dyDescent="0.25">
      <c r="A1798" t="str">
        <f t="shared" si="28"/>
        <v xml:space="preserve">75220GOBFED 240905       </v>
      </c>
      <c r="B1798" s="96">
        <v>75220</v>
      </c>
      <c r="C1798" s="96" t="s">
        <v>847</v>
      </c>
      <c r="D1798" s="96" t="s">
        <v>377</v>
      </c>
      <c r="E1798" s="96" t="s">
        <v>623</v>
      </c>
      <c r="F1798" s="96" t="s">
        <v>624</v>
      </c>
      <c r="G1798" s="99">
        <v>440</v>
      </c>
      <c r="H1798" s="97">
        <v>94.973146999999997</v>
      </c>
      <c r="I1798" s="98">
        <v>41788.184679999998</v>
      </c>
      <c r="J1798" s="97">
        <v>89.983426490909096</v>
      </c>
      <c r="K1798" s="98">
        <v>2195.4770239999998</v>
      </c>
      <c r="L1798" s="99">
        <v>0</v>
      </c>
      <c r="M1798" s="98">
        <v>0</v>
      </c>
      <c r="N1798" s="99">
        <v>0</v>
      </c>
      <c r="O1798" s="98">
        <v>0</v>
      </c>
      <c r="P1798" s="99">
        <v>440</v>
      </c>
      <c r="Q1798" s="98">
        <v>41788.184679999998</v>
      </c>
      <c r="R1798" s="96" t="s">
        <v>625</v>
      </c>
      <c r="S1798" s="96">
        <v>7414000005</v>
      </c>
      <c r="AA1798" s="131" t="s">
        <v>431</v>
      </c>
      <c r="AB1798" s="130">
        <v>26358687.108624</v>
      </c>
      <c r="AC1798" s="130">
        <v>26358687.108624</v>
      </c>
    </row>
    <row r="1799" spans="1:29" x14ac:dyDescent="0.25">
      <c r="A1799" t="str">
        <f t="shared" ref="A1799:A1862" si="29">B1797&amp;D1797</f>
        <v xml:space="preserve">75220GOBFED 241205       </v>
      </c>
      <c r="B1799" s="96">
        <v>75220</v>
      </c>
      <c r="C1799" s="96" t="s">
        <v>847</v>
      </c>
      <c r="D1799" s="96" t="s">
        <v>378</v>
      </c>
      <c r="E1799" s="96" t="s">
        <v>623</v>
      </c>
      <c r="F1799" s="96" t="s">
        <v>624</v>
      </c>
      <c r="G1799" s="99">
        <v>351</v>
      </c>
      <c r="H1799" s="97">
        <v>91.911821000000003</v>
      </c>
      <c r="I1799" s="98">
        <v>32261.049170999999</v>
      </c>
      <c r="J1799" s="97">
        <v>93.2088459</v>
      </c>
      <c r="K1799" s="98">
        <v>-455.25573989999998</v>
      </c>
      <c r="L1799" s="99">
        <v>0</v>
      </c>
      <c r="M1799" s="98">
        <v>0</v>
      </c>
      <c r="N1799" s="99">
        <v>0</v>
      </c>
      <c r="O1799" s="98">
        <v>0</v>
      </c>
      <c r="P1799" s="99">
        <v>351</v>
      </c>
      <c r="Q1799" s="98">
        <v>32261.049170999999</v>
      </c>
      <c r="R1799" s="96" t="s">
        <v>625</v>
      </c>
      <c r="S1799" s="96">
        <v>7414000005</v>
      </c>
      <c r="AA1799" s="129">
        <v>1032746</v>
      </c>
      <c r="AB1799" s="130">
        <v>208600192.50844401</v>
      </c>
      <c r="AC1799" s="130">
        <v>208600192.50844401</v>
      </c>
    </row>
    <row r="1800" spans="1:29" x14ac:dyDescent="0.25">
      <c r="A1800" t="str">
        <f t="shared" si="29"/>
        <v xml:space="preserve">75220GOBFED 250306       </v>
      </c>
      <c r="B1800" s="96">
        <v>75220</v>
      </c>
      <c r="C1800" s="96" t="s">
        <v>847</v>
      </c>
      <c r="D1800" s="96" t="s">
        <v>379</v>
      </c>
      <c r="E1800" s="96" t="s">
        <v>623</v>
      </c>
      <c r="F1800" s="96" t="s">
        <v>624</v>
      </c>
      <c r="G1800" s="99">
        <v>435</v>
      </c>
      <c r="H1800" s="97">
        <v>88.698122999999995</v>
      </c>
      <c r="I1800" s="98">
        <v>38583.683505000001</v>
      </c>
      <c r="J1800" s="97">
        <v>88.303238416896548</v>
      </c>
      <c r="K1800" s="98">
        <v>171.77479364999999</v>
      </c>
      <c r="L1800" s="99">
        <v>0</v>
      </c>
      <c r="M1800" s="98">
        <v>0</v>
      </c>
      <c r="N1800" s="99">
        <v>0</v>
      </c>
      <c r="O1800" s="98">
        <v>0</v>
      </c>
      <c r="P1800" s="99">
        <v>435</v>
      </c>
      <c r="Q1800" s="98">
        <v>38583.683505000001</v>
      </c>
      <c r="R1800" s="96" t="s">
        <v>625</v>
      </c>
      <c r="S1800" s="96">
        <v>7414000005</v>
      </c>
      <c r="AA1800" s="131" t="s">
        <v>389</v>
      </c>
      <c r="AB1800" s="130">
        <v>120957987.73036399</v>
      </c>
      <c r="AC1800" s="130">
        <v>120957987.73036399</v>
      </c>
    </row>
    <row r="1801" spans="1:29" x14ac:dyDescent="0.25">
      <c r="A1801" t="str">
        <f t="shared" si="29"/>
        <v xml:space="preserve">75220GOBFED 260305       </v>
      </c>
      <c r="B1801" s="96">
        <v>75220</v>
      </c>
      <c r="C1801" s="96" t="s">
        <v>847</v>
      </c>
      <c r="D1801" s="96" t="s">
        <v>380</v>
      </c>
      <c r="E1801" s="96" t="s">
        <v>623</v>
      </c>
      <c r="F1801" s="96" t="s">
        <v>624</v>
      </c>
      <c r="G1801" s="99">
        <v>356</v>
      </c>
      <c r="H1801" s="97">
        <v>93.314192000000006</v>
      </c>
      <c r="I1801" s="98">
        <v>33219.852352000002</v>
      </c>
      <c r="J1801" s="97">
        <v>100.15160151522471</v>
      </c>
      <c r="K1801" s="98">
        <v>-2434.1177874199998</v>
      </c>
      <c r="L1801" s="99">
        <v>0</v>
      </c>
      <c r="M1801" s="98">
        <v>0</v>
      </c>
      <c r="N1801" s="99">
        <v>0</v>
      </c>
      <c r="O1801" s="98">
        <v>0</v>
      </c>
      <c r="P1801" s="99">
        <v>356</v>
      </c>
      <c r="Q1801" s="98">
        <v>33219.852352000002</v>
      </c>
      <c r="R1801" s="96" t="s">
        <v>625</v>
      </c>
      <c r="S1801" s="96">
        <v>7414000005</v>
      </c>
      <c r="AA1801" s="131" t="s">
        <v>407</v>
      </c>
      <c r="AB1801" s="130">
        <v>87642204.778080001</v>
      </c>
      <c r="AC1801" s="130">
        <v>87642204.778080001</v>
      </c>
    </row>
    <row r="1802" spans="1:29" x14ac:dyDescent="0.25">
      <c r="A1802" t="str">
        <f t="shared" si="29"/>
        <v xml:space="preserve">75220GOBFED 270304       </v>
      </c>
      <c r="B1802" s="96">
        <v>75220</v>
      </c>
      <c r="C1802" s="96" t="s">
        <v>847</v>
      </c>
      <c r="D1802" s="96" t="s">
        <v>381</v>
      </c>
      <c r="E1802" s="96" t="s">
        <v>623</v>
      </c>
      <c r="F1802" s="96" t="s">
        <v>624</v>
      </c>
      <c r="G1802" s="99">
        <v>890</v>
      </c>
      <c r="H1802" s="97">
        <v>94.870157000000006</v>
      </c>
      <c r="I1802" s="98">
        <v>84434.439729999998</v>
      </c>
      <c r="J1802" s="97">
        <v>97.423448415730334</v>
      </c>
      <c r="K1802" s="98">
        <v>-2272.4293600000001</v>
      </c>
      <c r="L1802" s="99">
        <v>0</v>
      </c>
      <c r="M1802" s="98">
        <v>0</v>
      </c>
      <c r="N1802" s="99">
        <v>0</v>
      </c>
      <c r="O1802" s="98">
        <v>0</v>
      </c>
      <c r="P1802" s="99">
        <v>890</v>
      </c>
      <c r="Q1802" s="98">
        <v>84434.439729999998</v>
      </c>
      <c r="R1802" s="96" t="s">
        <v>625</v>
      </c>
      <c r="S1802" s="96">
        <v>7414000005</v>
      </c>
      <c r="AA1802" s="129">
        <v>1032747</v>
      </c>
      <c r="AB1802" s="130">
        <v>20794139.831067998</v>
      </c>
      <c r="AC1802" s="130">
        <v>20794139.831067998</v>
      </c>
    </row>
    <row r="1803" spans="1:29" x14ac:dyDescent="0.25">
      <c r="A1803" t="str">
        <f t="shared" si="29"/>
        <v xml:space="preserve">75220GOBFED 270603       </v>
      </c>
      <c r="B1803" s="96">
        <v>75220</v>
      </c>
      <c r="C1803" s="96" t="s">
        <v>847</v>
      </c>
      <c r="D1803" s="96" t="s">
        <v>382</v>
      </c>
      <c r="E1803" s="96" t="s">
        <v>623</v>
      </c>
      <c r="F1803" s="96" t="s">
        <v>624</v>
      </c>
      <c r="G1803" s="99">
        <v>60</v>
      </c>
      <c r="H1803" s="97">
        <v>89.489464999999996</v>
      </c>
      <c r="I1803" s="98">
        <v>5369.3679000000002</v>
      </c>
      <c r="J1803" s="97">
        <v>63.475725566666668</v>
      </c>
      <c r="K1803" s="98">
        <v>1560.8243660000001</v>
      </c>
      <c r="L1803" s="99">
        <v>0</v>
      </c>
      <c r="M1803" s="98">
        <v>0</v>
      </c>
      <c r="N1803" s="99">
        <v>0</v>
      </c>
      <c r="O1803" s="98">
        <v>0</v>
      </c>
      <c r="P1803" s="99">
        <v>60</v>
      </c>
      <c r="Q1803" s="98">
        <v>5369.3679000000002</v>
      </c>
      <c r="R1803" s="96" t="s">
        <v>625</v>
      </c>
      <c r="S1803" s="96">
        <v>7414000005</v>
      </c>
      <c r="AA1803" s="131" t="s">
        <v>389</v>
      </c>
      <c r="AB1803" s="130">
        <v>804080.47106799996</v>
      </c>
      <c r="AC1803" s="130">
        <v>804080.47106799996</v>
      </c>
    </row>
    <row r="1804" spans="1:29" x14ac:dyDescent="0.25">
      <c r="A1804" t="str">
        <f t="shared" si="29"/>
        <v xml:space="preserve">75220GOBFED 290531       </v>
      </c>
      <c r="B1804" s="96">
        <v>75220</v>
      </c>
      <c r="C1804" s="96" t="s">
        <v>847</v>
      </c>
      <c r="D1804" s="96" t="s">
        <v>383</v>
      </c>
      <c r="E1804" s="96" t="s">
        <v>623</v>
      </c>
      <c r="F1804" s="96" t="s">
        <v>624</v>
      </c>
      <c r="G1804" s="99">
        <v>500</v>
      </c>
      <c r="H1804" s="97">
        <v>86.197128000000006</v>
      </c>
      <c r="I1804" s="98">
        <v>43098.563999999998</v>
      </c>
      <c r="J1804" s="97">
        <v>90.403334892399997</v>
      </c>
      <c r="K1804" s="98">
        <v>-2103.1034461999998</v>
      </c>
      <c r="L1804" s="99">
        <v>0</v>
      </c>
      <c r="M1804" s="98">
        <v>0</v>
      </c>
      <c r="N1804" s="99">
        <v>0</v>
      </c>
      <c r="O1804" s="98">
        <v>0</v>
      </c>
      <c r="P1804" s="99">
        <v>500</v>
      </c>
      <c r="Q1804" s="98">
        <v>43098.563999999998</v>
      </c>
      <c r="R1804" s="96" t="s">
        <v>625</v>
      </c>
      <c r="S1804" s="96">
        <v>7414000005</v>
      </c>
      <c r="AA1804" s="131" t="s">
        <v>459</v>
      </c>
      <c r="AB1804" s="130">
        <v>19990059.359999999</v>
      </c>
      <c r="AC1804" s="130">
        <v>19990059.359999999</v>
      </c>
    </row>
    <row r="1805" spans="1:29" x14ac:dyDescent="0.25">
      <c r="A1805" t="str">
        <f t="shared" si="29"/>
        <v xml:space="preserve">75220GOBFED 310529       </v>
      </c>
      <c r="B1805" s="96">
        <v>75220</v>
      </c>
      <c r="C1805" s="96" t="s">
        <v>847</v>
      </c>
      <c r="D1805" s="96" t="s">
        <v>427</v>
      </c>
      <c r="E1805" s="96" t="s">
        <v>623</v>
      </c>
      <c r="F1805" s="96" t="s">
        <v>624</v>
      </c>
      <c r="G1805" s="99">
        <v>785</v>
      </c>
      <c r="H1805" s="97">
        <v>86.469353999999996</v>
      </c>
      <c r="I1805" s="98">
        <v>67878.442890000006</v>
      </c>
      <c r="J1805" s="97">
        <v>91.85044536961783</v>
      </c>
      <c r="K1805" s="98">
        <v>-4224.1567251500001</v>
      </c>
      <c r="L1805" s="99">
        <v>0</v>
      </c>
      <c r="M1805" s="98">
        <v>0</v>
      </c>
      <c r="N1805" s="99">
        <v>0</v>
      </c>
      <c r="O1805" s="98">
        <v>0</v>
      </c>
      <c r="P1805" s="99">
        <v>785</v>
      </c>
      <c r="Q1805" s="98">
        <v>67878.442890000006</v>
      </c>
      <c r="R1805" s="96" t="s">
        <v>625</v>
      </c>
      <c r="S1805" s="96">
        <v>7414000005</v>
      </c>
      <c r="AA1805" s="131" t="s">
        <v>402</v>
      </c>
      <c r="AB1805" s="130">
        <v>0</v>
      </c>
      <c r="AC1805" s="130">
        <v>0</v>
      </c>
    </row>
    <row r="1806" spans="1:29" x14ac:dyDescent="0.25">
      <c r="A1806" t="str">
        <f t="shared" si="29"/>
        <v xml:space="preserve">75220GOBFED 330526       </v>
      </c>
      <c r="B1806" s="96">
        <v>75220</v>
      </c>
      <c r="C1806" s="96" t="s">
        <v>847</v>
      </c>
      <c r="D1806" s="96" t="s">
        <v>418</v>
      </c>
      <c r="E1806" s="96" t="s">
        <v>623</v>
      </c>
      <c r="F1806" s="96" t="s">
        <v>624</v>
      </c>
      <c r="G1806" s="99">
        <v>34</v>
      </c>
      <c r="H1806" s="97">
        <v>101.45096599999999</v>
      </c>
      <c r="I1806" s="98">
        <v>3449.332844</v>
      </c>
      <c r="J1806" s="97">
        <v>114.11447106</v>
      </c>
      <c r="K1806" s="98">
        <v>-430.55917204000002</v>
      </c>
      <c r="L1806" s="99">
        <v>0</v>
      </c>
      <c r="M1806" s="98">
        <v>0</v>
      </c>
      <c r="N1806" s="99">
        <v>0</v>
      </c>
      <c r="O1806" s="98">
        <v>0</v>
      </c>
      <c r="P1806" s="99">
        <v>34</v>
      </c>
      <c r="Q1806" s="98">
        <v>3449.332844</v>
      </c>
      <c r="R1806" s="96" t="s">
        <v>625</v>
      </c>
      <c r="S1806" s="96">
        <v>7414000005</v>
      </c>
      <c r="AA1806" s="131" t="s">
        <v>501</v>
      </c>
      <c r="AB1806" s="130">
        <v>0</v>
      </c>
      <c r="AC1806" s="130">
        <v>0</v>
      </c>
    </row>
    <row r="1807" spans="1:29" x14ac:dyDescent="0.25">
      <c r="A1807" t="str">
        <f t="shared" si="29"/>
        <v xml:space="preserve">75220GOBFED 341123       </v>
      </c>
      <c r="B1807" s="96">
        <v>75220</v>
      </c>
      <c r="C1807" s="96" t="s">
        <v>847</v>
      </c>
      <c r="D1807" s="96" t="s">
        <v>408</v>
      </c>
      <c r="E1807" s="96" t="s">
        <v>623</v>
      </c>
      <c r="F1807" s="96" t="s">
        <v>624</v>
      </c>
      <c r="G1807" s="99">
        <v>28</v>
      </c>
      <c r="H1807" s="97">
        <v>89.643172000000007</v>
      </c>
      <c r="I1807" s="98">
        <v>2510.008816</v>
      </c>
      <c r="J1807" s="97">
        <v>108.47711812999999</v>
      </c>
      <c r="K1807" s="98">
        <v>-527.35049163999997</v>
      </c>
      <c r="L1807" s="99">
        <v>0</v>
      </c>
      <c r="M1807" s="98">
        <v>0</v>
      </c>
      <c r="N1807" s="99">
        <v>0</v>
      </c>
      <c r="O1807" s="98">
        <v>0</v>
      </c>
      <c r="P1807" s="99">
        <v>28</v>
      </c>
      <c r="Q1807" s="98">
        <v>2510.008816</v>
      </c>
      <c r="R1807" s="96" t="s">
        <v>625</v>
      </c>
      <c r="S1807" s="96">
        <v>7414000005</v>
      </c>
      <c r="AA1807" s="129">
        <v>65502262917</v>
      </c>
      <c r="AB1807" s="130">
        <v>25703030.650028002</v>
      </c>
      <c r="AC1807" s="130">
        <v>25703030.650028002</v>
      </c>
    </row>
    <row r="1808" spans="1:29" x14ac:dyDescent="0.25">
      <c r="A1808" t="str">
        <f t="shared" si="29"/>
        <v xml:space="preserve">75220GOBFED 361120       </v>
      </c>
      <c r="B1808" s="96">
        <v>75220</v>
      </c>
      <c r="C1808" s="96" t="s">
        <v>847</v>
      </c>
      <c r="D1808" s="96" t="s">
        <v>384</v>
      </c>
      <c r="E1808" s="96" t="s">
        <v>623</v>
      </c>
      <c r="F1808" s="96" t="s">
        <v>624</v>
      </c>
      <c r="G1808" s="99">
        <v>236</v>
      </c>
      <c r="H1808" s="97">
        <v>81.738860000000003</v>
      </c>
      <c r="I1808" s="98">
        <v>19290.37096</v>
      </c>
      <c r="J1808" s="97">
        <v>87.427712999999997</v>
      </c>
      <c r="K1808" s="98">
        <v>-1342.5693080000001</v>
      </c>
      <c r="L1808" s="99">
        <v>0</v>
      </c>
      <c r="M1808" s="98">
        <v>0</v>
      </c>
      <c r="N1808" s="99">
        <v>0</v>
      </c>
      <c r="O1808" s="98">
        <v>0</v>
      </c>
      <c r="P1808" s="99">
        <v>236</v>
      </c>
      <c r="Q1808" s="98">
        <v>19290.37096</v>
      </c>
      <c r="R1808" s="96" t="s">
        <v>625</v>
      </c>
      <c r="S1808" s="96">
        <v>7414000005</v>
      </c>
      <c r="AA1808" s="131" t="s">
        <v>389</v>
      </c>
      <c r="AB1808" s="130">
        <v>25703030.650028002</v>
      </c>
      <c r="AC1808" s="130">
        <v>25703030.650028002</v>
      </c>
    </row>
    <row r="1809" spans="1:29" x14ac:dyDescent="0.25">
      <c r="A1809" t="str">
        <f t="shared" si="29"/>
        <v xml:space="preserve">75220GOBFED 381118       </v>
      </c>
      <c r="B1809" s="96">
        <v>75220</v>
      </c>
      <c r="C1809" s="96" t="s">
        <v>847</v>
      </c>
      <c r="D1809" s="96" t="s">
        <v>385</v>
      </c>
      <c r="E1809" s="96" t="s">
        <v>623</v>
      </c>
      <c r="F1809" s="96" t="s">
        <v>624</v>
      </c>
      <c r="G1809" s="99">
        <v>100</v>
      </c>
      <c r="H1809" s="97">
        <v>83.200761</v>
      </c>
      <c r="I1809" s="98">
        <v>8320.0761000000002</v>
      </c>
      <c r="J1809" s="97">
        <v>96.799409990000001</v>
      </c>
      <c r="K1809" s="98">
        <v>-1359.8648989999999</v>
      </c>
      <c r="L1809" s="99">
        <v>0</v>
      </c>
      <c r="M1809" s="98">
        <v>0</v>
      </c>
      <c r="N1809" s="99">
        <v>0</v>
      </c>
      <c r="O1809" s="98">
        <v>0</v>
      </c>
      <c r="P1809" s="99">
        <v>100</v>
      </c>
      <c r="Q1809" s="98">
        <v>8320.0761000000002</v>
      </c>
      <c r="R1809" s="96" t="s">
        <v>625</v>
      </c>
      <c r="S1809" s="96">
        <v>7414000005</v>
      </c>
      <c r="AA1809" s="129">
        <v>65507528155</v>
      </c>
      <c r="AB1809" s="130">
        <v>11500584.420524001</v>
      </c>
      <c r="AC1809" s="130">
        <v>11500584.420524001</v>
      </c>
    </row>
    <row r="1810" spans="1:29" x14ac:dyDescent="0.25">
      <c r="A1810" t="str">
        <f t="shared" si="29"/>
        <v xml:space="preserve">75220GOBFED 421113       </v>
      </c>
      <c r="B1810" s="96">
        <v>75220</v>
      </c>
      <c r="C1810" s="96" t="s">
        <v>847</v>
      </c>
      <c r="D1810" s="96" t="s">
        <v>386</v>
      </c>
      <c r="E1810" s="96" t="s">
        <v>623</v>
      </c>
      <c r="F1810" s="96" t="s">
        <v>624</v>
      </c>
      <c r="G1810" s="99">
        <v>35</v>
      </c>
      <c r="H1810" s="97">
        <v>82.159907000000004</v>
      </c>
      <c r="I1810" s="98">
        <v>2875.5967449999998</v>
      </c>
      <c r="J1810" s="97">
        <v>88.605995219999997</v>
      </c>
      <c r="K1810" s="98">
        <v>-225.61308769999999</v>
      </c>
      <c r="L1810" s="99">
        <v>0</v>
      </c>
      <c r="M1810" s="98">
        <v>0</v>
      </c>
      <c r="N1810" s="99">
        <v>0</v>
      </c>
      <c r="O1810" s="98">
        <v>0</v>
      </c>
      <c r="P1810" s="99">
        <v>35</v>
      </c>
      <c r="Q1810" s="98">
        <v>2875.5967449999998</v>
      </c>
      <c r="R1810" s="96" t="s">
        <v>625</v>
      </c>
      <c r="S1810" s="96">
        <v>7414000005</v>
      </c>
      <c r="AA1810" s="131" t="s">
        <v>389</v>
      </c>
      <c r="AB1810" s="130">
        <v>2809741.8629600001</v>
      </c>
      <c r="AC1810" s="130">
        <v>2809741.8629600001</v>
      </c>
    </row>
    <row r="1811" spans="1:29" x14ac:dyDescent="0.25">
      <c r="A1811" t="str">
        <f t="shared" si="29"/>
        <v xml:space="preserve">75220GOBFED 471107       </v>
      </c>
      <c r="B1811" s="96">
        <v>75220</v>
      </c>
      <c r="C1811" s="96" t="s">
        <v>847</v>
      </c>
      <c r="D1811" s="96" t="s">
        <v>387</v>
      </c>
      <c r="E1811" s="96" t="s">
        <v>623</v>
      </c>
      <c r="F1811" s="96" t="s">
        <v>624</v>
      </c>
      <c r="G1811" s="99">
        <v>18</v>
      </c>
      <c r="H1811" s="97">
        <v>314.42</v>
      </c>
      <c r="I1811" s="98">
        <v>5659.56</v>
      </c>
      <c r="J1811" s="97">
        <v>259.66333333333336</v>
      </c>
      <c r="K1811" s="98">
        <v>985.62</v>
      </c>
      <c r="L1811" s="99">
        <v>0</v>
      </c>
      <c r="M1811" s="98">
        <v>0</v>
      </c>
      <c r="N1811" s="99">
        <v>0</v>
      </c>
      <c r="O1811" s="98">
        <v>0</v>
      </c>
      <c r="P1811" s="99">
        <v>18</v>
      </c>
      <c r="Q1811" s="98">
        <v>5659.56</v>
      </c>
      <c r="R1811" s="96" t="s">
        <v>625</v>
      </c>
      <c r="S1811" s="96">
        <v>7414000005</v>
      </c>
      <c r="AA1811" s="131" t="s">
        <v>459</v>
      </c>
      <c r="AB1811" s="130">
        <v>1308972.9282480001</v>
      </c>
      <c r="AC1811" s="130">
        <v>1308972.9282480001</v>
      </c>
    </row>
    <row r="1812" spans="1:29" x14ac:dyDescent="0.25">
      <c r="A1812" t="str">
        <f t="shared" si="29"/>
        <v xml:space="preserve">75220GOBFED 530731       </v>
      </c>
      <c r="B1812" s="96">
        <v>75220</v>
      </c>
      <c r="C1812" s="96" t="s">
        <v>847</v>
      </c>
      <c r="D1812" s="96" t="s">
        <v>503</v>
      </c>
      <c r="E1812" s="96" t="s">
        <v>623</v>
      </c>
      <c r="F1812" s="96" t="s">
        <v>624</v>
      </c>
      <c r="G1812" s="99">
        <v>50</v>
      </c>
      <c r="H1812" s="97">
        <v>43.85</v>
      </c>
      <c r="I1812" s="98">
        <v>2192.5</v>
      </c>
      <c r="J1812" s="97">
        <v>39.805799999999998</v>
      </c>
      <c r="K1812" s="98">
        <v>202.21</v>
      </c>
      <c r="L1812" s="99">
        <v>0</v>
      </c>
      <c r="M1812" s="98">
        <v>0</v>
      </c>
      <c r="N1812" s="99">
        <v>0</v>
      </c>
      <c r="O1812" s="98">
        <v>0</v>
      </c>
      <c r="P1812" s="99">
        <v>50</v>
      </c>
      <c r="Q1812" s="98">
        <v>2192.5</v>
      </c>
      <c r="R1812" s="96" t="s">
        <v>625</v>
      </c>
      <c r="S1812" s="96">
        <v>7414000005</v>
      </c>
      <c r="AA1812" s="131" t="s">
        <v>407</v>
      </c>
      <c r="AB1812" s="130">
        <v>7381869.6293160003</v>
      </c>
      <c r="AC1812" s="130">
        <v>7381869.6293160003</v>
      </c>
    </row>
    <row r="1813" spans="1:29" x14ac:dyDescent="0.25">
      <c r="A1813" t="str">
        <f t="shared" si="29"/>
        <v xml:space="preserve">75220GRUMA B             </v>
      </c>
      <c r="B1813" s="96">
        <v>75220</v>
      </c>
      <c r="C1813" s="96" t="s">
        <v>847</v>
      </c>
      <c r="D1813" s="96" t="s">
        <v>419</v>
      </c>
      <c r="E1813" s="96" t="s">
        <v>623</v>
      </c>
      <c r="F1813" s="96" t="s">
        <v>624</v>
      </c>
      <c r="G1813" s="99">
        <v>0</v>
      </c>
      <c r="H1813" s="97">
        <v>0</v>
      </c>
      <c r="I1813" s="98">
        <v>0</v>
      </c>
      <c r="J1813" s="97">
        <v>0</v>
      </c>
      <c r="K1813" s="98">
        <v>0</v>
      </c>
      <c r="L1813" s="99">
        <v>0</v>
      </c>
      <c r="M1813" s="98">
        <v>0</v>
      </c>
      <c r="N1813" s="99">
        <v>0</v>
      </c>
      <c r="O1813" s="98">
        <v>0</v>
      </c>
      <c r="P1813" s="99">
        <v>0</v>
      </c>
      <c r="Q1813" s="98">
        <v>0</v>
      </c>
      <c r="R1813" s="96" t="s">
        <v>625</v>
      </c>
      <c r="S1813" s="96">
        <v>7414000005</v>
      </c>
      <c r="AA1813" s="129">
        <v>65507528400</v>
      </c>
      <c r="AB1813" s="130">
        <v>111981871.528042</v>
      </c>
      <c r="AC1813" s="130">
        <v>111981871.528042</v>
      </c>
    </row>
    <row r="1814" spans="1:29" x14ac:dyDescent="0.25">
      <c r="A1814" t="str">
        <f t="shared" si="29"/>
        <v xml:space="preserve">75220HERDEZ *            </v>
      </c>
      <c r="B1814" s="96">
        <v>75220</v>
      </c>
      <c r="C1814" s="96" t="s">
        <v>847</v>
      </c>
      <c r="D1814" s="96" t="s">
        <v>540</v>
      </c>
      <c r="E1814" s="96" t="s">
        <v>623</v>
      </c>
      <c r="F1814" s="96" t="s">
        <v>624</v>
      </c>
      <c r="G1814" s="99">
        <v>54</v>
      </c>
      <c r="H1814" s="97">
        <v>36.28</v>
      </c>
      <c r="I1814" s="98">
        <v>1959.12</v>
      </c>
      <c r="J1814" s="97">
        <v>38.895370370370372</v>
      </c>
      <c r="K1814" s="98">
        <v>-141.22999999999999</v>
      </c>
      <c r="L1814" s="99">
        <v>0</v>
      </c>
      <c r="M1814" s="98">
        <v>0</v>
      </c>
      <c r="N1814" s="99">
        <v>0</v>
      </c>
      <c r="O1814" s="98">
        <v>0</v>
      </c>
      <c r="P1814" s="99">
        <v>54</v>
      </c>
      <c r="Q1814" s="98">
        <v>1959.12</v>
      </c>
      <c r="R1814" s="96" t="s">
        <v>625</v>
      </c>
      <c r="S1814" s="96">
        <v>7414000005</v>
      </c>
      <c r="AA1814" s="131" t="s">
        <v>389</v>
      </c>
      <c r="AB1814" s="130">
        <v>27173652.897112001</v>
      </c>
      <c r="AC1814" s="130">
        <v>27173652.897112001</v>
      </c>
    </row>
    <row r="1815" spans="1:29" x14ac:dyDescent="0.25">
      <c r="A1815" t="str">
        <f t="shared" si="29"/>
        <v xml:space="preserve">75220IENOVA *            </v>
      </c>
      <c r="B1815" s="96">
        <v>75220</v>
      </c>
      <c r="C1815" s="96" t="s">
        <v>847</v>
      </c>
      <c r="D1815" s="96" t="s">
        <v>553</v>
      </c>
      <c r="E1815" s="96" t="s">
        <v>623</v>
      </c>
      <c r="F1815" s="96" t="s">
        <v>624</v>
      </c>
      <c r="G1815" s="99">
        <v>18</v>
      </c>
      <c r="H1815" s="97">
        <v>136.35</v>
      </c>
      <c r="I1815" s="98">
        <v>2454.3000000000002</v>
      </c>
      <c r="J1815" s="97">
        <v>125.99222222222222</v>
      </c>
      <c r="K1815" s="98">
        <v>186.44</v>
      </c>
      <c r="L1815" s="99">
        <v>0</v>
      </c>
      <c r="M1815" s="98">
        <v>0</v>
      </c>
      <c r="N1815" s="99">
        <v>0</v>
      </c>
      <c r="O1815" s="98">
        <v>0</v>
      </c>
      <c r="P1815" s="99">
        <v>18</v>
      </c>
      <c r="Q1815" s="98">
        <v>2454.3000000000002</v>
      </c>
      <c r="R1815" s="96" t="s">
        <v>625</v>
      </c>
      <c r="S1815" s="96">
        <v>7414000005</v>
      </c>
      <c r="AA1815" s="131" t="s">
        <v>459</v>
      </c>
      <c r="AB1815" s="130">
        <v>12848294.297196001</v>
      </c>
      <c r="AC1815" s="130">
        <v>12848294.297196001</v>
      </c>
    </row>
    <row r="1816" spans="1:29" x14ac:dyDescent="0.25">
      <c r="A1816" t="str">
        <f t="shared" si="29"/>
        <v xml:space="preserve">75220LACOMER UBC         </v>
      </c>
      <c r="B1816" s="96">
        <v>75220</v>
      </c>
      <c r="C1816" s="96" t="s">
        <v>847</v>
      </c>
      <c r="D1816" s="96" t="s">
        <v>544</v>
      </c>
      <c r="E1816" s="96" t="s">
        <v>623</v>
      </c>
      <c r="F1816" s="96" t="s">
        <v>624</v>
      </c>
      <c r="G1816" s="99">
        <v>390</v>
      </c>
      <c r="H1816" s="97">
        <v>2.95</v>
      </c>
      <c r="I1816" s="98">
        <v>1150.5</v>
      </c>
      <c r="J1816" s="97">
        <v>4.489179487179487</v>
      </c>
      <c r="K1816" s="98">
        <v>-600.28</v>
      </c>
      <c r="L1816" s="99">
        <v>0</v>
      </c>
      <c r="M1816" s="98">
        <v>0</v>
      </c>
      <c r="N1816" s="99">
        <v>0</v>
      </c>
      <c r="O1816" s="98">
        <v>0</v>
      </c>
      <c r="P1816" s="99">
        <v>390</v>
      </c>
      <c r="Q1816" s="98">
        <v>1150.5</v>
      </c>
      <c r="R1816" s="96" t="s">
        <v>625</v>
      </c>
      <c r="S1816" s="96">
        <v>7414000005</v>
      </c>
      <c r="AA1816" s="131" t="s">
        <v>407</v>
      </c>
      <c r="AB1816" s="130">
        <v>71959924.333734006</v>
      </c>
      <c r="AC1816" s="130">
        <v>71959924.333734006</v>
      </c>
    </row>
    <row r="1817" spans="1:29" x14ac:dyDescent="0.25">
      <c r="A1817" t="str">
        <f t="shared" si="29"/>
        <v xml:space="preserve">75220LIVEPOL C-1         </v>
      </c>
      <c r="B1817" s="96">
        <v>75220</v>
      </c>
      <c r="C1817" s="96" t="s">
        <v>847</v>
      </c>
      <c r="D1817" s="96" t="s">
        <v>429</v>
      </c>
      <c r="E1817" s="96" t="s">
        <v>623</v>
      </c>
      <c r="F1817" s="96" t="s">
        <v>624</v>
      </c>
      <c r="G1817" s="99">
        <v>395</v>
      </c>
      <c r="H1817" s="97">
        <v>98.007834000000003</v>
      </c>
      <c r="I1817" s="98">
        <v>38713.094429999997</v>
      </c>
      <c r="J1817" s="97">
        <v>91.988153008860763</v>
      </c>
      <c r="K1817" s="98">
        <v>2377.7739915000002</v>
      </c>
      <c r="L1817" s="99">
        <v>0</v>
      </c>
      <c r="M1817" s="98">
        <v>0</v>
      </c>
      <c r="N1817" s="99">
        <v>0</v>
      </c>
      <c r="O1817" s="98">
        <v>0</v>
      </c>
      <c r="P1817" s="99">
        <v>395</v>
      </c>
      <c r="Q1817" s="98">
        <v>38713.094429999997</v>
      </c>
      <c r="R1817" s="96" t="s">
        <v>625</v>
      </c>
      <c r="S1817" s="96">
        <v>7414000005</v>
      </c>
      <c r="AA1817" s="129">
        <v>65507671187</v>
      </c>
      <c r="AB1817" s="130">
        <v>55433717.057081997</v>
      </c>
      <c r="AC1817" s="130">
        <v>55433717.057081997</v>
      </c>
    </row>
    <row r="1818" spans="1:29" x14ac:dyDescent="0.25">
      <c r="A1818" t="str">
        <f t="shared" si="29"/>
        <v xml:space="preserve">75220NEMAK A             </v>
      </c>
      <c r="B1818" s="96">
        <v>75220</v>
      </c>
      <c r="C1818" s="96" t="s">
        <v>847</v>
      </c>
      <c r="D1818" s="96" t="s">
        <v>541</v>
      </c>
      <c r="E1818" s="96" t="s">
        <v>623</v>
      </c>
      <c r="F1818" s="96" t="s">
        <v>624</v>
      </c>
      <c r="G1818" s="99">
        <v>30</v>
      </c>
      <c r="H1818" s="97">
        <v>156</v>
      </c>
      <c r="I1818" s="98">
        <v>4680</v>
      </c>
      <c r="J1818" s="97">
        <v>144.05133333333333</v>
      </c>
      <c r="K1818" s="98">
        <v>358.46</v>
      </c>
      <c r="L1818" s="99">
        <v>0</v>
      </c>
      <c r="M1818" s="98">
        <v>0</v>
      </c>
      <c r="N1818" s="99">
        <v>0</v>
      </c>
      <c r="O1818" s="98">
        <v>0</v>
      </c>
      <c r="P1818" s="99">
        <v>30</v>
      </c>
      <c r="Q1818" s="98">
        <v>4680</v>
      </c>
      <c r="R1818" s="96" t="s">
        <v>625</v>
      </c>
      <c r="S1818" s="96">
        <v>7414000005</v>
      </c>
      <c r="AA1818" s="131" t="s">
        <v>389</v>
      </c>
      <c r="AB1818" s="130">
        <v>13450299.991560001</v>
      </c>
      <c r="AC1818" s="130">
        <v>13450299.991560001</v>
      </c>
    </row>
    <row r="1819" spans="1:29" x14ac:dyDescent="0.25">
      <c r="A1819" t="str">
        <f t="shared" si="29"/>
        <v xml:space="preserve">75220PEMEX 13-2          </v>
      </c>
      <c r="B1819" s="96">
        <v>75220</v>
      </c>
      <c r="C1819" s="96" t="s">
        <v>847</v>
      </c>
      <c r="D1819" s="96" t="s">
        <v>459</v>
      </c>
      <c r="E1819" s="96" t="s">
        <v>623</v>
      </c>
      <c r="F1819" s="96" t="s">
        <v>624</v>
      </c>
      <c r="G1819" s="99">
        <v>52000</v>
      </c>
      <c r="H1819" s="97">
        <v>4.5848760000000004</v>
      </c>
      <c r="I1819" s="98">
        <v>238413.552</v>
      </c>
      <c r="J1819" s="97">
        <v>4.0912205769230772</v>
      </c>
      <c r="K1819" s="98">
        <v>25670.081999999999</v>
      </c>
      <c r="L1819" s="99">
        <v>0</v>
      </c>
      <c r="M1819" s="98">
        <v>0</v>
      </c>
      <c r="N1819" s="99">
        <v>0</v>
      </c>
      <c r="O1819" s="98">
        <v>0</v>
      </c>
      <c r="P1819" s="99">
        <v>52000</v>
      </c>
      <c r="Q1819" s="98">
        <v>238413.552</v>
      </c>
      <c r="R1819" s="96" t="s">
        <v>625</v>
      </c>
      <c r="S1819" s="96">
        <v>7414000005</v>
      </c>
      <c r="AA1819" s="131" t="s">
        <v>459</v>
      </c>
      <c r="AB1819" s="130">
        <v>6360992.7741360003</v>
      </c>
      <c r="AC1819" s="130">
        <v>6360992.7741360003</v>
      </c>
    </row>
    <row r="1820" spans="1:29" x14ac:dyDescent="0.25">
      <c r="A1820" t="str">
        <f t="shared" si="29"/>
        <v xml:space="preserve">75220R A                 </v>
      </c>
      <c r="B1820" s="96">
        <v>75220</v>
      </c>
      <c r="C1820" s="96" t="s">
        <v>847</v>
      </c>
      <c r="D1820" s="96" t="s">
        <v>389</v>
      </c>
      <c r="E1820" s="96" t="s">
        <v>623</v>
      </c>
      <c r="F1820" s="96" t="s">
        <v>624</v>
      </c>
      <c r="G1820" s="99">
        <v>203484</v>
      </c>
      <c r="H1820" s="97">
        <v>3.3967719999999999</v>
      </c>
      <c r="I1820" s="98">
        <v>691188.75364799995</v>
      </c>
      <c r="J1820" s="97">
        <v>3.266363350435415</v>
      </c>
      <c r="K1820" s="98">
        <v>26536.073648000001</v>
      </c>
      <c r="L1820" s="99">
        <v>0</v>
      </c>
      <c r="M1820" s="98">
        <v>0</v>
      </c>
      <c r="N1820" s="99">
        <v>0</v>
      </c>
      <c r="O1820" s="98">
        <v>0</v>
      </c>
      <c r="P1820" s="99">
        <v>203484</v>
      </c>
      <c r="Q1820" s="98">
        <v>691188.75364799995</v>
      </c>
      <c r="R1820" s="96" t="s">
        <v>625</v>
      </c>
      <c r="S1820" s="96">
        <v>7414000005</v>
      </c>
      <c r="AA1820" s="131" t="s">
        <v>407</v>
      </c>
      <c r="AB1820" s="130">
        <v>35622424.291386001</v>
      </c>
      <c r="AC1820" s="130">
        <v>35622424.291386001</v>
      </c>
    </row>
    <row r="1821" spans="1:29" x14ac:dyDescent="0.25">
      <c r="A1821" t="str">
        <f t="shared" si="29"/>
        <v xml:space="preserve">75220STER-OP ED          </v>
      </c>
      <c r="B1821" s="96">
        <v>75220</v>
      </c>
      <c r="C1821" s="96" t="s">
        <v>847</v>
      </c>
      <c r="D1821" s="96" t="s">
        <v>500</v>
      </c>
      <c r="E1821" s="96" t="s">
        <v>623</v>
      </c>
      <c r="F1821" s="96" t="s">
        <v>624</v>
      </c>
      <c r="G1821" s="99">
        <v>76</v>
      </c>
      <c r="H1821" s="97">
        <v>31.41</v>
      </c>
      <c r="I1821" s="98">
        <v>2387.16</v>
      </c>
      <c r="J1821" s="97">
        <v>33.13144736842105</v>
      </c>
      <c r="K1821" s="98">
        <v>-130.83000000000001</v>
      </c>
      <c r="L1821" s="99">
        <v>0</v>
      </c>
      <c r="M1821" s="98">
        <v>0</v>
      </c>
      <c r="N1821" s="99">
        <v>0</v>
      </c>
      <c r="O1821" s="98">
        <v>0</v>
      </c>
      <c r="P1821" s="99">
        <v>76</v>
      </c>
      <c r="Q1821" s="98">
        <v>2387.16</v>
      </c>
      <c r="R1821" s="96" t="s">
        <v>625</v>
      </c>
      <c r="S1821" s="96">
        <v>7414000005</v>
      </c>
      <c r="AA1821" s="129">
        <v>65507684270</v>
      </c>
      <c r="AB1821" s="130">
        <v>73521122.644917995</v>
      </c>
      <c r="AC1821" s="130">
        <v>73521122.644917995</v>
      </c>
    </row>
    <row r="1822" spans="1:29" x14ac:dyDescent="0.25">
      <c r="A1822" t="str">
        <f t="shared" si="29"/>
        <v xml:space="preserve">75220STERGOB ED          </v>
      </c>
      <c r="B1822" s="96">
        <v>75220</v>
      </c>
      <c r="C1822" s="96" t="s">
        <v>847</v>
      </c>
      <c r="D1822" s="96" t="s">
        <v>565</v>
      </c>
      <c r="E1822" s="96" t="s">
        <v>623</v>
      </c>
      <c r="F1822" s="96" t="s">
        <v>624</v>
      </c>
      <c r="G1822" s="99">
        <v>0</v>
      </c>
      <c r="H1822" s="97">
        <v>0</v>
      </c>
      <c r="I1822" s="98">
        <v>0</v>
      </c>
      <c r="J1822" s="97">
        <v>0</v>
      </c>
      <c r="K1822" s="98">
        <v>0</v>
      </c>
      <c r="L1822" s="99">
        <v>0</v>
      </c>
      <c r="M1822" s="98">
        <v>0</v>
      </c>
      <c r="N1822" s="99">
        <v>0</v>
      </c>
      <c r="O1822" s="98">
        <v>0</v>
      </c>
      <c r="P1822" s="99">
        <v>0</v>
      </c>
      <c r="Q1822" s="98">
        <v>0</v>
      </c>
      <c r="R1822" s="96" t="s">
        <v>625</v>
      </c>
      <c r="S1822" s="96">
        <v>7414000005</v>
      </c>
      <c r="AA1822" s="131" t="s">
        <v>389</v>
      </c>
      <c r="AB1822" s="130">
        <v>17907608.748628002</v>
      </c>
      <c r="AC1822" s="130">
        <v>17907608.748628002</v>
      </c>
    </row>
    <row r="1823" spans="1:29" x14ac:dyDescent="0.25">
      <c r="A1823" t="str">
        <f t="shared" si="29"/>
        <v xml:space="preserve">75220TRAXION A           </v>
      </c>
      <c r="B1823" s="96">
        <v>75220</v>
      </c>
      <c r="C1823" s="96" t="s">
        <v>847</v>
      </c>
      <c r="D1823" s="96" t="s">
        <v>391</v>
      </c>
      <c r="E1823" s="96" t="s">
        <v>623</v>
      </c>
      <c r="F1823" s="96" t="s">
        <v>624</v>
      </c>
      <c r="G1823" s="99">
        <v>9</v>
      </c>
      <c r="H1823" s="97">
        <v>775.69178699999998</v>
      </c>
      <c r="I1823" s="98">
        <v>6981.2260829999996</v>
      </c>
      <c r="J1823" s="97">
        <v>728.26654728000005</v>
      </c>
      <c r="K1823" s="98">
        <v>426.82715747999998</v>
      </c>
      <c r="L1823" s="99">
        <v>0</v>
      </c>
      <c r="M1823" s="98">
        <v>0</v>
      </c>
      <c r="N1823" s="99">
        <v>0</v>
      </c>
      <c r="O1823" s="98">
        <v>0</v>
      </c>
      <c r="P1823" s="99">
        <v>9</v>
      </c>
      <c r="Q1823" s="98">
        <v>6981.2260829999996</v>
      </c>
      <c r="R1823" s="96" t="s">
        <v>625</v>
      </c>
      <c r="S1823" s="96">
        <v>7414000005</v>
      </c>
      <c r="AA1823" s="131" t="s">
        <v>459</v>
      </c>
      <c r="AB1823" s="130">
        <v>8396929.8863159996</v>
      </c>
      <c r="AC1823" s="130">
        <v>8396929.8863159996</v>
      </c>
    </row>
    <row r="1824" spans="1:29" x14ac:dyDescent="0.25">
      <c r="A1824" t="str">
        <f t="shared" si="29"/>
        <v xml:space="preserve">75220UDIBONO 141218      </v>
      </c>
      <c r="B1824" s="96">
        <v>75220</v>
      </c>
      <c r="C1824" s="96" t="s">
        <v>847</v>
      </c>
      <c r="D1824" s="96" t="s">
        <v>392</v>
      </c>
      <c r="E1824" s="96" t="s">
        <v>623</v>
      </c>
      <c r="F1824" s="96" t="s">
        <v>624</v>
      </c>
      <c r="G1824" s="99">
        <v>60</v>
      </c>
      <c r="H1824" s="97">
        <v>747.17843200000004</v>
      </c>
      <c r="I1824" s="98">
        <v>44830.70592</v>
      </c>
      <c r="J1824" s="97">
        <v>709.94684380499996</v>
      </c>
      <c r="K1824" s="98">
        <v>2233.8952917000001</v>
      </c>
      <c r="L1824" s="99">
        <v>0</v>
      </c>
      <c r="M1824" s="98">
        <v>0</v>
      </c>
      <c r="N1824" s="99">
        <v>0</v>
      </c>
      <c r="O1824" s="98">
        <v>0</v>
      </c>
      <c r="P1824" s="99">
        <v>60</v>
      </c>
      <c r="Q1824" s="98">
        <v>44830.70592</v>
      </c>
      <c r="R1824" s="96" t="s">
        <v>625</v>
      </c>
      <c r="S1824" s="96">
        <v>7414000005</v>
      </c>
      <c r="AA1824" s="131" t="s">
        <v>407</v>
      </c>
      <c r="AB1824" s="130">
        <v>47216584.009974003</v>
      </c>
      <c r="AC1824" s="130">
        <v>47216584.009974003</v>
      </c>
    </row>
    <row r="1825" spans="1:29" x14ac:dyDescent="0.25">
      <c r="A1825" t="str">
        <f t="shared" si="29"/>
        <v xml:space="preserve">75220UDIBONO 251204      </v>
      </c>
      <c r="B1825" s="96">
        <v>75220</v>
      </c>
      <c r="C1825" s="96" t="s">
        <v>847</v>
      </c>
      <c r="D1825" s="96" t="s">
        <v>393</v>
      </c>
      <c r="E1825" s="96" t="s">
        <v>623</v>
      </c>
      <c r="F1825" s="96" t="s">
        <v>624</v>
      </c>
      <c r="G1825" s="99">
        <v>24</v>
      </c>
      <c r="H1825" s="97">
        <v>765.92388300000005</v>
      </c>
      <c r="I1825" s="98">
        <v>18382.173191999998</v>
      </c>
      <c r="J1825" s="97">
        <v>773.79722630833328</v>
      </c>
      <c r="K1825" s="98">
        <v>-188.96023940000001</v>
      </c>
      <c r="L1825" s="99">
        <v>0</v>
      </c>
      <c r="M1825" s="98">
        <v>0</v>
      </c>
      <c r="N1825" s="99">
        <v>0</v>
      </c>
      <c r="O1825" s="98">
        <v>0</v>
      </c>
      <c r="P1825" s="99">
        <v>24</v>
      </c>
      <c r="Q1825" s="98">
        <v>18382.173191999998</v>
      </c>
      <c r="R1825" s="96" t="s">
        <v>625</v>
      </c>
      <c r="S1825" s="96">
        <v>7414000005</v>
      </c>
      <c r="AA1825" s="129">
        <v>65507684389</v>
      </c>
      <c r="AB1825" s="130">
        <v>464909709.46544802</v>
      </c>
      <c r="AC1825" s="130">
        <v>464909709.46544802</v>
      </c>
    </row>
    <row r="1826" spans="1:29" x14ac:dyDescent="0.25">
      <c r="A1826" t="str">
        <f t="shared" si="29"/>
        <v xml:space="preserve">75220UDIBONO 261203      </v>
      </c>
      <c r="B1826" s="96">
        <v>75220</v>
      </c>
      <c r="C1826" s="96" t="s">
        <v>847</v>
      </c>
      <c r="D1826" s="96" t="s">
        <v>394</v>
      </c>
      <c r="E1826" s="96" t="s">
        <v>623</v>
      </c>
      <c r="F1826" s="96" t="s">
        <v>624</v>
      </c>
      <c r="G1826" s="99">
        <v>24</v>
      </c>
      <c r="H1826" s="97">
        <v>684.88915799999995</v>
      </c>
      <c r="I1826" s="98">
        <v>16437.339791999999</v>
      </c>
      <c r="J1826" s="97">
        <v>674.82119490000002</v>
      </c>
      <c r="K1826" s="98">
        <v>241.6311144</v>
      </c>
      <c r="L1826" s="99">
        <v>0</v>
      </c>
      <c r="M1826" s="98">
        <v>0</v>
      </c>
      <c r="N1826" s="99">
        <v>0</v>
      </c>
      <c r="O1826" s="98">
        <v>0</v>
      </c>
      <c r="P1826" s="99">
        <v>24</v>
      </c>
      <c r="Q1826" s="98">
        <v>16437.339791999999</v>
      </c>
      <c r="R1826" s="96" t="s">
        <v>625</v>
      </c>
      <c r="S1826" s="96">
        <v>7414000005</v>
      </c>
      <c r="AA1826" s="131" t="s">
        <v>389</v>
      </c>
      <c r="AB1826" s="130">
        <v>112806444.855712</v>
      </c>
      <c r="AC1826" s="130">
        <v>112806444.855712</v>
      </c>
    </row>
    <row r="1827" spans="1:29" x14ac:dyDescent="0.25">
      <c r="A1827" t="str">
        <f t="shared" si="29"/>
        <v xml:space="preserve">75220UDIBONO 281130      </v>
      </c>
      <c r="B1827" s="96">
        <v>75220</v>
      </c>
      <c r="C1827" s="96" t="s">
        <v>847</v>
      </c>
      <c r="D1827" s="96" t="s">
        <v>395</v>
      </c>
      <c r="E1827" s="96" t="s">
        <v>623</v>
      </c>
      <c r="F1827" s="96" t="s">
        <v>624</v>
      </c>
      <c r="G1827" s="99">
        <v>20</v>
      </c>
      <c r="H1827" s="97">
        <v>772.926965</v>
      </c>
      <c r="I1827" s="98">
        <v>15458.5393</v>
      </c>
      <c r="J1827" s="97">
        <v>798.93664675000002</v>
      </c>
      <c r="K1827" s="98">
        <v>-520.19363499999997</v>
      </c>
      <c r="L1827" s="99">
        <v>0</v>
      </c>
      <c r="M1827" s="98">
        <v>0</v>
      </c>
      <c r="N1827" s="99">
        <v>0</v>
      </c>
      <c r="O1827" s="98">
        <v>0</v>
      </c>
      <c r="P1827" s="99">
        <v>20</v>
      </c>
      <c r="Q1827" s="98">
        <v>15458.5393</v>
      </c>
      <c r="R1827" s="96" t="s">
        <v>625</v>
      </c>
      <c r="S1827" s="96">
        <v>7414000005</v>
      </c>
      <c r="AA1827" s="131" t="s">
        <v>459</v>
      </c>
      <c r="AB1827" s="130">
        <v>53345522.841732003</v>
      </c>
      <c r="AC1827" s="130">
        <v>53345522.841732003</v>
      </c>
    </row>
    <row r="1828" spans="1:29" x14ac:dyDescent="0.25">
      <c r="A1828" t="str">
        <f t="shared" si="29"/>
        <v xml:space="preserve">75220UDIBONO 311127      </v>
      </c>
      <c r="B1828" s="96">
        <v>75220</v>
      </c>
      <c r="C1828" s="96" t="s">
        <v>847</v>
      </c>
      <c r="D1828" s="96" t="s">
        <v>396</v>
      </c>
      <c r="E1828" s="96" t="s">
        <v>623</v>
      </c>
      <c r="F1828" s="96" t="s">
        <v>624</v>
      </c>
      <c r="G1828" s="99">
        <v>6</v>
      </c>
      <c r="H1828" s="97">
        <v>721.59464000000003</v>
      </c>
      <c r="I1828" s="98">
        <v>4329.5678399999997</v>
      </c>
      <c r="J1828" s="97">
        <v>634.44666196666662</v>
      </c>
      <c r="K1828" s="98">
        <v>522.88786819999996</v>
      </c>
      <c r="L1828" s="99">
        <v>0</v>
      </c>
      <c r="M1828" s="98">
        <v>0</v>
      </c>
      <c r="N1828" s="99">
        <v>0</v>
      </c>
      <c r="O1828" s="98">
        <v>0</v>
      </c>
      <c r="P1828" s="99">
        <v>6</v>
      </c>
      <c r="Q1828" s="98">
        <v>4329.5678399999997</v>
      </c>
      <c r="R1828" s="96" t="s">
        <v>625</v>
      </c>
      <c r="S1828" s="96">
        <v>7414000005</v>
      </c>
      <c r="AA1828" s="131" t="s">
        <v>407</v>
      </c>
      <c r="AB1828" s="130">
        <v>298757741.768004</v>
      </c>
      <c r="AC1828" s="130">
        <v>298757741.768004</v>
      </c>
    </row>
    <row r="1829" spans="1:29" x14ac:dyDescent="0.25">
      <c r="A1829" t="str">
        <f t="shared" si="29"/>
        <v xml:space="preserve">75220UDIBONO 351122      </v>
      </c>
      <c r="B1829" s="96">
        <v>75220</v>
      </c>
      <c r="C1829" s="96" t="s">
        <v>847</v>
      </c>
      <c r="D1829" s="96" t="s">
        <v>398</v>
      </c>
      <c r="E1829" s="96" t="s">
        <v>623</v>
      </c>
      <c r="F1829" s="96" t="s">
        <v>624</v>
      </c>
      <c r="G1829" s="99">
        <v>15</v>
      </c>
      <c r="H1829" s="97">
        <v>709.36974099999998</v>
      </c>
      <c r="I1829" s="98">
        <v>10640.546114999999</v>
      </c>
      <c r="J1829" s="97">
        <v>700.5651538533333</v>
      </c>
      <c r="K1829" s="98">
        <v>132.06880720000001</v>
      </c>
      <c r="L1829" s="99">
        <v>0</v>
      </c>
      <c r="M1829" s="98">
        <v>0</v>
      </c>
      <c r="N1829" s="99">
        <v>0</v>
      </c>
      <c r="O1829" s="98">
        <v>0</v>
      </c>
      <c r="P1829" s="99">
        <v>15</v>
      </c>
      <c r="Q1829" s="98">
        <v>10640.546114999999</v>
      </c>
      <c r="R1829" s="96" t="s">
        <v>625</v>
      </c>
      <c r="S1829" s="96">
        <v>7414000005</v>
      </c>
      <c r="AA1829" s="129">
        <v>1033795</v>
      </c>
      <c r="AB1829" s="130">
        <v>11634623.918634001</v>
      </c>
      <c r="AC1829" s="130">
        <v>11634623.918634001</v>
      </c>
    </row>
    <row r="1830" spans="1:29" x14ac:dyDescent="0.25">
      <c r="A1830" t="str">
        <f t="shared" si="29"/>
        <v xml:space="preserve">75220UDIBONO 401115      </v>
      </c>
      <c r="B1830" s="96">
        <v>75220</v>
      </c>
      <c r="C1830" s="96" t="s">
        <v>847</v>
      </c>
      <c r="D1830" s="96" t="s">
        <v>400</v>
      </c>
      <c r="E1830" s="96" t="s">
        <v>623</v>
      </c>
      <c r="F1830" s="96" t="s">
        <v>624</v>
      </c>
      <c r="G1830" s="99">
        <v>140</v>
      </c>
      <c r="H1830" s="97">
        <v>58.67</v>
      </c>
      <c r="I1830" s="98">
        <v>8213.7999999999993</v>
      </c>
      <c r="J1830" s="97">
        <v>46.810428571428574</v>
      </c>
      <c r="K1830" s="98">
        <v>1660.34</v>
      </c>
      <c r="L1830" s="99">
        <v>0</v>
      </c>
      <c r="M1830" s="98">
        <v>0</v>
      </c>
      <c r="N1830" s="99">
        <v>0</v>
      </c>
      <c r="O1830" s="98">
        <v>0</v>
      </c>
      <c r="P1830" s="99">
        <v>140</v>
      </c>
      <c r="Q1830" s="98">
        <v>8213.7999999999993</v>
      </c>
      <c r="R1830" s="96" t="s">
        <v>625</v>
      </c>
      <c r="S1830" s="96">
        <v>7414000005</v>
      </c>
      <c r="AA1830" s="131" t="s">
        <v>389</v>
      </c>
      <c r="AB1830" s="130">
        <v>9602609.9053320009</v>
      </c>
      <c r="AC1830" s="130">
        <v>9602609.9053320009</v>
      </c>
    </row>
    <row r="1831" spans="1:29" x14ac:dyDescent="0.25">
      <c r="A1831" t="str">
        <f t="shared" si="29"/>
        <v xml:space="preserve">75220UDIBONO 461108      </v>
      </c>
      <c r="B1831" s="96">
        <v>75220</v>
      </c>
      <c r="C1831" s="96" t="s">
        <v>847</v>
      </c>
      <c r="D1831" s="96" t="s">
        <v>403</v>
      </c>
      <c r="E1831" s="96" t="s">
        <v>623</v>
      </c>
      <c r="F1831" s="96" t="s">
        <v>624</v>
      </c>
      <c r="G1831" s="99">
        <v>200</v>
      </c>
      <c r="H1831" s="97">
        <v>65.260000000000005</v>
      </c>
      <c r="I1831" s="98">
        <v>13052</v>
      </c>
      <c r="J1831" s="97">
        <v>68.203550000000007</v>
      </c>
      <c r="K1831" s="98">
        <v>-588.71</v>
      </c>
      <c r="L1831" s="99">
        <v>0</v>
      </c>
      <c r="M1831" s="98">
        <v>0</v>
      </c>
      <c r="N1831" s="99">
        <v>0</v>
      </c>
      <c r="O1831" s="98">
        <v>0</v>
      </c>
      <c r="P1831" s="99">
        <v>200</v>
      </c>
      <c r="Q1831" s="98">
        <v>13052</v>
      </c>
      <c r="R1831" s="96" t="s">
        <v>625</v>
      </c>
      <c r="S1831" s="96">
        <v>7414000005</v>
      </c>
      <c r="AA1831" s="131" t="s">
        <v>417</v>
      </c>
      <c r="AB1831" s="130">
        <v>642411.16708799999</v>
      </c>
      <c r="AC1831" s="130">
        <v>642411.16708799999</v>
      </c>
    </row>
    <row r="1832" spans="1:29" x14ac:dyDescent="0.25">
      <c r="A1832" t="str">
        <f t="shared" si="29"/>
        <v xml:space="preserve">75220VESTA *             </v>
      </c>
      <c r="B1832" s="96">
        <v>75221</v>
      </c>
      <c r="C1832" s="96" t="s">
        <v>848</v>
      </c>
      <c r="D1832" s="96" t="s">
        <v>409</v>
      </c>
      <c r="E1832" s="96" t="s">
        <v>623</v>
      </c>
      <c r="F1832" s="96" t="s">
        <v>624</v>
      </c>
      <c r="G1832" s="99">
        <v>784170</v>
      </c>
      <c r="H1832" s="97">
        <v>9.3381629999999998</v>
      </c>
      <c r="I1832" s="98">
        <v>7322707.2797100004</v>
      </c>
      <c r="J1832" s="97">
        <v>8.3307969100000001</v>
      </c>
      <c r="K1832" s="98">
        <v>789946.26679529995</v>
      </c>
      <c r="L1832" s="99">
        <v>0</v>
      </c>
      <c r="M1832" s="98">
        <v>0</v>
      </c>
      <c r="N1832" s="99">
        <v>0</v>
      </c>
      <c r="O1832" s="98">
        <v>0</v>
      </c>
      <c r="P1832" s="99">
        <v>784170</v>
      </c>
      <c r="Q1832" s="98">
        <v>7322707.2797100004</v>
      </c>
      <c r="R1832" s="96" t="s">
        <v>625</v>
      </c>
      <c r="S1832" s="96">
        <v>7414000005</v>
      </c>
      <c r="AA1832" s="131" t="s">
        <v>407</v>
      </c>
      <c r="AB1832" s="130">
        <v>1389602.8462139999</v>
      </c>
      <c r="AC1832" s="130">
        <v>1389602.8462139999</v>
      </c>
    </row>
    <row r="1833" spans="1:29" x14ac:dyDescent="0.25">
      <c r="A1833" t="str">
        <f t="shared" si="29"/>
        <v xml:space="preserve">75220WALMEX *            </v>
      </c>
      <c r="B1833" s="96">
        <v>75221</v>
      </c>
      <c r="C1833" s="96" t="s">
        <v>848</v>
      </c>
      <c r="D1833" s="96" t="s">
        <v>613</v>
      </c>
      <c r="E1833" s="96" t="s">
        <v>623</v>
      </c>
      <c r="F1833" s="96" t="s">
        <v>624</v>
      </c>
      <c r="G1833" s="99">
        <v>73540</v>
      </c>
      <c r="H1833" s="97">
        <v>8.2580650000000002</v>
      </c>
      <c r="I1833" s="98">
        <v>607298.10010000004</v>
      </c>
      <c r="J1833" s="97">
        <v>8.2501711100000001</v>
      </c>
      <c r="K1833" s="98">
        <v>580.5166706</v>
      </c>
      <c r="L1833" s="99">
        <v>0</v>
      </c>
      <c r="M1833" s="98">
        <v>0</v>
      </c>
      <c r="N1833" s="99">
        <v>0</v>
      </c>
      <c r="O1833" s="98">
        <v>0</v>
      </c>
      <c r="P1833" s="99">
        <v>73540</v>
      </c>
      <c r="Q1833" s="98">
        <v>607298.10010000004</v>
      </c>
      <c r="R1833" s="96" t="s">
        <v>625</v>
      </c>
      <c r="S1833" s="96">
        <v>7414000005</v>
      </c>
      <c r="AA1833" s="129">
        <v>1033796</v>
      </c>
      <c r="AB1833" s="130">
        <v>737.09952399999997</v>
      </c>
      <c r="AC1833" s="130">
        <v>737.09952399999997</v>
      </c>
    </row>
    <row r="1834" spans="1:29" x14ac:dyDescent="0.25">
      <c r="A1834" t="str">
        <f t="shared" si="29"/>
        <v xml:space="preserve">75221CETES 241128        </v>
      </c>
      <c r="B1834" s="96">
        <v>75221</v>
      </c>
      <c r="C1834" s="96" t="s">
        <v>848</v>
      </c>
      <c r="D1834" s="96" t="s">
        <v>376</v>
      </c>
      <c r="E1834" s="96" t="s">
        <v>623</v>
      </c>
      <c r="F1834" s="96" t="s">
        <v>624</v>
      </c>
      <c r="G1834" s="99">
        <v>0</v>
      </c>
      <c r="H1834" s="97">
        <v>0</v>
      </c>
      <c r="I1834" s="98">
        <v>0</v>
      </c>
      <c r="J1834" s="97">
        <v>0</v>
      </c>
      <c r="K1834" s="98">
        <v>0</v>
      </c>
      <c r="L1834" s="99">
        <v>0</v>
      </c>
      <c r="M1834" s="98">
        <v>0</v>
      </c>
      <c r="N1834" s="99">
        <v>0</v>
      </c>
      <c r="O1834" s="98">
        <v>0</v>
      </c>
      <c r="P1834" s="99">
        <v>0</v>
      </c>
      <c r="Q1834" s="98">
        <v>0</v>
      </c>
      <c r="R1834" s="96" t="s">
        <v>625</v>
      </c>
      <c r="S1834" s="96">
        <v>7414000005</v>
      </c>
      <c r="AA1834" s="131" t="s">
        <v>389</v>
      </c>
      <c r="AB1834" s="130">
        <v>737.09952399999997</v>
      </c>
      <c r="AC1834" s="130">
        <v>737.09952399999997</v>
      </c>
    </row>
    <row r="1835" spans="1:29" x14ac:dyDescent="0.25">
      <c r="A1835" t="str">
        <f t="shared" si="29"/>
        <v xml:space="preserve">75221CETES 260219        </v>
      </c>
      <c r="B1835" s="96">
        <v>75221</v>
      </c>
      <c r="C1835" s="96" t="s">
        <v>848</v>
      </c>
      <c r="D1835" s="96" t="s">
        <v>382</v>
      </c>
      <c r="E1835" s="96" t="s">
        <v>623</v>
      </c>
      <c r="F1835" s="96" t="s">
        <v>624</v>
      </c>
      <c r="G1835" s="99">
        <v>0</v>
      </c>
      <c r="H1835" s="97">
        <v>0</v>
      </c>
      <c r="I1835" s="98">
        <v>0</v>
      </c>
      <c r="J1835" s="97">
        <v>0</v>
      </c>
      <c r="K1835" s="98">
        <v>0</v>
      </c>
      <c r="L1835" s="99">
        <v>0</v>
      </c>
      <c r="M1835" s="98">
        <v>0</v>
      </c>
      <c r="N1835" s="99">
        <v>0</v>
      </c>
      <c r="O1835" s="98">
        <v>0</v>
      </c>
      <c r="P1835" s="99">
        <v>0</v>
      </c>
      <c r="Q1835" s="98">
        <v>0</v>
      </c>
      <c r="R1835" s="96" t="s">
        <v>625</v>
      </c>
      <c r="S1835" s="96">
        <v>7414000005</v>
      </c>
      <c r="AA1835" s="129">
        <v>1032902</v>
      </c>
      <c r="AB1835" s="130">
        <v>15887015.147024</v>
      </c>
      <c r="AC1835" s="130">
        <v>15887015.147024</v>
      </c>
    </row>
    <row r="1836" spans="1:29" x14ac:dyDescent="0.25">
      <c r="A1836" t="str">
        <f t="shared" si="29"/>
        <v xml:space="preserve">75221GOBFED 241205       </v>
      </c>
      <c r="B1836" s="96">
        <v>75221</v>
      </c>
      <c r="C1836" s="96" t="s">
        <v>848</v>
      </c>
      <c r="D1836" s="96" t="s">
        <v>384</v>
      </c>
      <c r="E1836" s="96" t="s">
        <v>623</v>
      </c>
      <c r="F1836" s="96" t="s">
        <v>624</v>
      </c>
      <c r="G1836" s="99">
        <v>12000</v>
      </c>
      <c r="H1836" s="97">
        <v>81.738860000000003</v>
      </c>
      <c r="I1836" s="98">
        <v>980866.32</v>
      </c>
      <c r="J1836" s="97">
        <v>82.321475193333328</v>
      </c>
      <c r="K1836" s="98">
        <v>-6991.3823199999997</v>
      </c>
      <c r="L1836" s="99">
        <v>0</v>
      </c>
      <c r="M1836" s="98">
        <v>0</v>
      </c>
      <c r="N1836" s="99">
        <v>0</v>
      </c>
      <c r="O1836" s="98">
        <v>0</v>
      </c>
      <c r="P1836" s="99">
        <v>12000</v>
      </c>
      <c r="Q1836" s="98">
        <v>980866.32</v>
      </c>
      <c r="R1836" s="96" t="s">
        <v>625</v>
      </c>
      <c r="S1836" s="96">
        <v>7414000005</v>
      </c>
      <c r="AA1836" s="131" t="s">
        <v>389</v>
      </c>
      <c r="AB1836" s="130">
        <v>15887015.147024</v>
      </c>
      <c r="AC1836" s="130">
        <v>15887015.147024</v>
      </c>
    </row>
    <row r="1837" spans="1:29" x14ac:dyDescent="0.25">
      <c r="A1837" t="str">
        <f t="shared" si="29"/>
        <v xml:space="preserve">75221GOBFED 310529       </v>
      </c>
      <c r="B1837" s="96">
        <v>75221</v>
      </c>
      <c r="C1837" s="96" t="s">
        <v>848</v>
      </c>
      <c r="D1837" s="96" t="s">
        <v>386</v>
      </c>
      <c r="E1837" s="96" t="s">
        <v>623</v>
      </c>
      <c r="F1837" s="96" t="s">
        <v>624</v>
      </c>
      <c r="G1837" s="99">
        <v>25000</v>
      </c>
      <c r="H1837" s="97">
        <v>82.159907000000004</v>
      </c>
      <c r="I1837" s="98">
        <v>2053997.675</v>
      </c>
      <c r="J1837" s="97">
        <v>84.345688319999994</v>
      </c>
      <c r="K1837" s="98">
        <v>-54644.533000000003</v>
      </c>
      <c r="L1837" s="99">
        <v>0</v>
      </c>
      <c r="M1837" s="98">
        <v>0</v>
      </c>
      <c r="N1837" s="99">
        <v>0</v>
      </c>
      <c r="O1837" s="98">
        <v>0</v>
      </c>
      <c r="P1837" s="99">
        <v>25000</v>
      </c>
      <c r="Q1837" s="98">
        <v>2053997.675</v>
      </c>
      <c r="R1837" s="96" t="s">
        <v>625</v>
      </c>
      <c r="S1837" s="96">
        <v>7414000005</v>
      </c>
      <c r="AA1837" s="129">
        <v>1034700</v>
      </c>
      <c r="AB1837" s="130">
        <v>6097351.8011959996</v>
      </c>
      <c r="AC1837" s="130">
        <v>6097351.8011959996</v>
      </c>
    </row>
    <row r="1838" spans="1:29" x14ac:dyDescent="0.25">
      <c r="A1838" t="str">
        <f t="shared" si="29"/>
        <v xml:space="preserve">75221GOBFED 421113       </v>
      </c>
      <c r="B1838" s="96">
        <v>75221</v>
      </c>
      <c r="C1838" s="96" t="s">
        <v>848</v>
      </c>
      <c r="D1838" s="96" t="s">
        <v>389</v>
      </c>
      <c r="E1838" s="96" t="s">
        <v>623</v>
      </c>
      <c r="F1838" s="96" t="s">
        <v>624</v>
      </c>
      <c r="G1838" s="99">
        <v>2459952</v>
      </c>
      <c r="H1838" s="97">
        <v>3.3967719999999999</v>
      </c>
      <c r="I1838" s="98">
        <v>8355896.0749439998</v>
      </c>
      <c r="J1838" s="97">
        <v>3.3030511570957484</v>
      </c>
      <c r="K1838" s="98">
        <v>230548.774944</v>
      </c>
      <c r="L1838" s="99">
        <v>0</v>
      </c>
      <c r="M1838" s="98">
        <v>0</v>
      </c>
      <c r="N1838" s="99">
        <v>0</v>
      </c>
      <c r="O1838" s="98">
        <v>0</v>
      </c>
      <c r="P1838" s="99">
        <v>2459952</v>
      </c>
      <c r="Q1838" s="98">
        <v>8355896.0749439998</v>
      </c>
      <c r="R1838" s="96" t="s">
        <v>625</v>
      </c>
      <c r="S1838" s="96">
        <v>7414000005</v>
      </c>
      <c r="AA1838" s="131" t="s">
        <v>389</v>
      </c>
      <c r="AB1838" s="130">
        <v>6097351.8011959996</v>
      </c>
      <c r="AC1838" s="130">
        <v>6097351.8011959996</v>
      </c>
    </row>
    <row r="1839" spans="1:29" x14ac:dyDescent="0.25">
      <c r="A1839" t="str">
        <f t="shared" si="29"/>
        <v xml:space="preserve">75221GOBFED 530731       </v>
      </c>
      <c r="B1839" s="96">
        <v>75221</v>
      </c>
      <c r="C1839" s="96" t="s">
        <v>848</v>
      </c>
      <c r="D1839" s="96" t="s">
        <v>394</v>
      </c>
      <c r="E1839" s="96" t="s">
        <v>623</v>
      </c>
      <c r="F1839" s="96" t="s">
        <v>624</v>
      </c>
      <c r="G1839" s="99">
        <v>6000</v>
      </c>
      <c r="H1839" s="97">
        <v>684.88915799999995</v>
      </c>
      <c r="I1839" s="98">
        <v>4109334.9479999999</v>
      </c>
      <c r="J1839" s="97">
        <v>705.54665124999997</v>
      </c>
      <c r="K1839" s="98">
        <v>-123944.9595</v>
      </c>
      <c r="L1839" s="99">
        <v>0</v>
      </c>
      <c r="M1839" s="98">
        <v>0</v>
      </c>
      <c r="N1839" s="99">
        <v>0</v>
      </c>
      <c r="O1839" s="98">
        <v>0</v>
      </c>
      <c r="P1839" s="99">
        <v>6000</v>
      </c>
      <c r="Q1839" s="98">
        <v>4109334.9479999999</v>
      </c>
      <c r="R1839" s="96" t="s">
        <v>625</v>
      </c>
      <c r="S1839" s="96">
        <v>7414000005</v>
      </c>
      <c r="AA1839" s="131" t="s">
        <v>419</v>
      </c>
      <c r="AB1839" s="130">
        <v>0</v>
      </c>
      <c r="AC1839" s="130">
        <v>0</v>
      </c>
    </row>
    <row r="1840" spans="1:29" x14ac:dyDescent="0.25">
      <c r="A1840" t="str">
        <f t="shared" si="29"/>
        <v xml:space="preserve">75221STERGOB ED          </v>
      </c>
      <c r="B1840" s="96">
        <v>75221</v>
      </c>
      <c r="C1840" s="96" t="s">
        <v>848</v>
      </c>
      <c r="D1840" s="96" t="s">
        <v>396</v>
      </c>
      <c r="E1840" s="96" t="s">
        <v>623</v>
      </c>
      <c r="F1840" s="96" t="s">
        <v>624</v>
      </c>
      <c r="G1840" s="99">
        <v>0</v>
      </c>
      <c r="H1840" s="97">
        <v>0</v>
      </c>
      <c r="I1840" s="98">
        <v>0</v>
      </c>
      <c r="J1840" s="97">
        <v>0</v>
      </c>
      <c r="K1840" s="98">
        <v>0</v>
      </c>
      <c r="L1840" s="99">
        <v>0</v>
      </c>
      <c r="M1840" s="98">
        <v>0</v>
      </c>
      <c r="N1840" s="99">
        <v>0</v>
      </c>
      <c r="O1840" s="98">
        <v>0</v>
      </c>
      <c r="P1840" s="99">
        <v>0</v>
      </c>
      <c r="Q1840" s="98">
        <v>0</v>
      </c>
      <c r="R1840" s="96" t="s">
        <v>625</v>
      </c>
      <c r="S1840" s="96">
        <v>7414000005</v>
      </c>
      <c r="AA1840" s="129">
        <v>65507747706</v>
      </c>
      <c r="AB1840" s="130">
        <v>2988249.0251039998</v>
      </c>
      <c r="AC1840" s="130">
        <v>2988249.0251039998</v>
      </c>
    </row>
    <row r="1841" spans="1:29" x14ac:dyDescent="0.25">
      <c r="A1841" t="str">
        <f t="shared" si="29"/>
        <v xml:space="preserve">75221UDIBONO 311127      </v>
      </c>
      <c r="B1841" s="96">
        <v>75221</v>
      </c>
      <c r="C1841" s="96" t="s">
        <v>848</v>
      </c>
      <c r="D1841" s="96" t="s">
        <v>399</v>
      </c>
      <c r="E1841" s="96" t="s">
        <v>623</v>
      </c>
      <c r="F1841" s="96" t="s">
        <v>624</v>
      </c>
      <c r="G1841" s="99">
        <v>3000</v>
      </c>
      <c r="H1841" s="97">
        <v>694.41118700000004</v>
      </c>
      <c r="I1841" s="98">
        <v>2083233.561</v>
      </c>
      <c r="J1841" s="97">
        <v>719.08721302000004</v>
      </c>
      <c r="K1841" s="98">
        <v>-74028.07806</v>
      </c>
      <c r="L1841" s="99">
        <v>0</v>
      </c>
      <c r="M1841" s="98">
        <v>0</v>
      </c>
      <c r="N1841" s="99">
        <v>0</v>
      </c>
      <c r="O1841" s="98">
        <v>0</v>
      </c>
      <c r="P1841" s="99">
        <v>3000</v>
      </c>
      <c r="Q1841" s="98">
        <v>2083233.561</v>
      </c>
      <c r="R1841" s="96" t="s">
        <v>625</v>
      </c>
      <c r="S1841" s="96">
        <v>7414000005</v>
      </c>
      <c r="AA1841" s="131" t="s">
        <v>389</v>
      </c>
      <c r="AB1841" s="130">
        <v>2988249.0251039998</v>
      </c>
      <c r="AC1841" s="130">
        <v>2988249.0251039998</v>
      </c>
    </row>
    <row r="1842" spans="1:29" x14ac:dyDescent="0.25">
      <c r="A1842" t="str">
        <f t="shared" si="29"/>
        <v xml:space="preserve">75221UDIBONO 401115      </v>
      </c>
      <c r="B1842" s="96">
        <v>75222</v>
      </c>
      <c r="C1842" s="96" t="s">
        <v>849</v>
      </c>
      <c r="D1842" s="96" t="s">
        <v>409</v>
      </c>
      <c r="E1842" s="96" t="s">
        <v>623</v>
      </c>
      <c r="F1842" s="96" t="s">
        <v>624</v>
      </c>
      <c r="G1842" s="99">
        <v>94140</v>
      </c>
      <c r="H1842" s="97">
        <v>9.3381629999999998</v>
      </c>
      <c r="I1842" s="98">
        <v>879094.66481999995</v>
      </c>
      <c r="J1842" s="97">
        <v>8.3307969100000001</v>
      </c>
      <c r="K1842" s="98">
        <v>94833.443712599998</v>
      </c>
      <c r="L1842" s="99">
        <v>0</v>
      </c>
      <c r="M1842" s="98">
        <v>0</v>
      </c>
      <c r="N1842" s="99">
        <v>0</v>
      </c>
      <c r="O1842" s="98">
        <v>0</v>
      </c>
      <c r="P1842" s="99">
        <v>94140</v>
      </c>
      <c r="Q1842" s="98">
        <v>879094.66481999995</v>
      </c>
      <c r="R1842" s="96" t="s">
        <v>625</v>
      </c>
      <c r="S1842" s="96">
        <v>7414000005</v>
      </c>
      <c r="AA1842" s="129">
        <v>65507430562</v>
      </c>
      <c r="AB1842" s="130">
        <v>219370869.39074799</v>
      </c>
      <c r="AC1842" s="130">
        <v>219370869.39074799</v>
      </c>
    </row>
    <row r="1843" spans="1:29" x14ac:dyDescent="0.25">
      <c r="A1843" t="str">
        <f t="shared" si="29"/>
        <v xml:space="preserve">75221UDIBONO 501103      </v>
      </c>
      <c r="B1843" s="96">
        <v>75222</v>
      </c>
      <c r="C1843" s="96" t="s">
        <v>849</v>
      </c>
      <c r="D1843" s="96" t="s">
        <v>613</v>
      </c>
      <c r="E1843" s="96" t="s">
        <v>623</v>
      </c>
      <c r="F1843" s="96" t="s">
        <v>624</v>
      </c>
      <c r="G1843" s="99">
        <v>61500</v>
      </c>
      <c r="H1843" s="97">
        <v>8.2580650000000002</v>
      </c>
      <c r="I1843" s="98">
        <v>507870.9975</v>
      </c>
      <c r="J1843" s="97">
        <v>8.2501711100000001</v>
      </c>
      <c r="K1843" s="98">
        <v>485.47423500000002</v>
      </c>
      <c r="L1843" s="99">
        <v>0</v>
      </c>
      <c r="M1843" s="98">
        <v>0</v>
      </c>
      <c r="N1843" s="99">
        <v>0</v>
      </c>
      <c r="O1843" s="98">
        <v>0</v>
      </c>
      <c r="P1843" s="99">
        <v>61500</v>
      </c>
      <c r="Q1843" s="98">
        <v>507870.9975</v>
      </c>
      <c r="R1843" s="96" t="s">
        <v>625</v>
      </c>
      <c r="S1843" s="96">
        <v>7414000005</v>
      </c>
      <c r="AA1843" s="131" t="s">
        <v>389</v>
      </c>
      <c r="AB1843" s="130">
        <v>219370869.39074799</v>
      </c>
      <c r="AC1843" s="130">
        <v>219370869.39074799</v>
      </c>
    </row>
    <row r="1844" spans="1:29" x14ac:dyDescent="0.25">
      <c r="A1844" t="str">
        <f t="shared" si="29"/>
        <v xml:space="preserve">75222CETES 241128        </v>
      </c>
      <c r="B1844" s="96">
        <v>75222</v>
      </c>
      <c r="C1844" s="96" t="s">
        <v>849</v>
      </c>
      <c r="D1844" s="96" t="s">
        <v>375</v>
      </c>
      <c r="E1844" s="96" t="s">
        <v>623</v>
      </c>
      <c r="F1844" s="96" t="s">
        <v>624</v>
      </c>
      <c r="G1844" s="99">
        <v>3250</v>
      </c>
      <c r="H1844" s="97">
        <v>98.730349000000004</v>
      </c>
      <c r="I1844" s="98">
        <v>320873.63425</v>
      </c>
      <c r="J1844" s="97">
        <v>111.89286593999999</v>
      </c>
      <c r="K1844" s="98">
        <v>-42778.180054999997</v>
      </c>
      <c r="L1844" s="99">
        <v>0</v>
      </c>
      <c r="M1844" s="98">
        <v>0</v>
      </c>
      <c r="N1844" s="99">
        <v>0</v>
      </c>
      <c r="O1844" s="98">
        <v>0</v>
      </c>
      <c r="P1844" s="99">
        <v>3250</v>
      </c>
      <c r="Q1844" s="98">
        <v>320873.63425</v>
      </c>
      <c r="R1844" s="96" t="s">
        <v>625</v>
      </c>
      <c r="S1844" s="96">
        <v>7414000005</v>
      </c>
      <c r="AA1844" s="129">
        <v>1031340</v>
      </c>
      <c r="AB1844" s="130">
        <v>32195624.158808</v>
      </c>
      <c r="AC1844" s="130">
        <v>32195624.158808</v>
      </c>
    </row>
    <row r="1845" spans="1:29" x14ac:dyDescent="0.25">
      <c r="A1845" t="str">
        <f t="shared" si="29"/>
        <v xml:space="preserve">75222CETES 260219        </v>
      </c>
      <c r="B1845" s="96">
        <v>75222</v>
      </c>
      <c r="C1845" s="96" t="s">
        <v>849</v>
      </c>
      <c r="D1845" s="96" t="s">
        <v>376</v>
      </c>
      <c r="E1845" s="96" t="s">
        <v>623</v>
      </c>
      <c r="F1845" s="96" t="s">
        <v>624</v>
      </c>
      <c r="G1845" s="99">
        <v>1390</v>
      </c>
      <c r="H1845" s="97">
        <v>99.247497999999993</v>
      </c>
      <c r="I1845" s="98">
        <v>137954.02222000001</v>
      </c>
      <c r="J1845" s="97">
        <v>225.00392571129495</v>
      </c>
      <c r="K1845" s="98">
        <v>450709.47895870003</v>
      </c>
      <c r="L1845" s="99">
        <v>0</v>
      </c>
      <c r="M1845" s="98">
        <v>0</v>
      </c>
      <c r="N1845" s="99">
        <v>0</v>
      </c>
      <c r="O1845" s="98">
        <v>0</v>
      </c>
      <c r="P1845" s="99">
        <v>1390</v>
      </c>
      <c r="Q1845" s="98">
        <v>137954.02222000001</v>
      </c>
      <c r="R1845" s="96" t="s">
        <v>625</v>
      </c>
      <c r="S1845" s="96">
        <v>7414000005</v>
      </c>
      <c r="AA1845" s="131" t="s">
        <v>412</v>
      </c>
      <c r="AB1845" s="130">
        <v>32195624.158808</v>
      </c>
      <c r="AC1845" s="130">
        <v>32195624.158808</v>
      </c>
    </row>
    <row r="1846" spans="1:29" x14ac:dyDescent="0.25">
      <c r="A1846" t="str">
        <f t="shared" si="29"/>
        <v xml:space="preserve">75222GOBFED 240905       </v>
      </c>
      <c r="B1846" s="96">
        <v>75222</v>
      </c>
      <c r="C1846" s="96" t="s">
        <v>849</v>
      </c>
      <c r="D1846" s="96" t="s">
        <v>377</v>
      </c>
      <c r="E1846" s="96" t="s">
        <v>623</v>
      </c>
      <c r="F1846" s="96" t="s">
        <v>624</v>
      </c>
      <c r="G1846" s="99">
        <v>2360</v>
      </c>
      <c r="H1846" s="97">
        <v>94.973146999999997</v>
      </c>
      <c r="I1846" s="98">
        <v>224136.62692000001</v>
      </c>
      <c r="J1846" s="97">
        <v>89.85155469</v>
      </c>
      <c r="K1846" s="98">
        <v>12086.9578516</v>
      </c>
      <c r="L1846" s="99">
        <v>0</v>
      </c>
      <c r="M1846" s="98">
        <v>0</v>
      </c>
      <c r="N1846" s="99">
        <v>0</v>
      </c>
      <c r="O1846" s="98">
        <v>0</v>
      </c>
      <c r="P1846" s="99">
        <v>2360</v>
      </c>
      <c r="Q1846" s="98">
        <v>224136.62692000001</v>
      </c>
      <c r="R1846" s="96" t="s">
        <v>625</v>
      </c>
      <c r="S1846" s="96">
        <v>7414000005</v>
      </c>
      <c r="AA1846" s="129">
        <v>65507895505</v>
      </c>
      <c r="AB1846" s="130">
        <v>5848028.749543</v>
      </c>
      <c r="AC1846" s="130">
        <v>5848028.749543</v>
      </c>
    </row>
    <row r="1847" spans="1:29" x14ac:dyDescent="0.25">
      <c r="A1847" t="str">
        <f t="shared" si="29"/>
        <v xml:space="preserve">75222GOBFED 241205       </v>
      </c>
      <c r="B1847" s="96">
        <v>75222</v>
      </c>
      <c r="C1847" s="96" t="s">
        <v>849</v>
      </c>
      <c r="D1847" s="96" t="s">
        <v>378</v>
      </c>
      <c r="E1847" s="96" t="s">
        <v>623</v>
      </c>
      <c r="F1847" s="96" t="s">
        <v>624</v>
      </c>
      <c r="G1847" s="99">
        <v>610</v>
      </c>
      <c r="H1847" s="97">
        <v>91.911821000000003</v>
      </c>
      <c r="I1847" s="98">
        <v>56066.210809999997</v>
      </c>
      <c r="J1847" s="97">
        <v>97.816962799999999</v>
      </c>
      <c r="K1847" s="98">
        <v>-3602.1364979999998</v>
      </c>
      <c r="L1847" s="99">
        <v>0</v>
      </c>
      <c r="M1847" s="98">
        <v>0</v>
      </c>
      <c r="N1847" s="99">
        <v>0</v>
      </c>
      <c r="O1847" s="98">
        <v>0</v>
      </c>
      <c r="P1847" s="99">
        <v>610</v>
      </c>
      <c r="Q1847" s="98">
        <v>56066.210809999997</v>
      </c>
      <c r="R1847" s="96" t="s">
        <v>625</v>
      </c>
      <c r="S1847" s="96">
        <v>7414000005</v>
      </c>
      <c r="AA1847" s="131" t="s">
        <v>412</v>
      </c>
      <c r="AB1847" s="130">
        <v>4869.0476959999996</v>
      </c>
      <c r="AC1847" s="130">
        <v>4869.0476959999996</v>
      </c>
    </row>
    <row r="1848" spans="1:29" x14ac:dyDescent="0.25">
      <c r="A1848" t="str">
        <f t="shared" si="29"/>
        <v xml:space="preserve">75222GOBFED 250306       </v>
      </c>
      <c r="B1848" s="96">
        <v>75222</v>
      </c>
      <c r="C1848" s="96" t="s">
        <v>849</v>
      </c>
      <c r="D1848" s="96" t="s">
        <v>379</v>
      </c>
      <c r="E1848" s="96" t="s">
        <v>623</v>
      </c>
      <c r="F1848" s="96" t="s">
        <v>624</v>
      </c>
      <c r="G1848" s="99">
        <v>3398</v>
      </c>
      <c r="H1848" s="97">
        <v>88.698122999999995</v>
      </c>
      <c r="I1848" s="98">
        <v>301396.22195400001</v>
      </c>
      <c r="J1848" s="97">
        <v>85.347607287504417</v>
      </c>
      <c r="K1848" s="98">
        <v>11385.05239106</v>
      </c>
      <c r="L1848" s="99">
        <v>0</v>
      </c>
      <c r="M1848" s="98">
        <v>0</v>
      </c>
      <c r="N1848" s="99">
        <v>0</v>
      </c>
      <c r="O1848" s="98">
        <v>0</v>
      </c>
      <c r="P1848" s="99">
        <v>3398</v>
      </c>
      <c r="Q1848" s="98">
        <v>301396.22195400001</v>
      </c>
      <c r="R1848" s="96" t="s">
        <v>625</v>
      </c>
      <c r="S1848" s="96">
        <v>7414000005</v>
      </c>
      <c r="AA1848" s="131" t="s">
        <v>496</v>
      </c>
      <c r="AB1848" s="130">
        <v>469816.11040000001</v>
      </c>
      <c r="AC1848" s="130">
        <v>469816.11040000001</v>
      </c>
    </row>
    <row r="1849" spans="1:29" x14ac:dyDescent="0.25">
      <c r="A1849" t="str">
        <f t="shared" si="29"/>
        <v xml:space="preserve">75222GOBFED 260305       </v>
      </c>
      <c r="B1849" s="96">
        <v>75222</v>
      </c>
      <c r="C1849" s="96" t="s">
        <v>849</v>
      </c>
      <c r="D1849" s="96" t="s">
        <v>380</v>
      </c>
      <c r="E1849" s="96" t="s">
        <v>623</v>
      </c>
      <c r="F1849" s="96" t="s">
        <v>624</v>
      </c>
      <c r="G1849" s="99">
        <v>14130</v>
      </c>
      <c r="H1849" s="97">
        <v>93.314192000000006</v>
      </c>
      <c r="I1849" s="98">
        <v>1318529.53296</v>
      </c>
      <c r="J1849" s="97">
        <v>92.227958081408346</v>
      </c>
      <c r="K1849" s="98">
        <v>15348.485269700001</v>
      </c>
      <c r="L1849" s="99">
        <v>0</v>
      </c>
      <c r="M1849" s="98">
        <v>0</v>
      </c>
      <c r="N1849" s="99">
        <v>0</v>
      </c>
      <c r="O1849" s="98">
        <v>0</v>
      </c>
      <c r="P1849" s="99">
        <v>14130</v>
      </c>
      <c r="Q1849" s="98">
        <v>1318529.53296</v>
      </c>
      <c r="R1849" s="96" t="s">
        <v>625</v>
      </c>
      <c r="S1849" s="96">
        <v>7414000005</v>
      </c>
      <c r="AA1849" s="131" t="s">
        <v>494</v>
      </c>
      <c r="AB1849" s="130">
        <v>54208.889256000002</v>
      </c>
      <c r="AC1849" s="130">
        <v>54208.889256000002</v>
      </c>
    </row>
    <row r="1850" spans="1:29" x14ac:dyDescent="0.25">
      <c r="A1850" t="str">
        <f t="shared" si="29"/>
        <v xml:space="preserve">75222GOBFED 270304       </v>
      </c>
      <c r="B1850" s="96">
        <v>75222</v>
      </c>
      <c r="C1850" s="96" t="s">
        <v>849</v>
      </c>
      <c r="D1850" s="96" t="s">
        <v>381</v>
      </c>
      <c r="E1850" s="96" t="s">
        <v>623</v>
      </c>
      <c r="F1850" s="96" t="s">
        <v>624</v>
      </c>
      <c r="G1850" s="99">
        <v>23720</v>
      </c>
      <c r="H1850" s="97">
        <v>94.870157000000006</v>
      </c>
      <c r="I1850" s="98">
        <v>2250320.1240400001</v>
      </c>
      <c r="J1850" s="97">
        <v>97.111679589198985</v>
      </c>
      <c r="K1850" s="98">
        <v>-53168.915815799999</v>
      </c>
      <c r="L1850" s="99">
        <v>0</v>
      </c>
      <c r="M1850" s="98">
        <v>0</v>
      </c>
      <c r="N1850" s="99">
        <v>0</v>
      </c>
      <c r="O1850" s="98">
        <v>0</v>
      </c>
      <c r="P1850" s="99">
        <v>23720</v>
      </c>
      <c r="Q1850" s="98">
        <v>2250320.1240400001</v>
      </c>
      <c r="R1850" s="96" t="s">
        <v>625</v>
      </c>
      <c r="S1850" s="96">
        <v>7414000005</v>
      </c>
      <c r="AA1850" s="131" t="s">
        <v>477</v>
      </c>
      <c r="AB1850" s="130">
        <v>3711057.9859449998</v>
      </c>
      <c r="AC1850" s="130">
        <v>3711057.9859449998</v>
      </c>
    </row>
    <row r="1851" spans="1:29" x14ac:dyDescent="0.25">
      <c r="A1851" t="str">
        <f t="shared" si="29"/>
        <v xml:space="preserve">75222GOBFED 270603       </v>
      </c>
      <c r="B1851" s="96">
        <v>75222</v>
      </c>
      <c r="C1851" s="96" t="s">
        <v>849</v>
      </c>
      <c r="D1851" s="96" t="s">
        <v>382</v>
      </c>
      <c r="E1851" s="96" t="s">
        <v>623</v>
      </c>
      <c r="F1851" s="96" t="s">
        <v>624</v>
      </c>
      <c r="G1851" s="99">
        <v>10888</v>
      </c>
      <c r="H1851" s="97">
        <v>89.489464999999996</v>
      </c>
      <c r="I1851" s="98">
        <v>974361.29492000001</v>
      </c>
      <c r="J1851" s="97">
        <v>62.718103157716754</v>
      </c>
      <c r="K1851" s="98">
        <v>291486.58773878001</v>
      </c>
      <c r="L1851" s="99">
        <v>0</v>
      </c>
      <c r="M1851" s="98">
        <v>0</v>
      </c>
      <c r="N1851" s="99">
        <v>0</v>
      </c>
      <c r="O1851" s="98">
        <v>0</v>
      </c>
      <c r="P1851" s="99">
        <v>10888</v>
      </c>
      <c r="Q1851" s="98">
        <v>974361.29492000001</v>
      </c>
      <c r="R1851" s="96" t="s">
        <v>625</v>
      </c>
      <c r="S1851" s="96">
        <v>7414000005</v>
      </c>
      <c r="AA1851" s="131" t="s">
        <v>495</v>
      </c>
      <c r="AB1851" s="130">
        <v>1608076.716246</v>
      </c>
      <c r="AC1851" s="130">
        <v>1608076.716246</v>
      </c>
    </row>
    <row r="1852" spans="1:29" x14ac:dyDescent="0.25">
      <c r="A1852" t="str">
        <f t="shared" si="29"/>
        <v xml:space="preserve">75222GOBFED 290531       </v>
      </c>
      <c r="B1852" s="96">
        <v>75222</v>
      </c>
      <c r="C1852" s="96" t="s">
        <v>849</v>
      </c>
      <c r="D1852" s="96" t="s">
        <v>383</v>
      </c>
      <c r="E1852" s="96" t="s">
        <v>623</v>
      </c>
      <c r="F1852" s="96" t="s">
        <v>624</v>
      </c>
      <c r="G1852" s="99">
        <v>23180</v>
      </c>
      <c r="H1852" s="97">
        <v>86.197128000000006</v>
      </c>
      <c r="I1852" s="98">
        <v>1998049.42704</v>
      </c>
      <c r="J1852" s="97">
        <v>89.727333718563415</v>
      </c>
      <c r="K1852" s="98">
        <v>-81830.168556300006</v>
      </c>
      <c r="L1852" s="99">
        <v>0</v>
      </c>
      <c r="M1852" s="98">
        <v>0</v>
      </c>
      <c r="N1852" s="99">
        <v>0</v>
      </c>
      <c r="O1852" s="98">
        <v>0</v>
      </c>
      <c r="P1852" s="99">
        <v>23180</v>
      </c>
      <c r="Q1852" s="98">
        <v>1998049.42704</v>
      </c>
      <c r="R1852" s="96" t="s">
        <v>625</v>
      </c>
      <c r="S1852" s="96">
        <v>7414000005</v>
      </c>
      <c r="AA1852" s="129">
        <v>1036613</v>
      </c>
      <c r="AB1852" s="130">
        <v>136726683.61000001</v>
      </c>
      <c r="AC1852" s="130">
        <v>136726683.61000001</v>
      </c>
    </row>
    <row r="1853" spans="1:29" x14ac:dyDescent="0.25">
      <c r="A1853" t="str">
        <f t="shared" si="29"/>
        <v xml:space="preserve">75222GOBFED 310529       </v>
      </c>
      <c r="B1853" s="96">
        <v>75222</v>
      </c>
      <c r="C1853" s="96" t="s">
        <v>849</v>
      </c>
      <c r="D1853" s="96" t="s">
        <v>427</v>
      </c>
      <c r="E1853" s="96" t="s">
        <v>623</v>
      </c>
      <c r="F1853" s="96" t="s">
        <v>624</v>
      </c>
      <c r="G1853" s="99">
        <v>16135</v>
      </c>
      <c r="H1853" s="97">
        <v>86.469353999999996</v>
      </c>
      <c r="I1853" s="98">
        <v>1395183.02679</v>
      </c>
      <c r="J1853" s="97">
        <v>90.225169450533002</v>
      </c>
      <c r="K1853" s="98">
        <v>-60600.082294350002</v>
      </c>
      <c r="L1853" s="99">
        <v>0</v>
      </c>
      <c r="M1853" s="98">
        <v>0</v>
      </c>
      <c r="N1853" s="99">
        <v>0</v>
      </c>
      <c r="O1853" s="98">
        <v>0</v>
      </c>
      <c r="P1853" s="99">
        <v>16135</v>
      </c>
      <c r="Q1853" s="98">
        <v>1395183.02679</v>
      </c>
      <c r="R1853" s="96" t="s">
        <v>625</v>
      </c>
      <c r="S1853" s="96">
        <v>7414000005</v>
      </c>
      <c r="AA1853" s="131" t="s">
        <v>366</v>
      </c>
      <c r="AB1853" s="130">
        <v>136726683.61000001</v>
      </c>
      <c r="AC1853" s="130">
        <v>136726683.61000001</v>
      </c>
    </row>
    <row r="1854" spans="1:29" x14ac:dyDescent="0.25">
      <c r="A1854" t="str">
        <f t="shared" si="29"/>
        <v xml:space="preserve">75222GOBFED 330526       </v>
      </c>
      <c r="B1854" s="96">
        <v>75222</v>
      </c>
      <c r="C1854" s="96" t="s">
        <v>849</v>
      </c>
      <c r="D1854" s="96" t="s">
        <v>408</v>
      </c>
      <c r="E1854" s="96" t="s">
        <v>623</v>
      </c>
      <c r="F1854" s="96" t="s">
        <v>624</v>
      </c>
      <c r="G1854" s="99">
        <v>360</v>
      </c>
      <c r="H1854" s="97">
        <v>89.643172000000007</v>
      </c>
      <c r="I1854" s="98">
        <v>32271.54192</v>
      </c>
      <c r="J1854" s="97">
        <v>108.47711812999999</v>
      </c>
      <c r="K1854" s="98">
        <v>-6780.2206067999996</v>
      </c>
      <c r="L1854" s="99">
        <v>0</v>
      </c>
      <c r="M1854" s="98">
        <v>0</v>
      </c>
      <c r="N1854" s="99">
        <v>0</v>
      </c>
      <c r="O1854" s="98">
        <v>0</v>
      </c>
      <c r="P1854" s="99">
        <v>360</v>
      </c>
      <c r="Q1854" s="98">
        <v>32271.54192</v>
      </c>
      <c r="R1854" s="96" t="s">
        <v>625</v>
      </c>
      <c r="S1854" s="96">
        <v>7414000005</v>
      </c>
      <c r="AA1854" s="131" t="s">
        <v>381</v>
      </c>
      <c r="AB1854" s="130">
        <v>0</v>
      </c>
      <c r="AC1854" s="130">
        <v>0</v>
      </c>
    </row>
    <row r="1855" spans="1:29" x14ac:dyDescent="0.25">
      <c r="A1855" t="str">
        <f t="shared" si="29"/>
        <v xml:space="preserve">75222GOBFED 341123       </v>
      </c>
      <c r="B1855" s="96">
        <v>75222</v>
      </c>
      <c r="C1855" s="96" t="s">
        <v>849</v>
      </c>
      <c r="D1855" s="96" t="s">
        <v>384</v>
      </c>
      <c r="E1855" s="96" t="s">
        <v>623</v>
      </c>
      <c r="F1855" s="96" t="s">
        <v>624</v>
      </c>
      <c r="G1855" s="99">
        <v>16756</v>
      </c>
      <c r="H1855" s="97">
        <v>81.738860000000003</v>
      </c>
      <c r="I1855" s="98">
        <v>1369616.33816</v>
      </c>
      <c r="J1855" s="97">
        <v>86.375239870520417</v>
      </c>
      <c r="K1855" s="98">
        <v>-77687.181110439997</v>
      </c>
      <c r="L1855" s="99">
        <v>0</v>
      </c>
      <c r="M1855" s="98">
        <v>0</v>
      </c>
      <c r="N1855" s="99">
        <v>0</v>
      </c>
      <c r="O1855" s="98">
        <v>0</v>
      </c>
      <c r="P1855" s="99">
        <v>16756</v>
      </c>
      <c r="Q1855" s="98">
        <v>1369616.33816</v>
      </c>
      <c r="R1855" s="96" t="s">
        <v>625</v>
      </c>
      <c r="S1855" s="96">
        <v>7414000005</v>
      </c>
      <c r="AA1855" s="129">
        <v>1036691</v>
      </c>
      <c r="AB1855" s="130">
        <v>981466.69845200004</v>
      </c>
      <c r="AC1855" s="130">
        <v>981466.69845200004</v>
      </c>
    </row>
    <row r="1856" spans="1:29" x14ac:dyDescent="0.25">
      <c r="A1856" t="str">
        <f t="shared" si="29"/>
        <v xml:space="preserve">75222GOBFED 381118       </v>
      </c>
      <c r="B1856" s="96">
        <v>75222</v>
      </c>
      <c r="C1856" s="96" t="s">
        <v>849</v>
      </c>
      <c r="D1856" s="96" t="s">
        <v>385</v>
      </c>
      <c r="E1856" s="96" t="s">
        <v>623</v>
      </c>
      <c r="F1856" s="96" t="s">
        <v>624</v>
      </c>
      <c r="G1856" s="99">
        <v>1410</v>
      </c>
      <c r="H1856" s="97">
        <v>83.200761</v>
      </c>
      <c r="I1856" s="98">
        <v>117313.07300999999</v>
      </c>
      <c r="J1856" s="97">
        <v>91.920784408297877</v>
      </c>
      <c r="K1856" s="98">
        <v>-12295.2330057</v>
      </c>
      <c r="L1856" s="99">
        <v>0</v>
      </c>
      <c r="M1856" s="98">
        <v>0</v>
      </c>
      <c r="N1856" s="99">
        <v>0</v>
      </c>
      <c r="O1856" s="98">
        <v>0</v>
      </c>
      <c r="P1856" s="99">
        <v>1410</v>
      </c>
      <c r="Q1856" s="98">
        <v>117313.07300999999</v>
      </c>
      <c r="R1856" s="96" t="s">
        <v>625</v>
      </c>
      <c r="S1856" s="96">
        <v>7414000005</v>
      </c>
      <c r="AA1856" s="131" t="s">
        <v>389</v>
      </c>
      <c r="AB1856" s="130">
        <v>981466.69845200004</v>
      </c>
      <c r="AC1856" s="130">
        <v>981466.69845200004</v>
      </c>
    </row>
    <row r="1857" spans="1:29" x14ac:dyDescent="0.25">
      <c r="A1857" t="str">
        <f t="shared" si="29"/>
        <v xml:space="preserve">75222GOBFED 421113       </v>
      </c>
      <c r="B1857" s="96">
        <v>75222</v>
      </c>
      <c r="C1857" s="96" t="s">
        <v>849</v>
      </c>
      <c r="D1857" s="96" t="s">
        <v>386</v>
      </c>
      <c r="E1857" s="96" t="s">
        <v>623</v>
      </c>
      <c r="F1857" s="96" t="s">
        <v>624</v>
      </c>
      <c r="G1857" s="99">
        <v>4893</v>
      </c>
      <c r="H1857" s="97">
        <v>82.159907000000004</v>
      </c>
      <c r="I1857" s="98">
        <v>402008.42495100002</v>
      </c>
      <c r="J1857" s="97">
        <v>86.420874420000004</v>
      </c>
      <c r="K1857" s="98">
        <v>-20848.91358606</v>
      </c>
      <c r="L1857" s="99">
        <v>0</v>
      </c>
      <c r="M1857" s="98">
        <v>0</v>
      </c>
      <c r="N1857" s="99">
        <v>0</v>
      </c>
      <c r="O1857" s="98">
        <v>0</v>
      </c>
      <c r="P1857" s="99">
        <v>4893</v>
      </c>
      <c r="Q1857" s="98">
        <v>402008.42495100002</v>
      </c>
      <c r="R1857" s="96" t="s">
        <v>625</v>
      </c>
      <c r="S1857" s="96">
        <v>7414000005</v>
      </c>
      <c r="AA1857" s="129">
        <v>65507142173</v>
      </c>
      <c r="AB1857" s="130">
        <v>739470.93246499996</v>
      </c>
      <c r="AC1857" s="130">
        <v>739470.93246499996</v>
      </c>
    </row>
    <row r="1858" spans="1:29" x14ac:dyDescent="0.25">
      <c r="A1858" t="str">
        <f t="shared" si="29"/>
        <v xml:space="preserve">75222GOBFED 471107       </v>
      </c>
      <c r="B1858" s="96">
        <v>75222</v>
      </c>
      <c r="C1858" s="96" t="s">
        <v>849</v>
      </c>
      <c r="D1858" s="96" t="s">
        <v>389</v>
      </c>
      <c r="E1858" s="96" t="s">
        <v>623</v>
      </c>
      <c r="F1858" s="96" t="s">
        <v>624</v>
      </c>
      <c r="G1858" s="99">
        <v>29050</v>
      </c>
      <c r="H1858" s="97">
        <v>3.3967719999999999</v>
      </c>
      <c r="I1858" s="98">
        <v>98676.226599999995</v>
      </c>
      <c r="J1858" s="97">
        <v>3.3645807228915663</v>
      </c>
      <c r="K1858" s="98">
        <v>935.15660000000003</v>
      </c>
      <c r="L1858" s="99">
        <v>0</v>
      </c>
      <c r="M1858" s="98">
        <v>0</v>
      </c>
      <c r="N1858" s="99">
        <v>0</v>
      </c>
      <c r="O1858" s="98">
        <v>0</v>
      </c>
      <c r="P1858" s="99">
        <v>29050</v>
      </c>
      <c r="Q1858" s="98">
        <v>98676.226599999995</v>
      </c>
      <c r="R1858" s="96" t="s">
        <v>625</v>
      </c>
      <c r="S1858" s="96">
        <v>7414000005</v>
      </c>
      <c r="AA1858" s="131" t="s">
        <v>412</v>
      </c>
      <c r="AB1858" s="130">
        <v>739470.93246499996</v>
      </c>
      <c r="AC1858" s="130">
        <v>739470.93246499996</v>
      </c>
    </row>
    <row r="1859" spans="1:29" x14ac:dyDescent="0.25">
      <c r="A1859" t="str">
        <f t="shared" si="29"/>
        <v xml:space="preserve">75222GOBFED 530731       </v>
      </c>
      <c r="B1859" s="96">
        <v>75222</v>
      </c>
      <c r="C1859" s="96" t="s">
        <v>849</v>
      </c>
      <c r="D1859" s="96" t="s">
        <v>391</v>
      </c>
      <c r="E1859" s="96" t="s">
        <v>623</v>
      </c>
      <c r="F1859" s="96" t="s">
        <v>624</v>
      </c>
      <c r="G1859" s="99">
        <v>1625</v>
      </c>
      <c r="H1859" s="97">
        <v>775.69178699999998</v>
      </c>
      <c r="I1859" s="98">
        <v>1260499.1538750001</v>
      </c>
      <c r="J1859" s="97">
        <v>766.69784126000002</v>
      </c>
      <c r="K1859" s="98">
        <v>14615.1618275</v>
      </c>
      <c r="L1859" s="99">
        <v>0</v>
      </c>
      <c r="M1859" s="98">
        <v>0</v>
      </c>
      <c r="N1859" s="99">
        <v>0</v>
      </c>
      <c r="O1859" s="98">
        <v>0</v>
      </c>
      <c r="P1859" s="99">
        <v>1625</v>
      </c>
      <c r="Q1859" s="98">
        <v>1260499.1538750001</v>
      </c>
      <c r="R1859" s="96" t="s">
        <v>625</v>
      </c>
      <c r="S1859" s="96">
        <v>7414000005</v>
      </c>
      <c r="AA1859" s="129">
        <v>65507143699</v>
      </c>
      <c r="AB1859" s="130">
        <v>469565.06172900001</v>
      </c>
      <c r="AC1859" s="130">
        <v>469565.06172900001</v>
      </c>
    </row>
    <row r="1860" spans="1:29" x14ac:dyDescent="0.25">
      <c r="A1860" t="str">
        <f t="shared" si="29"/>
        <v xml:space="preserve">75222STERGOB ED          </v>
      </c>
      <c r="B1860" s="96">
        <v>75222</v>
      </c>
      <c r="C1860" s="96" t="s">
        <v>849</v>
      </c>
      <c r="D1860" s="96" t="s">
        <v>392</v>
      </c>
      <c r="E1860" s="96" t="s">
        <v>623</v>
      </c>
      <c r="F1860" s="96" t="s">
        <v>624</v>
      </c>
      <c r="G1860" s="99">
        <v>1995</v>
      </c>
      <c r="H1860" s="97">
        <v>747.17843200000004</v>
      </c>
      <c r="I1860" s="98">
        <v>1490620.97184</v>
      </c>
      <c r="J1860" s="97">
        <v>724.09524604962405</v>
      </c>
      <c r="K1860" s="98">
        <v>46050.955971000003</v>
      </c>
      <c r="L1860" s="99">
        <v>0</v>
      </c>
      <c r="M1860" s="98">
        <v>0</v>
      </c>
      <c r="N1860" s="99">
        <v>0</v>
      </c>
      <c r="O1860" s="98">
        <v>0</v>
      </c>
      <c r="P1860" s="99">
        <v>1995</v>
      </c>
      <c r="Q1860" s="98">
        <v>1490620.97184</v>
      </c>
      <c r="R1860" s="96" t="s">
        <v>625</v>
      </c>
      <c r="S1860" s="96">
        <v>7414000005</v>
      </c>
      <c r="AA1860" s="131" t="s">
        <v>412</v>
      </c>
      <c r="AB1860" s="130">
        <v>469565.06172900001</v>
      </c>
      <c r="AC1860" s="130">
        <v>469565.06172900001</v>
      </c>
    </row>
    <row r="1861" spans="1:29" x14ac:dyDescent="0.25">
      <c r="A1861" t="str">
        <f t="shared" si="29"/>
        <v xml:space="preserve">75222UDIBONO 251204      </v>
      </c>
      <c r="B1861" s="96">
        <v>75222</v>
      </c>
      <c r="C1861" s="96" t="s">
        <v>849</v>
      </c>
      <c r="D1861" s="96" t="s">
        <v>394</v>
      </c>
      <c r="E1861" s="96" t="s">
        <v>623</v>
      </c>
      <c r="F1861" s="96" t="s">
        <v>624</v>
      </c>
      <c r="G1861" s="99">
        <v>1821</v>
      </c>
      <c r="H1861" s="97">
        <v>684.88915799999995</v>
      </c>
      <c r="I1861" s="98">
        <v>1247183.1567180001</v>
      </c>
      <c r="J1861" s="97">
        <v>674.98000248940696</v>
      </c>
      <c r="K1861" s="98">
        <v>18044.572184789999</v>
      </c>
      <c r="L1861" s="99">
        <v>0</v>
      </c>
      <c r="M1861" s="98">
        <v>0</v>
      </c>
      <c r="N1861" s="99">
        <v>0</v>
      </c>
      <c r="O1861" s="98">
        <v>0</v>
      </c>
      <c r="P1861" s="99">
        <v>1821</v>
      </c>
      <c r="Q1861" s="98">
        <v>1247183.1567180001</v>
      </c>
      <c r="R1861" s="96" t="s">
        <v>625</v>
      </c>
      <c r="S1861" s="96">
        <v>7414000005</v>
      </c>
      <c r="AA1861" s="129">
        <v>65507143745</v>
      </c>
      <c r="AB1861" s="130">
        <v>296669.94669900002</v>
      </c>
      <c r="AC1861" s="130">
        <v>296669.94669900002</v>
      </c>
    </row>
    <row r="1862" spans="1:29" x14ac:dyDescent="0.25">
      <c r="A1862" t="str">
        <f t="shared" si="29"/>
        <v xml:space="preserve">75222UDIBONO 261203      </v>
      </c>
      <c r="B1862" s="96">
        <v>75222</v>
      </c>
      <c r="C1862" s="96" t="s">
        <v>849</v>
      </c>
      <c r="D1862" s="96" t="s">
        <v>395</v>
      </c>
      <c r="E1862" s="96" t="s">
        <v>623</v>
      </c>
      <c r="F1862" s="96" t="s">
        <v>624</v>
      </c>
      <c r="G1862" s="99">
        <v>1689</v>
      </c>
      <c r="H1862" s="97">
        <v>772.926965</v>
      </c>
      <c r="I1862" s="98">
        <v>1305473.6438849999</v>
      </c>
      <c r="J1862" s="97">
        <v>803.54136684371224</v>
      </c>
      <c r="K1862" s="98">
        <v>-51707.724714030002</v>
      </c>
      <c r="L1862" s="99">
        <v>0</v>
      </c>
      <c r="M1862" s="98">
        <v>0</v>
      </c>
      <c r="N1862" s="99">
        <v>0</v>
      </c>
      <c r="O1862" s="98">
        <v>0</v>
      </c>
      <c r="P1862" s="99">
        <v>1689</v>
      </c>
      <c r="Q1862" s="98">
        <v>1305473.6438849999</v>
      </c>
      <c r="R1862" s="96" t="s">
        <v>625</v>
      </c>
      <c r="S1862" s="96">
        <v>7414000005</v>
      </c>
      <c r="AA1862" s="131" t="s">
        <v>412</v>
      </c>
      <c r="AB1862" s="130">
        <v>296669.94669900002</v>
      </c>
      <c r="AC1862" s="130">
        <v>296669.94669900002</v>
      </c>
    </row>
    <row r="1863" spans="1:29" x14ac:dyDescent="0.25">
      <c r="A1863" t="str">
        <f t="shared" ref="A1863:A1926" si="30">B1861&amp;D1861</f>
        <v xml:space="preserve">75222UDIBONO 311127      </v>
      </c>
      <c r="B1863" s="96">
        <v>75222</v>
      </c>
      <c r="C1863" s="96" t="s">
        <v>849</v>
      </c>
      <c r="D1863" s="96" t="s">
        <v>396</v>
      </c>
      <c r="E1863" s="96" t="s">
        <v>623</v>
      </c>
      <c r="F1863" s="96" t="s">
        <v>624</v>
      </c>
      <c r="G1863" s="99">
        <v>1521</v>
      </c>
      <c r="H1863" s="97">
        <v>721.59464000000003</v>
      </c>
      <c r="I1863" s="98">
        <v>1097545.44744</v>
      </c>
      <c r="J1863" s="97">
        <v>780.7923593813149</v>
      </c>
      <c r="K1863" s="98">
        <v>-90039.731178980001</v>
      </c>
      <c r="L1863" s="99">
        <v>0</v>
      </c>
      <c r="M1863" s="98">
        <v>0</v>
      </c>
      <c r="N1863" s="99">
        <v>0</v>
      </c>
      <c r="O1863" s="98">
        <v>0</v>
      </c>
      <c r="P1863" s="99">
        <v>1521</v>
      </c>
      <c r="Q1863" s="98">
        <v>1097545.44744</v>
      </c>
      <c r="R1863" s="96" t="s">
        <v>625</v>
      </c>
      <c r="S1863" s="96">
        <v>7414000005</v>
      </c>
      <c r="AA1863" s="129">
        <v>1033811</v>
      </c>
      <c r="AB1863" s="130">
        <v>3248841.5216000001</v>
      </c>
      <c r="AC1863" s="130">
        <v>3248841.5216000001</v>
      </c>
    </row>
    <row r="1864" spans="1:29" x14ac:dyDescent="0.25">
      <c r="A1864" t="str">
        <f t="shared" si="30"/>
        <v xml:space="preserve">75222UDIBONO 351122      </v>
      </c>
      <c r="B1864" s="96">
        <v>75222</v>
      </c>
      <c r="C1864" s="96" t="s">
        <v>849</v>
      </c>
      <c r="D1864" s="96" t="s">
        <v>397</v>
      </c>
      <c r="E1864" s="96" t="s">
        <v>623</v>
      </c>
      <c r="F1864" s="96" t="s">
        <v>624</v>
      </c>
      <c r="G1864" s="99">
        <v>508</v>
      </c>
      <c r="H1864" s="97">
        <v>635.96311900000001</v>
      </c>
      <c r="I1864" s="98">
        <v>323069.26445199997</v>
      </c>
      <c r="J1864" s="97">
        <v>647.93802047999998</v>
      </c>
      <c r="K1864" s="98">
        <v>-6083.24995184</v>
      </c>
      <c r="L1864" s="99">
        <v>0</v>
      </c>
      <c r="M1864" s="98">
        <v>0</v>
      </c>
      <c r="N1864" s="99">
        <v>0</v>
      </c>
      <c r="O1864" s="98">
        <v>0</v>
      </c>
      <c r="P1864" s="99">
        <v>508</v>
      </c>
      <c r="Q1864" s="98">
        <v>323069.26445199997</v>
      </c>
      <c r="R1864" s="96" t="s">
        <v>625</v>
      </c>
      <c r="S1864" s="96">
        <v>7414000005</v>
      </c>
      <c r="AA1864" s="131" t="s">
        <v>431</v>
      </c>
      <c r="AB1864" s="130">
        <v>3248841.5216000001</v>
      </c>
      <c r="AC1864" s="130">
        <v>3248841.5216000001</v>
      </c>
    </row>
    <row r="1865" spans="1:29" x14ac:dyDescent="0.25">
      <c r="A1865" t="str">
        <f t="shared" si="30"/>
        <v xml:space="preserve">75222UDIBONO 401115      </v>
      </c>
      <c r="B1865" s="96">
        <v>75222</v>
      </c>
      <c r="C1865" s="96" t="s">
        <v>849</v>
      </c>
      <c r="D1865" s="96" t="s">
        <v>398</v>
      </c>
      <c r="E1865" s="96" t="s">
        <v>623</v>
      </c>
      <c r="F1865" s="96" t="s">
        <v>624</v>
      </c>
      <c r="G1865" s="99">
        <v>127</v>
      </c>
      <c r="H1865" s="97">
        <v>709.36974099999998</v>
      </c>
      <c r="I1865" s="98">
        <v>90089.957106999995</v>
      </c>
      <c r="J1865" s="97">
        <v>738.26600040000005</v>
      </c>
      <c r="K1865" s="98">
        <v>-3669.8249437999998</v>
      </c>
      <c r="L1865" s="99">
        <v>0</v>
      </c>
      <c r="M1865" s="98">
        <v>0</v>
      </c>
      <c r="N1865" s="99">
        <v>0</v>
      </c>
      <c r="O1865" s="98">
        <v>0</v>
      </c>
      <c r="P1865" s="99">
        <v>127</v>
      </c>
      <c r="Q1865" s="98">
        <v>90089.957106999995</v>
      </c>
      <c r="R1865" s="96" t="s">
        <v>625</v>
      </c>
      <c r="S1865" s="96">
        <v>7414000005</v>
      </c>
      <c r="AA1865" s="129">
        <v>1037087</v>
      </c>
      <c r="AB1865" s="130">
        <v>18359.321096</v>
      </c>
      <c r="AC1865" s="130">
        <v>18359.321096</v>
      </c>
    </row>
    <row r="1866" spans="1:29" x14ac:dyDescent="0.25">
      <c r="A1866" t="str">
        <f t="shared" si="30"/>
        <v xml:space="preserve">75222UDIBONO 431112      </v>
      </c>
      <c r="B1866" s="96">
        <v>75222</v>
      </c>
      <c r="C1866" s="96" t="s">
        <v>849</v>
      </c>
      <c r="D1866" s="96" t="s">
        <v>399</v>
      </c>
      <c r="E1866" s="96" t="s">
        <v>623</v>
      </c>
      <c r="F1866" s="96" t="s">
        <v>624</v>
      </c>
      <c r="G1866" s="99">
        <v>1790</v>
      </c>
      <c r="H1866" s="97">
        <v>694.41118700000004</v>
      </c>
      <c r="I1866" s="98">
        <v>1242996.0247299999</v>
      </c>
      <c r="J1866" s="97">
        <v>722.06277493048049</v>
      </c>
      <c r="K1866" s="98">
        <v>-49496.342395560001</v>
      </c>
      <c r="L1866" s="99">
        <v>0</v>
      </c>
      <c r="M1866" s="98">
        <v>0</v>
      </c>
      <c r="N1866" s="99">
        <v>0</v>
      </c>
      <c r="O1866" s="98">
        <v>0</v>
      </c>
      <c r="P1866" s="99">
        <v>1790</v>
      </c>
      <c r="Q1866" s="98">
        <v>1242996.0247299999</v>
      </c>
      <c r="R1866" s="96" t="s">
        <v>625</v>
      </c>
      <c r="S1866" s="96">
        <v>7414000005</v>
      </c>
      <c r="AA1866" s="131" t="s">
        <v>431</v>
      </c>
      <c r="AB1866" s="130">
        <v>18359.321096</v>
      </c>
      <c r="AC1866" s="130">
        <v>18359.321096</v>
      </c>
    </row>
    <row r="1867" spans="1:29" x14ac:dyDescent="0.25">
      <c r="A1867" t="str">
        <f t="shared" si="30"/>
        <v xml:space="preserve">75222UDIBONO 461108      </v>
      </c>
      <c r="B1867" s="96">
        <v>75223</v>
      </c>
      <c r="C1867" s="96" t="s">
        <v>850</v>
      </c>
      <c r="D1867" s="96" t="s">
        <v>376</v>
      </c>
      <c r="E1867" s="96" t="s">
        <v>623</v>
      </c>
      <c r="F1867" s="96" t="s">
        <v>624</v>
      </c>
      <c r="G1867" s="99">
        <v>0</v>
      </c>
      <c r="H1867" s="97">
        <v>0</v>
      </c>
      <c r="I1867" s="98">
        <v>0</v>
      </c>
      <c r="J1867" s="97">
        <v>0</v>
      </c>
      <c r="K1867" s="98">
        <v>0</v>
      </c>
      <c r="L1867" s="99">
        <v>0</v>
      </c>
      <c r="M1867" s="98">
        <v>0</v>
      </c>
      <c r="N1867" s="99">
        <v>0</v>
      </c>
      <c r="O1867" s="98">
        <v>0</v>
      </c>
      <c r="P1867" s="99">
        <v>0</v>
      </c>
      <c r="Q1867" s="98">
        <v>0</v>
      </c>
      <c r="R1867" s="96" t="s">
        <v>625</v>
      </c>
      <c r="S1867" s="96">
        <v>7414000005</v>
      </c>
      <c r="AA1867" s="129">
        <v>1037090</v>
      </c>
      <c r="AB1867" s="130">
        <v>16704197.451416001</v>
      </c>
      <c r="AC1867" s="130">
        <v>16704197.451416001</v>
      </c>
    </row>
    <row r="1868" spans="1:29" x14ac:dyDescent="0.25">
      <c r="A1868" t="str">
        <f t="shared" si="30"/>
        <v xml:space="preserve">75222UDIBONO 501103      </v>
      </c>
      <c r="B1868" s="96">
        <v>75223</v>
      </c>
      <c r="C1868" s="96" t="s">
        <v>850</v>
      </c>
      <c r="D1868" s="96" t="s">
        <v>382</v>
      </c>
      <c r="E1868" s="96" t="s">
        <v>623</v>
      </c>
      <c r="F1868" s="96" t="s">
        <v>624</v>
      </c>
      <c r="G1868" s="99">
        <v>0</v>
      </c>
      <c r="H1868" s="97">
        <v>0</v>
      </c>
      <c r="I1868" s="98">
        <v>0</v>
      </c>
      <c r="J1868" s="97">
        <v>0</v>
      </c>
      <c r="K1868" s="98">
        <v>0</v>
      </c>
      <c r="L1868" s="99">
        <v>0</v>
      </c>
      <c r="M1868" s="98">
        <v>0</v>
      </c>
      <c r="N1868" s="99">
        <v>0</v>
      </c>
      <c r="O1868" s="98">
        <v>0</v>
      </c>
      <c r="P1868" s="99">
        <v>0</v>
      </c>
      <c r="Q1868" s="98">
        <v>0</v>
      </c>
      <c r="R1868" s="96" t="s">
        <v>625</v>
      </c>
      <c r="S1868" s="96">
        <v>7414000005</v>
      </c>
      <c r="AA1868" s="131" t="s">
        <v>366</v>
      </c>
      <c r="AB1868" s="130">
        <v>720199.81</v>
      </c>
      <c r="AC1868" s="130">
        <v>720199.81</v>
      </c>
    </row>
    <row r="1869" spans="1:29" x14ac:dyDescent="0.25">
      <c r="A1869" t="str">
        <f t="shared" si="30"/>
        <v xml:space="preserve">75223GOBFED 241205       </v>
      </c>
      <c r="B1869" s="96">
        <v>75223</v>
      </c>
      <c r="C1869" s="96" t="s">
        <v>850</v>
      </c>
      <c r="D1869" s="96" t="s">
        <v>396</v>
      </c>
      <c r="E1869" s="96" t="s">
        <v>623</v>
      </c>
      <c r="F1869" s="96" t="s">
        <v>624</v>
      </c>
      <c r="G1869" s="99">
        <v>0</v>
      </c>
      <c r="H1869" s="97">
        <v>0</v>
      </c>
      <c r="I1869" s="98">
        <v>0</v>
      </c>
      <c r="J1869" s="97">
        <v>0</v>
      </c>
      <c r="K1869" s="98">
        <v>0</v>
      </c>
      <c r="L1869" s="99">
        <v>0</v>
      </c>
      <c r="M1869" s="98">
        <v>0</v>
      </c>
      <c r="N1869" s="99">
        <v>0</v>
      </c>
      <c r="O1869" s="98">
        <v>0</v>
      </c>
      <c r="P1869" s="99">
        <v>0</v>
      </c>
      <c r="Q1869" s="98">
        <v>0</v>
      </c>
      <c r="R1869" s="96" t="s">
        <v>625</v>
      </c>
      <c r="S1869" s="96">
        <v>7414000005</v>
      </c>
      <c r="AA1869" s="131" t="s">
        <v>431</v>
      </c>
      <c r="AB1869" s="130">
        <v>15983997.641416</v>
      </c>
      <c r="AC1869" s="130">
        <v>15983997.641416</v>
      </c>
    </row>
    <row r="1870" spans="1:29" x14ac:dyDescent="0.25">
      <c r="A1870" t="str">
        <f t="shared" si="30"/>
        <v xml:space="preserve">75223GOBFED 310529       </v>
      </c>
      <c r="B1870" s="96">
        <v>75224</v>
      </c>
      <c r="C1870" s="96" t="s">
        <v>851</v>
      </c>
      <c r="D1870" s="96" t="s">
        <v>376</v>
      </c>
      <c r="E1870" s="96" t="s">
        <v>623</v>
      </c>
      <c r="F1870" s="96" t="s">
        <v>624</v>
      </c>
      <c r="G1870" s="99">
        <v>0</v>
      </c>
      <c r="H1870" s="97">
        <v>0</v>
      </c>
      <c r="I1870" s="98">
        <v>0</v>
      </c>
      <c r="J1870" s="97">
        <v>0</v>
      </c>
      <c r="K1870" s="98">
        <v>0</v>
      </c>
      <c r="L1870" s="99">
        <v>0</v>
      </c>
      <c r="M1870" s="98">
        <v>0</v>
      </c>
      <c r="N1870" s="99">
        <v>0</v>
      </c>
      <c r="O1870" s="98">
        <v>0</v>
      </c>
      <c r="P1870" s="99">
        <v>0</v>
      </c>
      <c r="Q1870" s="98">
        <v>0</v>
      </c>
      <c r="R1870" s="96" t="s">
        <v>625</v>
      </c>
      <c r="S1870" s="96">
        <v>7414000005</v>
      </c>
      <c r="AA1870" s="129">
        <v>1037113</v>
      </c>
      <c r="AB1870" s="130">
        <v>7989275.5879040007</v>
      </c>
      <c r="AC1870" s="130">
        <v>7989275.5879040007</v>
      </c>
    </row>
    <row r="1871" spans="1:29" x14ac:dyDescent="0.25">
      <c r="A1871" t="str">
        <f t="shared" si="30"/>
        <v xml:space="preserve">75223UDIBONO 401115      </v>
      </c>
      <c r="B1871" s="96">
        <v>75224</v>
      </c>
      <c r="C1871" s="96" t="s">
        <v>851</v>
      </c>
      <c r="D1871" s="96" t="s">
        <v>382</v>
      </c>
      <c r="E1871" s="96" t="s">
        <v>623</v>
      </c>
      <c r="F1871" s="96" t="s">
        <v>624</v>
      </c>
      <c r="G1871" s="99">
        <v>0</v>
      </c>
      <c r="H1871" s="97">
        <v>0</v>
      </c>
      <c r="I1871" s="98">
        <v>0</v>
      </c>
      <c r="J1871" s="97">
        <v>0</v>
      </c>
      <c r="K1871" s="98">
        <v>0</v>
      </c>
      <c r="L1871" s="99">
        <v>0</v>
      </c>
      <c r="M1871" s="98">
        <v>0</v>
      </c>
      <c r="N1871" s="99">
        <v>0</v>
      </c>
      <c r="O1871" s="98">
        <v>0</v>
      </c>
      <c r="P1871" s="99">
        <v>0</v>
      </c>
      <c r="Q1871" s="98">
        <v>0</v>
      </c>
      <c r="R1871" s="96" t="s">
        <v>625</v>
      </c>
      <c r="S1871" s="96">
        <v>7414000005</v>
      </c>
      <c r="AA1871" s="131" t="s">
        <v>366</v>
      </c>
      <c r="AB1871" s="130">
        <v>2496246.89</v>
      </c>
      <c r="AC1871" s="130">
        <v>2496246.89</v>
      </c>
    </row>
    <row r="1872" spans="1:29" x14ac:dyDescent="0.25">
      <c r="A1872" t="str">
        <f t="shared" si="30"/>
        <v xml:space="preserve">75224GOBFED 241205       </v>
      </c>
      <c r="B1872" s="96">
        <v>75224</v>
      </c>
      <c r="C1872" s="96" t="s">
        <v>851</v>
      </c>
      <c r="D1872" s="96" t="s">
        <v>396</v>
      </c>
      <c r="E1872" s="96" t="s">
        <v>623</v>
      </c>
      <c r="F1872" s="96" t="s">
        <v>624</v>
      </c>
      <c r="G1872" s="99">
        <v>0</v>
      </c>
      <c r="H1872" s="97">
        <v>0</v>
      </c>
      <c r="I1872" s="98">
        <v>0</v>
      </c>
      <c r="J1872" s="97">
        <v>0</v>
      </c>
      <c r="K1872" s="98">
        <v>0</v>
      </c>
      <c r="L1872" s="99">
        <v>0</v>
      </c>
      <c r="M1872" s="98">
        <v>0</v>
      </c>
      <c r="N1872" s="99">
        <v>0</v>
      </c>
      <c r="O1872" s="98">
        <v>0</v>
      </c>
      <c r="P1872" s="99">
        <v>0</v>
      </c>
      <c r="Q1872" s="98">
        <v>0</v>
      </c>
      <c r="R1872" s="96" t="s">
        <v>625</v>
      </c>
      <c r="S1872" s="96">
        <v>7414000005</v>
      </c>
      <c r="AA1872" s="131" t="s">
        <v>389</v>
      </c>
      <c r="AB1872" s="130">
        <v>5493028.6979040001</v>
      </c>
      <c r="AC1872" s="130">
        <v>5493028.6979040001</v>
      </c>
    </row>
    <row r="1873" spans="1:29" x14ac:dyDescent="0.25">
      <c r="A1873" t="str">
        <f t="shared" si="30"/>
        <v xml:space="preserve">75224GOBFED 310529       </v>
      </c>
      <c r="B1873" s="96">
        <v>75225</v>
      </c>
      <c r="C1873" s="96" t="s">
        <v>852</v>
      </c>
      <c r="D1873" s="96" t="s">
        <v>376</v>
      </c>
      <c r="E1873" s="96" t="s">
        <v>623</v>
      </c>
      <c r="F1873" s="96" t="s">
        <v>624</v>
      </c>
      <c r="G1873" s="99">
        <v>0</v>
      </c>
      <c r="H1873" s="97">
        <v>0</v>
      </c>
      <c r="I1873" s="98">
        <v>0</v>
      </c>
      <c r="J1873" s="97">
        <v>0</v>
      </c>
      <c r="K1873" s="98">
        <v>0</v>
      </c>
      <c r="L1873" s="99">
        <v>0</v>
      </c>
      <c r="M1873" s="98">
        <v>0</v>
      </c>
      <c r="N1873" s="99">
        <v>0</v>
      </c>
      <c r="O1873" s="98">
        <v>0</v>
      </c>
      <c r="P1873" s="99">
        <v>0</v>
      </c>
      <c r="Q1873" s="98">
        <v>0</v>
      </c>
      <c r="R1873" s="96" t="s">
        <v>625</v>
      </c>
      <c r="S1873" s="96">
        <v>7414000005</v>
      </c>
      <c r="AA1873" s="129">
        <v>1037115</v>
      </c>
      <c r="AB1873" s="130">
        <v>11248503.419558</v>
      </c>
      <c r="AC1873" s="130">
        <v>11248503.419558</v>
      </c>
    </row>
    <row r="1874" spans="1:29" x14ac:dyDescent="0.25">
      <c r="A1874" t="str">
        <f t="shared" si="30"/>
        <v xml:space="preserve">75224UDIBONO 401115      </v>
      </c>
      <c r="B1874" s="96">
        <v>75225</v>
      </c>
      <c r="C1874" s="96" t="s">
        <v>852</v>
      </c>
      <c r="D1874" s="96" t="s">
        <v>382</v>
      </c>
      <c r="E1874" s="96" t="s">
        <v>623</v>
      </c>
      <c r="F1874" s="96" t="s">
        <v>624</v>
      </c>
      <c r="G1874" s="99">
        <v>0</v>
      </c>
      <c r="H1874" s="97">
        <v>0</v>
      </c>
      <c r="I1874" s="98">
        <v>0</v>
      </c>
      <c r="J1874" s="97">
        <v>0</v>
      </c>
      <c r="K1874" s="98">
        <v>0</v>
      </c>
      <c r="L1874" s="99">
        <v>0</v>
      </c>
      <c r="M1874" s="98">
        <v>0</v>
      </c>
      <c r="N1874" s="99">
        <v>0</v>
      </c>
      <c r="O1874" s="98">
        <v>0</v>
      </c>
      <c r="P1874" s="99">
        <v>0</v>
      </c>
      <c r="Q1874" s="98">
        <v>0</v>
      </c>
      <c r="R1874" s="96" t="s">
        <v>625</v>
      </c>
      <c r="S1874" s="96">
        <v>7414000005</v>
      </c>
      <c r="AA1874" s="131" t="s">
        <v>389</v>
      </c>
      <c r="AB1874" s="130">
        <v>4051965.1607639999</v>
      </c>
      <c r="AC1874" s="130">
        <v>4051965.1607639999</v>
      </c>
    </row>
    <row r="1875" spans="1:29" x14ac:dyDescent="0.25">
      <c r="A1875" t="str">
        <f t="shared" si="30"/>
        <v xml:space="preserve">75225GOBFED 241205       </v>
      </c>
      <c r="B1875" s="96">
        <v>75225</v>
      </c>
      <c r="C1875" s="96" t="s">
        <v>852</v>
      </c>
      <c r="D1875" s="96" t="s">
        <v>396</v>
      </c>
      <c r="E1875" s="96" t="s">
        <v>623</v>
      </c>
      <c r="F1875" s="96" t="s">
        <v>624</v>
      </c>
      <c r="G1875" s="99">
        <v>0</v>
      </c>
      <c r="H1875" s="97">
        <v>0</v>
      </c>
      <c r="I1875" s="98">
        <v>0</v>
      </c>
      <c r="J1875" s="97">
        <v>0</v>
      </c>
      <c r="K1875" s="98">
        <v>0</v>
      </c>
      <c r="L1875" s="99">
        <v>0</v>
      </c>
      <c r="M1875" s="98">
        <v>0</v>
      </c>
      <c r="N1875" s="99">
        <v>0</v>
      </c>
      <c r="O1875" s="98">
        <v>0</v>
      </c>
      <c r="P1875" s="99">
        <v>0</v>
      </c>
      <c r="Q1875" s="98">
        <v>0</v>
      </c>
      <c r="R1875" s="96" t="s">
        <v>625</v>
      </c>
      <c r="S1875" s="96">
        <v>7414000005</v>
      </c>
      <c r="AA1875" s="131" t="s">
        <v>417</v>
      </c>
      <c r="AB1875" s="130">
        <v>2320290.5635099998</v>
      </c>
      <c r="AC1875" s="130">
        <v>2320290.5635099998</v>
      </c>
    </row>
    <row r="1876" spans="1:29" x14ac:dyDescent="0.25">
      <c r="A1876" t="str">
        <f t="shared" si="30"/>
        <v xml:space="preserve">75225GOBFED 310529       </v>
      </c>
      <c r="B1876" s="96">
        <v>75226</v>
      </c>
      <c r="C1876" s="96" t="s">
        <v>853</v>
      </c>
      <c r="D1876" s="96" t="s">
        <v>376</v>
      </c>
      <c r="E1876" s="96" t="s">
        <v>623</v>
      </c>
      <c r="F1876" s="96" t="s">
        <v>624</v>
      </c>
      <c r="G1876" s="99">
        <v>0</v>
      </c>
      <c r="H1876" s="97">
        <v>0</v>
      </c>
      <c r="I1876" s="98">
        <v>0</v>
      </c>
      <c r="J1876" s="97">
        <v>0</v>
      </c>
      <c r="K1876" s="98">
        <v>0</v>
      </c>
      <c r="L1876" s="99">
        <v>0</v>
      </c>
      <c r="M1876" s="98">
        <v>0</v>
      </c>
      <c r="N1876" s="99">
        <v>0</v>
      </c>
      <c r="O1876" s="98">
        <v>0</v>
      </c>
      <c r="P1876" s="99">
        <v>0</v>
      </c>
      <c r="Q1876" s="98">
        <v>0</v>
      </c>
      <c r="R1876" s="96" t="s">
        <v>625</v>
      </c>
      <c r="S1876" s="96">
        <v>7414000005</v>
      </c>
      <c r="AA1876" s="131" t="s">
        <v>407</v>
      </c>
      <c r="AB1876" s="130">
        <v>4876247.6952839997</v>
      </c>
      <c r="AC1876" s="130">
        <v>4876247.6952839997</v>
      </c>
    </row>
    <row r="1877" spans="1:29" x14ac:dyDescent="0.25">
      <c r="A1877" t="str">
        <f t="shared" si="30"/>
        <v xml:space="preserve">75225UDIBONO 401115      </v>
      </c>
      <c r="B1877" s="96">
        <v>75226</v>
      </c>
      <c r="C1877" s="96" t="s">
        <v>853</v>
      </c>
      <c r="D1877" s="96" t="s">
        <v>382</v>
      </c>
      <c r="E1877" s="96" t="s">
        <v>623</v>
      </c>
      <c r="F1877" s="96" t="s">
        <v>624</v>
      </c>
      <c r="G1877" s="99">
        <v>0</v>
      </c>
      <c r="H1877" s="97">
        <v>0</v>
      </c>
      <c r="I1877" s="98">
        <v>0</v>
      </c>
      <c r="J1877" s="97">
        <v>0</v>
      </c>
      <c r="K1877" s="98">
        <v>0</v>
      </c>
      <c r="L1877" s="99">
        <v>0</v>
      </c>
      <c r="M1877" s="98">
        <v>0</v>
      </c>
      <c r="N1877" s="99">
        <v>0</v>
      </c>
      <c r="O1877" s="98">
        <v>0</v>
      </c>
      <c r="P1877" s="99">
        <v>0</v>
      </c>
      <c r="Q1877" s="98">
        <v>0</v>
      </c>
      <c r="R1877" s="96" t="s">
        <v>625</v>
      </c>
      <c r="S1877" s="96">
        <v>7414000005</v>
      </c>
      <c r="AA1877" s="129">
        <v>1037117</v>
      </c>
      <c r="AB1877" s="130">
        <v>8890963.5312760007</v>
      </c>
      <c r="AC1877" s="130">
        <v>8890963.5312760007</v>
      </c>
    </row>
    <row r="1878" spans="1:29" x14ac:dyDescent="0.25">
      <c r="A1878" t="str">
        <f t="shared" si="30"/>
        <v xml:space="preserve">75226GOBFED 241205       </v>
      </c>
      <c r="B1878" s="96">
        <v>75226</v>
      </c>
      <c r="C1878" s="96" t="s">
        <v>853</v>
      </c>
      <c r="D1878" s="96" t="s">
        <v>396</v>
      </c>
      <c r="E1878" s="96" t="s">
        <v>623</v>
      </c>
      <c r="F1878" s="96" t="s">
        <v>624</v>
      </c>
      <c r="G1878" s="99">
        <v>0</v>
      </c>
      <c r="H1878" s="97">
        <v>0</v>
      </c>
      <c r="I1878" s="98">
        <v>0</v>
      </c>
      <c r="J1878" s="97">
        <v>0</v>
      </c>
      <c r="K1878" s="98">
        <v>0</v>
      </c>
      <c r="L1878" s="99">
        <v>0</v>
      </c>
      <c r="M1878" s="98">
        <v>0</v>
      </c>
      <c r="N1878" s="99">
        <v>0</v>
      </c>
      <c r="O1878" s="98">
        <v>0</v>
      </c>
      <c r="P1878" s="99">
        <v>0</v>
      </c>
      <c r="Q1878" s="98">
        <v>0</v>
      </c>
      <c r="R1878" s="96" t="s">
        <v>625</v>
      </c>
      <c r="S1878" s="96">
        <v>7414000005</v>
      </c>
      <c r="AA1878" s="131" t="s">
        <v>366</v>
      </c>
      <c r="AB1878" s="130">
        <v>411999.01</v>
      </c>
      <c r="AC1878" s="130">
        <v>411999.01</v>
      </c>
    </row>
    <row r="1879" spans="1:29" x14ac:dyDescent="0.25">
      <c r="A1879" t="str">
        <f t="shared" si="30"/>
        <v xml:space="preserve">75226GOBFED 310529       </v>
      </c>
      <c r="B1879" s="96">
        <v>75227</v>
      </c>
      <c r="C1879" s="96" t="s">
        <v>854</v>
      </c>
      <c r="D1879" s="96" t="s">
        <v>376</v>
      </c>
      <c r="E1879" s="96" t="s">
        <v>623</v>
      </c>
      <c r="F1879" s="96" t="s">
        <v>624</v>
      </c>
      <c r="G1879" s="99">
        <v>0</v>
      </c>
      <c r="H1879" s="97">
        <v>0</v>
      </c>
      <c r="I1879" s="98">
        <v>0</v>
      </c>
      <c r="J1879" s="97">
        <v>0</v>
      </c>
      <c r="K1879" s="98">
        <v>0</v>
      </c>
      <c r="L1879" s="99">
        <v>0</v>
      </c>
      <c r="M1879" s="98">
        <v>0</v>
      </c>
      <c r="N1879" s="99">
        <v>0</v>
      </c>
      <c r="O1879" s="98">
        <v>0</v>
      </c>
      <c r="P1879" s="99">
        <v>0</v>
      </c>
      <c r="Q1879" s="98">
        <v>0</v>
      </c>
      <c r="R1879" s="96" t="s">
        <v>625</v>
      </c>
      <c r="S1879" s="96">
        <v>7414000005</v>
      </c>
      <c r="AA1879" s="131" t="s">
        <v>389</v>
      </c>
      <c r="AB1879" s="130">
        <v>8478964.5212760009</v>
      </c>
      <c r="AC1879" s="130">
        <v>8478964.5212760009</v>
      </c>
    </row>
    <row r="1880" spans="1:29" x14ac:dyDescent="0.25">
      <c r="A1880" t="str">
        <f t="shared" si="30"/>
        <v xml:space="preserve">75226UDIBONO 401115      </v>
      </c>
      <c r="B1880" s="96">
        <v>75227</v>
      </c>
      <c r="C1880" s="96" t="s">
        <v>854</v>
      </c>
      <c r="D1880" s="96" t="s">
        <v>382</v>
      </c>
      <c r="E1880" s="96" t="s">
        <v>623</v>
      </c>
      <c r="F1880" s="96" t="s">
        <v>624</v>
      </c>
      <c r="G1880" s="99">
        <v>0</v>
      </c>
      <c r="H1880" s="97">
        <v>0</v>
      </c>
      <c r="I1880" s="98">
        <v>0</v>
      </c>
      <c r="J1880" s="97">
        <v>0</v>
      </c>
      <c r="K1880" s="98">
        <v>0</v>
      </c>
      <c r="L1880" s="99">
        <v>0</v>
      </c>
      <c r="M1880" s="98">
        <v>0</v>
      </c>
      <c r="N1880" s="99">
        <v>0</v>
      </c>
      <c r="O1880" s="98">
        <v>0</v>
      </c>
      <c r="P1880" s="99">
        <v>0</v>
      </c>
      <c r="Q1880" s="98">
        <v>0</v>
      </c>
      <c r="R1880" s="96" t="s">
        <v>625</v>
      </c>
      <c r="S1880" s="96">
        <v>7414000005</v>
      </c>
      <c r="AA1880" s="129">
        <v>1037118</v>
      </c>
      <c r="AB1880" s="130">
        <v>14737348.621164</v>
      </c>
      <c r="AC1880" s="130">
        <v>14737348.621164</v>
      </c>
    </row>
    <row r="1881" spans="1:29" x14ac:dyDescent="0.25">
      <c r="A1881" t="str">
        <f t="shared" si="30"/>
        <v xml:space="preserve">75227GOBFED 241205       </v>
      </c>
      <c r="B1881" s="96">
        <v>75227</v>
      </c>
      <c r="C1881" s="96" t="s">
        <v>854</v>
      </c>
      <c r="D1881" s="96" t="s">
        <v>396</v>
      </c>
      <c r="E1881" s="96" t="s">
        <v>623</v>
      </c>
      <c r="F1881" s="96" t="s">
        <v>624</v>
      </c>
      <c r="G1881" s="99">
        <v>0</v>
      </c>
      <c r="H1881" s="97">
        <v>0</v>
      </c>
      <c r="I1881" s="98">
        <v>0</v>
      </c>
      <c r="J1881" s="97">
        <v>0</v>
      </c>
      <c r="K1881" s="98">
        <v>0</v>
      </c>
      <c r="L1881" s="99">
        <v>0</v>
      </c>
      <c r="M1881" s="98">
        <v>0</v>
      </c>
      <c r="N1881" s="99">
        <v>0</v>
      </c>
      <c r="O1881" s="98">
        <v>0</v>
      </c>
      <c r="P1881" s="99">
        <v>0</v>
      </c>
      <c r="Q1881" s="98">
        <v>0</v>
      </c>
      <c r="R1881" s="96" t="s">
        <v>625</v>
      </c>
      <c r="S1881" s="96">
        <v>7414000005</v>
      </c>
      <c r="AA1881" s="131" t="s">
        <v>366</v>
      </c>
      <c r="AB1881" s="130">
        <v>1350374.65</v>
      </c>
      <c r="AC1881" s="130">
        <v>1350374.65</v>
      </c>
    </row>
    <row r="1882" spans="1:29" x14ac:dyDescent="0.25">
      <c r="A1882" t="str">
        <f t="shared" si="30"/>
        <v xml:space="preserve">75227GOBFED 310529       </v>
      </c>
      <c r="B1882" s="96">
        <v>75228</v>
      </c>
      <c r="C1882" s="96" t="s">
        <v>855</v>
      </c>
      <c r="D1882" s="96" t="s">
        <v>376</v>
      </c>
      <c r="E1882" s="96" t="s">
        <v>623</v>
      </c>
      <c r="F1882" s="96" t="s">
        <v>624</v>
      </c>
      <c r="G1882" s="99">
        <v>0</v>
      </c>
      <c r="H1882" s="97">
        <v>0</v>
      </c>
      <c r="I1882" s="98">
        <v>0</v>
      </c>
      <c r="J1882" s="97">
        <v>0</v>
      </c>
      <c r="K1882" s="98">
        <v>0</v>
      </c>
      <c r="L1882" s="99">
        <v>0</v>
      </c>
      <c r="M1882" s="98">
        <v>0</v>
      </c>
      <c r="N1882" s="99">
        <v>0</v>
      </c>
      <c r="O1882" s="98">
        <v>0</v>
      </c>
      <c r="P1882" s="99">
        <v>0</v>
      </c>
      <c r="Q1882" s="98">
        <v>0</v>
      </c>
      <c r="R1882" s="96" t="s">
        <v>625</v>
      </c>
      <c r="S1882" s="96">
        <v>7414000005</v>
      </c>
      <c r="AA1882" s="131" t="s">
        <v>389</v>
      </c>
      <c r="AB1882" s="130">
        <v>13386973.971163999</v>
      </c>
      <c r="AC1882" s="130">
        <v>13386973.971163999</v>
      </c>
    </row>
    <row r="1883" spans="1:29" x14ac:dyDescent="0.25">
      <c r="A1883" t="str">
        <f t="shared" si="30"/>
        <v xml:space="preserve">75227UDIBONO 401115      </v>
      </c>
      <c r="B1883" s="96">
        <v>75228</v>
      </c>
      <c r="C1883" s="96" t="s">
        <v>855</v>
      </c>
      <c r="D1883" s="96" t="s">
        <v>382</v>
      </c>
      <c r="E1883" s="96" t="s">
        <v>623</v>
      </c>
      <c r="F1883" s="96" t="s">
        <v>624</v>
      </c>
      <c r="G1883" s="99">
        <v>0</v>
      </c>
      <c r="H1883" s="97">
        <v>0</v>
      </c>
      <c r="I1883" s="98">
        <v>0</v>
      </c>
      <c r="J1883" s="97">
        <v>0</v>
      </c>
      <c r="K1883" s="98">
        <v>0</v>
      </c>
      <c r="L1883" s="99">
        <v>0</v>
      </c>
      <c r="M1883" s="98">
        <v>0</v>
      </c>
      <c r="N1883" s="99">
        <v>0</v>
      </c>
      <c r="O1883" s="98">
        <v>0</v>
      </c>
      <c r="P1883" s="99">
        <v>0</v>
      </c>
      <c r="Q1883" s="98">
        <v>0</v>
      </c>
      <c r="R1883" s="96" t="s">
        <v>625</v>
      </c>
      <c r="S1883" s="96">
        <v>7414000005</v>
      </c>
      <c r="AA1883" s="129">
        <v>65501902345</v>
      </c>
      <c r="AB1883" s="130">
        <v>29211516.135896001</v>
      </c>
      <c r="AC1883" s="130">
        <v>29211516.135896001</v>
      </c>
    </row>
    <row r="1884" spans="1:29" x14ac:dyDescent="0.25">
      <c r="A1884" t="str">
        <f t="shared" si="30"/>
        <v xml:space="preserve">75228GOBFED 241205       </v>
      </c>
      <c r="B1884" s="96">
        <v>75228</v>
      </c>
      <c r="C1884" s="96" t="s">
        <v>855</v>
      </c>
      <c r="D1884" s="96" t="s">
        <v>396</v>
      </c>
      <c r="E1884" s="96" t="s">
        <v>623</v>
      </c>
      <c r="F1884" s="96" t="s">
        <v>624</v>
      </c>
      <c r="G1884" s="99">
        <v>0</v>
      </c>
      <c r="H1884" s="97">
        <v>0</v>
      </c>
      <c r="I1884" s="98">
        <v>0</v>
      </c>
      <c r="J1884" s="97">
        <v>0</v>
      </c>
      <c r="K1884" s="98">
        <v>0</v>
      </c>
      <c r="L1884" s="99">
        <v>0</v>
      </c>
      <c r="M1884" s="98">
        <v>0</v>
      </c>
      <c r="N1884" s="99">
        <v>0</v>
      </c>
      <c r="O1884" s="98">
        <v>0</v>
      </c>
      <c r="P1884" s="99">
        <v>0</v>
      </c>
      <c r="Q1884" s="98">
        <v>0</v>
      </c>
      <c r="R1884" s="96" t="s">
        <v>625</v>
      </c>
      <c r="S1884" s="96">
        <v>7414000005</v>
      </c>
      <c r="AA1884" s="131" t="s">
        <v>431</v>
      </c>
      <c r="AB1884" s="130">
        <v>29211516.135896001</v>
      </c>
      <c r="AC1884" s="130">
        <v>29211516.135896001</v>
      </c>
    </row>
    <row r="1885" spans="1:29" x14ac:dyDescent="0.25">
      <c r="A1885" t="str">
        <f t="shared" si="30"/>
        <v xml:space="preserve">75228GOBFED 310529       </v>
      </c>
      <c r="B1885" s="96">
        <v>77704</v>
      </c>
      <c r="C1885" s="96" t="s">
        <v>856</v>
      </c>
      <c r="D1885" s="96" t="s">
        <v>376</v>
      </c>
      <c r="E1885" s="96" t="s">
        <v>623</v>
      </c>
      <c r="F1885" s="96" t="s">
        <v>624</v>
      </c>
      <c r="G1885" s="99">
        <v>0</v>
      </c>
      <c r="H1885" s="97">
        <v>0</v>
      </c>
      <c r="I1885" s="98">
        <v>0</v>
      </c>
      <c r="J1885" s="97">
        <v>0</v>
      </c>
      <c r="K1885" s="98">
        <v>0</v>
      </c>
      <c r="L1885" s="99">
        <v>0</v>
      </c>
      <c r="M1885" s="98">
        <v>0</v>
      </c>
      <c r="N1885" s="99">
        <v>0</v>
      </c>
      <c r="O1885" s="98">
        <v>0</v>
      </c>
      <c r="P1885" s="99">
        <v>0</v>
      </c>
      <c r="Q1885" s="98">
        <v>0</v>
      </c>
      <c r="R1885" s="96" t="s">
        <v>625</v>
      </c>
      <c r="S1885" s="96">
        <v>7414000005</v>
      </c>
      <c r="AA1885" s="129">
        <v>65502397418</v>
      </c>
      <c r="AB1885" s="130">
        <v>21732632.524448</v>
      </c>
      <c r="AC1885" s="130">
        <v>21732632.524448</v>
      </c>
    </row>
    <row r="1886" spans="1:29" x14ac:dyDescent="0.25">
      <c r="A1886" t="str">
        <f t="shared" si="30"/>
        <v xml:space="preserve">75228UDIBONO 401115      </v>
      </c>
      <c r="B1886" s="96">
        <v>78665</v>
      </c>
      <c r="C1886" s="96" t="s">
        <v>857</v>
      </c>
      <c r="D1886" s="96" t="s">
        <v>480</v>
      </c>
      <c r="E1886" s="96" t="s">
        <v>623</v>
      </c>
      <c r="F1886" s="96" t="s">
        <v>624</v>
      </c>
      <c r="G1886" s="99">
        <v>668079</v>
      </c>
      <c r="H1886" s="97">
        <v>3.612981</v>
      </c>
      <c r="I1886" s="98">
        <v>2413756.7334989998</v>
      </c>
      <c r="J1886" s="97">
        <v>3.6023749885866789</v>
      </c>
      <c r="K1886" s="98">
        <v>7085.653499</v>
      </c>
      <c r="L1886" s="99">
        <v>0</v>
      </c>
      <c r="M1886" s="98">
        <v>0</v>
      </c>
      <c r="N1886" s="99">
        <v>0</v>
      </c>
      <c r="O1886" s="98">
        <v>0</v>
      </c>
      <c r="P1886" s="99">
        <v>668079</v>
      </c>
      <c r="Q1886" s="98">
        <v>2413756.7334989998</v>
      </c>
      <c r="R1886" s="96" t="s">
        <v>625</v>
      </c>
      <c r="S1886" s="96">
        <v>7414000005</v>
      </c>
      <c r="AA1886" s="131" t="s">
        <v>389</v>
      </c>
      <c r="AB1886" s="130">
        <v>9020960.2551399991</v>
      </c>
      <c r="AC1886" s="130">
        <v>9020960.2551399991</v>
      </c>
    </row>
    <row r="1887" spans="1:29" x14ac:dyDescent="0.25">
      <c r="A1887" t="str">
        <f t="shared" si="30"/>
        <v xml:space="preserve">77704GOBFED 241205       </v>
      </c>
      <c r="B1887" s="96">
        <v>78665</v>
      </c>
      <c r="C1887" s="96" t="s">
        <v>857</v>
      </c>
      <c r="D1887" s="96" t="s">
        <v>413</v>
      </c>
      <c r="E1887" s="96" t="s">
        <v>623</v>
      </c>
      <c r="F1887" s="96" t="s">
        <v>624</v>
      </c>
      <c r="G1887" s="99">
        <v>3853660</v>
      </c>
      <c r="H1887" s="97">
        <v>137.04691399999999</v>
      </c>
      <c r="I1887" s="98">
        <v>528132210.60523999</v>
      </c>
      <c r="J1887" s="97">
        <v>117.20955695364925</v>
      </c>
      <c r="K1887" s="98">
        <v>76446429.355240002</v>
      </c>
      <c r="L1887" s="99">
        <v>0</v>
      </c>
      <c r="M1887" s="98">
        <v>0</v>
      </c>
      <c r="N1887" s="99">
        <v>0</v>
      </c>
      <c r="O1887" s="98">
        <v>0</v>
      </c>
      <c r="P1887" s="99">
        <v>3853660</v>
      </c>
      <c r="Q1887" s="98">
        <v>528132210.60523999</v>
      </c>
      <c r="R1887" s="96" t="s">
        <v>625</v>
      </c>
      <c r="S1887" s="96">
        <v>7414000005</v>
      </c>
      <c r="AA1887" s="131" t="s">
        <v>417</v>
      </c>
      <c r="AB1887" s="130">
        <v>4103786.158264</v>
      </c>
      <c r="AC1887" s="130">
        <v>4103786.158264</v>
      </c>
    </row>
    <row r="1888" spans="1:29" x14ac:dyDescent="0.25">
      <c r="A1888" t="str">
        <f t="shared" si="30"/>
        <v xml:space="preserve">78665STERGOB B4          </v>
      </c>
      <c r="B1888" s="96">
        <v>78666</v>
      </c>
      <c r="C1888" s="96" t="s">
        <v>858</v>
      </c>
      <c r="D1888" s="96" t="s">
        <v>413</v>
      </c>
      <c r="E1888" s="96" t="s">
        <v>623</v>
      </c>
      <c r="F1888" s="96" t="s">
        <v>624</v>
      </c>
      <c r="G1888" s="99">
        <v>11235729</v>
      </c>
      <c r="H1888" s="97">
        <v>137.04691399999999</v>
      </c>
      <c r="I1888" s="98">
        <v>1539821985.9903059</v>
      </c>
      <c r="J1888" s="97">
        <v>95.653063462103788</v>
      </c>
      <c r="K1888" s="98">
        <v>465090086.91030598</v>
      </c>
      <c r="L1888" s="99">
        <v>0</v>
      </c>
      <c r="M1888" s="98">
        <v>0</v>
      </c>
      <c r="N1888" s="99">
        <v>0</v>
      </c>
      <c r="O1888" s="98">
        <v>0</v>
      </c>
      <c r="P1888" s="99">
        <v>11235729</v>
      </c>
      <c r="Q1888" s="98">
        <v>1539821985.9903059</v>
      </c>
      <c r="R1888" s="96" t="s">
        <v>625</v>
      </c>
      <c r="S1888" s="96">
        <v>7414000005</v>
      </c>
      <c r="AA1888" s="131" t="s">
        <v>407</v>
      </c>
      <c r="AB1888" s="130">
        <v>8607886.1110440008</v>
      </c>
      <c r="AC1888" s="130">
        <v>8607886.1110440008</v>
      </c>
    </row>
    <row r="1889" spans="1:29" x14ac:dyDescent="0.25">
      <c r="A1889" t="str">
        <f t="shared" si="30"/>
        <v xml:space="preserve">78665SVIVE20 S           </v>
      </c>
      <c r="B1889" s="96">
        <v>78669</v>
      </c>
      <c r="C1889" s="96" t="s">
        <v>859</v>
      </c>
      <c r="D1889" s="96" t="s">
        <v>357</v>
      </c>
      <c r="E1889" s="96" t="s">
        <v>623</v>
      </c>
      <c r="F1889" s="96" t="s">
        <v>624</v>
      </c>
      <c r="G1889" s="99">
        <v>15500</v>
      </c>
      <c r="H1889" s="97">
        <v>168.64</v>
      </c>
      <c r="I1889" s="98">
        <v>2613920</v>
      </c>
      <c r="J1889" s="97">
        <v>170.82553999999999</v>
      </c>
      <c r="K1889" s="98">
        <v>-33875.870000000003</v>
      </c>
      <c r="L1889" s="99">
        <v>0</v>
      </c>
      <c r="M1889" s="98">
        <v>0</v>
      </c>
      <c r="N1889" s="99">
        <v>0</v>
      </c>
      <c r="O1889" s="98">
        <v>0</v>
      </c>
      <c r="P1889" s="99">
        <v>15500</v>
      </c>
      <c r="Q1889" s="98">
        <v>2613920</v>
      </c>
      <c r="R1889" s="96" t="s">
        <v>625</v>
      </c>
      <c r="S1889" s="96">
        <v>7414000005</v>
      </c>
      <c r="AA1889" s="129">
        <v>1036525</v>
      </c>
      <c r="AB1889" s="130">
        <v>2119073.3439429994</v>
      </c>
      <c r="AC1889" s="130">
        <v>2119073.3439429994</v>
      </c>
    </row>
    <row r="1890" spans="1:29" x14ac:dyDescent="0.25">
      <c r="A1890" t="str">
        <f t="shared" si="30"/>
        <v xml:space="preserve">78666SVIVE20 S           </v>
      </c>
      <c r="B1890" s="96">
        <v>78669</v>
      </c>
      <c r="C1890" s="96" t="s">
        <v>859</v>
      </c>
      <c r="D1890" s="96" t="s">
        <v>506</v>
      </c>
      <c r="E1890" s="96" t="s">
        <v>623</v>
      </c>
      <c r="F1890" s="96" t="s">
        <v>624</v>
      </c>
      <c r="G1890" s="99">
        <v>80000</v>
      </c>
      <c r="H1890" s="97">
        <v>12.48</v>
      </c>
      <c r="I1890" s="98">
        <v>998400</v>
      </c>
      <c r="J1890" s="97">
        <v>11.544299867499999</v>
      </c>
      <c r="K1890" s="98">
        <v>74856.010599999994</v>
      </c>
      <c r="L1890" s="99">
        <v>0</v>
      </c>
      <c r="M1890" s="98">
        <v>0</v>
      </c>
      <c r="N1890" s="99">
        <v>0</v>
      </c>
      <c r="O1890" s="98">
        <v>0</v>
      </c>
      <c r="P1890" s="99">
        <v>80000</v>
      </c>
      <c r="Q1890" s="98">
        <v>998400</v>
      </c>
      <c r="R1890" s="96" t="s">
        <v>625</v>
      </c>
      <c r="S1890" s="96">
        <v>7414000005</v>
      </c>
      <c r="AA1890" s="131" t="s">
        <v>376</v>
      </c>
      <c r="AB1890" s="130">
        <v>36523.079264</v>
      </c>
      <c r="AC1890" s="130">
        <v>36523.079264</v>
      </c>
    </row>
    <row r="1891" spans="1:29" x14ac:dyDescent="0.25">
      <c r="A1891" t="str">
        <f t="shared" si="30"/>
        <v xml:space="preserve">78669AC *                </v>
      </c>
      <c r="B1891" s="96">
        <v>78669</v>
      </c>
      <c r="C1891" s="96" t="s">
        <v>859</v>
      </c>
      <c r="D1891" s="96" t="s">
        <v>617</v>
      </c>
      <c r="E1891" s="96" t="s">
        <v>623</v>
      </c>
      <c r="F1891" s="96" t="s">
        <v>624</v>
      </c>
      <c r="G1891" s="99">
        <v>33657</v>
      </c>
      <c r="H1891" s="97">
        <v>11.86</v>
      </c>
      <c r="I1891" s="98">
        <v>399172.02</v>
      </c>
      <c r="J1891" s="97">
        <v>12.731641560448049</v>
      </c>
      <c r="K1891" s="98">
        <v>-29336.84</v>
      </c>
      <c r="L1891" s="99">
        <v>0</v>
      </c>
      <c r="M1891" s="98">
        <v>0</v>
      </c>
      <c r="N1891" s="99">
        <v>0</v>
      </c>
      <c r="O1891" s="98">
        <v>0</v>
      </c>
      <c r="P1891" s="99">
        <v>33657</v>
      </c>
      <c r="Q1891" s="98">
        <v>399172.02</v>
      </c>
      <c r="R1891" s="96" t="s">
        <v>625</v>
      </c>
      <c r="S1891" s="96">
        <v>7414000005</v>
      </c>
      <c r="AA1891" s="131" t="s">
        <v>378</v>
      </c>
      <c r="AB1891" s="130">
        <v>32077.225528999999</v>
      </c>
      <c r="AC1891" s="130">
        <v>32077.225528999999</v>
      </c>
    </row>
    <row r="1892" spans="1:29" x14ac:dyDescent="0.25">
      <c r="A1892" t="str">
        <f t="shared" si="30"/>
        <v xml:space="preserve">78669ALFA A              </v>
      </c>
      <c r="B1892" s="96">
        <v>78669</v>
      </c>
      <c r="C1892" s="96" t="s">
        <v>859</v>
      </c>
      <c r="D1892" s="96" t="s">
        <v>359</v>
      </c>
      <c r="E1892" s="96" t="s">
        <v>623</v>
      </c>
      <c r="F1892" s="96" t="s">
        <v>624</v>
      </c>
      <c r="G1892" s="99">
        <v>30000</v>
      </c>
      <c r="H1892" s="97">
        <v>73.37</v>
      </c>
      <c r="I1892" s="98">
        <v>2201100</v>
      </c>
      <c r="J1892" s="97">
        <v>59.822946999999999</v>
      </c>
      <c r="K1892" s="98">
        <v>406411.59</v>
      </c>
      <c r="L1892" s="99">
        <v>0</v>
      </c>
      <c r="M1892" s="98">
        <v>0</v>
      </c>
      <c r="N1892" s="99">
        <v>0</v>
      </c>
      <c r="O1892" s="98">
        <v>0</v>
      </c>
      <c r="P1892" s="99">
        <v>30000</v>
      </c>
      <c r="Q1892" s="98">
        <v>2201100</v>
      </c>
      <c r="R1892" s="96" t="s">
        <v>625</v>
      </c>
      <c r="S1892" s="96">
        <v>7414000005</v>
      </c>
      <c r="AA1892" s="131" t="s">
        <v>380</v>
      </c>
      <c r="AB1892" s="130">
        <v>42644.585744000004</v>
      </c>
      <c r="AC1892" s="130">
        <v>42644.585744000004</v>
      </c>
    </row>
    <row r="1893" spans="1:29" x14ac:dyDescent="0.25">
      <c r="A1893" t="str">
        <f t="shared" si="30"/>
        <v xml:space="preserve">78669ALPEK A             </v>
      </c>
      <c r="B1893" s="96">
        <v>78669</v>
      </c>
      <c r="C1893" s="96" t="s">
        <v>859</v>
      </c>
      <c r="D1893" s="96" t="s">
        <v>360</v>
      </c>
      <c r="E1893" s="96" t="s">
        <v>623</v>
      </c>
      <c r="F1893" s="96" t="s">
        <v>624</v>
      </c>
      <c r="G1893" s="99">
        <v>543000</v>
      </c>
      <c r="H1893" s="97">
        <v>15.12</v>
      </c>
      <c r="I1893" s="98">
        <v>8210160</v>
      </c>
      <c r="J1893" s="97">
        <v>16.445542259300183</v>
      </c>
      <c r="K1893" s="98">
        <v>-719769.44680000003</v>
      </c>
      <c r="L1893" s="99">
        <v>0</v>
      </c>
      <c r="M1893" s="98">
        <v>0</v>
      </c>
      <c r="N1893" s="99">
        <v>0</v>
      </c>
      <c r="O1893" s="98">
        <v>0</v>
      </c>
      <c r="P1893" s="99">
        <v>543000</v>
      </c>
      <c r="Q1893" s="98">
        <v>8210160</v>
      </c>
      <c r="R1893" s="96" t="s">
        <v>625</v>
      </c>
      <c r="S1893" s="96">
        <v>7414000005</v>
      </c>
      <c r="AA1893" s="131" t="s">
        <v>382</v>
      </c>
      <c r="AB1893" s="130">
        <v>51008.995049999998</v>
      </c>
      <c r="AC1893" s="130">
        <v>51008.995049999998</v>
      </c>
    </row>
    <row r="1894" spans="1:29" x14ac:dyDescent="0.25">
      <c r="A1894" t="str">
        <f t="shared" si="30"/>
        <v xml:space="preserve">78669ALSEA *             </v>
      </c>
      <c r="B1894" s="96">
        <v>78669</v>
      </c>
      <c r="C1894" s="96" t="s">
        <v>859</v>
      </c>
      <c r="D1894" s="96" t="s">
        <v>551</v>
      </c>
      <c r="E1894" s="96" t="s">
        <v>623</v>
      </c>
      <c r="F1894" s="96" t="s">
        <v>624</v>
      </c>
      <c r="G1894" s="99">
        <v>8200</v>
      </c>
      <c r="H1894" s="97">
        <v>525.09</v>
      </c>
      <c r="I1894" s="98">
        <v>4305738</v>
      </c>
      <c r="J1894" s="97">
        <v>505.66193902439022</v>
      </c>
      <c r="K1894" s="98">
        <v>159310.1</v>
      </c>
      <c r="L1894" s="99">
        <v>0</v>
      </c>
      <c r="M1894" s="98">
        <v>0</v>
      </c>
      <c r="N1894" s="99">
        <v>0</v>
      </c>
      <c r="O1894" s="98">
        <v>0</v>
      </c>
      <c r="P1894" s="99">
        <v>8200</v>
      </c>
      <c r="Q1894" s="98">
        <v>4305738</v>
      </c>
      <c r="R1894" s="96" t="s">
        <v>625</v>
      </c>
      <c r="S1894" s="96">
        <v>7414000005</v>
      </c>
      <c r="AA1894" s="131" t="s">
        <v>427</v>
      </c>
      <c r="AB1894" s="130">
        <v>52486.897878000003</v>
      </c>
      <c r="AC1894" s="130">
        <v>52486.897878000003</v>
      </c>
    </row>
    <row r="1895" spans="1:29" x14ac:dyDescent="0.25">
      <c r="A1895" t="str">
        <f t="shared" si="30"/>
        <v xml:space="preserve">78669AMX B               </v>
      </c>
      <c r="B1895" s="96">
        <v>78669</v>
      </c>
      <c r="C1895" s="96" t="s">
        <v>859</v>
      </c>
      <c r="D1895" s="96" t="s">
        <v>361</v>
      </c>
      <c r="E1895" s="96" t="s">
        <v>623</v>
      </c>
      <c r="F1895" s="96" t="s">
        <v>624</v>
      </c>
      <c r="G1895" s="99">
        <v>28700</v>
      </c>
      <c r="H1895" s="97">
        <v>68.25</v>
      </c>
      <c r="I1895" s="98">
        <v>1958775</v>
      </c>
      <c r="J1895" s="97">
        <v>77.533172125435541</v>
      </c>
      <c r="K1895" s="98">
        <v>-266427.03999999998</v>
      </c>
      <c r="L1895" s="99">
        <v>0</v>
      </c>
      <c r="M1895" s="98">
        <v>0</v>
      </c>
      <c r="N1895" s="99">
        <v>0</v>
      </c>
      <c r="O1895" s="98">
        <v>0</v>
      </c>
      <c r="P1895" s="99">
        <v>28700</v>
      </c>
      <c r="Q1895" s="98">
        <v>1958775</v>
      </c>
      <c r="R1895" s="96" t="s">
        <v>625</v>
      </c>
      <c r="S1895" s="96">
        <v>7414000005</v>
      </c>
      <c r="AA1895" s="131" t="s">
        <v>418</v>
      </c>
      <c r="AB1895" s="130">
        <v>1217.4115919999999</v>
      </c>
      <c r="AC1895" s="130">
        <v>1217.4115919999999</v>
      </c>
    </row>
    <row r="1896" spans="1:29" x14ac:dyDescent="0.25">
      <c r="A1896" t="str">
        <f t="shared" si="30"/>
        <v xml:space="preserve">78669ASUR B              </v>
      </c>
      <c r="B1896" s="96">
        <v>78669</v>
      </c>
      <c r="C1896" s="96" t="s">
        <v>859</v>
      </c>
      <c r="D1896" s="96" t="s">
        <v>362</v>
      </c>
      <c r="E1896" s="96" t="s">
        <v>623</v>
      </c>
      <c r="F1896" s="96" t="s">
        <v>624</v>
      </c>
      <c r="G1896" s="99">
        <v>620000</v>
      </c>
      <c r="H1896" s="97">
        <v>14.33</v>
      </c>
      <c r="I1896" s="98">
        <v>8884600</v>
      </c>
      <c r="J1896" s="97">
        <v>10.717748806451613</v>
      </c>
      <c r="K1896" s="98">
        <v>2239595.7400000002</v>
      </c>
      <c r="L1896" s="99">
        <v>0</v>
      </c>
      <c r="M1896" s="98">
        <v>0</v>
      </c>
      <c r="N1896" s="99">
        <v>0</v>
      </c>
      <c r="O1896" s="98">
        <v>0</v>
      </c>
      <c r="P1896" s="99">
        <v>620000</v>
      </c>
      <c r="Q1896" s="98">
        <v>8884600</v>
      </c>
      <c r="R1896" s="96" t="s">
        <v>625</v>
      </c>
      <c r="S1896" s="96">
        <v>7414000005</v>
      </c>
      <c r="AA1896" s="131" t="s">
        <v>408</v>
      </c>
      <c r="AB1896" s="130">
        <v>6812.8810720000001</v>
      </c>
      <c r="AC1896" s="130">
        <v>6812.8810720000001</v>
      </c>
    </row>
    <row r="1897" spans="1:29" x14ac:dyDescent="0.25">
      <c r="A1897" t="str">
        <f t="shared" si="30"/>
        <v xml:space="preserve">78669BIMBO A             </v>
      </c>
      <c r="B1897" s="96">
        <v>78669</v>
      </c>
      <c r="C1897" s="96" t="s">
        <v>859</v>
      </c>
      <c r="D1897" s="96" t="s">
        <v>860</v>
      </c>
      <c r="E1897" s="96" t="s">
        <v>623</v>
      </c>
      <c r="F1897" s="96" t="s">
        <v>624</v>
      </c>
      <c r="G1897" s="99">
        <v>6300</v>
      </c>
      <c r="H1897" s="97">
        <v>124.49</v>
      </c>
      <c r="I1897" s="98">
        <v>784287</v>
      </c>
      <c r="J1897" s="97">
        <v>131.39971587301588</v>
      </c>
      <c r="K1897" s="98">
        <v>-43531.21</v>
      </c>
      <c r="L1897" s="99">
        <v>0</v>
      </c>
      <c r="M1897" s="98">
        <v>0</v>
      </c>
      <c r="N1897" s="99">
        <v>0</v>
      </c>
      <c r="O1897" s="98">
        <v>0</v>
      </c>
      <c r="P1897" s="99">
        <v>6300</v>
      </c>
      <c r="Q1897" s="98">
        <v>784287</v>
      </c>
      <c r="R1897" s="96" t="s">
        <v>625</v>
      </c>
      <c r="S1897" s="96">
        <v>7414000005</v>
      </c>
      <c r="AA1897" s="131" t="s">
        <v>384</v>
      </c>
      <c r="AB1897" s="130">
        <v>51822.437239999999</v>
      </c>
      <c r="AC1897" s="130">
        <v>51822.437239999999</v>
      </c>
    </row>
    <row r="1898" spans="1:29" x14ac:dyDescent="0.25">
      <c r="A1898" t="str">
        <f t="shared" si="30"/>
        <v xml:space="preserve">78669CEMEX CPO           </v>
      </c>
      <c r="B1898" s="96">
        <v>78669</v>
      </c>
      <c r="C1898" s="96" t="s">
        <v>859</v>
      </c>
      <c r="D1898" s="96" t="s">
        <v>599</v>
      </c>
      <c r="E1898" s="96" t="s">
        <v>623</v>
      </c>
      <c r="F1898" s="96" t="s">
        <v>624</v>
      </c>
      <c r="G1898" s="99">
        <v>213000</v>
      </c>
      <c r="H1898" s="97">
        <v>20.11</v>
      </c>
      <c r="I1898" s="98">
        <v>4283430</v>
      </c>
      <c r="J1898" s="97">
        <v>25.833747323943662</v>
      </c>
      <c r="K1898" s="98">
        <v>-1219158.18</v>
      </c>
      <c r="L1898" s="99">
        <v>0</v>
      </c>
      <c r="M1898" s="98">
        <v>0</v>
      </c>
      <c r="N1898" s="99">
        <v>0</v>
      </c>
      <c r="O1898" s="98">
        <v>0</v>
      </c>
      <c r="P1898" s="99">
        <v>213000</v>
      </c>
      <c r="Q1898" s="98">
        <v>4283430</v>
      </c>
      <c r="R1898" s="96" t="s">
        <v>625</v>
      </c>
      <c r="S1898" s="96">
        <v>7414000005</v>
      </c>
      <c r="AA1898" s="131" t="s">
        <v>389</v>
      </c>
      <c r="AB1898" s="130">
        <v>266806.25028400001</v>
      </c>
      <c r="AC1898" s="130">
        <v>266806.25028400001</v>
      </c>
    </row>
    <row r="1899" spans="1:29" x14ac:dyDescent="0.25">
      <c r="A1899" t="str">
        <f t="shared" si="30"/>
        <v xml:space="preserve">78669CHDRAUI B           </v>
      </c>
      <c r="B1899" s="96">
        <v>78669</v>
      </c>
      <c r="C1899" s="96" t="s">
        <v>859</v>
      </c>
      <c r="D1899" s="96" t="s">
        <v>600</v>
      </c>
      <c r="E1899" s="96" t="s">
        <v>623</v>
      </c>
      <c r="F1899" s="96" t="s">
        <v>624</v>
      </c>
      <c r="G1899" s="99">
        <v>29629</v>
      </c>
      <c r="H1899" s="97">
        <v>55</v>
      </c>
      <c r="I1899" s="98">
        <v>1629595</v>
      </c>
      <c r="J1899" s="97">
        <v>20</v>
      </c>
      <c r="K1899" s="98">
        <v>1037015</v>
      </c>
      <c r="L1899" s="99">
        <v>0</v>
      </c>
      <c r="M1899" s="98">
        <v>0</v>
      </c>
      <c r="N1899" s="99">
        <v>0</v>
      </c>
      <c r="O1899" s="98">
        <v>0</v>
      </c>
      <c r="P1899" s="99">
        <v>29629</v>
      </c>
      <c r="Q1899" s="98">
        <v>1629595</v>
      </c>
      <c r="R1899" s="96" t="s">
        <v>625</v>
      </c>
      <c r="S1899" s="96">
        <v>7414000005</v>
      </c>
      <c r="AA1899" s="131" t="s">
        <v>391</v>
      </c>
      <c r="AB1899" s="130">
        <v>34906.130415</v>
      </c>
      <c r="AC1899" s="130">
        <v>34906.130415</v>
      </c>
    </row>
    <row r="1900" spans="1:29" x14ac:dyDescent="0.25">
      <c r="A1900" t="str">
        <f t="shared" si="30"/>
        <v xml:space="preserve">78669DANHOS 13           </v>
      </c>
      <c r="B1900" s="96">
        <v>78669</v>
      </c>
      <c r="C1900" s="96" t="s">
        <v>859</v>
      </c>
      <c r="D1900" s="96" t="s">
        <v>365</v>
      </c>
      <c r="E1900" s="96" t="s">
        <v>623</v>
      </c>
      <c r="F1900" s="96" t="s">
        <v>624</v>
      </c>
      <c r="G1900" s="99">
        <v>8140</v>
      </c>
      <c r="H1900" s="97">
        <v>675.38</v>
      </c>
      <c r="I1900" s="98">
        <v>5497593.2000000002</v>
      </c>
      <c r="J1900" s="97">
        <v>837.4808353808354</v>
      </c>
      <c r="K1900" s="98">
        <v>-1319500.8</v>
      </c>
      <c r="L1900" s="99">
        <v>0</v>
      </c>
      <c r="M1900" s="98">
        <v>0</v>
      </c>
      <c r="N1900" s="99">
        <v>0</v>
      </c>
      <c r="O1900" s="98">
        <v>0</v>
      </c>
      <c r="P1900" s="99">
        <v>8140</v>
      </c>
      <c r="Q1900" s="98">
        <v>5497593.2000000002</v>
      </c>
      <c r="R1900" s="96" t="s">
        <v>625</v>
      </c>
      <c r="S1900" s="96">
        <v>7414000005</v>
      </c>
      <c r="AA1900" s="131" t="s">
        <v>395</v>
      </c>
      <c r="AB1900" s="130">
        <v>24733.66288</v>
      </c>
      <c r="AC1900" s="130">
        <v>24733.66288</v>
      </c>
    </row>
    <row r="1901" spans="1:29" x14ac:dyDescent="0.25">
      <c r="A1901" t="str">
        <f t="shared" si="30"/>
        <v xml:space="preserve">78669EDUCA 18            </v>
      </c>
      <c r="B1901" s="96">
        <v>78669</v>
      </c>
      <c r="C1901" s="96" t="s">
        <v>859</v>
      </c>
      <c r="D1901" s="96" t="s">
        <v>366</v>
      </c>
      <c r="E1901" s="96" t="s">
        <v>623</v>
      </c>
      <c r="F1901" s="96" t="s">
        <v>624</v>
      </c>
      <c r="G1901" s="99">
        <v>0</v>
      </c>
      <c r="H1901" s="97">
        <v>0</v>
      </c>
      <c r="I1901" s="98">
        <v>44802929.479999997</v>
      </c>
      <c r="J1901" s="97">
        <v>0</v>
      </c>
      <c r="K1901" s="98">
        <v>0</v>
      </c>
      <c r="L1901" s="99">
        <v>0</v>
      </c>
      <c r="M1901" s="98">
        <v>0</v>
      </c>
      <c r="N1901" s="99">
        <v>0</v>
      </c>
      <c r="O1901" s="98">
        <v>0</v>
      </c>
      <c r="P1901" s="99">
        <v>0</v>
      </c>
      <c r="Q1901" s="98">
        <v>44802929.479999997</v>
      </c>
      <c r="R1901" s="96" t="s">
        <v>625</v>
      </c>
      <c r="S1901" s="96">
        <v>7414000005</v>
      </c>
      <c r="AA1901" s="131" t="s">
        <v>396</v>
      </c>
      <c r="AB1901" s="130">
        <v>28142.19096</v>
      </c>
      <c r="AC1901" s="130">
        <v>28142.19096</v>
      </c>
    </row>
    <row r="1902" spans="1:29" x14ac:dyDescent="0.25">
      <c r="A1902" t="str">
        <f t="shared" si="30"/>
        <v xml:space="preserve">78669EEM *               </v>
      </c>
      <c r="B1902" s="96">
        <v>78669</v>
      </c>
      <c r="C1902" s="96" t="s">
        <v>859</v>
      </c>
      <c r="D1902" s="96" t="s">
        <v>367</v>
      </c>
      <c r="E1902" s="96" t="s">
        <v>623</v>
      </c>
      <c r="F1902" s="96" t="s">
        <v>624</v>
      </c>
      <c r="G1902" s="99">
        <v>1930</v>
      </c>
      <c r="H1902" s="97">
        <v>700.65</v>
      </c>
      <c r="I1902" s="98">
        <v>1352254.5</v>
      </c>
      <c r="J1902" s="97">
        <v>774.49088082901551</v>
      </c>
      <c r="K1902" s="98">
        <v>-142512.9</v>
      </c>
      <c r="L1902" s="99">
        <v>0</v>
      </c>
      <c r="M1902" s="98">
        <v>0</v>
      </c>
      <c r="N1902" s="99">
        <v>0</v>
      </c>
      <c r="O1902" s="98">
        <v>0</v>
      </c>
      <c r="P1902" s="99">
        <v>1930</v>
      </c>
      <c r="Q1902" s="98">
        <v>1352254.5</v>
      </c>
      <c r="R1902" s="96" t="s">
        <v>625</v>
      </c>
      <c r="S1902" s="96">
        <v>7414000005</v>
      </c>
      <c r="AA1902" s="131" t="s">
        <v>398</v>
      </c>
      <c r="AB1902" s="130">
        <v>34049.747567999999</v>
      </c>
      <c r="AC1902" s="130">
        <v>34049.747567999999</v>
      </c>
    </row>
    <row r="1903" spans="1:29" x14ac:dyDescent="0.25">
      <c r="A1903" t="str">
        <f t="shared" si="30"/>
        <v>78669EFECTIVO</v>
      </c>
      <c r="B1903" s="96">
        <v>78669</v>
      </c>
      <c r="C1903" s="96" t="s">
        <v>859</v>
      </c>
      <c r="D1903" s="96" t="s">
        <v>368</v>
      </c>
      <c r="E1903" s="96" t="s">
        <v>623</v>
      </c>
      <c r="F1903" s="96" t="s">
        <v>624</v>
      </c>
      <c r="G1903" s="99">
        <v>2670</v>
      </c>
      <c r="H1903" s="97">
        <v>1151</v>
      </c>
      <c r="I1903" s="98">
        <v>3073170</v>
      </c>
      <c r="J1903" s="97">
        <v>1073.7219101123596</v>
      </c>
      <c r="K1903" s="98">
        <v>206332.5</v>
      </c>
      <c r="L1903" s="99">
        <v>0</v>
      </c>
      <c r="M1903" s="98">
        <v>0</v>
      </c>
      <c r="N1903" s="99">
        <v>0</v>
      </c>
      <c r="O1903" s="98">
        <v>0</v>
      </c>
      <c r="P1903" s="99">
        <v>2670</v>
      </c>
      <c r="Q1903" s="98">
        <v>3073170</v>
      </c>
      <c r="R1903" s="96" t="s">
        <v>625</v>
      </c>
      <c r="S1903" s="96">
        <v>7414000005</v>
      </c>
      <c r="AA1903" s="131" t="s">
        <v>381</v>
      </c>
      <c r="AB1903" s="130">
        <v>14515.134021</v>
      </c>
      <c r="AC1903" s="130">
        <v>14515.134021</v>
      </c>
    </row>
    <row r="1904" spans="1:29" x14ac:dyDescent="0.25">
      <c r="A1904" t="str">
        <f t="shared" si="30"/>
        <v xml:space="preserve">78669EPP *               </v>
      </c>
      <c r="B1904" s="96">
        <v>78669</v>
      </c>
      <c r="C1904" s="96" t="s">
        <v>859</v>
      </c>
      <c r="D1904" s="96" t="s">
        <v>369</v>
      </c>
      <c r="E1904" s="96" t="s">
        <v>623</v>
      </c>
      <c r="F1904" s="96" t="s">
        <v>624</v>
      </c>
      <c r="G1904" s="99">
        <v>48800</v>
      </c>
      <c r="H1904" s="97">
        <v>207.81</v>
      </c>
      <c r="I1904" s="98">
        <v>10141128</v>
      </c>
      <c r="J1904" s="97">
        <v>164.2448868852459</v>
      </c>
      <c r="K1904" s="98">
        <v>2125977.52</v>
      </c>
      <c r="L1904" s="99">
        <v>0</v>
      </c>
      <c r="M1904" s="98">
        <v>0</v>
      </c>
      <c r="N1904" s="99">
        <v>0</v>
      </c>
      <c r="O1904" s="98">
        <v>0</v>
      </c>
      <c r="P1904" s="99">
        <v>48800</v>
      </c>
      <c r="Q1904" s="98">
        <v>10141128</v>
      </c>
      <c r="R1904" s="96" t="s">
        <v>625</v>
      </c>
      <c r="S1904" s="96">
        <v>7414000005</v>
      </c>
      <c r="AA1904" s="131" t="s">
        <v>466</v>
      </c>
      <c r="AB1904" s="130">
        <v>7681.5034500000002</v>
      </c>
      <c r="AC1904" s="130">
        <v>7681.5034500000002</v>
      </c>
    </row>
    <row r="1905" spans="1:29" x14ac:dyDescent="0.25">
      <c r="A1905" t="str">
        <f t="shared" si="30"/>
        <v xml:space="preserve">78669EWJ *               </v>
      </c>
      <c r="B1905" s="96">
        <v>78669</v>
      </c>
      <c r="C1905" s="96" t="s">
        <v>859</v>
      </c>
      <c r="D1905" s="96" t="s">
        <v>601</v>
      </c>
      <c r="E1905" s="96" t="s">
        <v>623</v>
      </c>
      <c r="F1905" s="96" t="s">
        <v>624</v>
      </c>
      <c r="G1905" s="99">
        <v>2790</v>
      </c>
      <c r="H1905" s="97">
        <v>838.1</v>
      </c>
      <c r="I1905" s="98">
        <v>2338299</v>
      </c>
      <c r="J1905" s="97">
        <v>632.7621505376344</v>
      </c>
      <c r="K1905" s="98">
        <v>572892.6</v>
      </c>
      <c r="L1905" s="99">
        <v>0</v>
      </c>
      <c r="M1905" s="98">
        <v>0</v>
      </c>
      <c r="N1905" s="99">
        <v>0</v>
      </c>
      <c r="O1905" s="98">
        <v>0</v>
      </c>
      <c r="P1905" s="99">
        <v>2790</v>
      </c>
      <c r="Q1905" s="98">
        <v>2338299</v>
      </c>
      <c r="R1905" s="96" t="s">
        <v>625</v>
      </c>
      <c r="S1905" s="96">
        <v>7414000005</v>
      </c>
      <c r="AA1905" s="131" t="s">
        <v>393</v>
      </c>
      <c r="AB1905" s="130">
        <v>53614.67181</v>
      </c>
      <c r="AC1905" s="130">
        <v>53614.67181</v>
      </c>
    </row>
    <row r="1906" spans="1:29" x14ac:dyDescent="0.25">
      <c r="A1906" t="str">
        <f t="shared" si="30"/>
        <v xml:space="preserve">78669FEMSA UBD           </v>
      </c>
      <c r="B1906" s="96">
        <v>78669</v>
      </c>
      <c r="C1906" s="96" t="s">
        <v>859</v>
      </c>
      <c r="D1906" s="96" t="s">
        <v>602</v>
      </c>
      <c r="E1906" s="96" t="s">
        <v>623</v>
      </c>
      <c r="F1906" s="96" t="s">
        <v>624</v>
      </c>
      <c r="G1906" s="99">
        <v>21901</v>
      </c>
      <c r="H1906" s="97">
        <v>293.147626</v>
      </c>
      <c r="I1906" s="98">
        <v>6420226.1570260003</v>
      </c>
      <c r="J1906" s="97">
        <v>575.54750000000001</v>
      </c>
      <c r="K1906" s="98">
        <v>-6184839.640474</v>
      </c>
      <c r="L1906" s="99">
        <v>0</v>
      </c>
      <c r="M1906" s="98">
        <v>0</v>
      </c>
      <c r="N1906" s="99">
        <v>0</v>
      </c>
      <c r="O1906" s="98">
        <v>0</v>
      </c>
      <c r="P1906" s="99">
        <v>21901</v>
      </c>
      <c r="Q1906" s="98">
        <v>6420226.1570260003</v>
      </c>
      <c r="R1906" s="96" t="s">
        <v>625</v>
      </c>
      <c r="S1906" s="96">
        <v>7414000005</v>
      </c>
      <c r="AA1906" s="131" t="s">
        <v>385</v>
      </c>
      <c r="AB1906" s="130">
        <v>6406.4585969999998</v>
      </c>
      <c r="AC1906" s="130">
        <v>6406.4585969999998</v>
      </c>
    </row>
    <row r="1907" spans="1:29" x14ac:dyDescent="0.25">
      <c r="A1907" t="str">
        <f t="shared" si="30"/>
        <v xml:space="preserve">78669FEZ *               </v>
      </c>
      <c r="B1907" s="96">
        <v>78669</v>
      </c>
      <c r="C1907" s="96" t="s">
        <v>859</v>
      </c>
      <c r="D1907" s="96" t="s">
        <v>576</v>
      </c>
      <c r="E1907" s="96" t="s">
        <v>623</v>
      </c>
      <c r="F1907" s="96" t="s">
        <v>624</v>
      </c>
      <c r="G1907" s="99">
        <v>223079</v>
      </c>
      <c r="H1907" s="97">
        <v>30.9</v>
      </c>
      <c r="I1907" s="98">
        <v>6893141.0999999996</v>
      </c>
      <c r="J1907" s="97">
        <v>22.913386511056622</v>
      </c>
      <c r="K1907" s="98">
        <v>1781645.7505000001</v>
      </c>
      <c r="L1907" s="99">
        <v>0</v>
      </c>
      <c r="M1907" s="98">
        <v>0</v>
      </c>
      <c r="N1907" s="99">
        <v>0</v>
      </c>
      <c r="O1907" s="98">
        <v>0</v>
      </c>
      <c r="P1907" s="99">
        <v>223079</v>
      </c>
      <c r="Q1907" s="98">
        <v>6893141.0999999996</v>
      </c>
      <c r="R1907" s="96" t="s">
        <v>625</v>
      </c>
      <c r="S1907" s="96">
        <v>7414000005</v>
      </c>
      <c r="AA1907" s="131" t="s">
        <v>417</v>
      </c>
      <c r="AB1907" s="130">
        <v>322661.796294</v>
      </c>
      <c r="AC1907" s="130">
        <v>322661.796294</v>
      </c>
    </row>
    <row r="1908" spans="1:29" x14ac:dyDescent="0.25">
      <c r="A1908" t="str">
        <f t="shared" si="30"/>
        <v xml:space="preserve">78669FHIPOCB 17U         </v>
      </c>
      <c r="B1908" s="96">
        <v>78669</v>
      </c>
      <c r="C1908" s="96" t="s">
        <v>859</v>
      </c>
      <c r="D1908" s="96" t="s">
        <v>577</v>
      </c>
      <c r="E1908" s="96" t="s">
        <v>623</v>
      </c>
      <c r="F1908" s="96" t="s">
        <v>624</v>
      </c>
      <c r="G1908" s="99">
        <v>151410</v>
      </c>
      <c r="H1908" s="97">
        <v>68.83</v>
      </c>
      <c r="I1908" s="98">
        <v>10421550.300000001</v>
      </c>
      <c r="J1908" s="97">
        <v>44.799007720758205</v>
      </c>
      <c r="K1908" s="98">
        <v>3638532.5410000002</v>
      </c>
      <c r="L1908" s="99">
        <v>0</v>
      </c>
      <c r="M1908" s="98">
        <v>0</v>
      </c>
      <c r="N1908" s="99">
        <v>0</v>
      </c>
      <c r="O1908" s="98">
        <v>0</v>
      </c>
      <c r="P1908" s="99">
        <v>151410</v>
      </c>
      <c r="Q1908" s="98">
        <v>10421550.300000001</v>
      </c>
      <c r="R1908" s="96" t="s">
        <v>625</v>
      </c>
      <c r="S1908" s="96">
        <v>7414000005</v>
      </c>
      <c r="AA1908" s="131" t="s">
        <v>375</v>
      </c>
      <c r="AB1908" s="130">
        <v>21720.676780000002</v>
      </c>
      <c r="AC1908" s="130">
        <v>21720.676780000002</v>
      </c>
    </row>
    <row r="1909" spans="1:29" x14ac:dyDescent="0.25">
      <c r="A1909" t="str">
        <f t="shared" si="30"/>
        <v xml:space="preserve">78669FIBRAMQ 12          </v>
      </c>
      <c r="B1909" s="96">
        <v>78669</v>
      </c>
      <c r="C1909" s="96" t="s">
        <v>859</v>
      </c>
      <c r="D1909" s="96" t="s">
        <v>603</v>
      </c>
      <c r="E1909" s="96" t="s">
        <v>623</v>
      </c>
      <c r="F1909" s="96" t="s">
        <v>624</v>
      </c>
      <c r="G1909" s="99">
        <v>2648</v>
      </c>
      <c r="H1909" s="97">
        <v>958</v>
      </c>
      <c r="I1909" s="98">
        <v>2536784</v>
      </c>
      <c r="J1909" s="97">
        <v>1000</v>
      </c>
      <c r="K1909" s="98">
        <v>-111216</v>
      </c>
      <c r="L1909" s="99">
        <v>0</v>
      </c>
      <c r="M1909" s="98">
        <v>0</v>
      </c>
      <c r="N1909" s="99">
        <v>0</v>
      </c>
      <c r="O1909" s="98">
        <v>0</v>
      </c>
      <c r="P1909" s="99">
        <v>2648</v>
      </c>
      <c r="Q1909" s="98">
        <v>2536784</v>
      </c>
      <c r="R1909" s="96" t="s">
        <v>625</v>
      </c>
      <c r="S1909" s="96">
        <v>7414000005</v>
      </c>
      <c r="AA1909" s="131" t="s">
        <v>399</v>
      </c>
      <c r="AB1909" s="130">
        <v>133326.947904</v>
      </c>
      <c r="AC1909" s="130">
        <v>133326.947904</v>
      </c>
    </row>
    <row r="1910" spans="1:29" x14ac:dyDescent="0.25">
      <c r="A1910" t="str">
        <f t="shared" si="30"/>
        <v xml:space="preserve">78669FIBRAPL 14          </v>
      </c>
      <c r="B1910" s="96">
        <v>78669</v>
      </c>
      <c r="C1910" s="96" t="s">
        <v>859</v>
      </c>
      <c r="D1910" s="96" t="s">
        <v>604</v>
      </c>
      <c r="E1910" s="96" t="s">
        <v>623</v>
      </c>
      <c r="F1910" s="96" t="s">
        <v>624</v>
      </c>
      <c r="G1910" s="99">
        <v>350000</v>
      </c>
      <c r="H1910" s="97">
        <v>26.59</v>
      </c>
      <c r="I1910" s="98">
        <v>9306500</v>
      </c>
      <c r="J1910" s="97">
        <v>24.139288028571428</v>
      </c>
      <c r="K1910" s="98">
        <v>857749.19</v>
      </c>
      <c r="L1910" s="99">
        <v>0</v>
      </c>
      <c r="M1910" s="98">
        <v>0</v>
      </c>
      <c r="N1910" s="99">
        <v>0</v>
      </c>
      <c r="O1910" s="98">
        <v>0</v>
      </c>
      <c r="P1910" s="99">
        <v>350000</v>
      </c>
      <c r="Q1910" s="98">
        <v>9306500</v>
      </c>
      <c r="R1910" s="96" t="s">
        <v>625</v>
      </c>
      <c r="S1910" s="96">
        <v>7414000005</v>
      </c>
      <c r="AA1910" s="131" t="s">
        <v>429</v>
      </c>
      <c r="AB1910" s="130">
        <v>62725.013760000002</v>
      </c>
      <c r="AC1910" s="130">
        <v>62725.013760000002</v>
      </c>
    </row>
    <row r="1911" spans="1:29" x14ac:dyDescent="0.25">
      <c r="A1911" t="str">
        <f t="shared" si="30"/>
        <v xml:space="preserve">78669FORION 20           </v>
      </c>
      <c r="B1911" s="96">
        <v>78669</v>
      </c>
      <c r="C1911" s="96" t="s">
        <v>859</v>
      </c>
      <c r="D1911" s="96" t="s">
        <v>605</v>
      </c>
      <c r="E1911" s="96" t="s">
        <v>623</v>
      </c>
      <c r="F1911" s="96" t="s">
        <v>624</v>
      </c>
      <c r="G1911" s="99">
        <v>126663</v>
      </c>
      <c r="H1911" s="97">
        <v>24.456977999999999</v>
      </c>
      <c r="I1911" s="98">
        <v>3097794.2044139998</v>
      </c>
      <c r="J1911" s="97">
        <v>0</v>
      </c>
      <c r="K1911" s="98">
        <v>3097794.2044139998</v>
      </c>
      <c r="L1911" s="99">
        <v>0</v>
      </c>
      <c r="M1911" s="98">
        <v>0</v>
      </c>
      <c r="N1911" s="99">
        <v>0</v>
      </c>
      <c r="O1911" s="98">
        <v>0</v>
      </c>
      <c r="P1911" s="99">
        <v>126663</v>
      </c>
      <c r="Q1911" s="98">
        <v>3097794.2044139998</v>
      </c>
      <c r="R1911" s="96" t="s">
        <v>625</v>
      </c>
      <c r="S1911" s="96">
        <v>7414000005</v>
      </c>
      <c r="AA1911" s="131" t="s">
        <v>394</v>
      </c>
      <c r="AB1911" s="130">
        <v>197248.07750399999</v>
      </c>
      <c r="AC1911" s="130">
        <v>197248.07750399999</v>
      </c>
    </row>
    <row r="1912" spans="1:29" x14ac:dyDescent="0.25">
      <c r="A1912" t="str">
        <f t="shared" si="30"/>
        <v xml:space="preserve">78669FUNO 11             </v>
      </c>
      <c r="B1912" s="96">
        <v>78669</v>
      </c>
      <c r="C1912" s="96" t="s">
        <v>859</v>
      </c>
      <c r="D1912" s="96" t="s">
        <v>370</v>
      </c>
      <c r="E1912" s="96" t="s">
        <v>623</v>
      </c>
      <c r="F1912" s="96" t="s">
        <v>624</v>
      </c>
      <c r="G1912" s="99">
        <v>3200</v>
      </c>
      <c r="H1912" s="97">
        <v>271.94</v>
      </c>
      <c r="I1912" s="98">
        <v>870208</v>
      </c>
      <c r="J1912" s="97">
        <v>298.36692812500002</v>
      </c>
      <c r="K1912" s="98">
        <v>-84566.17</v>
      </c>
      <c r="L1912" s="99">
        <v>0</v>
      </c>
      <c r="M1912" s="98">
        <v>0</v>
      </c>
      <c r="N1912" s="99">
        <v>0</v>
      </c>
      <c r="O1912" s="98">
        <v>0</v>
      </c>
      <c r="P1912" s="99">
        <v>3200</v>
      </c>
      <c r="Q1912" s="98">
        <v>870208</v>
      </c>
      <c r="R1912" s="96" t="s">
        <v>625</v>
      </c>
      <c r="S1912" s="96">
        <v>7414000005</v>
      </c>
      <c r="AA1912" s="131" t="s">
        <v>379</v>
      </c>
      <c r="AB1912" s="130">
        <v>30512.154311999999</v>
      </c>
      <c r="AC1912" s="130">
        <v>30512.154311999999</v>
      </c>
    </row>
    <row r="1913" spans="1:29" x14ac:dyDescent="0.25">
      <c r="A1913" t="str">
        <f t="shared" si="30"/>
        <v xml:space="preserve">78669FVIA 16             </v>
      </c>
      <c r="B1913" s="96">
        <v>78669</v>
      </c>
      <c r="C1913" s="96" t="s">
        <v>859</v>
      </c>
      <c r="D1913" s="96" t="s">
        <v>371</v>
      </c>
      <c r="E1913" s="96" t="s">
        <v>623</v>
      </c>
      <c r="F1913" s="96" t="s">
        <v>624</v>
      </c>
      <c r="G1913" s="99">
        <v>15600</v>
      </c>
      <c r="H1913" s="97">
        <v>193.15</v>
      </c>
      <c r="I1913" s="98">
        <v>3013140</v>
      </c>
      <c r="J1913" s="97">
        <v>162.74262371794873</v>
      </c>
      <c r="K1913" s="98">
        <v>474355.07</v>
      </c>
      <c r="L1913" s="99">
        <v>0</v>
      </c>
      <c r="M1913" s="98">
        <v>0</v>
      </c>
      <c r="N1913" s="99">
        <v>0</v>
      </c>
      <c r="O1913" s="98">
        <v>0</v>
      </c>
      <c r="P1913" s="99">
        <v>15600</v>
      </c>
      <c r="Q1913" s="98">
        <v>3013140</v>
      </c>
      <c r="R1913" s="96" t="s">
        <v>625</v>
      </c>
      <c r="S1913" s="96">
        <v>7414000005</v>
      </c>
      <c r="AA1913" s="131" t="s">
        <v>377</v>
      </c>
      <c r="AB1913" s="130">
        <v>55749.237288999997</v>
      </c>
      <c r="AC1913" s="130">
        <v>55749.237288999997</v>
      </c>
    </row>
    <row r="1914" spans="1:29" x14ac:dyDescent="0.25">
      <c r="A1914" t="str">
        <f t="shared" si="30"/>
        <v xml:space="preserve">78669GAP B               </v>
      </c>
      <c r="B1914" s="96">
        <v>78669</v>
      </c>
      <c r="C1914" s="96" t="s">
        <v>859</v>
      </c>
      <c r="D1914" s="96" t="s">
        <v>372</v>
      </c>
      <c r="E1914" s="96" t="s">
        <v>623</v>
      </c>
      <c r="F1914" s="96" t="s">
        <v>624</v>
      </c>
      <c r="G1914" s="99">
        <v>105000</v>
      </c>
      <c r="H1914" s="97">
        <v>27.12</v>
      </c>
      <c r="I1914" s="98">
        <v>2847600</v>
      </c>
      <c r="J1914" s="97">
        <v>22.78933</v>
      </c>
      <c r="K1914" s="98">
        <v>454720.35</v>
      </c>
      <c r="L1914" s="99">
        <v>0</v>
      </c>
      <c r="M1914" s="98">
        <v>0</v>
      </c>
      <c r="N1914" s="99">
        <v>0</v>
      </c>
      <c r="O1914" s="98">
        <v>0</v>
      </c>
      <c r="P1914" s="99">
        <v>105000</v>
      </c>
      <c r="Q1914" s="98">
        <v>2847600</v>
      </c>
      <c r="R1914" s="96" t="s">
        <v>625</v>
      </c>
      <c r="S1914" s="96">
        <v>7414000005</v>
      </c>
      <c r="AA1914" s="131" t="s">
        <v>392</v>
      </c>
      <c r="AB1914" s="130">
        <v>52302.490239999999</v>
      </c>
      <c r="AC1914" s="130">
        <v>52302.490239999999</v>
      </c>
    </row>
    <row r="1915" spans="1:29" x14ac:dyDescent="0.25">
      <c r="A1915" t="str">
        <f t="shared" si="30"/>
        <v xml:space="preserve">78669GCC *               </v>
      </c>
      <c r="B1915" s="96">
        <v>78669</v>
      </c>
      <c r="C1915" s="96" t="s">
        <v>859</v>
      </c>
      <c r="D1915" s="96" t="s">
        <v>373</v>
      </c>
      <c r="E1915" s="96" t="s">
        <v>623</v>
      </c>
      <c r="F1915" s="96" t="s">
        <v>624</v>
      </c>
      <c r="G1915" s="99">
        <v>79700</v>
      </c>
      <c r="H1915" s="97">
        <v>176.44</v>
      </c>
      <c r="I1915" s="98">
        <v>14062268</v>
      </c>
      <c r="J1915" s="97">
        <v>148.7169486825596</v>
      </c>
      <c r="K1915" s="98">
        <v>2209527.19</v>
      </c>
      <c r="L1915" s="99">
        <v>0</v>
      </c>
      <c r="M1915" s="98">
        <v>0</v>
      </c>
      <c r="N1915" s="99">
        <v>0</v>
      </c>
      <c r="O1915" s="98">
        <v>0</v>
      </c>
      <c r="P1915" s="99">
        <v>79700</v>
      </c>
      <c r="Q1915" s="98">
        <v>14062268</v>
      </c>
      <c r="R1915" s="96" t="s">
        <v>625</v>
      </c>
      <c r="S1915" s="96">
        <v>7414000005</v>
      </c>
      <c r="AA1915" s="131" t="s">
        <v>386</v>
      </c>
      <c r="AB1915" s="130">
        <v>77558.952208000002</v>
      </c>
      <c r="AC1915" s="130">
        <v>77558.952208000002</v>
      </c>
    </row>
    <row r="1916" spans="1:29" x14ac:dyDescent="0.25">
      <c r="A1916" t="str">
        <f t="shared" si="30"/>
        <v xml:space="preserve">78669GENTERA *           </v>
      </c>
      <c r="B1916" s="96">
        <v>78669</v>
      </c>
      <c r="C1916" s="96" t="s">
        <v>859</v>
      </c>
      <c r="D1916" s="96" t="s">
        <v>374</v>
      </c>
      <c r="E1916" s="96" t="s">
        <v>623</v>
      </c>
      <c r="F1916" s="96" t="s">
        <v>624</v>
      </c>
      <c r="G1916" s="99">
        <v>90000</v>
      </c>
      <c r="H1916" s="97">
        <v>104.12</v>
      </c>
      <c r="I1916" s="98">
        <v>9370800</v>
      </c>
      <c r="J1916" s="97">
        <v>84.655938000000006</v>
      </c>
      <c r="K1916" s="98">
        <v>1751765.58</v>
      </c>
      <c r="L1916" s="99">
        <v>0</v>
      </c>
      <c r="M1916" s="98">
        <v>0</v>
      </c>
      <c r="N1916" s="99">
        <v>0</v>
      </c>
      <c r="O1916" s="98">
        <v>0</v>
      </c>
      <c r="P1916" s="99">
        <v>90000</v>
      </c>
      <c r="Q1916" s="98">
        <v>9370800</v>
      </c>
      <c r="R1916" s="96" t="s">
        <v>625</v>
      </c>
      <c r="S1916" s="96">
        <v>7414000005</v>
      </c>
      <c r="AA1916" s="131" t="s">
        <v>363</v>
      </c>
      <c r="AB1916" s="130">
        <v>66331.699355999997</v>
      </c>
      <c r="AC1916" s="130">
        <v>66331.699355999997</v>
      </c>
    </row>
    <row r="1917" spans="1:29" x14ac:dyDescent="0.25">
      <c r="A1917" t="str">
        <f t="shared" si="30"/>
        <v xml:space="preserve">78669GFNORTE O           </v>
      </c>
      <c r="B1917" s="96">
        <v>78669</v>
      </c>
      <c r="C1917" s="96" t="s">
        <v>859</v>
      </c>
      <c r="D1917" s="96" t="s">
        <v>383</v>
      </c>
      <c r="E1917" s="96" t="s">
        <v>623</v>
      </c>
      <c r="F1917" s="96" t="s">
        <v>624</v>
      </c>
      <c r="G1917" s="99">
        <v>3631</v>
      </c>
      <c r="H1917" s="97">
        <v>86.197128000000006</v>
      </c>
      <c r="I1917" s="98">
        <v>312981.77176799998</v>
      </c>
      <c r="J1917" s="97">
        <v>90.513099729999993</v>
      </c>
      <c r="K1917" s="98">
        <v>-15671.29335163</v>
      </c>
      <c r="L1917" s="99">
        <v>0</v>
      </c>
      <c r="M1917" s="98">
        <v>0</v>
      </c>
      <c r="N1917" s="99">
        <v>0</v>
      </c>
      <c r="O1917" s="98">
        <v>0</v>
      </c>
      <c r="P1917" s="99">
        <v>3631</v>
      </c>
      <c r="Q1917" s="98">
        <v>312981.77176799998</v>
      </c>
      <c r="R1917" s="96" t="s">
        <v>625</v>
      </c>
      <c r="S1917" s="96">
        <v>7414000005</v>
      </c>
      <c r="AA1917" s="131" t="s">
        <v>409</v>
      </c>
      <c r="AB1917" s="130">
        <v>88992.69339</v>
      </c>
      <c r="AC1917" s="130">
        <v>88992.69339</v>
      </c>
    </row>
    <row r="1918" spans="1:29" x14ac:dyDescent="0.25">
      <c r="A1918" t="str">
        <f t="shared" si="30"/>
        <v xml:space="preserve">78669GMEXICO B           </v>
      </c>
      <c r="B1918" s="96">
        <v>78669</v>
      </c>
      <c r="C1918" s="96" t="s">
        <v>859</v>
      </c>
      <c r="D1918" s="96" t="s">
        <v>427</v>
      </c>
      <c r="E1918" s="96" t="s">
        <v>623</v>
      </c>
      <c r="F1918" s="96" t="s">
        <v>624</v>
      </c>
      <c r="G1918" s="99">
        <v>1043412</v>
      </c>
      <c r="H1918" s="97">
        <v>86.469353999999996</v>
      </c>
      <c r="I1918" s="98">
        <v>90223161.595847994</v>
      </c>
      <c r="J1918" s="97">
        <v>93.062941122302945</v>
      </c>
      <c r="K1918" s="98">
        <v>-6879827.9264563601</v>
      </c>
      <c r="L1918" s="99">
        <v>0</v>
      </c>
      <c r="M1918" s="98">
        <v>0</v>
      </c>
      <c r="N1918" s="99">
        <v>0</v>
      </c>
      <c r="O1918" s="98">
        <v>0</v>
      </c>
      <c r="P1918" s="99">
        <v>1043412</v>
      </c>
      <c r="Q1918" s="98">
        <v>90223161.595847994</v>
      </c>
      <c r="R1918" s="96" t="s">
        <v>625</v>
      </c>
      <c r="S1918" s="96">
        <v>7414000005</v>
      </c>
      <c r="AA1918" s="131" t="s">
        <v>383</v>
      </c>
      <c r="AB1918" s="130">
        <v>31030.966079999998</v>
      </c>
      <c r="AC1918" s="130">
        <v>31030.966079999998</v>
      </c>
    </row>
    <row r="1919" spans="1:29" x14ac:dyDescent="0.25">
      <c r="A1919" t="str">
        <f t="shared" si="30"/>
        <v xml:space="preserve">78669GOBFED 330526       </v>
      </c>
      <c r="B1919" s="96">
        <v>78669</v>
      </c>
      <c r="C1919" s="96" t="s">
        <v>859</v>
      </c>
      <c r="D1919" s="96" t="s">
        <v>418</v>
      </c>
      <c r="E1919" s="96" t="s">
        <v>623</v>
      </c>
      <c r="F1919" s="96" t="s">
        <v>624</v>
      </c>
      <c r="G1919" s="99">
        <v>604560</v>
      </c>
      <c r="H1919" s="97">
        <v>101.45096599999999</v>
      </c>
      <c r="I1919" s="98">
        <v>61333196.004960001</v>
      </c>
      <c r="J1919" s="97">
        <v>106.69030219649861</v>
      </c>
      <c r="K1919" s="98">
        <v>-3167493.0909552001</v>
      </c>
      <c r="L1919" s="99">
        <v>0</v>
      </c>
      <c r="M1919" s="98">
        <v>0</v>
      </c>
      <c r="N1919" s="99">
        <v>0</v>
      </c>
      <c r="O1919" s="98">
        <v>0</v>
      </c>
      <c r="P1919" s="99">
        <v>604560</v>
      </c>
      <c r="Q1919" s="98">
        <v>61333196.004960001</v>
      </c>
      <c r="R1919" s="96" t="s">
        <v>625</v>
      </c>
      <c r="S1919" s="96">
        <v>7414000005</v>
      </c>
      <c r="AA1919" s="131" t="s">
        <v>364</v>
      </c>
      <c r="AB1919" s="130">
        <v>108535.51797</v>
      </c>
      <c r="AC1919" s="130">
        <v>108535.51797</v>
      </c>
    </row>
    <row r="1920" spans="1:29" x14ac:dyDescent="0.25">
      <c r="A1920" t="str">
        <f t="shared" si="30"/>
        <v xml:space="preserve">78669GOBFED 341123       </v>
      </c>
      <c r="B1920" s="96">
        <v>78669</v>
      </c>
      <c r="C1920" s="96" t="s">
        <v>859</v>
      </c>
      <c r="D1920" s="96" t="s">
        <v>408</v>
      </c>
      <c r="E1920" s="96" t="s">
        <v>623</v>
      </c>
      <c r="F1920" s="96" t="s">
        <v>624</v>
      </c>
      <c r="G1920" s="99">
        <v>1454000</v>
      </c>
      <c r="H1920" s="97">
        <v>89.643172000000007</v>
      </c>
      <c r="I1920" s="98">
        <v>130341172.088</v>
      </c>
      <c r="J1920" s="97">
        <v>104.54384082464924</v>
      </c>
      <c r="K1920" s="98">
        <v>-21665572.471039999</v>
      </c>
      <c r="L1920" s="99">
        <v>0</v>
      </c>
      <c r="M1920" s="98">
        <v>0</v>
      </c>
      <c r="N1920" s="99">
        <v>0</v>
      </c>
      <c r="O1920" s="98">
        <v>0</v>
      </c>
      <c r="P1920" s="99">
        <v>1454000</v>
      </c>
      <c r="Q1920" s="98">
        <v>130341172.088</v>
      </c>
      <c r="R1920" s="96" t="s">
        <v>625</v>
      </c>
      <c r="S1920" s="96">
        <v>7414000005</v>
      </c>
      <c r="AA1920" s="131" t="s">
        <v>397</v>
      </c>
      <c r="AB1920" s="130">
        <v>17806.967332</v>
      </c>
      <c r="AC1920" s="130">
        <v>17806.967332</v>
      </c>
    </row>
    <row r="1921" spans="1:29" x14ac:dyDescent="0.25">
      <c r="A1921" t="str">
        <f t="shared" si="30"/>
        <v xml:space="preserve">78669GOBFED 361120       </v>
      </c>
      <c r="B1921" s="96">
        <v>78669</v>
      </c>
      <c r="C1921" s="96" t="s">
        <v>859</v>
      </c>
      <c r="D1921" s="96" t="s">
        <v>384</v>
      </c>
      <c r="E1921" s="96" t="s">
        <v>623</v>
      </c>
      <c r="F1921" s="96" t="s">
        <v>624</v>
      </c>
      <c r="G1921" s="99">
        <v>2471689</v>
      </c>
      <c r="H1921" s="97">
        <v>81.738860000000003</v>
      </c>
      <c r="I1921" s="98">
        <v>202033041.13453999</v>
      </c>
      <c r="J1921" s="97">
        <v>84.445428765634105</v>
      </c>
      <c r="K1921" s="98">
        <v>-6689796.2457614001</v>
      </c>
      <c r="L1921" s="99">
        <v>0</v>
      </c>
      <c r="M1921" s="98">
        <v>0</v>
      </c>
      <c r="N1921" s="99">
        <v>0</v>
      </c>
      <c r="O1921" s="98">
        <v>0</v>
      </c>
      <c r="P1921" s="99">
        <v>2471689</v>
      </c>
      <c r="Q1921" s="98">
        <v>202033041.13453999</v>
      </c>
      <c r="R1921" s="96" t="s">
        <v>625</v>
      </c>
      <c r="S1921" s="96">
        <v>7414000005</v>
      </c>
      <c r="AA1921" s="131" t="s">
        <v>507</v>
      </c>
      <c r="AB1921" s="130">
        <v>30356.533759999998</v>
      </c>
      <c r="AC1921" s="130">
        <v>30356.533759999998</v>
      </c>
    </row>
    <row r="1922" spans="1:29" x14ac:dyDescent="0.25">
      <c r="A1922" t="str">
        <f t="shared" si="30"/>
        <v xml:space="preserve">78669GOBFED 381118       </v>
      </c>
      <c r="B1922" s="96">
        <v>78669</v>
      </c>
      <c r="C1922" s="96" t="s">
        <v>859</v>
      </c>
      <c r="D1922" s="96" t="s">
        <v>386</v>
      </c>
      <c r="E1922" s="96" t="s">
        <v>623</v>
      </c>
      <c r="F1922" s="96" t="s">
        <v>624</v>
      </c>
      <c r="G1922" s="99">
        <v>150000</v>
      </c>
      <c r="H1922" s="97">
        <v>82.159907000000004</v>
      </c>
      <c r="I1922" s="98">
        <v>12323986.050000001</v>
      </c>
      <c r="J1922" s="97">
        <v>84.282532649999993</v>
      </c>
      <c r="K1922" s="98">
        <v>-318393.84749999997</v>
      </c>
      <c r="L1922" s="99">
        <v>0</v>
      </c>
      <c r="M1922" s="98">
        <v>0</v>
      </c>
      <c r="N1922" s="99">
        <v>0</v>
      </c>
      <c r="O1922" s="98">
        <v>0</v>
      </c>
      <c r="P1922" s="99">
        <v>150000</v>
      </c>
      <c r="Q1922" s="98">
        <v>12323986.050000001</v>
      </c>
      <c r="R1922" s="96" t="s">
        <v>625</v>
      </c>
      <c r="S1922" s="96">
        <v>7414000005</v>
      </c>
      <c r="AA1922" s="131" t="s">
        <v>554</v>
      </c>
      <c r="AB1922" s="130">
        <v>25646.93406</v>
      </c>
      <c r="AC1922" s="130">
        <v>25646.93406</v>
      </c>
    </row>
    <row r="1923" spans="1:29" x14ac:dyDescent="0.25">
      <c r="A1923" t="str">
        <f t="shared" si="30"/>
        <v xml:space="preserve">78669GOBFED 421113       </v>
      </c>
      <c r="B1923" s="96">
        <v>78669</v>
      </c>
      <c r="C1923" s="96" t="s">
        <v>859</v>
      </c>
      <c r="D1923" s="96" t="s">
        <v>387</v>
      </c>
      <c r="E1923" s="96" t="s">
        <v>623</v>
      </c>
      <c r="F1923" s="96" t="s">
        <v>624</v>
      </c>
      <c r="G1923" s="99">
        <v>10700</v>
      </c>
      <c r="H1923" s="97">
        <v>314.42</v>
      </c>
      <c r="I1923" s="98">
        <v>3364294</v>
      </c>
      <c r="J1923" s="97">
        <v>282.21611121495329</v>
      </c>
      <c r="K1923" s="98">
        <v>344581.61</v>
      </c>
      <c r="L1923" s="99">
        <v>0</v>
      </c>
      <c r="M1923" s="98">
        <v>0</v>
      </c>
      <c r="N1923" s="99">
        <v>0</v>
      </c>
      <c r="O1923" s="98">
        <v>0</v>
      </c>
      <c r="P1923" s="99">
        <v>10700</v>
      </c>
      <c r="Q1923" s="98">
        <v>3364294</v>
      </c>
      <c r="R1923" s="96" t="s">
        <v>625</v>
      </c>
      <c r="S1923" s="96">
        <v>7414000005</v>
      </c>
      <c r="AA1923" s="131" t="s">
        <v>613</v>
      </c>
      <c r="AB1923" s="130">
        <v>51117.422350000001</v>
      </c>
      <c r="AC1923" s="130">
        <v>51117.422350000001</v>
      </c>
    </row>
    <row r="1924" spans="1:29" x14ac:dyDescent="0.25">
      <c r="A1924" t="str">
        <f t="shared" si="30"/>
        <v xml:space="preserve">78669GOBFED 530731       </v>
      </c>
      <c r="B1924" s="96">
        <v>78669</v>
      </c>
      <c r="C1924" s="96" t="s">
        <v>859</v>
      </c>
      <c r="D1924" s="96" t="s">
        <v>503</v>
      </c>
      <c r="E1924" s="96" t="s">
        <v>623</v>
      </c>
      <c r="F1924" s="96" t="s">
        <v>624</v>
      </c>
      <c r="G1924" s="99">
        <v>24998</v>
      </c>
      <c r="H1924" s="97">
        <v>43.85</v>
      </c>
      <c r="I1924" s="98">
        <v>1096162.3</v>
      </c>
      <c r="J1924" s="97">
        <v>47.334181134490763</v>
      </c>
      <c r="K1924" s="98">
        <v>-87097.56</v>
      </c>
      <c r="L1924" s="99">
        <v>0</v>
      </c>
      <c r="M1924" s="98">
        <v>0</v>
      </c>
      <c r="N1924" s="99">
        <v>0</v>
      </c>
      <c r="O1924" s="98">
        <v>0</v>
      </c>
      <c r="P1924" s="99">
        <v>24998</v>
      </c>
      <c r="Q1924" s="98">
        <v>1096162.3</v>
      </c>
      <c r="R1924" s="96" t="s">
        <v>625</v>
      </c>
      <c r="S1924" s="96">
        <v>7414000005</v>
      </c>
      <c r="AA1924" s="129">
        <v>1036526</v>
      </c>
      <c r="AB1924" s="130">
        <v>1067046.578792</v>
      </c>
      <c r="AC1924" s="130">
        <v>1067046.578792</v>
      </c>
    </row>
    <row r="1925" spans="1:29" x14ac:dyDescent="0.25">
      <c r="A1925" t="str">
        <f t="shared" si="30"/>
        <v xml:space="preserve">78669GRUMA B             </v>
      </c>
      <c r="B1925" s="96">
        <v>78669</v>
      </c>
      <c r="C1925" s="96" t="s">
        <v>859</v>
      </c>
      <c r="D1925" s="96" t="s">
        <v>606</v>
      </c>
      <c r="E1925" s="96" t="s">
        <v>623</v>
      </c>
      <c r="F1925" s="96" t="s">
        <v>624</v>
      </c>
      <c r="G1925" s="99">
        <v>1486193</v>
      </c>
      <c r="H1925" s="97">
        <v>100</v>
      </c>
      <c r="I1925" s="98">
        <v>148619300</v>
      </c>
      <c r="J1925" s="97">
        <v>100</v>
      </c>
      <c r="K1925" s="98">
        <v>0</v>
      </c>
      <c r="L1925" s="99">
        <v>0</v>
      </c>
      <c r="M1925" s="98">
        <v>0</v>
      </c>
      <c r="N1925" s="99">
        <v>0</v>
      </c>
      <c r="O1925" s="98">
        <v>0</v>
      </c>
      <c r="P1925" s="99">
        <v>1486193</v>
      </c>
      <c r="Q1925" s="98">
        <v>148619300</v>
      </c>
      <c r="R1925" s="96" t="s">
        <v>625</v>
      </c>
      <c r="S1925" s="96">
        <v>7414000005</v>
      </c>
      <c r="AA1925" s="131" t="s">
        <v>389</v>
      </c>
      <c r="AB1925" s="130">
        <v>40034.354791999998</v>
      </c>
      <c r="AC1925" s="130">
        <v>40034.354791999998</v>
      </c>
    </row>
    <row r="1926" spans="1:29" x14ac:dyDescent="0.25">
      <c r="A1926" t="str">
        <f t="shared" si="30"/>
        <v xml:space="preserve">78669HERDEZ *            </v>
      </c>
      <c r="B1926" s="96">
        <v>78669</v>
      </c>
      <c r="C1926" s="96" t="s">
        <v>859</v>
      </c>
      <c r="D1926" s="96" t="s">
        <v>607</v>
      </c>
      <c r="E1926" s="96" t="s">
        <v>623</v>
      </c>
      <c r="F1926" s="96" t="s">
        <v>624</v>
      </c>
      <c r="G1926" s="99">
        <v>0</v>
      </c>
      <c r="H1926" s="97">
        <v>0</v>
      </c>
      <c r="I1926" s="98">
        <v>0</v>
      </c>
      <c r="J1926" s="97">
        <v>0</v>
      </c>
      <c r="K1926" s="98">
        <v>0</v>
      </c>
      <c r="L1926" s="99">
        <v>0</v>
      </c>
      <c r="M1926" s="98">
        <v>0</v>
      </c>
      <c r="N1926" s="99">
        <v>0</v>
      </c>
      <c r="O1926" s="98">
        <v>0</v>
      </c>
      <c r="P1926" s="99">
        <v>0</v>
      </c>
      <c r="Q1926" s="98">
        <v>0</v>
      </c>
      <c r="R1926" s="96" t="s">
        <v>625</v>
      </c>
      <c r="S1926" s="96">
        <v>7414000005</v>
      </c>
      <c r="AA1926" s="131" t="s">
        <v>459</v>
      </c>
      <c r="AB1926" s="130">
        <v>1027012.224</v>
      </c>
      <c r="AC1926" s="130">
        <v>1027012.224</v>
      </c>
    </row>
    <row r="1927" spans="1:29" x14ac:dyDescent="0.25">
      <c r="A1927" t="str">
        <f t="shared" ref="A1927:A1990" si="31">B1925&amp;D1925</f>
        <v xml:space="preserve">78669HICKOK 90           </v>
      </c>
      <c r="B1927" s="96">
        <v>78669</v>
      </c>
      <c r="C1927" s="96" t="s">
        <v>859</v>
      </c>
      <c r="D1927" s="96" t="s">
        <v>419</v>
      </c>
      <c r="E1927" s="96" t="s">
        <v>623</v>
      </c>
      <c r="F1927" s="96" t="s">
        <v>624</v>
      </c>
      <c r="G1927" s="99">
        <v>0</v>
      </c>
      <c r="H1927" s="97">
        <v>0</v>
      </c>
      <c r="I1927" s="98">
        <v>0</v>
      </c>
      <c r="J1927" s="97">
        <v>0</v>
      </c>
      <c r="K1927" s="98">
        <v>0</v>
      </c>
      <c r="L1927" s="99">
        <v>0</v>
      </c>
      <c r="M1927" s="98">
        <v>0</v>
      </c>
      <c r="N1927" s="99">
        <v>0</v>
      </c>
      <c r="O1927" s="98">
        <v>0</v>
      </c>
      <c r="P1927" s="99">
        <v>0</v>
      </c>
      <c r="Q1927" s="98">
        <v>0</v>
      </c>
      <c r="R1927" s="96" t="s">
        <v>625</v>
      </c>
      <c r="S1927" s="96">
        <v>7414000005</v>
      </c>
      <c r="AA1927" s="129">
        <v>1036527</v>
      </c>
      <c r="AB1927" s="130">
        <v>35638167.537603997</v>
      </c>
      <c r="AC1927" s="130">
        <v>35638167.537603997</v>
      </c>
    </row>
    <row r="1928" spans="1:29" x14ac:dyDescent="0.25">
      <c r="A1928" t="str">
        <f t="shared" si="31"/>
        <v xml:space="preserve">78669IBANOBRA 13171      </v>
      </c>
      <c r="B1928" s="96">
        <v>78669</v>
      </c>
      <c r="C1928" s="96" t="s">
        <v>859</v>
      </c>
      <c r="D1928" s="96" t="s">
        <v>388</v>
      </c>
      <c r="E1928" s="96" t="s">
        <v>623</v>
      </c>
      <c r="F1928" s="96" t="s">
        <v>624</v>
      </c>
      <c r="G1928" s="99">
        <v>2560</v>
      </c>
      <c r="H1928" s="97">
        <v>8532.5</v>
      </c>
      <c r="I1928" s="98">
        <v>21843200</v>
      </c>
      <c r="J1928" s="97">
        <v>5139.7662109374996</v>
      </c>
      <c r="K1928" s="98">
        <v>8685398.5</v>
      </c>
      <c r="L1928" s="99">
        <v>0</v>
      </c>
      <c r="M1928" s="98">
        <v>0</v>
      </c>
      <c r="N1928" s="99">
        <v>0</v>
      </c>
      <c r="O1928" s="98">
        <v>0</v>
      </c>
      <c r="P1928" s="99">
        <v>2560</v>
      </c>
      <c r="Q1928" s="98">
        <v>21843200</v>
      </c>
      <c r="R1928" s="96" t="s">
        <v>625</v>
      </c>
      <c r="S1928" s="96">
        <v>7414000005</v>
      </c>
      <c r="AA1928" s="131" t="s">
        <v>376</v>
      </c>
      <c r="AB1928" s="130">
        <v>782765.016726</v>
      </c>
      <c r="AC1928" s="130">
        <v>782765.016726</v>
      </c>
    </row>
    <row r="1929" spans="1:29" x14ac:dyDescent="0.25">
      <c r="A1929" t="str">
        <f t="shared" si="31"/>
        <v xml:space="preserve">78669IENOVA *            </v>
      </c>
      <c r="B1929" s="96">
        <v>78669</v>
      </c>
      <c r="C1929" s="96" t="s">
        <v>859</v>
      </c>
      <c r="D1929" s="96" t="s">
        <v>539</v>
      </c>
      <c r="E1929" s="96" t="s">
        <v>623</v>
      </c>
      <c r="F1929" s="96" t="s">
        <v>624</v>
      </c>
      <c r="G1929" s="99">
        <v>6700</v>
      </c>
      <c r="H1929" s="97">
        <v>158.63</v>
      </c>
      <c r="I1929" s="98">
        <v>1062821</v>
      </c>
      <c r="J1929" s="97">
        <v>139.50334029850745</v>
      </c>
      <c r="K1929" s="98">
        <v>128148.62</v>
      </c>
      <c r="L1929" s="99">
        <v>0</v>
      </c>
      <c r="M1929" s="98">
        <v>0</v>
      </c>
      <c r="N1929" s="99">
        <v>0</v>
      </c>
      <c r="O1929" s="98">
        <v>0</v>
      </c>
      <c r="P1929" s="99">
        <v>6700</v>
      </c>
      <c r="Q1929" s="98">
        <v>1062821</v>
      </c>
      <c r="R1929" s="96" t="s">
        <v>625</v>
      </c>
      <c r="S1929" s="96">
        <v>7414000005</v>
      </c>
      <c r="AA1929" s="131" t="s">
        <v>378</v>
      </c>
      <c r="AB1929" s="130">
        <v>486029.70944800001</v>
      </c>
      <c r="AC1929" s="130">
        <v>486029.70944800001</v>
      </c>
    </row>
    <row r="1930" spans="1:29" x14ac:dyDescent="0.25">
      <c r="A1930" t="str">
        <f t="shared" si="31"/>
        <v xml:space="preserve">78669IVV *               </v>
      </c>
      <c r="B1930" s="96">
        <v>78669</v>
      </c>
      <c r="C1930" s="96" t="s">
        <v>859</v>
      </c>
      <c r="D1930" s="96" t="s">
        <v>540</v>
      </c>
      <c r="E1930" s="96" t="s">
        <v>623</v>
      </c>
      <c r="F1930" s="96" t="s">
        <v>624</v>
      </c>
      <c r="G1930" s="99">
        <v>37000</v>
      </c>
      <c r="H1930" s="97">
        <v>36.28</v>
      </c>
      <c r="I1930" s="98">
        <v>1342360</v>
      </c>
      <c r="J1930" s="97">
        <v>37</v>
      </c>
      <c r="K1930" s="98">
        <v>-26640</v>
      </c>
      <c r="L1930" s="99">
        <v>0</v>
      </c>
      <c r="M1930" s="98">
        <v>0</v>
      </c>
      <c r="N1930" s="99">
        <v>0</v>
      </c>
      <c r="O1930" s="98">
        <v>0</v>
      </c>
      <c r="P1930" s="99">
        <v>37000</v>
      </c>
      <c r="Q1930" s="98">
        <v>1342360</v>
      </c>
      <c r="R1930" s="96" t="s">
        <v>625</v>
      </c>
      <c r="S1930" s="96">
        <v>7414000005</v>
      </c>
      <c r="AA1930" s="131" t="s">
        <v>380</v>
      </c>
      <c r="AB1930" s="130">
        <v>471143.355408</v>
      </c>
      <c r="AC1930" s="130">
        <v>471143.355408</v>
      </c>
    </row>
    <row r="1931" spans="1:29" x14ac:dyDescent="0.25">
      <c r="A1931" t="str">
        <f t="shared" si="31"/>
        <v xml:space="preserve">78669KOF UBL             </v>
      </c>
      <c r="B1931" s="96">
        <v>78669</v>
      </c>
      <c r="C1931" s="96" t="s">
        <v>859</v>
      </c>
      <c r="D1931" s="96" t="s">
        <v>608</v>
      </c>
      <c r="E1931" s="96" t="s">
        <v>623</v>
      </c>
      <c r="F1931" s="96" t="s">
        <v>624</v>
      </c>
      <c r="G1931" s="99">
        <v>178000</v>
      </c>
      <c r="H1931" s="97">
        <v>5.34</v>
      </c>
      <c r="I1931" s="98">
        <v>950520</v>
      </c>
      <c r="J1931" s="97">
        <v>6.4192768539325842</v>
      </c>
      <c r="K1931" s="98">
        <v>-192111.28</v>
      </c>
      <c r="L1931" s="99">
        <v>0</v>
      </c>
      <c r="M1931" s="98">
        <v>0</v>
      </c>
      <c r="N1931" s="99">
        <v>0</v>
      </c>
      <c r="O1931" s="98">
        <v>0</v>
      </c>
      <c r="P1931" s="99">
        <v>178000</v>
      </c>
      <c r="Q1931" s="98">
        <v>950520</v>
      </c>
      <c r="R1931" s="96" t="s">
        <v>625</v>
      </c>
      <c r="S1931" s="96">
        <v>7414000005</v>
      </c>
      <c r="AA1931" s="131" t="s">
        <v>382</v>
      </c>
      <c r="AB1931" s="130">
        <v>778737.32443000004</v>
      </c>
      <c r="AC1931" s="130">
        <v>778737.32443000004</v>
      </c>
    </row>
    <row r="1932" spans="1:29" x14ac:dyDescent="0.25">
      <c r="A1932" t="str">
        <f t="shared" si="31"/>
        <v xml:space="preserve">78669LACOMER UBC         </v>
      </c>
      <c r="B1932" s="96">
        <v>78669</v>
      </c>
      <c r="C1932" s="96" t="s">
        <v>859</v>
      </c>
      <c r="D1932" s="96" t="s">
        <v>553</v>
      </c>
      <c r="E1932" s="96" t="s">
        <v>623</v>
      </c>
      <c r="F1932" s="96" t="s">
        <v>624</v>
      </c>
      <c r="G1932" s="99">
        <v>2000</v>
      </c>
      <c r="H1932" s="97">
        <v>136.35</v>
      </c>
      <c r="I1932" s="98">
        <v>272700</v>
      </c>
      <c r="J1932" s="97">
        <v>148.16526999999999</v>
      </c>
      <c r="K1932" s="98">
        <v>-23630.54</v>
      </c>
      <c r="L1932" s="99">
        <v>0</v>
      </c>
      <c r="M1932" s="98">
        <v>0</v>
      </c>
      <c r="N1932" s="99">
        <v>0</v>
      </c>
      <c r="O1932" s="98">
        <v>0</v>
      </c>
      <c r="P1932" s="99">
        <v>2000</v>
      </c>
      <c r="Q1932" s="98">
        <v>272700</v>
      </c>
      <c r="R1932" s="96" t="s">
        <v>625</v>
      </c>
      <c r="S1932" s="96">
        <v>7414000005</v>
      </c>
      <c r="AA1932" s="131" t="s">
        <v>427</v>
      </c>
      <c r="AB1932" s="130">
        <v>1820612.24847</v>
      </c>
      <c r="AC1932" s="130">
        <v>1820612.24847</v>
      </c>
    </row>
    <row r="1933" spans="1:29" x14ac:dyDescent="0.25">
      <c r="A1933" t="str">
        <f t="shared" si="31"/>
        <v xml:space="preserve">78669LASITE B-1          </v>
      </c>
      <c r="B1933" s="96">
        <v>78669</v>
      </c>
      <c r="C1933" s="96" t="s">
        <v>859</v>
      </c>
      <c r="D1933" s="96" t="s">
        <v>541</v>
      </c>
      <c r="E1933" s="96" t="s">
        <v>623</v>
      </c>
      <c r="F1933" s="96" t="s">
        <v>624</v>
      </c>
      <c r="G1933" s="99">
        <v>11100</v>
      </c>
      <c r="H1933" s="97">
        <v>156</v>
      </c>
      <c r="I1933" s="98">
        <v>1731600</v>
      </c>
      <c r="J1933" s="97">
        <v>136.72613963963963</v>
      </c>
      <c r="K1933" s="98">
        <v>213939.85</v>
      </c>
      <c r="L1933" s="99">
        <v>0</v>
      </c>
      <c r="M1933" s="98">
        <v>0</v>
      </c>
      <c r="N1933" s="99">
        <v>0</v>
      </c>
      <c r="O1933" s="98">
        <v>0</v>
      </c>
      <c r="P1933" s="99">
        <v>11100</v>
      </c>
      <c r="Q1933" s="98">
        <v>1731600</v>
      </c>
      <c r="R1933" s="96" t="s">
        <v>625</v>
      </c>
      <c r="S1933" s="96">
        <v>7414000005</v>
      </c>
      <c r="AA1933" s="131" t="s">
        <v>418</v>
      </c>
      <c r="AB1933" s="130">
        <v>40884.739298</v>
      </c>
      <c r="AC1933" s="130">
        <v>40884.739298</v>
      </c>
    </row>
    <row r="1934" spans="1:29" x14ac:dyDescent="0.25">
      <c r="A1934" t="str">
        <f t="shared" si="31"/>
        <v xml:space="preserve">78669LIVEPOL C-1         </v>
      </c>
      <c r="B1934" s="96">
        <v>78669</v>
      </c>
      <c r="C1934" s="96" t="s">
        <v>859</v>
      </c>
      <c r="D1934" s="96" t="s">
        <v>609</v>
      </c>
      <c r="E1934" s="96" t="s">
        <v>623</v>
      </c>
      <c r="F1934" s="96" t="s">
        <v>624</v>
      </c>
      <c r="G1934" s="99">
        <v>1749360</v>
      </c>
      <c r="H1934" s="97">
        <v>293.77</v>
      </c>
      <c r="I1934" s="98">
        <v>513909487.19999999</v>
      </c>
      <c r="J1934" s="97">
        <v>157.51250899757625</v>
      </c>
      <c r="K1934" s="98">
        <v>238363404.46000001</v>
      </c>
      <c r="L1934" s="99">
        <v>0</v>
      </c>
      <c r="M1934" s="98">
        <v>0</v>
      </c>
      <c r="N1934" s="99">
        <v>0</v>
      </c>
      <c r="O1934" s="98">
        <v>0</v>
      </c>
      <c r="P1934" s="99">
        <v>1749360</v>
      </c>
      <c r="Q1934" s="98">
        <v>513909487.19999999</v>
      </c>
      <c r="R1934" s="96" t="s">
        <v>625</v>
      </c>
      <c r="S1934" s="96">
        <v>7414000005</v>
      </c>
      <c r="AA1934" s="131" t="s">
        <v>408</v>
      </c>
      <c r="AB1934" s="130">
        <v>46345.519924</v>
      </c>
      <c r="AC1934" s="130">
        <v>46345.519924</v>
      </c>
    </row>
    <row r="1935" spans="1:29" x14ac:dyDescent="0.25">
      <c r="A1935" t="str">
        <f t="shared" si="31"/>
        <v xml:space="preserve">78669R A                 </v>
      </c>
      <c r="B1935" s="96">
        <v>78669</v>
      </c>
      <c r="C1935" s="96" t="s">
        <v>859</v>
      </c>
      <c r="D1935" s="96" t="s">
        <v>501</v>
      </c>
      <c r="E1935" s="96" t="s">
        <v>623</v>
      </c>
      <c r="F1935" s="96" t="s">
        <v>624</v>
      </c>
      <c r="G1935" s="99">
        <v>12480</v>
      </c>
      <c r="H1935" s="97">
        <v>682.55</v>
      </c>
      <c r="I1935" s="98">
        <v>8518224</v>
      </c>
      <c r="J1935" s="97">
        <v>862.97045833333334</v>
      </c>
      <c r="K1935" s="98">
        <v>-2251647.3199999998</v>
      </c>
      <c r="L1935" s="99">
        <v>0</v>
      </c>
      <c r="M1935" s="98">
        <v>0</v>
      </c>
      <c r="N1935" s="99">
        <v>0</v>
      </c>
      <c r="O1935" s="98">
        <v>0</v>
      </c>
      <c r="P1935" s="99">
        <v>12480</v>
      </c>
      <c r="Q1935" s="98">
        <v>8518224</v>
      </c>
      <c r="R1935" s="96" t="s">
        <v>625</v>
      </c>
      <c r="S1935" s="96">
        <v>7414000005</v>
      </c>
      <c r="AA1935" s="131" t="s">
        <v>384</v>
      </c>
      <c r="AB1935" s="130">
        <v>842482.43001999997</v>
      </c>
      <c r="AC1935" s="130">
        <v>842482.43001999997</v>
      </c>
    </row>
    <row r="1936" spans="1:29" x14ac:dyDescent="0.25">
      <c r="A1936" t="str">
        <f t="shared" si="31"/>
        <v xml:space="preserve">78669RCOCB 09            </v>
      </c>
      <c r="B1936" s="96">
        <v>78669</v>
      </c>
      <c r="C1936" s="96" t="s">
        <v>859</v>
      </c>
      <c r="D1936" s="96" t="s">
        <v>610</v>
      </c>
      <c r="E1936" s="96" t="s">
        <v>623</v>
      </c>
      <c r="F1936" s="96" t="s">
        <v>624</v>
      </c>
      <c r="G1936" s="99">
        <v>530</v>
      </c>
      <c r="H1936" s="97">
        <v>8579.5</v>
      </c>
      <c r="I1936" s="98">
        <v>4547135</v>
      </c>
      <c r="J1936" s="97">
        <v>8683.8103773584899</v>
      </c>
      <c r="K1936" s="98">
        <v>-55284.5</v>
      </c>
      <c r="L1936" s="99">
        <v>0</v>
      </c>
      <c r="M1936" s="98">
        <v>0</v>
      </c>
      <c r="N1936" s="99">
        <v>0</v>
      </c>
      <c r="O1936" s="98">
        <v>0</v>
      </c>
      <c r="P1936" s="99">
        <v>530</v>
      </c>
      <c r="Q1936" s="98">
        <v>4547135</v>
      </c>
      <c r="R1936" s="96" t="s">
        <v>625</v>
      </c>
      <c r="S1936" s="96">
        <v>7414000005</v>
      </c>
      <c r="AA1936" s="131" t="s">
        <v>389</v>
      </c>
      <c r="AB1936" s="130">
        <v>4183365.8888119999</v>
      </c>
      <c r="AC1936" s="130">
        <v>4183365.8888119999</v>
      </c>
    </row>
    <row r="1937" spans="1:29" x14ac:dyDescent="0.25">
      <c r="A1937" t="str">
        <f t="shared" si="31"/>
        <v xml:space="preserve">78669SPSM *              </v>
      </c>
      <c r="B1937" s="96">
        <v>78669</v>
      </c>
      <c r="C1937" s="96" t="s">
        <v>859</v>
      </c>
      <c r="D1937" s="96" t="s">
        <v>582</v>
      </c>
      <c r="E1937" s="96" t="s">
        <v>623</v>
      </c>
      <c r="F1937" s="96" t="s">
        <v>624</v>
      </c>
      <c r="G1937" s="99">
        <v>222000</v>
      </c>
      <c r="H1937" s="97">
        <v>42.3</v>
      </c>
      <c r="I1937" s="98">
        <v>9390600</v>
      </c>
      <c r="J1937" s="97">
        <v>28.120373513513513</v>
      </c>
      <c r="K1937" s="98">
        <v>3147877.08</v>
      </c>
      <c r="L1937" s="99">
        <v>0</v>
      </c>
      <c r="M1937" s="98">
        <v>0</v>
      </c>
      <c r="N1937" s="99">
        <v>0</v>
      </c>
      <c r="O1937" s="98">
        <v>0</v>
      </c>
      <c r="P1937" s="99">
        <v>222000</v>
      </c>
      <c r="Q1937" s="98">
        <v>9390600</v>
      </c>
      <c r="R1937" s="96" t="s">
        <v>625</v>
      </c>
      <c r="S1937" s="96">
        <v>7414000005</v>
      </c>
      <c r="AA1937" s="131" t="s">
        <v>391</v>
      </c>
      <c r="AB1937" s="130">
        <v>546087.01804800006</v>
      </c>
      <c r="AC1937" s="130">
        <v>546087.01804800006</v>
      </c>
    </row>
    <row r="1938" spans="1:29" x14ac:dyDescent="0.25">
      <c r="A1938" t="str">
        <f t="shared" si="31"/>
        <v xml:space="preserve">78669SPY *               </v>
      </c>
      <c r="B1938" s="96">
        <v>78669</v>
      </c>
      <c r="C1938" s="96" t="s">
        <v>859</v>
      </c>
      <c r="D1938" s="96" t="s">
        <v>611</v>
      </c>
      <c r="E1938" s="96" t="s">
        <v>623</v>
      </c>
      <c r="F1938" s="96" t="s">
        <v>624</v>
      </c>
      <c r="G1938" s="99">
        <v>37784</v>
      </c>
      <c r="H1938" s="97">
        <v>322.02000700000002</v>
      </c>
      <c r="I1938" s="98">
        <v>12167203.944488</v>
      </c>
      <c r="J1938" s="97">
        <v>503.09936198999998</v>
      </c>
      <c r="K1938" s="98">
        <v>-6841902.3489421597</v>
      </c>
      <c r="L1938" s="99">
        <v>0</v>
      </c>
      <c r="M1938" s="98">
        <v>0</v>
      </c>
      <c r="N1938" s="99">
        <v>0</v>
      </c>
      <c r="O1938" s="98">
        <v>0</v>
      </c>
      <c r="P1938" s="99">
        <v>37784</v>
      </c>
      <c r="Q1938" s="98">
        <v>12167203.944488</v>
      </c>
      <c r="R1938" s="96" t="s">
        <v>625</v>
      </c>
      <c r="S1938" s="96">
        <v>7414000005</v>
      </c>
      <c r="AA1938" s="131" t="s">
        <v>395</v>
      </c>
      <c r="AB1938" s="130">
        <v>365594.45444499998</v>
      </c>
      <c r="AC1938" s="130">
        <v>365594.45444499998</v>
      </c>
    </row>
    <row r="1939" spans="1:29" x14ac:dyDescent="0.25">
      <c r="A1939" t="str">
        <f t="shared" si="31"/>
        <v xml:space="preserve">78669TERRA 13            </v>
      </c>
      <c r="B1939" s="96">
        <v>78669</v>
      </c>
      <c r="C1939" s="96" t="s">
        <v>859</v>
      </c>
      <c r="D1939" s="96" t="s">
        <v>466</v>
      </c>
      <c r="E1939" s="96" t="s">
        <v>623</v>
      </c>
      <c r="F1939" s="96" t="s">
        <v>624</v>
      </c>
      <c r="G1939" s="99">
        <v>31420</v>
      </c>
      <c r="H1939" s="97">
        <v>256.05011500000001</v>
      </c>
      <c r="I1939" s="98">
        <v>8045094.6133000003</v>
      </c>
      <c r="J1939" s="97">
        <v>487.32003911999999</v>
      </c>
      <c r="K1939" s="98">
        <v>-7266501.0158503996</v>
      </c>
      <c r="L1939" s="99">
        <v>0</v>
      </c>
      <c r="M1939" s="98">
        <v>0</v>
      </c>
      <c r="N1939" s="99">
        <v>0</v>
      </c>
      <c r="O1939" s="98">
        <v>0</v>
      </c>
      <c r="P1939" s="99">
        <v>31420</v>
      </c>
      <c r="Q1939" s="98">
        <v>8045094.6133000003</v>
      </c>
      <c r="R1939" s="96" t="s">
        <v>625</v>
      </c>
      <c r="S1939" s="96">
        <v>7414000005</v>
      </c>
      <c r="AA1939" s="131" t="s">
        <v>396</v>
      </c>
      <c r="AB1939" s="130">
        <v>412030.53944000002</v>
      </c>
      <c r="AC1939" s="130">
        <v>412030.53944000002</v>
      </c>
    </row>
    <row r="1940" spans="1:29" x14ac:dyDescent="0.25">
      <c r="A1940" t="str">
        <f t="shared" si="31"/>
        <v xml:space="preserve">78669TFOVICB 15-2U       </v>
      </c>
      <c r="B1940" s="96">
        <v>78669</v>
      </c>
      <c r="C1940" s="96" t="s">
        <v>859</v>
      </c>
      <c r="D1940" s="96" t="s">
        <v>458</v>
      </c>
      <c r="E1940" s="96" t="s">
        <v>623</v>
      </c>
      <c r="F1940" s="96" t="s">
        <v>624</v>
      </c>
      <c r="G1940" s="99">
        <v>36517</v>
      </c>
      <c r="H1940" s="97">
        <v>267.07593400000002</v>
      </c>
      <c r="I1940" s="98">
        <v>9752811.8818779998</v>
      </c>
      <c r="J1940" s="97">
        <v>538.83652969000002</v>
      </c>
      <c r="K1940" s="98">
        <v>-9923881.6728117298</v>
      </c>
      <c r="L1940" s="99">
        <v>0</v>
      </c>
      <c r="M1940" s="98">
        <v>0</v>
      </c>
      <c r="N1940" s="99">
        <v>0</v>
      </c>
      <c r="O1940" s="98">
        <v>0</v>
      </c>
      <c r="P1940" s="99">
        <v>36517</v>
      </c>
      <c r="Q1940" s="98">
        <v>9752811.8818779998</v>
      </c>
      <c r="R1940" s="96" t="s">
        <v>625</v>
      </c>
      <c r="S1940" s="96">
        <v>7414000005</v>
      </c>
      <c r="AA1940" s="131" t="s">
        <v>398</v>
      </c>
      <c r="AB1940" s="130">
        <v>620698.52337499999</v>
      </c>
      <c r="AC1940" s="130">
        <v>620698.52337499999</v>
      </c>
    </row>
    <row r="1941" spans="1:29" x14ac:dyDescent="0.25">
      <c r="A1941" t="str">
        <f t="shared" si="31"/>
        <v xml:space="preserve">78669TFOVICB 15U         </v>
      </c>
      <c r="B1941" s="96">
        <v>78669</v>
      </c>
      <c r="C1941" s="96" t="s">
        <v>859</v>
      </c>
      <c r="D1941" s="96" t="s">
        <v>500</v>
      </c>
      <c r="E1941" s="96" t="s">
        <v>623</v>
      </c>
      <c r="F1941" s="96" t="s">
        <v>624</v>
      </c>
      <c r="G1941" s="99">
        <v>72000</v>
      </c>
      <c r="H1941" s="97">
        <v>31.41</v>
      </c>
      <c r="I1941" s="98">
        <v>2261520</v>
      </c>
      <c r="J1941" s="97">
        <v>32.375</v>
      </c>
      <c r="K1941" s="98">
        <v>-69480</v>
      </c>
      <c r="L1941" s="99">
        <v>0</v>
      </c>
      <c r="M1941" s="98">
        <v>0</v>
      </c>
      <c r="N1941" s="99">
        <v>0</v>
      </c>
      <c r="O1941" s="98">
        <v>0</v>
      </c>
      <c r="P1941" s="99">
        <v>72000</v>
      </c>
      <c r="Q1941" s="98">
        <v>2261520</v>
      </c>
      <c r="R1941" s="96" t="s">
        <v>625</v>
      </c>
      <c r="S1941" s="96">
        <v>7414000005</v>
      </c>
      <c r="AA1941" s="131" t="s">
        <v>381</v>
      </c>
      <c r="AB1941" s="130">
        <v>193250.50980900001</v>
      </c>
      <c r="AC1941" s="130">
        <v>193250.50980900001</v>
      </c>
    </row>
    <row r="1942" spans="1:29" x14ac:dyDescent="0.25">
      <c r="A1942" t="str">
        <f t="shared" si="31"/>
        <v xml:space="preserve">78669TFOVICB 16U         </v>
      </c>
      <c r="B1942" s="96">
        <v>78669</v>
      </c>
      <c r="C1942" s="96" t="s">
        <v>859</v>
      </c>
      <c r="D1942" s="96" t="s">
        <v>393</v>
      </c>
      <c r="E1942" s="96" t="s">
        <v>623</v>
      </c>
      <c r="F1942" s="96" t="s">
        <v>624</v>
      </c>
      <c r="G1942" s="99">
        <v>43483</v>
      </c>
      <c r="H1942" s="97">
        <v>765.92388300000005</v>
      </c>
      <c r="I1942" s="98">
        <v>33304668.204489</v>
      </c>
      <c r="J1942" s="97">
        <v>717.65496547383918</v>
      </c>
      <c r="K1942" s="98">
        <v>2098877.3407900501</v>
      </c>
      <c r="L1942" s="99">
        <v>0</v>
      </c>
      <c r="M1942" s="98">
        <v>0</v>
      </c>
      <c r="N1942" s="99">
        <v>0</v>
      </c>
      <c r="O1942" s="98">
        <v>0</v>
      </c>
      <c r="P1942" s="99">
        <v>43483</v>
      </c>
      <c r="Q1942" s="98">
        <v>33304668.204489</v>
      </c>
      <c r="R1942" s="96" t="s">
        <v>625</v>
      </c>
      <c r="S1942" s="96">
        <v>7414000005</v>
      </c>
      <c r="AA1942" s="131" t="s">
        <v>466</v>
      </c>
      <c r="AB1942" s="130">
        <v>31238.114030000001</v>
      </c>
      <c r="AC1942" s="130">
        <v>31238.114030000001</v>
      </c>
    </row>
    <row r="1943" spans="1:29" x14ac:dyDescent="0.25">
      <c r="A1943" t="str">
        <f t="shared" si="31"/>
        <v xml:space="preserve">78669TRAXION A           </v>
      </c>
      <c r="B1943" s="96">
        <v>78669</v>
      </c>
      <c r="C1943" s="96" t="s">
        <v>859</v>
      </c>
      <c r="D1943" s="96" t="s">
        <v>394</v>
      </c>
      <c r="E1943" s="96" t="s">
        <v>623</v>
      </c>
      <c r="F1943" s="96" t="s">
        <v>624</v>
      </c>
      <c r="G1943" s="99">
        <v>95054</v>
      </c>
      <c r="H1943" s="97">
        <v>684.88915799999995</v>
      </c>
      <c r="I1943" s="98">
        <v>65101454.024531998</v>
      </c>
      <c r="J1943" s="97">
        <v>678.43247460614805</v>
      </c>
      <c r="K1943" s="98">
        <v>613733.58331919997</v>
      </c>
      <c r="L1943" s="99">
        <v>0</v>
      </c>
      <c r="M1943" s="98">
        <v>0</v>
      </c>
      <c r="N1943" s="99">
        <v>0</v>
      </c>
      <c r="O1943" s="98">
        <v>0</v>
      </c>
      <c r="P1943" s="99">
        <v>95054</v>
      </c>
      <c r="Q1943" s="98">
        <v>65101454.024531998</v>
      </c>
      <c r="R1943" s="96" t="s">
        <v>625</v>
      </c>
      <c r="S1943" s="96">
        <v>7414000005</v>
      </c>
      <c r="AA1943" s="131" t="s">
        <v>393</v>
      </c>
      <c r="AB1943" s="130">
        <v>868557.68332199997</v>
      </c>
      <c r="AC1943" s="130">
        <v>868557.68332199997</v>
      </c>
    </row>
    <row r="1944" spans="1:29" x14ac:dyDescent="0.25">
      <c r="A1944" t="str">
        <f t="shared" si="31"/>
        <v xml:space="preserve">78669UDIBONO 281130      </v>
      </c>
      <c r="B1944" s="96">
        <v>78669</v>
      </c>
      <c r="C1944" s="96" t="s">
        <v>859</v>
      </c>
      <c r="D1944" s="96" t="s">
        <v>395</v>
      </c>
      <c r="E1944" s="96" t="s">
        <v>623</v>
      </c>
      <c r="F1944" s="96" t="s">
        <v>624</v>
      </c>
      <c r="G1944" s="99">
        <v>65179</v>
      </c>
      <c r="H1944" s="97">
        <v>772.926965</v>
      </c>
      <c r="I1944" s="98">
        <v>50378606.651735</v>
      </c>
      <c r="J1944" s="97">
        <v>764.76295260999996</v>
      </c>
      <c r="K1944" s="98">
        <v>532122.16356780997</v>
      </c>
      <c r="L1944" s="99">
        <v>0</v>
      </c>
      <c r="M1944" s="98">
        <v>0</v>
      </c>
      <c r="N1944" s="99">
        <v>0</v>
      </c>
      <c r="O1944" s="98">
        <v>0</v>
      </c>
      <c r="P1944" s="99">
        <v>65179</v>
      </c>
      <c r="Q1944" s="98">
        <v>50378606.651735</v>
      </c>
      <c r="R1944" s="96" t="s">
        <v>625</v>
      </c>
      <c r="S1944" s="96">
        <v>7414000005</v>
      </c>
      <c r="AA1944" s="131" t="s">
        <v>385</v>
      </c>
      <c r="AB1944" s="130">
        <v>206920.29260700001</v>
      </c>
      <c r="AC1944" s="130">
        <v>206920.29260700001</v>
      </c>
    </row>
    <row r="1945" spans="1:29" x14ac:dyDescent="0.25">
      <c r="A1945" t="str">
        <f t="shared" si="31"/>
        <v xml:space="preserve">78669UDIBONO 311127      </v>
      </c>
      <c r="B1945" s="96">
        <v>78669</v>
      </c>
      <c r="C1945" s="96" t="s">
        <v>859</v>
      </c>
      <c r="D1945" s="96" t="s">
        <v>396</v>
      </c>
      <c r="E1945" s="96" t="s">
        <v>623</v>
      </c>
      <c r="F1945" s="96" t="s">
        <v>624</v>
      </c>
      <c r="G1945" s="99">
        <v>50524</v>
      </c>
      <c r="H1945" s="97">
        <v>721.59464000000003</v>
      </c>
      <c r="I1945" s="98">
        <v>36457847.591360003</v>
      </c>
      <c r="J1945" s="97">
        <v>708.66255697999998</v>
      </c>
      <c r="K1945" s="98">
        <v>653380.56250248</v>
      </c>
      <c r="L1945" s="99">
        <v>0</v>
      </c>
      <c r="M1945" s="98">
        <v>0</v>
      </c>
      <c r="N1945" s="99">
        <v>0</v>
      </c>
      <c r="O1945" s="98">
        <v>0</v>
      </c>
      <c r="P1945" s="99">
        <v>50524</v>
      </c>
      <c r="Q1945" s="98">
        <v>36457847.591360003</v>
      </c>
      <c r="R1945" s="96" t="s">
        <v>625</v>
      </c>
      <c r="S1945" s="96">
        <v>7414000005</v>
      </c>
      <c r="AA1945" s="131" t="s">
        <v>417</v>
      </c>
      <c r="AB1945" s="130">
        <v>6104692.3749759998</v>
      </c>
      <c r="AC1945" s="130">
        <v>6104692.3749759998</v>
      </c>
    </row>
    <row r="1946" spans="1:29" x14ac:dyDescent="0.25">
      <c r="A1946" t="str">
        <f t="shared" si="31"/>
        <v xml:space="preserve">78669UDIBONO 351122      </v>
      </c>
      <c r="B1946" s="96">
        <v>78669</v>
      </c>
      <c r="C1946" s="96" t="s">
        <v>859</v>
      </c>
      <c r="D1946" s="96" t="s">
        <v>397</v>
      </c>
      <c r="E1946" s="96" t="s">
        <v>623</v>
      </c>
      <c r="F1946" s="96" t="s">
        <v>624</v>
      </c>
      <c r="G1946" s="99">
        <v>4491</v>
      </c>
      <c r="H1946" s="97">
        <v>635.96311900000001</v>
      </c>
      <c r="I1946" s="98">
        <v>2856110.3674289999</v>
      </c>
      <c r="J1946" s="97">
        <v>661.54398465999998</v>
      </c>
      <c r="K1946" s="98">
        <v>-114883.66767906</v>
      </c>
      <c r="L1946" s="99">
        <v>0</v>
      </c>
      <c r="M1946" s="98">
        <v>0</v>
      </c>
      <c r="N1946" s="99">
        <v>0</v>
      </c>
      <c r="O1946" s="98">
        <v>0</v>
      </c>
      <c r="P1946" s="99">
        <v>4491</v>
      </c>
      <c r="Q1946" s="98">
        <v>2856110.3674289999</v>
      </c>
      <c r="R1946" s="96" t="s">
        <v>625</v>
      </c>
      <c r="S1946" s="96">
        <v>7414000005</v>
      </c>
      <c r="AA1946" s="131" t="s">
        <v>375</v>
      </c>
      <c r="AB1946" s="130">
        <v>425527.80419</v>
      </c>
      <c r="AC1946" s="130">
        <v>425527.80419</v>
      </c>
    </row>
    <row r="1947" spans="1:29" x14ac:dyDescent="0.25">
      <c r="A1947" t="str">
        <f t="shared" si="31"/>
        <v xml:space="preserve">78669UDIBONO 401115      </v>
      </c>
      <c r="B1947" s="96">
        <v>78669</v>
      </c>
      <c r="C1947" s="96" t="s">
        <v>859</v>
      </c>
      <c r="D1947" s="96" t="s">
        <v>398</v>
      </c>
      <c r="E1947" s="96" t="s">
        <v>623</v>
      </c>
      <c r="F1947" s="96" t="s">
        <v>624</v>
      </c>
      <c r="G1947" s="99">
        <v>62831</v>
      </c>
      <c r="H1947" s="97">
        <v>709.36974099999998</v>
      </c>
      <c r="I1947" s="98">
        <v>44570410.196771003</v>
      </c>
      <c r="J1947" s="97">
        <v>725.66912242720969</v>
      </c>
      <c r="K1947" s="98">
        <v>-1024106.43445301</v>
      </c>
      <c r="L1947" s="99">
        <v>0</v>
      </c>
      <c r="M1947" s="98">
        <v>0</v>
      </c>
      <c r="N1947" s="99">
        <v>0</v>
      </c>
      <c r="O1947" s="98">
        <v>0</v>
      </c>
      <c r="P1947" s="99">
        <v>62831</v>
      </c>
      <c r="Q1947" s="98">
        <v>44570410.196771003</v>
      </c>
      <c r="R1947" s="96" t="s">
        <v>625</v>
      </c>
      <c r="S1947" s="96">
        <v>7414000005</v>
      </c>
      <c r="AA1947" s="131" t="s">
        <v>399</v>
      </c>
      <c r="AB1947" s="130">
        <v>2040874.478593</v>
      </c>
      <c r="AC1947" s="130">
        <v>2040874.478593</v>
      </c>
    </row>
    <row r="1948" spans="1:29" x14ac:dyDescent="0.25">
      <c r="A1948" t="str">
        <f t="shared" si="31"/>
        <v xml:space="preserve">78669UDIBONO 431112      </v>
      </c>
      <c r="B1948" s="96">
        <v>78669</v>
      </c>
      <c r="C1948" s="96" t="s">
        <v>859</v>
      </c>
      <c r="D1948" s="96" t="s">
        <v>399</v>
      </c>
      <c r="E1948" s="96" t="s">
        <v>623</v>
      </c>
      <c r="F1948" s="96" t="s">
        <v>624</v>
      </c>
      <c r="G1948" s="99">
        <v>83974</v>
      </c>
      <c r="H1948" s="97">
        <v>694.41118700000004</v>
      </c>
      <c r="I1948" s="98">
        <v>58312485.017137997</v>
      </c>
      <c r="J1948" s="97">
        <v>743.07193466345302</v>
      </c>
      <c r="K1948" s="98">
        <v>-4086237.6242908002</v>
      </c>
      <c r="L1948" s="99">
        <v>0</v>
      </c>
      <c r="M1948" s="98">
        <v>0</v>
      </c>
      <c r="N1948" s="99">
        <v>0</v>
      </c>
      <c r="O1948" s="98">
        <v>0</v>
      </c>
      <c r="P1948" s="99">
        <v>83974</v>
      </c>
      <c r="Q1948" s="98">
        <v>58312485.017137997</v>
      </c>
      <c r="R1948" s="96" t="s">
        <v>625</v>
      </c>
      <c r="S1948" s="96">
        <v>7414000005</v>
      </c>
      <c r="AA1948" s="131" t="s">
        <v>429</v>
      </c>
      <c r="AB1948" s="130">
        <v>840907.21571999998</v>
      </c>
      <c r="AC1948" s="130">
        <v>840907.21571999998</v>
      </c>
    </row>
    <row r="1949" spans="1:29" x14ac:dyDescent="0.25">
      <c r="A1949" t="str">
        <f t="shared" si="31"/>
        <v xml:space="preserve">78669UDIBONO 461108      </v>
      </c>
      <c r="B1949" s="96">
        <v>78669</v>
      </c>
      <c r="C1949" s="96" t="s">
        <v>859</v>
      </c>
      <c r="D1949" s="96" t="s">
        <v>400</v>
      </c>
      <c r="E1949" s="96" t="s">
        <v>623</v>
      </c>
      <c r="F1949" s="96" t="s">
        <v>624</v>
      </c>
      <c r="G1949" s="99">
        <v>65000</v>
      </c>
      <c r="H1949" s="97">
        <v>58.67</v>
      </c>
      <c r="I1949" s="98">
        <v>3813550</v>
      </c>
      <c r="J1949" s="97">
        <v>44.735909076923079</v>
      </c>
      <c r="K1949" s="98">
        <v>905715.91</v>
      </c>
      <c r="L1949" s="99">
        <v>0</v>
      </c>
      <c r="M1949" s="98">
        <v>0</v>
      </c>
      <c r="N1949" s="99">
        <v>0</v>
      </c>
      <c r="O1949" s="98">
        <v>0</v>
      </c>
      <c r="P1949" s="99">
        <v>65000</v>
      </c>
      <c r="Q1949" s="98">
        <v>3813550</v>
      </c>
      <c r="R1949" s="96" t="s">
        <v>625</v>
      </c>
      <c r="S1949" s="96">
        <v>7414000005</v>
      </c>
      <c r="AA1949" s="131" t="s">
        <v>394</v>
      </c>
      <c r="AB1949" s="130">
        <v>3215554.59681</v>
      </c>
      <c r="AC1949" s="130">
        <v>3215554.59681</v>
      </c>
    </row>
    <row r="1950" spans="1:29" x14ac:dyDescent="0.25">
      <c r="A1950" t="str">
        <f t="shared" si="31"/>
        <v xml:space="preserve">78669UDIBONO 501103      </v>
      </c>
      <c r="B1950" s="96">
        <v>78669</v>
      </c>
      <c r="C1950" s="96" t="s">
        <v>859</v>
      </c>
      <c r="D1950" s="96" t="s">
        <v>401</v>
      </c>
      <c r="E1950" s="96" t="s">
        <v>623</v>
      </c>
      <c r="F1950" s="96" t="s">
        <v>624</v>
      </c>
      <c r="G1950" s="99">
        <v>5130</v>
      </c>
      <c r="H1950" s="97">
        <v>1090</v>
      </c>
      <c r="I1950" s="98">
        <v>5591700</v>
      </c>
      <c r="J1950" s="97">
        <v>1094.6110136452241</v>
      </c>
      <c r="K1950" s="98">
        <v>-23654.5</v>
      </c>
      <c r="L1950" s="99">
        <v>0</v>
      </c>
      <c r="M1950" s="98">
        <v>0</v>
      </c>
      <c r="N1950" s="99">
        <v>0</v>
      </c>
      <c r="O1950" s="98">
        <v>0</v>
      </c>
      <c r="P1950" s="99">
        <v>5130</v>
      </c>
      <c r="Q1950" s="98">
        <v>5591700</v>
      </c>
      <c r="R1950" s="96" t="s">
        <v>625</v>
      </c>
      <c r="S1950" s="96">
        <v>7414000005</v>
      </c>
      <c r="AA1950" s="131" t="s">
        <v>379</v>
      </c>
      <c r="AB1950" s="130">
        <v>502918.35741</v>
      </c>
      <c r="AC1950" s="130">
        <v>502918.35741</v>
      </c>
    </row>
    <row r="1951" spans="1:29" x14ac:dyDescent="0.25">
      <c r="A1951" t="str">
        <f t="shared" si="31"/>
        <v xml:space="preserve">78669VESTA *             </v>
      </c>
      <c r="B1951" s="96">
        <v>78669</v>
      </c>
      <c r="C1951" s="96" t="s">
        <v>859</v>
      </c>
      <c r="D1951" s="96" t="s">
        <v>594</v>
      </c>
      <c r="E1951" s="96" t="s">
        <v>623</v>
      </c>
      <c r="F1951" s="96" t="s">
        <v>624</v>
      </c>
      <c r="G1951" s="99">
        <v>4000</v>
      </c>
      <c r="H1951" s="97">
        <v>9.9999999999999995E-7</v>
      </c>
      <c r="I1951" s="98">
        <v>4.0000000000000001E-3</v>
      </c>
      <c r="J1951" s="97">
        <v>0.8</v>
      </c>
      <c r="K1951" s="98">
        <v>-3199.9960000000001</v>
      </c>
      <c r="L1951" s="99">
        <v>0</v>
      </c>
      <c r="M1951" s="98">
        <v>0</v>
      </c>
      <c r="N1951" s="99">
        <v>0</v>
      </c>
      <c r="O1951" s="98">
        <v>0</v>
      </c>
      <c r="P1951" s="99">
        <v>4000</v>
      </c>
      <c r="Q1951" s="98">
        <v>4.0000000000000001E-3</v>
      </c>
      <c r="R1951" s="96" t="s">
        <v>625</v>
      </c>
      <c r="S1951" s="96">
        <v>7414000005</v>
      </c>
      <c r="AA1951" s="131" t="s">
        <v>377</v>
      </c>
      <c r="AB1951" s="130">
        <v>887239.13927399996</v>
      </c>
      <c r="AC1951" s="130">
        <v>887239.13927399996</v>
      </c>
    </row>
    <row r="1952" spans="1:29" x14ac:dyDescent="0.25">
      <c r="A1952" t="str">
        <f t="shared" si="31"/>
        <v xml:space="preserve">78669VGK *               </v>
      </c>
      <c r="B1952" s="96">
        <v>78669</v>
      </c>
      <c r="C1952" s="96" t="s">
        <v>859</v>
      </c>
      <c r="D1952" s="96" t="s">
        <v>861</v>
      </c>
      <c r="E1952" s="96" t="s">
        <v>623</v>
      </c>
      <c r="F1952" s="96" t="s">
        <v>624</v>
      </c>
      <c r="G1952" s="99">
        <v>80000</v>
      </c>
      <c r="H1952" s="97">
        <v>12.09</v>
      </c>
      <c r="I1952" s="98">
        <v>967200</v>
      </c>
      <c r="J1952" s="97">
        <v>12.679009375</v>
      </c>
      <c r="K1952" s="98">
        <v>-47120.75</v>
      </c>
      <c r="L1952" s="99">
        <v>0</v>
      </c>
      <c r="M1952" s="98">
        <v>0</v>
      </c>
      <c r="N1952" s="99">
        <v>0</v>
      </c>
      <c r="O1952" s="98">
        <v>0</v>
      </c>
      <c r="P1952" s="99">
        <v>80000</v>
      </c>
      <c r="Q1952" s="98">
        <v>967200</v>
      </c>
      <c r="R1952" s="96" t="s">
        <v>625</v>
      </c>
      <c r="S1952" s="96">
        <v>7414000005</v>
      </c>
      <c r="AA1952" s="131" t="s">
        <v>392</v>
      </c>
      <c r="AB1952" s="130">
        <v>806952.70655999996</v>
      </c>
      <c r="AC1952" s="130">
        <v>806952.70655999996</v>
      </c>
    </row>
    <row r="1953" spans="1:29" x14ac:dyDescent="0.25">
      <c r="A1953" t="str">
        <f t="shared" si="31"/>
        <v xml:space="preserve">78669VIDEO *             </v>
      </c>
      <c r="B1953" s="96">
        <v>78669</v>
      </c>
      <c r="C1953" s="96" t="s">
        <v>859</v>
      </c>
      <c r="D1953" s="96" t="s">
        <v>403</v>
      </c>
      <c r="E1953" s="96" t="s">
        <v>623</v>
      </c>
      <c r="F1953" s="96" t="s">
        <v>624</v>
      </c>
      <c r="G1953" s="99">
        <v>144000</v>
      </c>
      <c r="H1953" s="97">
        <v>65.260000000000005</v>
      </c>
      <c r="I1953" s="98">
        <v>9397440</v>
      </c>
      <c r="J1953" s="97">
        <v>71.07415965277778</v>
      </c>
      <c r="K1953" s="98">
        <v>-837238.99</v>
      </c>
      <c r="L1953" s="99">
        <v>0</v>
      </c>
      <c r="M1953" s="98">
        <v>0</v>
      </c>
      <c r="N1953" s="99">
        <v>0</v>
      </c>
      <c r="O1953" s="98">
        <v>0</v>
      </c>
      <c r="P1953" s="99">
        <v>144000</v>
      </c>
      <c r="Q1953" s="98">
        <v>9397440</v>
      </c>
      <c r="R1953" s="96" t="s">
        <v>625</v>
      </c>
      <c r="S1953" s="96">
        <v>7414000005</v>
      </c>
      <c r="AA1953" s="131" t="s">
        <v>386</v>
      </c>
      <c r="AB1953" s="130">
        <v>1307821.3996260001</v>
      </c>
      <c r="AC1953" s="130">
        <v>1307821.3996260001</v>
      </c>
    </row>
    <row r="1954" spans="1:29" x14ac:dyDescent="0.25">
      <c r="A1954" t="str">
        <f t="shared" si="31"/>
        <v xml:space="preserve">78669VOLAR A             </v>
      </c>
      <c r="B1954" s="96">
        <v>79041</v>
      </c>
      <c r="C1954" s="96" t="s">
        <v>862</v>
      </c>
      <c r="D1954" s="96" t="s">
        <v>376</v>
      </c>
      <c r="E1954" s="96" t="s">
        <v>623</v>
      </c>
      <c r="F1954" s="96" t="s">
        <v>624</v>
      </c>
      <c r="G1954" s="99">
        <v>0</v>
      </c>
      <c r="H1954" s="97">
        <v>0</v>
      </c>
      <c r="I1954" s="98">
        <v>0</v>
      </c>
      <c r="J1954" s="97">
        <v>0</v>
      </c>
      <c r="K1954" s="98">
        <v>0</v>
      </c>
      <c r="L1954" s="99">
        <v>0</v>
      </c>
      <c r="M1954" s="98">
        <v>0</v>
      </c>
      <c r="N1954" s="99">
        <v>0</v>
      </c>
      <c r="O1954" s="98">
        <v>0</v>
      </c>
      <c r="P1954" s="99">
        <v>0</v>
      </c>
      <c r="Q1954" s="98">
        <v>0</v>
      </c>
      <c r="R1954" s="96" t="s">
        <v>625</v>
      </c>
      <c r="S1954" s="96">
        <v>7414000005</v>
      </c>
      <c r="AA1954" s="131" t="s">
        <v>363</v>
      </c>
      <c r="AB1954" s="130">
        <v>1051120.569772</v>
      </c>
      <c r="AC1954" s="130">
        <v>1051120.569772</v>
      </c>
    </row>
    <row r="1955" spans="1:29" x14ac:dyDescent="0.25">
      <c r="A1955" t="str">
        <f t="shared" si="31"/>
        <v xml:space="preserve">78669WALMEX *            </v>
      </c>
      <c r="B1955" s="96">
        <v>79041</v>
      </c>
      <c r="C1955" s="96" t="s">
        <v>862</v>
      </c>
      <c r="D1955" s="96" t="s">
        <v>382</v>
      </c>
      <c r="E1955" s="96" t="s">
        <v>623</v>
      </c>
      <c r="F1955" s="96" t="s">
        <v>624</v>
      </c>
      <c r="G1955" s="99">
        <v>0</v>
      </c>
      <c r="H1955" s="97">
        <v>0</v>
      </c>
      <c r="I1955" s="98">
        <v>0</v>
      </c>
      <c r="J1955" s="97">
        <v>0</v>
      </c>
      <c r="K1955" s="98">
        <v>0</v>
      </c>
      <c r="L1955" s="99">
        <v>0</v>
      </c>
      <c r="M1955" s="98">
        <v>0</v>
      </c>
      <c r="N1955" s="99">
        <v>0</v>
      </c>
      <c r="O1955" s="98">
        <v>0</v>
      </c>
      <c r="P1955" s="99">
        <v>0</v>
      </c>
      <c r="Q1955" s="98">
        <v>0</v>
      </c>
      <c r="R1955" s="96" t="s">
        <v>625</v>
      </c>
      <c r="S1955" s="96">
        <v>7414000005</v>
      </c>
      <c r="AA1955" s="131" t="s">
        <v>409</v>
      </c>
      <c r="AB1955" s="130">
        <v>1408475.1252900001</v>
      </c>
      <c r="AC1955" s="130">
        <v>1408475.1252900001</v>
      </c>
    </row>
    <row r="1956" spans="1:29" x14ac:dyDescent="0.25">
      <c r="A1956" t="str">
        <f t="shared" si="31"/>
        <v xml:space="preserve">79041GOBFED 241205       </v>
      </c>
      <c r="B1956" s="96">
        <v>79041</v>
      </c>
      <c r="C1956" s="96" t="s">
        <v>862</v>
      </c>
      <c r="D1956" s="96" t="s">
        <v>396</v>
      </c>
      <c r="E1956" s="96" t="s">
        <v>623</v>
      </c>
      <c r="F1956" s="96" t="s">
        <v>624</v>
      </c>
      <c r="G1956" s="99">
        <v>0</v>
      </c>
      <c r="H1956" s="97">
        <v>0</v>
      </c>
      <c r="I1956" s="98">
        <v>0</v>
      </c>
      <c r="J1956" s="97">
        <v>0</v>
      </c>
      <c r="K1956" s="98">
        <v>0</v>
      </c>
      <c r="L1956" s="99">
        <v>0</v>
      </c>
      <c r="M1956" s="98">
        <v>0</v>
      </c>
      <c r="N1956" s="99">
        <v>0</v>
      </c>
      <c r="O1956" s="98">
        <v>0</v>
      </c>
      <c r="P1956" s="99">
        <v>0</v>
      </c>
      <c r="Q1956" s="98">
        <v>0</v>
      </c>
      <c r="R1956" s="96" t="s">
        <v>625</v>
      </c>
      <c r="S1956" s="96">
        <v>7414000005</v>
      </c>
      <c r="AA1956" s="131" t="s">
        <v>383</v>
      </c>
      <c r="AB1956" s="130">
        <v>496495.45727999997</v>
      </c>
      <c r="AC1956" s="130">
        <v>496495.45727999997</v>
      </c>
    </row>
    <row r="1957" spans="1:29" x14ac:dyDescent="0.25">
      <c r="A1957" t="str">
        <f t="shared" si="31"/>
        <v xml:space="preserve">79041GOBFED 310529       </v>
      </c>
      <c r="B1957" s="96">
        <v>79042</v>
      </c>
      <c r="C1957" s="96" t="s">
        <v>863</v>
      </c>
      <c r="D1957" s="96" t="s">
        <v>598</v>
      </c>
      <c r="E1957" s="96" t="s">
        <v>623</v>
      </c>
      <c r="F1957" s="96" t="s">
        <v>624</v>
      </c>
      <c r="G1957" s="99">
        <v>0</v>
      </c>
      <c r="H1957" s="97">
        <v>0</v>
      </c>
      <c r="I1957" s="98">
        <v>0</v>
      </c>
      <c r="J1957" s="97">
        <v>0</v>
      </c>
      <c r="K1957" s="98">
        <v>0</v>
      </c>
      <c r="L1957" s="99">
        <v>0</v>
      </c>
      <c r="M1957" s="98">
        <v>0</v>
      </c>
      <c r="N1957" s="99">
        <v>0</v>
      </c>
      <c r="O1957" s="98">
        <v>0</v>
      </c>
      <c r="P1957" s="99">
        <v>0</v>
      </c>
      <c r="Q1957" s="98">
        <v>0</v>
      </c>
      <c r="R1957" s="96" t="s">
        <v>625</v>
      </c>
      <c r="S1957" s="96">
        <v>7414000005</v>
      </c>
      <c r="AA1957" s="131" t="s">
        <v>364</v>
      </c>
      <c r="AB1957" s="130">
        <v>1774155.9478500001</v>
      </c>
      <c r="AC1957" s="130">
        <v>1774155.9478500001</v>
      </c>
    </row>
    <row r="1958" spans="1:29" x14ac:dyDescent="0.25">
      <c r="A1958" t="str">
        <f t="shared" si="31"/>
        <v xml:space="preserve">79041UDIBONO 401115      </v>
      </c>
      <c r="B1958" s="96">
        <v>79042</v>
      </c>
      <c r="C1958" s="96" t="s">
        <v>863</v>
      </c>
      <c r="D1958" s="96" t="s">
        <v>376</v>
      </c>
      <c r="E1958" s="96" t="s">
        <v>623</v>
      </c>
      <c r="F1958" s="96" t="s">
        <v>624</v>
      </c>
      <c r="G1958" s="99">
        <v>0</v>
      </c>
      <c r="H1958" s="97">
        <v>0</v>
      </c>
      <c r="I1958" s="98">
        <v>0</v>
      </c>
      <c r="J1958" s="97">
        <v>0</v>
      </c>
      <c r="K1958" s="98">
        <v>0</v>
      </c>
      <c r="L1958" s="99">
        <v>0</v>
      </c>
      <c r="M1958" s="98">
        <v>0</v>
      </c>
      <c r="N1958" s="99">
        <v>0</v>
      </c>
      <c r="O1958" s="98">
        <v>0</v>
      </c>
      <c r="P1958" s="99">
        <v>0</v>
      </c>
      <c r="Q1958" s="98">
        <v>0</v>
      </c>
      <c r="R1958" s="96" t="s">
        <v>625</v>
      </c>
      <c r="S1958" s="96">
        <v>7414000005</v>
      </c>
      <c r="AA1958" s="131" t="s">
        <v>397</v>
      </c>
      <c r="AB1958" s="130">
        <v>298266.702811</v>
      </c>
      <c r="AC1958" s="130">
        <v>298266.702811</v>
      </c>
    </row>
    <row r="1959" spans="1:29" x14ac:dyDescent="0.25">
      <c r="A1959" t="str">
        <f t="shared" si="31"/>
        <v xml:space="preserve">79042FOVISCB 19-2U       </v>
      </c>
      <c r="B1959" s="96">
        <v>79042</v>
      </c>
      <c r="C1959" s="96" t="s">
        <v>863</v>
      </c>
      <c r="D1959" s="96" t="s">
        <v>382</v>
      </c>
      <c r="E1959" s="96" t="s">
        <v>623</v>
      </c>
      <c r="F1959" s="96" t="s">
        <v>624</v>
      </c>
      <c r="G1959" s="99">
        <v>0</v>
      </c>
      <c r="H1959" s="97">
        <v>0</v>
      </c>
      <c r="I1959" s="98">
        <v>0</v>
      </c>
      <c r="J1959" s="97">
        <v>0</v>
      </c>
      <c r="K1959" s="98">
        <v>0</v>
      </c>
      <c r="L1959" s="99">
        <v>0</v>
      </c>
      <c r="M1959" s="98">
        <v>0</v>
      </c>
      <c r="N1959" s="99">
        <v>0</v>
      </c>
      <c r="O1959" s="98">
        <v>0</v>
      </c>
      <c r="P1959" s="99">
        <v>0</v>
      </c>
      <c r="Q1959" s="98">
        <v>0</v>
      </c>
      <c r="R1959" s="96" t="s">
        <v>625</v>
      </c>
      <c r="S1959" s="96">
        <v>7414000005</v>
      </c>
      <c r="AA1959" s="131" t="s">
        <v>507</v>
      </c>
      <c r="AB1959" s="130">
        <v>498036.88199999998</v>
      </c>
      <c r="AC1959" s="130">
        <v>498036.88199999998</v>
      </c>
    </row>
    <row r="1960" spans="1:29" x14ac:dyDescent="0.25">
      <c r="A1960" t="str">
        <f t="shared" si="31"/>
        <v xml:space="preserve">79042GOBFED 241205       </v>
      </c>
      <c r="B1960" s="96">
        <v>79042</v>
      </c>
      <c r="C1960" s="96" t="s">
        <v>863</v>
      </c>
      <c r="D1960" s="96" t="s">
        <v>408</v>
      </c>
      <c r="E1960" s="96" t="s">
        <v>623</v>
      </c>
      <c r="F1960" s="96" t="s">
        <v>624</v>
      </c>
      <c r="G1960" s="99">
        <v>0</v>
      </c>
      <c r="H1960" s="97">
        <v>0</v>
      </c>
      <c r="I1960" s="98">
        <v>0</v>
      </c>
      <c r="J1960" s="97">
        <v>0</v>
      </c>
      <c r="K1960" s="98">
        <v>0</v>
      </c>
      <c r="L1960" s="99">
        <v>0</v>
      </c>
      <c r="M1960" s="98">
        <v>0</v>
      </c>
      <c r="N1960" s="99">
        <v>0</v>
      </c>
      <c r="O1960" s="98">
        <v>0</v>
      </c>
      <c r="P1960" s="99">
        <v>0</v>
      </c>
      <c r="Q1960" s="98">
        <v>0</v>
      </c>
      <c r="R1960" s="96" t="s">
        <v>625</v>
      </c>
      <c r="S1960" s="96">
        <v>7414000005</v>
      </c>
      <c r="AA1960" s="131" t="s">
        <v>554</v>
      </c>
      <c r="AB1960" s="130">
        <v>426024.07133000001</v>
      </c>
      <c r="AC1960" s="130">
        <v>426024.07133000001</v>
      </c>
    </row>
    <row r="1961" spans="1:29" x14ac:dyDescent="0.25">
      <c r="A1961" t="str">
        <f t="shared" si="31"/>
        <v xml:space="preserve">79042GOBFED 310529       </v>
      </c>
      <c r="B1961" s="96">
        <v>79042</v>
      </c>
      <c r="C1961" s="96" t="s">
        <v>863</v>
      </c>
      <c r="D1961" s="96" t="s">
        <v>396</v>
      </c>
      <c r="E1961" s="96" t="s">
        <v>623</v>
      </c>
      <c r="F1961" s="96" t="s">
        <v>624</v>
      </c>
      <c r="G1961" s="99">
        <v>0</v>
      </c>
      <c r="H1961" s="97">
        <v>0</v>
      </c>
      <c r="I1961" s="98">
        <v>0</v>
      </c>
      <c r="J1961" s="97">
        <v>0</v>
      </c>
      <c r="K1961" s="98">
        <v>0</v>
      </c>
      <c r="L1961" s="99">
        <v>0</v>
      </c>
      <c r="M1961" s="98">
        <v>0</v>
      </c>
      <c r="N1961" s="99">
        <v>0</v>
      </c>
      <c r="O1961" s="98">
        <v>0</v>
      </c>
      <c r="P1961" s="99">
        <v>0</v>
      </c>
      <c r="Q1961" s="98">
        <v>0</v>
      </c>
      <c r="R1961" s="96" t="s">
        <v>625</v>
      </c>
      <c r="S1961" s="96">
        <v>7414000005</v>
      </c>
      <c r="AA1961" s="131" t="s">
        <v>613</v>
      </c>
      <c r="AB1961" s="130">
        <v>856361.34050000005</v>
      </c>
      <c r="AC1961" s="130">
        <v>856361.34050000005</v>
      </c>
    </row>
    <row r="1962" spans="1:29" x14ac:dyDescent="0.25">
      <c r="A1962" t="str">
        <f t="shared" si="31"/>
        <v xml:space="preserve">79042GOBFED 381118       </v>
      </c>
      <c r="B1962" s="96">
        <v>79043</v>
      </c>
      <c r="C1962" s="96" t="s">
        <v>864</v>
      </c>
      <c r="D1962" s="96" t="s">
        <v>376</v>
      </c>
      <c r="E1962" s="96" t="s">
        <v>623</v>
      </c>
      <c r="F1962" s="96" t="s">
        <v>624</v>
      </c>
      <c r="G1962" s="99">
        <v>0</v>
      </c>
      <c r="H1962" s="97">
        <v>0</v>
      </c>
      <c r="I1962" s="98">
        <v>0</v>
      </c>
      <c r="J1962" s="97">
        <v>0</v>
      </c>
      <c r="K1962" s="98">
        <v>0</v>
      </c>
      <c r="L1962" s="99">
        <v>0</v>
      </c>
      <c r="M1962" s="98">
        <v>0</v>
      </c>
      <c r="N1962" s="99">
        <v>0</v>
      </c>
      <c r="O1962" s="98">
        <v>0</v>
      </c>
      <c r="P1962" s="99">
        <v>0</v>
      </c>
      <c r="Q1962" s="98">
        <v>0</v>
      </c>
      <c r="R1962" s="96" t="s">
        <v>625</v>
      </c>
      <c r="S1962" s="96">
        <v>7414000005</v>
      </c>
      <c r="AA1962" s="129">
        <v>1036528</v>
      </c>
      <c r="AB1962" s="130">
        <v>39490518.886013992</v>
      </c>
      <c r="AC1962" s="130">
        <v>39490518.886013992</v>
      </c>
    </row>
    <row r="1963" spans="1:29" x14ac:dyDescent="0.25">
      <c r="A1963" t="str">
        <f t="shared" si="31"/>
        <v xml:space="preserve">79042UDIBONO 401115      </v>
      </c>
      <c r="B1963" s="96">
        <v>79043</v>
      </c>
      <c r="C1963" s="96" t="s">
        <v>864</v>
      </c>
      <c r="D1963" s="96" t="s">
        <v>382</v>
      </c>
      <c r="E1963" s="96" t="s">
        <v>623</v>
      </c>
      <c r="F1963" s="96" t="s">
        <v>624</v>
      </c>
      <c r="G1963" s="99">
        <v>0</v>
      </c>
      <c r="H1963" s="97">
        <v>0</v>
      </c>
      <c r="I1963" s="98">
        <v>0</v>
      </c>
      <c r="J1963" s="97">
        <v>0</v>
      </c>
      <c r="K1963" s="98">
        <v>0</v>
      </c>
      <c r="L1963" s="99">
        <v>0</v>
      </c>
      <c r="M1963" s="98">
        <v>0</v>
      </c>
      <c r="N1963" s="99">
        <v>0</v>
      </c>
      <c r="O1963" s="98">
        <v>0</v>
      </c>
      <c r="P1963" s="99">
        <v>0</v>
      </c>
      <c r="Q1963" s="98">
        <v>0</v>
      </c>
      <c r="R1963" s="96" t="s">
        <v>625</v>
      </c>
      <c r="S1963" s="96">
        <v>7414000005</v>
      </c>
      <c r="AA1963" s="131" t="s">
        <v>376</v>
      </c>
      <c r="AB1963" s="130">
        <v>753685.49981199997</v>
      </c>
      <c r="AC1963" s="130">
        <v>753685.49981199997</v>
      </c>
    </row>
    <row r="1964" spans="1:29" x14ac:dyDescent="0.25">
      <c r="A1964" t="str">
        <f t="shared" si="31"/>
        <v xml:space="preserve">79043GOBFED 241205       </v>
      </c>
      <c r="B1964" s="96">
        <v>79043</v>
      </c>
      <c r="C1964" s="96" t="s">
        <v>864</v>
      </c>
      <c r="D1964" s="96" t="s">
        <v>396</v>
      </c>
      <c r="E1964" s="96" t="s">
        <v>623</v>
      </c>
      <c r="F1964" s="96" t="s">
        <v>624</v>
      </c>
      <c r="G1964" s="99">
        <v>0</v>
      </c>
      <c r="H1964" s="97">
        <v>0</v>
      </c>
      <c r="I1964" s="98">
        <v>0</v>
      </c>
      <c r="J1964" s="97">
        <v>0</v>
      </c>
      <c r="K1964" s="98">
        <v>0</v>
      </c>
      <c r="L1964" s="99">
        <v>0</v>
      </c>
      <c r="M1964" s="98">
        <v>0</v>
      </c>
      <c r="N1964" s="99">
        <v>0</v>
      </c>
      <c r="O1964" s="98">
        <v>0</v>
      </c>
      <c r="P1964" s="99">
        <v>0</v>
      </c>
      <c r="Q1964" s="98">
        <v>0</v>
      </c>
      <c r="R1964" s="96" t="s">
        <v>625</v>
      </c>
      <c r="S1964" s="96">
        <v>7414000005</v>
      </c>
      <c r="AA1964" s="131" t="s">
        <v>378</v>
      </c>
      <c r="AB1964" s="130">
        <v>496783.392505</v>
      </c>
      <c r="AC1964" s="130">
        <v>496783.392505</v>
      </c>
    </row>
    <row r="1965" spans="1:29" x14ac:dyDescent="0.25">
      <c r="A1965" t="str">
        <f t="shared" si="31"/>
        <v xml:space="preserve">79043GOBFED 310529       </v>
      </c>
      <c r="B1965" s="96">
        <v>79044</v>
      </c>
      <c r="C1965" s="96" t="s">
        <v>865</v>
      </c>
      <c r="D1965" s="96" t="s">
        <v>598</v>
      </c>
      <c r="E1965" s="96" t="s">
        <v>623</v>
      </c>
      <c r="F1965" s="96" t="s">
        <v>624</v>
      </c>
      <c r="G1965" s="99">
        <v>0</v>
      </c>
      <c r="H1965" s="97">
        <v>0</v>
      </c>
      <c r="I1965" s="98">
        <v>0</v>
      </c>
      <c r="J1965" s="97">
        <v>0</v>
      </c>
      <c r="K1965" s="98">
        <v>0</v>
      </c>
      <c r="L1965" s="99">
        <v>0</v>
      </c>
      <c r="M1965" s="98">
        <v>0</v>
      </c>
      <c r="N1965" s="99">
        <v>0</v>
      </c>
      <c r="O1965" s="98">
        <v>0</v>
      </c>
      <c r="P1965" s="99">
        <v>0</v>
      </c>
      <c r="Q1965" s="98">
        <v>0</v>
      </c>
      <c r="R1965" s="96" t="s">
        <v>625</v>
      </c>
      <c r="S1965" s="96">
        <v>7414000005</v>
      </c>
      <c r="AA1965" s="131" t="s">
        <v>380</v>
      </c>
      <c r="AB1965" s="130">
        <v>587972.72379199998</v>
      </c>
      <c r="AC1965" s="130">
        <v>587972.72379199998</v>
      </c>
    </row>
    <row r="1966" spans="1:29" x14ac:dyDescent="0.25">
      <c r="A1966" t="str">
        <f t="shared" si="31"/>
        <v xml:space="preserve">79043UDIBONO 401115      </v>
      </c>
      <c r="B1966" s="96">
        <v>79044</v>
      </c>
      <c r="C1966" s="96" t="s">
        <v>865</v>
      </c>
      <c r="D1966" s="96" t="s">
        <v>376</v>
      </c>
      <c r="E1966" s="96" t="s">
        <v>623</v>
      </c>
      <c r="F1966" s="96" t="s">
        <v>624</v>
      </c>
      <c r="G1966" s="99">
        <v>0</v>
      </c>
      <c r="H1966" s="97">
        <v>0</v>
      </c>
      <c r="I1966" s="98">
        <v>0</v>
      </c>
      <c r="J1966" s="97">
        <v>0</v>
      </c>
      <c r="K1966" s="98">
        <v>0</v>
      </c>
      <c r="L1966" s="99">
        <v>0</v>
      </c>
      <c r="M1966" s="98">
        <v>0</v>
      </c>
      <c r="N1966" s="99">
        <v>0</v>
      </c>
      <c r="O1966" s="98">
        <v>0</v>
      </c>
      <c r="P1966" s="99">
        <v>0</v>
      </c>
      <c r="Q1966" s="98">
        <v>0</v>
      </c>
      <c r="R1966" s="96" t="s">
        <v>625</v>
      </c>
      <c r="S1966" s="96">
        <v>7414000005</v>
      </c>
      <c r="AA1966" s="131" t="s">
        <v>382</v>
      </c>
      <c r="AB1966" s="130">
        <v>853550.51717000001</v>
      </c>
      <c r="AC1966" s="130">
        <v>853550.51717000001</v>
      </c>
    </row>
    <row r="1967" spans="1:29" x14ac:dyDescent="0.25">
      <c r="A1967" t="str">
        <f t="shared" si="31"/>
        <v xml:space="preserve">79044FOVISCB 19-2U       </v>
      </c>
      <c r="B1967" s="96">
        <v>79044</v>
      </c>
      <c r="C1967" s="96" t="s">
        <v>865</v>
      </c>
      <c r="D1967" s="96" t="s">
        <v>382</v>
      </c>
      <c r="E1967" s="96" t="s">
        <v>623</v>
      </c>
      <c r="F1967" s="96" t="s">
        <v>624</v>
      </c>
      <c r="G1967" s="99">
        <v>0</v>
      </c>
      <c r="H1967" s="97">
        <v>0</v>
      </c>
      <c r="I1967" s="98">
        <v>0</v>
      </c>
      <c r="J1967" s="97">
        <v>0</v>
      </c>
      <c r="K1967" s="98">
        <v>0</v>
      </c>
      <c r="L1967" s="99">
        <v>0</v>
      </c>
      <c r="M1967" s="98">
        <v>0</v>
      </c>
      <c r="N1967" s="99">
        <v>0</v>
      </c>
      <c r="O1967" s="98">
        <v>0</v>
      </c>
      <c r="P1967" s="99">
        <v>0</v>
      </c>
      <c r="Q1967" s="98">
        <v>0</v>
      </c>
      <c r="R1967" s="96" t="s">
        <v>625</v>
      </c>
      <c r="S1967" s="96">
        <v>7414000005</v>
      </c>
      <c r="AA1967" s="131" t="s">
        <v>427</v>
      </c>
      <c r="AB1967" s="130">
        <v>2653052.719428</v>
      </c>
      <c r="AC1967" s="130">
        <v>2653052.719428</v>
      </c>
    </row>
    <row r="1968" spans="1:29" x14ac:dyDescent="0.25">
      <c r="A1968" t="str">
        <f t="shared" si="31"/>
        <v xml:space="preserve">79044GOBFED 241205       </v>
      </c>
      <c r="B1968" s="96">
        <v>79044</v>
      </c>
      <c r="C1968" s="96" t="s">
        <v>865</v>
      </c>
      <c r="D1968" s="96" t="s">
        <v>408</v>
      </c>
      <c r="E1968" s="96" t="s">
        <v>623</v>
      </c>
      <c r="F1968" s="96" t="s">
        <v>624</v>
      </c>
      <c r="G1968" s="99">
        <v>0</v>
      </c>
      <c r="H1968" s="97">
        <v>0</v>
      </c>
      <c r="I1968" s="98">
        <v>0</v>
      </c>
      <c r="J1968" s="97">
        <v>0</v>
      </c>
      <c r="K1968" s="98">
        <v>0</v>
      </c>
      <c r="L1968" s="99">
        <v>0</v>
      </c>
      <c r="M1968" s="98">
        <v>0</v>
      </c>
      <c r="N1968" s="99">
        <v>0</v>
      </c>
      <c r="O1968" s="98">
        <v>0</v>
      </c>
      <c r="P1968" s="99">
        <v>0</v>
      </c>
      <c r="Q1968" s="98">
        <v>0</v>
      </c>
      <c r="R1968" s="96" t="s">
        <v>625</v>
      </c>
      <c r="S1968" s="96">
        <v>7414000005</v>
      </c>
      <c r="AA1968" s="131" t="s">
        <v>418</v>
      </c>
      <c r="AB1968" s="130">
        <v>41797.797992</v>
      </c>
      <c r="AC1968" s="130">
        <v>41797.797992</v>
      </c>
    </row>
    <row r="1969" spans="1:29" x14ac:dyDescent="0.25">
      <c r="A1969" t="str">
        <f t="shared" si="31"/>
        <v xml:space="preserve">79044GOBFED 310529       </v>
      </c>
      <c r="B1969" s="96">
        <v>79044</v>
      </c>
      <c r="C1969" s="96" t="s">
        <v>865</v>
      </c>
      <c r="D1969" s="96" t="s">
        <v>396</v>
      </c>
      <c r="E1969" s="96" t="s">
        <v>623</v>
      </c>
      <c r="F1969" s="96" t="s">
        <v>624</v>
      </c>
      <c r="G1969" s="99">
        <v>0</v>
      </c>
      <c r="H1969" s="97">
        <v>0</v>
      </c>
      <c r="I1969" s="98">
        <v>0</v>
      </c>
      <c r="J1969" s="97">
        <v>0</v>
      </c>
      <c r="K1969" s="98">
        <v>0</v>
      </c>
      <c r="L1969" s="99">
        <v>0</v>
      </c>
      <c r="M1969" s="98">
        <v>0</v>
      </c>
      <c r="N1969" s="99">
        <v>0</v>
      </c>
      <c r="O1969" s="98">
        <v>0</v>
      </c>
      <c r="P1969" s="99">
        <v>0</v>
      </c>
      <c r="Q1969" s="98">
        <v>0</v>
      </c>
      <c r="R1969" s="96" t="s">
        <v>625</v>
      </c>
      <c r="S1969" s="96">
        <v>7414000005</v>
      </c>
      <c r="AA1969" s="131" t="s">
        <v>408</v>
      </c>
      <c r="AB1969" s="130">
        <v>39622.282024</v>
      </c>
      <c r="AC1969" s="130">
        <v>39622.282024</v>
      </c>
    </row>
    <row r="1970" spans="1:29" x14ac:dyDescent="0.25">
      <c r="A1970" t="str">
        <f t="shared" si="31"/>
        <v xml:space="preserve">79044GOBFED 381118       </v>
      </c>
      <c r="B1970" s="96">
        <v>79045</v>
      </c>
      <c r="C1970" s="96" t="s">
        <v>866</v>
      </c>
      <c r="D1970" s="96" t="s">
        <v>375</v>
      </c>
      <c r="E1970" s="96" t="s">
        <v>623</v>
      </c>
      <c r="F1970" s="96" t="s">
        <v>624</v>
      </c>
      <c r="G1970" s="99">
        <v>8910</v>
      </c>
      <c r="H1970" s="97">
        <v>98.730349000000004</v>
      </c>
      <c r="I1970" s="98">
        <v>879687.40959000005</v>
      </c>
      <c r="J1970" s="97">
        <v>111.89286593999999</v>
      </c>
      <c r="K1970" s="98">
        <v>-117278.0259354</v>
      </c>
      <c r="L1970" s="99">
        <v>0</v>
      </c>
      <c r="M1970" s="98">
        <v>0</v>
      </c>
      <c r="N1970" s="99">
        <v>0</v>
      </c>
      <c r="O1970" s="98">
        <v>0</v>
      </c>
      <c r="P1970" s="99">
        <v>8910</v>
      </c>
      <c r="Q1970" s="98">
        <v>879687.40959000005</v>
      </c>
      <c r="R1970" s="96" t="s">
        <v>625</v>
      </c>
      <c r="S1970" s="96">
        <v>7414000005</v>
      </c>
      <c r="AA1970" s="131" t="s">
        <v>384</v>
      </c>
      <c r="AB1970" s="130">
        <v>929452.57706000004</v>
      </c>
      <c r="AC1970" s="130">
        <v>929452.57706000004</v>
      </c>
    </row>
    <row r="1971" spans="1:29" x14ac:dyDescent="0.25">
      <c r="A1971" t="str">
        <f t="shared" si="31"/>
        <v xml:space="preserve">79044UDIBONO 401115      </v>
      </c>
      <c r="B1971" s="96">
        <v>79045</v>
      </c>
      <c r="C1971" s="96" t="s">
        <v>866</v>
      </c>
      <c r="D1971" s="96" t="s">
        <v>376</v>
      </c>
      <c r="E1971" s="96" t="s">
        <v>623</v>
      </c>
      <c r="F1971" s="96" t="s">
        <v>624</v>
      </c>
      <c r="G1971" s="99">
        <v>13346</v>
      </c>
      <c r="H1971" s="97">
        <v>99.247497999999993</v>
      </c>
      <c r="I1971" s="98">
        <v>1324557.108308</v>
      </c>
      <c r="J1971" s="97">
        <v>95.22286979362805</v>
      </c>
      <c r="K1971" s="98">
        <v>53712.688042239999</v>
      </c>
      <c r="L1971" s="99">
        <v>0</v>
      </c>
      <c r="M1971" s="98">
        <v>0</v>
      </c>
      <c r="N1971" s="99">
        <v>0</v>
      </c>
      <c r="O1971" s="98">
        <v>0</v>
      </c>
      <c r="P1971" s="99">
        <v>13346</v>
      </c>
      <c r="Q1971" s="98">
        <v>1324557.108308</v>
      </c>
      <c r="R1971" s="96" t="s">
        <v>625</v>
      </c>
      <c r="S1971" s="96">
        <v>7414000005</v>
      </c>
      <c r="AA1971" s="131" t="s">
        <v>389</v>
      </c>
      <c r="AB1971" s="130">
        <v>6160664.2345040003</v>
      </c>
      <c r="AC1971" s="130">
        <v>6160664.2345040003</v>
      </c>
    </row>
    <row r="1972" spans="1:29" x14ac:dyDescent="0.25">
      <c r="A1972" t="str">
        <f t="shared" si="31"/>
        <v xml:space="preserve">79045GOBFED 240905       </v>
      </c>
      <c r="B1972" s="96">
        <v>79045</v>
      </c>
      <c r="C1972" s="96" t="s">
        <v>866</v>
      </c>
      <c r="D1972" s="96" t="s">
        <v>377</v>
      </c>
      <c r="E1972" s="96" t="s">
        <v>623</v>
      </c>
      <c r="F1972" s="96" t="s">
        <v>624</v>
      </c>
      <c r="G1972" s="99">
        <v>4700</v>
      </c>
      <c r="H1972" s="97">
        <v>94.973146999999997</v>
      </c>
      <c r="I1972" s="98">
        <v>446373.79090000002</v>
      </c>
      <c r="J1972" s="97">
        <v>89.85155469</v>
      </c>
      <c r="K1972" s="98">
        <v>24071.483856999999</v>
      </c>
      <c r="L1972" s="99">
        <v>0</v>
      </c>
      <c r="M1972" s="98">
        <v>0</v>
      </c>
      <c r="N1972" s="99">
        <v>0</v>
      </c>
      <c r="O1972" s="98">
        <v>0</v>
      </c>
      <c r="P1972" s="99">
        <v>4700</v>
      </c>
      <c r="Q1972" s="98">
        <v>446373.79090000002</v>
      </c>
      <c r="R1972" s="96" t="s">
        <v>625</v>
      </c>
      <c r="S1972" s="96">
        <v>7414000005</v>
      </c>
      <c r="AA1972" s="131" t="s">
        <v>391</v>
      </c>
      <c r="AB1972" s="130">
        <v>577114.68952799996</v>
      </c>
      <c r="AC1972" s="130">
        <v>577114.68952799996</v>
      </c>
    </row>
    <row r="1973" spans="1:29" x14ac:dyDescent="0.25">
      <c r="A1973" t="str">
        <f t="shared" si="31"/>
        <v xml:space="preserve">79045GOBFED 241205       </v>
      </c>
      <c r="B1973" s="96">
        <v>79045</v>
      </c>
      <c r="C1973" s="96" t="s">
        <v>866</v>
      </c>
      <c r="D1973" s="96" t="s">
        <v>378</v>
      </c>
      <c r="E1973" s="96" t="s">
        <v>623</v>
      </c>
      <c r="F1973" s="96" t="s">
        <v>624</v>
      </c>
      <c r="G1973" s="99">
        <v>4675</v>
      </c>
      <c r="H1973" s="97">
        <v>91.911821000000003</v>
      </c>
      <c r="I1973" s="98">
        <v>429687.76317499997</v>
      </c>
      <c r="J1973" s="97">
        <v>93.2088459</v>
      </c>
      <c r="K1973" s="98">
        <v>-6063.5914075000001</v>
      </c>
      <c r="L1973" s="99">
        <v>0</v>
      </c>
      <c r="M1973" s="98">
        <v>0</v>
      </c>
      <c r="N1973" s="99">
        <v>0</v>
      </c>
      <c r="O1973" s="98">
        <v>0</v>
      </c>
      <c r="P1973" s="99">
        <v>4675</v>
      </c>
      <c r="Q1973" s="98">
        <v>429687.76317499997</v>
      </c>
      <c r="R1973" s="96" t="s">
        <v>625</v>
      </c>
      <c r="S1973" s="96">
        <v>7414000005</v>
      </c>
      <c r="AA1973" s="131" t="s">
        <v>395</v>
      </c>
      <c r="AB1973" s="130">
        <v>377961.28588500002</v>
      </c>
      <c r="AC1973" s="130">
        <v>377961.28588500002</v>
      </c>
    </row>
    <row r="1974" spans="1:29" x14ac:dyDescent="0.25">
      <c r="A1974" t="str">
        <f t="shared" si="31"/>
        <v xml:space="preserve">79045GOBFED 250306       </v>
      </c>
      <c r="B1974" s="96">
        <v>79045</v>
      </c>
      <c r="C1974" s="96" t="s">
        <v>866</v>
      </c>
      <c r="D1974" s="96" t="s">
        <v>379</v>
      </c>
      <c r="E1974" s="96" t="s">
        <v>623</v>
      </c>
      <c r="F1974" s="96" t="s">
        <v>624</v>
      </c>
      <c r="G1974" s="99">
        <v>20034</v>
      </c>
      <c r="H1974" s="97">
        <v>88.698122999999995</v>
      </c>
      <c r="I1974" s="98">
        <v>1776978.196182</v>
      </c>
      <c r="J1974" s="97">
        <v>87.92799465467904</v>
      </c>
      <c r="K1974" s="98">
        <v>15428.751270160001</v>
      </c>
      <c r="L1974" s="99">
        <v>0</v>
      </c>
      <c r="M1974" s="98">
        <v>0</v>
      </c>
      <c r="N1974" s="99">
        <v>0</v>
      </c>
      <c r="O1974" s="98">
        <v>0</v>
      </c>
      <c r="P1974" s="99">
        <v>20034</v>
      </c>
      <c r="Q1974" s="98">
        <v>1776978.196182</v>
      </c>
      <c r="R1974" s="96" t="s">
        <v>625</v>
      </c>
      <c r="S1974" s="96">
        <v>7414000005</v>
      </c>
      <c r="AA1974" s="131" t="s">
        <v>396</v>
      </c>
      <c r="AB1974" s="130">
        <v>396155.45736</v>
      </c>
      <c r="AC1974" s="130">
        <v>396155.45736</v>
      </c>
    </row>
    <row r="1975" spans="1:29" x14ac:dyDescent="0.25">
      <c r="A1975" t="str">
        <f t="shared" si="31"/>
        <v xml:space="preserve">79045GOBFED 260305       </v>
      </c>
      <c r="B1975" s="96">
        <v>79045</v>
      </c>
      <c r="C1975" s="96" t="s">
        <v>866</v>
      </c>
      <c r="D1975" s="96" t="s">
        <v>380</v>
      </c>
      <c r="E1975" s="96" t="s">
        <v>623</v>
      </c>
      <c r="F1975" s="96" t="s">
        <v>624</v>
      </c>
      <c r="G1975" s="99">
        <v>27662</v>
      </c>
      <c r="H1975" s="97">
        <v>93.314192000000006</v>
      </c>
      <c r="I1975" s="98">
        <v>2581257.1791039999</v>
      </c>
      <c r="J1975" s="97">
        <v>91.833820967580067</v>
      </c>
      <c r="K1975" s="98">
        <v>40950.023498800001</v>
      </c>
      <c r="L1975" s="99">
        <v>0</v>
      </c>
      <c r="M1975" s="98">
        <v>0</v>
      </c>
      <c r="N1975" s="99">
        <v>0</v>
      </c>
      <c r="O1975" s="98">
        <v>0</v>
      </c>
      <c r="P1975" s="99">
        <v>27662</v>
      </c>
      <c r="Q1975" s="98">
        <v>2581257.1791039999</v>
      </c>
      <c r="R1975" s="96" t="s">
        <v>625</v>
      </c>
      <c r="S1975" s="96">
        <v>7414000005</v>
      </c>
      <c r="AA1975" s="131" t="s">
        <v>398</v>
      </c>
      <c r="AB1975" s="130">
        <v>605092.38907300006</v>
      </c>
      <c r="AC1975" s="130">
        <v>605092.38907300006</v>
      </c>
    </row>
    <row r="1976" spans="1:29" x14ac:dyDescent="0.25">
      <c r="A1976" t="str">
        <f t="shared" si="31"/>
        <v xml:space="preserve">79045GOBFED 270304       </v>
      </c>
      <c r="B1976" s="96">
        <v>79045</v>
      </c>
      <c r="C1976" s="96" t="s">
        <v>866</v>
      </c>
      <c r="D1976" s="96" t="s">
        <v>381</v>
      </c>
      <c r="E1976" s="96" t="s">
        <v>623</v>
      </c>
      <c r="F1976" s="96" t="s">
        <v>624</v>
      </c>
      <c r="G1976" s="99">
        <v>27986</v>
      </c>
      <c r="H1976" s="97">
        <v>94.870157000000006</v>
      </c>
      <c r="I1976" s="98">
        <v>2655036.213802</v>
      </c>
      <c r="J1976" s="97">
        <v>96.442151479397552</v>
      </c>
      <c r="K1976" s="98">
        <v>-43993.837500419999</v>
      </c>
      <c r="L1976" s="99">
        <v>0</v>
      </c>
      <c r="M1976" s="98">
        <v>0</v>
      </c>
      <c r="N1976" s="99">
        <v>0</v>
      </c>
      <c r="O1976" s="98">
        <v>0</v>
      </c>
      <c r="P1976" s="99">
        <v>27986</v>
      </c>
      <c r="Q1976" s="98">
        <v>2655036.213802</v>
      </c>
      <c r="R1976" s="96" t="s">
        <v>625</v>
      </c>
      <c r="S1976" s="96">
        <v>7414000005</v>
      </c>
      <c r="AA1976" s="131" t="s">
        <v>381</v>
      </c>
      <c r="AB1976" s="130">
        <v>212509.15168000001</v>
      </c>
      <c r="AC1976" s="130">
        <v>212509.15168000001</v>
      </c>
    </row>
    <row r="1977" spans="1:29" x14ac:dyDescent="0.25">
      <c r="A1977" t="str">
        <f t="shared" si="31"/>
        <v xml:space="preserve">79045GOBFED 270603       </v>
      </c>
      <c r="B1977" s="96">
        <v>79045</v>
      </c>
      <c r="C1977" s="96" t="s">
        <v>866</v>
      </c>
      <c r="D1977" s="96" t="s">
        <v>382</v>
      </c>
      <c r="E1977" s="96" t="s">
        <v>623</v>
      </c>
      <c r="F1977" s="96" t="s">
        <v>624</v>
      </c>
      <c r="G1977" s="99">
        <v>24133</v>
      </c>
      <c r="H1977" s="97">
        <v>89.489464999999996</v>
      </c>
      <c r="I1977" s="98">
        <v>2159649.2588450001</v>
      </c>
      <c r="J1977" s="97">
        <v>87.13566842186674</v>
      </c>
      <c r="K1977" s="98">
        <v>56804.172820090003</v>
      </c>
      <c r="L1977" s="99">
        <v>0</v>
      </c>
      <c r="M1977" s="98">
        <v>0</v>
      </c>
      <c r="N1977" s="99">
        <v>0</v>
      </c>
      <c r="O1977" s="98">
        <v>0</v>
      </c>
      <c r="P1977" s="99">
        <v>24133</v>
      </c>
      <c r="Q1977" s="98">
        <v>2159649.2588450001</v>
      </c>
      <c r="R1977" s="96" t="s">
        <v>625</v>
      </c>
      <c r="S1977" s="96">
        <v>7414000005</v>
      </c>
      <c r="AA1977" s="131" t="s">
        <v>466</v>
      </c>
      <c r="AB1977" s="130">
        <v>26373.161844999999</v>
      </c>
      <c r="AC1977" s="130">
        <v>26373.161844999999</v>
      </c>
    </row>
    <row r="1978" spans="1:29" x14ac:dyDescent="0.25">
      <c r="A1978" t="str">
        <f t="shared" si="31"/>
        <v xml:space="preserve">79045GOBFED 290531       </v>
      </c>
      <c r="B1978" s="96">
        <v>79045</v>
      </c>
      <c r="C1978" s="96" t="s">
        <v>866</v>
      </c>
      <c r="D1978" s="96" t="s">
        <v>383</v>
      </c>
      <c r="E1978" s="96" t="s">
        <v>623</v>
      </c>
      <c r="F1978" s="96" t="s">
        <v>624</v>
      </c>
      <c r="G1978" s="99">
        <v>32013</v>
      </c>
      <c r="H1978" s="97">
        <v>86.197128000000006</v>
      </c>
      <c r="I1978" s="98">
        <v>2759428.6586640002</v>
      </c>
      <c r="J1978" s="97">
        <v>88.945763563934022</v>
      </c>
      <c r="K1978" s="98">
        <v>-87992.070308220005</v>
      </c>
      <c r="L1978" s="99">
        <v>0</v>
      </c>
      <c r="M1978" s="98">
        <v>0</v>
      </c>
      <c r="N1978" s="99">
        <v>0</v>
      </c>
      <c r="O1978" s="98">
        <v>0</v>
      </c>
      <c r="P1978" s="99">
        <v>32013</v>
      </c>
      <c r="Q1978" s="98">
        <v>2759428.6586640002</v>
      </c>
      <c r="R1978" s="96" t="s">
        <v>625</v>
      </c>
      <c r="S1978" s="96">
        <v>7414000005</v>
      </c>
      <c r="AA1978" s="131" t="s">
        <v>393</v>
      </c>
      <c r="AB1978" s="130">
        <v>823368.17422499997</v>
      </c>
      <c r="AC1978" s="130">
        <v>823368.17422499997</v>
      </c>
    </row>
    <row r="1979" spans="1:29" x14ac:dyDescent="0.25">
      <c r="A1979" t="str">
        <f t="shared" si="31"/>
        <v xml:space="preserve">79045GOBFED 310529       </v>
      </c>
      <c r="B1979" s="96">
        <v>79045</v>
      </c>
      <c r="C1979" s="96" t="s">
        <v>866</v>
      </c>
      <c r="D1979" s="96" t="s">
        <v>427</v>
      </c>
      <c r="E1979" s="96" t="s">
        <v>623</v>
      </c>
      <c r="F1979" s="96" t="s">
        <v>624</v>
      </c>
      <c r="G1979" s="99">
        <v>19806</v>
      </c>
      <c r="H1979" s="97">
        <v>86.469353999999996</v>
      </c>
      <c r="I1979" s="98">
        <v>1712612.025324</v>
      </c>
      <c r="J1979" s="97">
        <v>91.07811500887307</v>
      </c>
      <c r="K1979" s="98">
        <v>-91281.120541740005</v>
      </c>
      <c r="L1979" s="99">
        <v>0</v>
      </c>
      <c r="M1979" s="98">
        <v>0</v>
      </c>
      <c r="N1979" s="99">
        <v>0</v>
      </c>
      <c r="O1979" s="98">
        <v>0</v>
      </c>
      <c r="P1979" s="99">
        <v>19806</v>
      </c>
      <c r="Q1979" s="98">
        <v>1712612.025324</v>
      </c>
      <c r="R1979" s="96" t="s">
        <v>625</v>
      </c>
      <c r="S1979" s="96">
        <v>7414000005</v>
      </c>
      <c r="AA1979" s="131" t="s">
        <v>385</v>
      </c>
      <c r="AB1979" s="130">
        <v>131124.399336</v>
      </c>
      <c r="AC1979" s="130">
        <v>131124.399336</v>
      </c>
    </row>
    <row r="1980" spans="1:29" x14ac:dyDescent="0.25">
      <c r="A1980" t="str">
        <f t="shared" si="31"/>
        <v xml:space="preserve">79045GOBFED 330526       </v>
      </c>
      <c r="B1980" s="96">
        <v>79045</v>
      </c>
      <c r="C1980" s="96" t="s">
        <v>866</v>
      </c>
      <c r="D1980" s="96" t="s">
        <v>418</v>
      </c>
      <c r="E1980" s="96" t="s">
        <v>623</v>
      </c>
      <c r="F1980" s="96" t="s">
        <v>624</v>
      </c>
      <c r="G1980" s="99">
        <v>1346</v>
      </c>
      <c r="H1980" s="97">
        <v>101.45096599999999</v>
      </c>
      <c r="I1980" s="98">
        <v>136553.00023599999</v>
      </c>
      <c r="J1980" s="97">
        <v>112.51809989</v>
      </c>
      <c r="K1980" s="98">
        <v>-14896.36221594</v>
      </c>
      <c r="L1980" s="99">
        <v>0</v>
      </c>
      <c r="M1980" s="98">
        <v>0</v>
      </c>
      <c r="N1980" s="99">
        <v>0</v>
      </c>
      <c r="O1980" s="98">
        <v>0</v>
      </c>
      <c r="P1980" s="99">
        <v>1346</v>
      </c>
      <c r="Q1980" s="98">
        <v>136553.00023599999</v>
      </c>
      <c r="R1980" s="96" t="s">
        <v>625</v>
      </c>
      <c r="S1980" s="96">
        <v>7414000005</v>
      </c>
      <c r="AA1980" s="131" t="s">
        <v>417</v>
      </c>
      <c r="AB1980" s="130">
        <v>5472331.0174799999</v>
      </c>
      <c r="AC1980" s="130">
        <v>5472331.0174799999</v>
      </c>
    </row>
    <row r="1981" spans="1:29" x14ac:dyDescent="0.25">
      <c r="A1981" t="str">
        <f t="shared" si="31"/>
        <v xml:space="preserve">79045GOBFED 341123       </v>
      </c>
      <c r="B1981" s="96">
        <v>79045</v>
      </c>
      <c r="C1981" s="96" t="s">
        <v>866</v>
      </c>
      <c r="D1981" s="96" t="s">
        <v>408</v>
      </c>
      <c r="E1981" s="96" t="s">
        <v>623</v>
      </c>
      <c r="F1981" s="96" t="s">
        <v>624</v>
      </c>
      <c r="G1981" s="99">
        <v>2349</v>
      </c>
      <c r="H1981" s="97">
        <v>89.643172000000007</v>
      </c>
      <c r="I1981" s="98">
        <v>210571.811028</v>
      </c>
      <c r="J1981" s="97">
        <v>108.47711812999999</v>
      </c>
      <c r="K1981" s="98">
        <v>-44240.939459369998</v>
      </c>
      <c r="L1981" s="99">
        <v>0</v>
      </c>
      <c r="M1981" s="98">
        <v>0</v>
      </c>
      <c r="N1981" s="99">
        <v>0</v>
      </c>
      <c r="O1981" s="98">
        <v>0</v>
      </c>
      <c r="P1981" s="99">
        <v>2349</v>
      </c>
      <c r="Q1981" s="98">
        <v>210571.811028</v>
      </c>
      <c r="R1981" s="96" t="s">
        <v>625</v>
      </c>
      <c r="S1981" s="96">
        <v>7414000005</v>
      </c>
      <c r="AA1981" s="131" t="s">
        <v>375</v>
      </c>
      <c r="AB1981" s="130">
        <v>390972.18203999999</v>
      </c>
      <c r="AC1981" s="130">
        <v>390972.18203999999</v>
      </c>
    </row>
    <row r="1982" spans="1:29" x14ac:dyDescent="0.25">
      <c r="A1982" t="str">
        <f t="shared" si="31"/>
        <v xml:space="preserve">79045GOBFED 361120       </v>
      </c>
      <c r="B1982" s="96">
        <v>79045</v>
      </c>
      <c r="C1982" s="96" t="s">
        <v>866</v>
      </c>
      <c r="D1982" s="96" t="s">
        <v>384</v>
      </c>
      <c r="E1982" s="96" t="s">
        <v>623</v>
      </c>
      <c r="F1982" s="96" t="s">
        <v>624</v>
      </c>
      <c r="G1982" s="99">
        <v>35416</v>
      </c>
      <c r="H1982" s="97">
        <v>81.738860000000003</v>
      </c>
      <c r="I1982" s="98">
        <v>2894863.4657600001</v>
      </c>
      <c r="J1982" s="97">
        <v>86.036916747858598</v>
      </c>
      <c r="K1982" s="98">
        <v>-152219.97778215999</v>
      </c>
      <c r="L1982" s="99">
        <v>0</v>
      </c>
      <c r="M1982" s="98">
        <v>0</v>
      </c>
      <c r="N1982" s="99">
        <v>0</v>
      </c>
      <c r="O1982" s="98">
        <v>0</v>
      </c>
      <c r="P1982" s="99">
        <v>35416</v>
      </c>
      <c r="Q1982" s="98">
        <v>2894863.4657600001</v>
      </c>
      <c r="R1982" s="96" t="s">
        <v>625</v>
      </c>
      <c r="S1982" s="96">
        <v>7414000005</v>
      </c>
      <c r="AA1982" s="131" t="s">
        <v>399</v>
      </c>
      <c r="AB1982" s="130">
        <v>2227671.0878960001</v>
      </c>
      <c r="AC1982" s="130">
        <v>2227671.0878960001</v>
      </c>
    </row>
    <row r="1983" spans="1:29" x14ac:dyDescent="0.25">
      <c r="A1983" t="str">
        <f t="shared" si="31"/>
        <v xml:space="preserve">79045GOBFED 381118       </v>
      </c>
      <c r="B1983" s="96">
        <v>79045</v>
      </c>
      <c r="C1983" s="96" t="s">
        <v>866</v>
      </c>
      <c r="D1983" s="96" t="s">
        <v>385</v>
      </c>
      <c r="E1983" s="96" t="s">
        <v>623</v>
      </c>
      <c r="F1983" s="96" t="s">
        <v>624</v>
      </c>
      <c r="G1983" s="99">
        <v>4925</v>
      </c>
      <c r="H1983" s="97">
        <v>83.200761</v>
      </c>
      <c r="I1983" s="98">
        <v>409763.74792499997</v>
      </c>
      <c r="J1983" s="97">
        <v>94.413862603664981</v>
      </c>
      <c r="K1983" s="98">
        <v>-55224.525398049998</v>
      </c>
      <c r="L1983" s="99">
        <v>0</v>
      </c>
      <c r="M1983" s="98">
        <v>0</v>
      </c>
      <c r="N1983" s="99">
        <v>0</v>
      </c>
      <c r="O1983" s="98">
        <v>0</v>
      </c>
      <c r="P1983" s="99">
        <v>4925</v>
      </c>
      <c r="Q1983" s="98">
        <v>409763.74792499997</v>
      </c>
      <c r="R1983" s="96" t="s">
        <v>625</v>
      </c>
      <c r="S1983" s="96">
        <v>7414000005</v>
      </c>
      <c r="AA1983" s="131" t="s">
        <v>429</v>
      </c>
      <c r="AB1983" s="130">
        <v>768381.41856000002</v>
      </c>
      <c r="AC1983" s="130">
        <v>768381.41856000002</v>
      </c>
    </row>
    <row r="1984" spans="1:29" x14ac:dyDescent="0.25">
      <c r="A1984" t="str">
        <f t="shared" si="31"/>
        <v xml:space="preserve">79045GOBFED 421113       </v>
      </c>
      <c r="B1984" s="96">
        <v>79045</v>
      </c>
      <c r="C1984" s="96" t="s">
        <v>866</v>
      </c>
      <c r="D1984" s="96" t="s">
        <v>386</v>
      </c>
      <c r="E1984" s="96" t="s">
        <v>623</v>
      </c>
      <c r="F1984" s="96" t="s">
        <v>624</v>
      </c>
      <c r="G1984" s="99">
        <v>15299</v>
      </c>
      <c r="H1984" s="97">
        <v>82.159907000000004</v>
      </c>
      <c r="I1984" s="98">
        <v>1256964.417193</v>
      </c>
      <c r="J1984" s="97">
        <v>83.901439880585656</v>
      </c>
      <c r="K1984" s="98">
        <v>-26643.711540079999</v>
      </c>
      <c r="L1984" s="99">
        <v>0</v>
      </c>
      <c r="M1984" s="98">
        <v>0</v>
      </c>
      <c r="N1984" s="99">
        <v>0</v>
      </c>
      <c r="O1984" s="98">
        <v>0</v>
      </c>
      <c r="P1984" s="99">
        <v>15299</v>
      </c>
      <c r="Q1984" s="98">
        <v>1256964.417193</v>
      </c>
      <c r="R1984" s="96" t="s">
        <v>625</v>
      </c>
      <c r="S1984" s="96">
        <v>7414000005</v>
      </c>
      <c r="AA1984" s="131" t="s">
        <v>394</v>
      </c>
      <c r="AB1984" s="130">
        <v>3592928.522868</v>
      </c>
      <c r="AC1984" s="130">
        <v>3592928.522868</v>
      </c>
    </row>
    <row r="1985" spans="1:29" x14ac:dyDescent="0.25">
      <c r="A1985" t="str">
        <f t="shared" si="31"/>
        <v xml:space="preserve">79045GOBFED 471107       </v>
      </c>
      <c r="B1985" s="96">
        <v>79045</v>
      </c>
      <c r="C1985" s="96" t="s">
        <v>866</v>
      </c>
      <c r="D1985" s="96" t="s">
        <v>429</v>
      </c>
      <c r="E1985" s="96" t="s">
        <v>623</v>
      </c>
      <c r="F1985" s="96" t="s">
        <v>624</v>
      </c>
      <c r="G1985" s="99">
        <v>39</v>
      </c>
      <c r="H1985" s="97">
        <v>98.007834000000003</v>
      </c>
      <c r="I1985" s="98">
        <v>3822.3055260000001</v>
      </c>
      <c r="J1985" s="97">
        <v>93.280048030000003</v>
      </c>
      <c r="K1985" s="98">
        <v>184.38365282999999</v>
      </c>
      <c r="L1985" s="99">
        <v>0</v>
      </c>
      <c r="M1985" s="98">
        <v>0</v>
      </c>
      <c r="N1985" s="99">
        <v>0</v>
      </c>
      <c r="O1985" s="98">
        <v>0</v>
      </c>
      <c r="P1985" s="99">
        <v>39</v>
      </c>
      <c r="Q1985" s="98">
        <v>3822.3055260000001</v>
      </c>
      <c r="R1985" s="96" t="s">
        <v>625</v>
      </c>
      <c r="S1985" s="96">
        <v>7414000005</v>
      </c>
      <c r="AA1985" s="131" t="s">
        <v>379</v>
      </c>
      <c r="AB1985" s="130">
        <v>815756.637231</v>
      </c>
      <c r="AC1985" s="130">
        <v>815756.637231</v>
      </c>
    </row>
    <row r="1986" spans="1:29" x14ac:dyDescent="0.25">
      <c r="A1986" t="str">
        <f t="shared" si="31"/>
        <v xml:space="preserve">79045GOBFED 530731       </v>
      </c>
      <c r="B1986" s="96">
        <v>79045</v>
      </c>
      <c r="C1986" s="96" t="s">
        <v>866</v>
      </c>
      <c r="D1986" s="96" t="s">
        <v>389</v>
      </c>
      <c r="E1986" s="96" t="s">
        <v>623</v>
      </c>
      <c r="F1986" s="96" t="s">
        <v>624</v>
      </c>
      <c r="G1986" s="99">
        <v>183266</v>
      </c>
      <c r="H1986" s="97">
        <v>3.3967719999999999</v>
      </c>
      <c r="I1986" s="98">
        <v>622512.81735200004</v>
      </c>
      <c r="J1986" s="97">
        <v>3.3772509903637338</v>
      </c>
      <c r="K1986" s="98">
        <v>3577.5373519999998</v>
      </c>
      <c r="L1986" s="99">
        <v>0</v>
      </c>
      <c r="M1986" s="98">
        <v>0</v>
      </c>
      <c r="N1986" s="99">
        <v>0</v>
      </c>
      <c r="O1986" s="98">
        <v>0</v>
      </c>
      <c r="P1986" s="99">
        <v>183266</v>
      </c>
      <c r="Q1986" s="98">
        <v>622512.81735200004</v>
      </c>
      <c r="R1986" s="96" t="s">
        <v>625</v>
      </c>
      <c r="S1986" s="96">
        <v>7414000005</v>
      </c>
      <c r="AA1986" s="131" t="s">
        <v>377</v>
      </c>
      <c r="AB1986" s="130">
        <v>932446.35724599997</v>
      </c>
      <c r="AC1986" s="130">
        <v>932446.35724599997</v>
      </c>
    </row>
    <row r="1987" spans="1:29" x14ac:dyDescent="0.25">
      <c r="A1987" t="str">
        <f t="shared" si="31"/>
        <v xml:space="preserve">79045PEMEX 13-2          </v>
      </c>
      <c r="B1987" s="96">
        <v>79045</v>
      </c>
      <c r="C1987" s="96" t="s">
        <v>866</v>
      </c>
      <c r="D1987" s="96" t="s">
        <v>391</v>
      </c>
      <c r="E1987" s="96" t="s">
        <v>623</v>
      </c>
      <c r="F1987" s="96" t="s">
        <v>624</v>
      </c>
      <c r="G1987" s="99">
        <v>355</v>
      </c>
      <c r="H1987" s="97">
        <v>775.69178699999998</v>
      </c>
      <c r="I1987" s="98">
        <v>275370.58438499999</v>
      </c>
      <c r="J1987" s="97">
        <v>766.69784126000002</v>
      </c>
      <c r="K1987" s="98">
        <v>3192.8507377000001</v>
      </c>
      <c r="L1987" s="99">
        <v>0</v>
      </c>
      <c r="M1987" s="98">
        <v>0</v>
      </c>
      <c r="N1987" s="99">
        <v>0</v>
      </c>
      <c r="O1987" s="98">
        <v>0</v>
      </c>
      <c r="P1987" s="99">
        <v>355</v>
      </c>
      <c r="Q1987" s="98">
        <v>275370.58438499999</v>
      </c>
      <c r="R1987" s="96" t="s">
        <v>625</v>
      </c>
      <c r="S1987" s="96">
        <v>7414000005</v>
      </c>
      <c r="AA1987" s="131" t="s">
        <v>392</v>
      </c>
      <c r="AB1987" s="130">
        <v>851783.41248000006</v>
      </c>
      <c r="AC1987" s="130">
        <v>851783.41248000006</v>
      </c>
    </row>
    <row r="1988" spans="1:29" x14ac:dyDescent="0.25">
      <c r="A1988" t="str">
        <f t="shared" si="31"/>
        <v xml:space="preserve">79045STERGOB ED          </v>
      </c>
      <c r="B1988" s="96">
        <v>79045</v>
      </c>
      <c r="C1988" s="96" t="s">
        <v>866</v>
      </c>
      <c r="D1988" s="96" t="s">
        <v>392</v>
      </c>
      <c r="E1988" s="96" t="s">
        <v>623</v>
      </c>
      <c r="F1988" s="96" t="s">
        <v>624</v>
      </c>
      <c r="G1988" s="99">
        <v>2720</v>
      </c>
      <c r="H1988" s="97">
        <v>747.17843200000004</v>
      </c>
      <c r="I1988" s="98">
        <v>2032325.33504</v>
      </c>
      <c r="J1988" s="97">
        <v>730.88430605281246</v>
      </c>
      <c r="K1988" s="98">
        <v>44320.022576349998</v>
      </c>
      <c r="L1988" s="99">
        <v>0</v>
      </c>
      <c r="M1988" s="98">
        <v>0</v>
      </c>
      <c r="N1988" s="99">
        <v>0</v>
      </c>
      <c r="O1988" s="98">
        <v>0</v>
      </c>
      <c r="P1988" s="99">
        <v>2720</v>
      </c>
      <c r="Q1988" s="98">
        <v>2032325.33504</v>
      </c>
      <c r="R1988" s="96" t="s">
        <v>625</v>
      </c>
      <c r="S1988" s="96">
        <v>7414000005</v>
      </c>
      <c r="AA1988" s="131" t="s">
        <v>386</v>
      </c>
      <c r="AB1988" s="130">
        <v>1430239.661056</v>
      </c>
      <c r="AC1988" s="130">
        <v>1430239.661056</v>
      </c>
    </row>
    <row r="1989" spans="1:29" x14ac:dyDescent="0.25">
      <c r="A1989" t="str">
        <f t="shared" si="31"/>
        <v xml:space="preserve">79045UDIBONO 251204      </v>
      </c>
      <c r="B1989" s="96">
        <v>79045</v>
      </c>
      <c r="C1989" s="96" t="s">
        <v>866</v>
      </c>
      <c r="D1989" s="96" t="s">
        <v>393</v>
      </c>
      <c r="E1989" s="96" t="s">
        <v>623</v>
      </c>
      <c r="F1989" s="96" t="s">
        <v>624</v>
      </c>
      <c r="G1989" s="99">
        <v>2426</v>
      </c>
      <c r="H1989" s="97">
        <v>765.92388300000005</v>
      </c>
      <c r="I1989" s="98">
        <v>1858131.3401579999</v>
      </c>
      <c r="J1989" s="97">
        <v>748.91547549314919</v>
      </c>
      <c r="K1989" s="98">
        <v>41262.396611620003</v>
      </c>
      <c r="L1989" s="99">
        <v>0</v>
      </c>
      <c r="M1989" s="98">
        <v>0</v>
      </c>
      <c r="N1989" s="99">
        <v>0</v>
      </c>
      <c r="O1989" s="98">
        <v>0</v>
      </c>
      <c r="P1989" s="99">
        <v>2426</v>
      </c>
      <c r="Q1989" s="98">
        <v>1858131.3401579999</v>
      </c>
      <c r="R1989" s="96" t="s">
        <v>625</v>
      </c>
      <c r="S1989" s="96">
        <v>7414000005</v>
      </c>
      <c r="AA1989" s="131" t="s">
        <v>363</v>
      </c>
      <c r="AB1989" s="130">
        <v>1113037.750708</v>
      </c>
      <c r="AC1989" s="130">
        <v>1113037.750708</v>
      </c>
    </row>
    <row r="1990" spans="1:29" x14ac:dyDescent="0.25">
      <c r="A1990" t="str">
        <f t="shared" si="31"/>
        <v xml:space="preserve">79045UDIBONO 261203      </v>
      </c>
      <c r="B1990" s="96">
        <v>79045</v>
      </c>
      <c r="C1990" s="96" t="s">
        <v>866</v>
      </c>
      <c r="D1990" s="96" t="s">
        <v>394</v>
      </c>
      <c r="E1990" s="96" t="s">
        <v>623</v>
      </c>
      <c r="F1990" s="96" t="s">
        <v>624</v>
      </c>
      <c r="G1990" s="99">
        <v>5019</v>
      </c>
      <c r="H1990" s="97">
        <v>684.88915799999995</v>
      </c>
      <c r="I1990" s="98">
        <v>3437458.6840019999</v>
      </c>
      <c r="J1990" s="97">
        <v>677.58278405570832</v>
      </c>
      <c r="K1990" s="98">
        <v>36670.690826400001</v>
      </c>
      <c r="L1990" s="99">
        <v>0</v>
      </c>
      <c r="M1990" s="98">
        <v>0</v>
      </c>
      <c r="N1990" s="99">
        <v>0</v>
      </c>
      <c r="O1990" s="98">
        <v>0</v>
      </c>
      <c r="P1990" s="99">
        <v>5019</v>
      </c>
      <c r="Q1990" s="98">
        <v>3437458.6840019999</v>
      </c>
      <c r="R1990" s="96" t="s">
        <v>625</v>
      </c>
      <c r="S1990" s="96">
        <v>7414000005</v>
      </c>
      <c r="AA1990" s="131" t="s">
        <v>409</v>
      </c>
      <c r="AB1990" s="130">
        <v>1491398.0127300001</v>
      </c>
      <c r="AC1990" s="130">
        <v>1491398.0127300001</v>
      </c>
    </row>
    <row r="1991" spans="1:29" x14ac:dyDescent="0.25">
      <c r="A1991" t="str">
        <f t="shared" ref="A1991:A2054" si="32">B1989&amp;D1989</f>
        <v xml:space="preserve">79045UDIBONO 281130      </v>
      </c>
      <c r="B1991" s="96">
        <v>79045</v>
      </c>
      <c r="C1991" s="96" t="s">
        <v>866</v>
      </c>
      <c r="D1991" s="96" t="s">
        <v>395</v>
      </c>
      <c r="E1991" s="96" t="s">
        <v>623</v>
      </c>
      <c r="F1991" s="96" t="s">
        <v>624</v>
      </c>
      <c r="G1991" s="99">
        <v>2824</v>
      </c>
      <c r="H1991" s="97">
        <v>772.926965</v>
      </c>
      <c r="I1991" s="98">
        <v>2182745.7491600001</v>
      </c>
      <c r="J1991" s="97">
        <v>780.99044725911119</v>
      </c>
      <c r="K1991" s="98">
        <v>-22771.27389973</v>
      </c>
      <c r="L1991" s="99">
        <v>0</v>
      </c>
      <c r="M1991" s="98">
        <v>0</v>
      </c>
      <c r="N1991" s="99">
        <v>0</v>
      </c>
      <c r="O1991" s="98">
        <v>0</v>
      </c>
      <c r="P1991" s="99">
        <v>2824</v>
      </c>
      <c r="Q1991" s="98">
        <v>2182745.7491600001</v>
      </c>
      <c r="R1991" s="96" t="s">
        <v>625</v>
      </c>
      <c r="S1991" s="96">
        <v>7414000005</v>
      </c>
      <c r="AA1991" s="131" t="s">
        <v>383</v>
      </c>
      <c r="AB1991" s="130">
        <v>549937.67663999996</v>
      </c>
      <c r="AC1991" s="130">
        <v>549937.67663999996</v>
      </c>
    </row>
    <row r="1992" spans="1:29" x14ac:dyDescent="0.25">
      <c r="A1992" t="str">
        <f t="shared" si="32"/>
        <v xml:space="preserve">79045UDIBONO 311127      </v>
      </c>
      <c r="B1992" s="96">
        <v>79045</v>
      </c>
      <c r="C1992" s="96" t="s">
        <v>866</v>
      </c>
      <c r="D1992" s="96" t="s">
        <v>396</v>
      </c>
      <c r="E1992" s="96" t="s">
        <v>623</v>
      </c>
      <c r="F1992" s="96" t="s">
        <v>624</v>
      </c>
      <c r="G1992" s="99">
        <v>3330</v>
      </c>
      <c r="H1992" s="97">
        <v>721.59464000000003</v>
      </c>
      <c r="I1992" s="98">
        <v>2402910.1512000002</v>
      </c>
      <c r="J1992" s="97">
        <v>766.83795300300903</v>
      </c>
      <c r="K1992" s="98">
        <v>-150660.23230002</v>
      </c>
      <c r="L1992" s="99">
        <v>0</v>
      </c>
      <c r="M1992" s="98">
        <v>0</v>
      </c>
      <c r="N1992" s="99">
        <v>0</v>
      </c>
      <c r="O1992" s="98">
        <v>0</v>
      </c>
      <c r="P1992" s="99">
        <v>3330</v>
      </c>
      <c r="Q1992" s="98">
        <v>2402910.1512000002</v>
      </c>
      <c r="R1992" s="96" t="s">
        <v>625</v>
      </c>
      <c r="S1992" s="96">
        <v>7414000005</v>
      </c>
      <c r="AA1992" s="131" t="s">
        <v>364</v>
      </c>
      <c r="AB1992" s="130">
        <v>1885540.4082899999</v>
      </c>
      <c r="AC1992" s="130">
        <v>1885540.4082899999</v>
      </c>
    </row>
    <row r="1993" spans="1:29" x14ac:dyDescent="0.25">
      <c r="A1993" t="str">
        <f t="shared" si="32"/>
        <v xml:space="preserve">79045UDIBONO 351122      </v>
      </c>
      <c r="B1993" s="96">
        <v>79045</v>
      </c>
      <c r="C1993" s="96" t="s">
        <v>866</v>
      </c>
      <c r="D1993" s="96" t="s">
        <v>397</v>
      </c>
      <c r="E1993" s="96" t="s">
        <v>623</v>
      </c>
      <c r="F1993" s="96" t="s">
        <v>624</v>
      </c>
      <c r="G1993" s="99">
        <v>1182</v>
      </c>
      <c r="H1993" s="97">
        <v>635.96311900000001</v>
      </c>
      <c r="I1993" s="98">
        <v>751708.40665799996</v>
      </c>
      <c r="J1993" s="97">
        <v>647.93802047999998</v>
      </c>
      <c r="K1993" s="98">
        <v>-14154.333549360001</v>
      </c>
      <c r="L1993" s="99">
        <v>0</v>
      </c>
      <c r="M1993" s="98">
        <v>0</v>
      </c>
      <c r="N1993" s="99">
        <v>0</v>
      </c>
      <c r="O1993" s="98">
        <v>0</v>
      </c>
      <c r="P1993" s="99">
        <v>1182</v>
      </c>
      <c r="Q1993" s="98">
        <v>751708.40665799996</v>
      </c>
      <c r="R1993" s="96" t="s">
        <v>625</v>
      </c>
      <c r="S1993" s="96">
        <v>7414000005</v>
      </c>
      <c r="AA1993" s="131" t="s">
        <v>397</v>
      </c>
      <c r="AB1993" s="130">
        <v>330700.82188</v>
      </c>
      <c r="AC1993" s="130">
        <v>330700.82188</v>
      </c>
    </row>
    <row r="1994" spans="1:29" x14ac:dyDescent="0.25">
      <c r="A1994" t="str">
        <f t="shared" si="32"/>
        <v xml:space="preserve">79045UDIBONO 401115      </v>
      </c>
      <c r="B1994" s="96">
        <v>79045</v>
      </c>
      <c r="C1994" s="96" t="s">
        <v>866</v>
      </c>
      <c r="D1994" s="96" t="s">
        <v>398</v>
      </c>
      <c r="E1994" s="96" t="s">
        <v>623</v>
      </c>
      <c r="F1994" s="96" t="s">
        <v>624</v>
      </c>
      <c r="G1994" s="99">
        <v>1011</v>
      </c>
      <c r="H1994" s="97">
        <v>709.36974099999998</v>
      </c>
      <c r="I1994" s="98">
        <v>717172.80815099995</v>
      </c>
      <c r="J1994" s="97">
        <v>760.47954784557862</v>
      </c>
      <c r="K1994" s="98">
        <v>-51672.014720879997</v>
      </c>
      <c r="L1994" s="99">
        <v>0</v>
      </c>
      <c r="M1994" s="98">
        <v>0</v>
      </c>
      <c r="N1994" s="99">
        <v>0</v>
      </c>
      <c r="O1994" s="98">
        <v>0</v>
      </c>
      <c r="P1994" s="99">
        <v>1011</v>
      </c>
      <c r="Q1994" s="98">
        <v>717172.80815099995</v>
      </c>
      <c r="R1994" s="96" t="s">
        <v>625</v>
      </c>
      <c r="S1994" s="96">
        <v>7414000005</v>
      </c>
      <c r="AA1994" s="131" t="s">
        <v>507</v>
      </c>
      <c r="AB1994" s="130">
        <v>548314.89104000002</v>
      </c>
      <c r="AC1994" s="130">
        <v>548314.89104000002</v>
      </c>
    </row>
    <row r="1995" spans="1:29" x14ac:dyDescent="0.25">
      <c r="A1995" t="str">
        <f t="shared" si="32"/>
        <v xml:space="preserve">79045UDIBONO 431112      </v>
      </c>
      <c r="B1995" s="96">
        <v>79045</v>
      </c>
      <c r="C1995" s="96" t="s">
        <v>866</v>
      </c>
      <c r="D1995" s="96" t="s">
        <v>399</v>
      </c>
      <c r="E1995" s="96" t="s">
        <v>623</v>
      </c>
      <c r="F1995" s="96" t="s">
        <v>624</v>
      </c>
      <c r="G1995" s="99">
        <v>5255</v>
      </c>
      <c r="H1995" s="97">
        <v>694.41118700000004</v>
      </c>
      <c r="I1995" s="98">
        <v>3649130.7876849999</v>
      </c>
      <c r="J1995" s="97">
        <v>745.80046417109804</v>
      </c>
      <c r="K1995" s="98">
        <v>-270050.65153412003</v>
      </c>
      <c r="L1995" s="99">
        <v>0</v>
      </c>
      <c r="M1995" s="98">
        <v>0</v>
      </c>
      <c r="N1995" s="99">
        <v>0</v>
      </c>
      <c r="O1995" s="98">
        <v>0</v>
      </c>
      <c r="P1995" s="99">
        <v>5255</v>
      </c>
      <c r="Q1995" s="98">
        <v>3649130.7876849999</v>
      </c>
      <c r="R1995" s="96" t="s">
        <v>625</v>
      </c>
      <c r="S1995" s="96">
        <v>7414000005</v>
      </c>
      <c r="AA1995" s="131" t="s">
        <v>554</v>
      </c>
      <c r="AB1995" s="130">
        <v>472708.19640000002</v>
      </c>
      <c r="AC1995" s="130">
        <v>472708.19640000002</v>
      </c>
    </row>
    <row r="1996" spans="1:29" x14ac:dyDescent="0.25">
      <c r="A1996" t="str">
        <f t="shared" si="32"/>
        <v xml:space="preserve">79045UDIBONO 461108      </v>
      </c>
      <c r="B1996" s="96">
        <v>79046</v>
      </c>
      <c r="C1996" s="96" t="s">
        <v>867</v>
      </c>
      <c r="D1996" s="96" t="s">
        <v>376</v>
      </c>
      <c r="E1996" s="96" t="s">
        <v>623</v>
      </c>
      <c r="F1996" s="96" t="s">
        <v>624</v>
      </c>
      <c r="G1996" s="99">
        <v>0</v>
      </c>
      <c r="H1996" s="97">
        <v>0</v>
      </c>
      <c r="I1996" s="98">
        <v>0</v>
      </c>
      <c r="J1996" s="97">
        <v>0</v>
      </c>
      <c r="K1996" s="98">
        <v>0</v>
      </c>
      <c r="L1996" s="99">
        <v>0</v>
      </c>
      <c r="M1996" s="98">
        <v>0</v>
      </c>
      <c r="N1996" s="99">
        <v>0</v>
      </c>
      <c r="O1996" s="98">
        <v>0</v>
      </c>
      <c r="P1996" s="99">
        <v>0</v>
      </c>
      <c r="Q1996" s="98">
        <v>0</v>
      </c>
      <c r="R1996" s="96" t="s">
        <v>625</v>
      </c>
      <c r="S1996" s="96">
        <v>7414000005</v>
      </c>
      <c r="AA1996" s="131" t="s">
        <v>613</v>
      </c>
      <c r="AB1996" s="130">
        <v>950090.37824999995</v>
      </c>
      <c r="AC1996" s="130">
        <v>950090.37824999995</v>
      </c>
    </row>
    <row r="1997" spans="1:29" x14ac:dyDescent="0.25">
      <c r="A1997" t="str">
        <f t="shared" si="32"/>
        <v xml:space="preserve">79045UDIBONO 501103      </v>
      </c>
      <c r="B1997" s="96">
        <v>79046</v>
      </c>
      <c r="C1997" s="96" t="s">
        <v>867</v>
      </c>
      <c r="D1997" s="96" t="s">
        <v>382</v>
      </c>
      <c r="E1997" s="96" t="s">
        <v>623</v>
      </c>
      <c r="F1997" s="96" t="s">
        <v>624</v>
      </c>
      <c r="G1997" s="99">
        <v>0</v>
      </c>
      <c r="H1997" s="97">
        <v>0</v>
      </c>
      <c r="I1997" s="98">
        <v>0</v>
      </c>
      <c r="J1997" s="97">
        <v>0</v>
      </c>
      <c r="K1997" s="98">
        <v>0</v>
      </c>
      <c r="L1997" s="99">
        <v>0</v>
      </c>
      <c r="M1997" s="98">
        <v>0</v>
      </c>
      <c r="N1997" s="99">
        <v>0</v>
      </c>
      <c r="O1997" s="98">
        <v>0</v>
      </c>
      <c r="P1997" s="99">
        <v>0</v>
      </c>
      <c r="Q1997" s="98">
        <v>0</v>
      </c>
      <c r="R1997" s="96" t="s">
        <v>625</v>
      </c>
      <c r="S1997" s="96">
        <v>7414000005</v>
      </c>
      <c r="AA1997" s="129">
        <v>1036529</v>
      </c>
      <c r="AB1997" s="130">
        <v>12520465.63951</v>
      </c>
      <c r="AC1997" s="130">
        <v>12520465.63951</v>
      </c>
    </row>
    <row r="1998" spans="1:29" x14ac:dyDescent="0.25">
      <c r="A1998" t="str">
        <f t="shared" si="32"/>
        <v xml:space="preserve">79046GOBFED 241205       </v>
      </c>
      <c r="B1998" s="96">
        <v>79046</v>
      </c>
      <c r="C1998" s="96" t="s">
        <v>867</v>
      </c>
      <c r="D1998" s="96" t="s">
        <v>396</v>
      </c>
      <c r="E1998" s="96" t="s">
        <v>623</v>
      </c>
      <c r="F1998" s="96" t="s">
        <v>624</v>
      </c>
      <c r="G1998" s="99">
        <v>0</v>
      </c>
      <c r="H1998" s="97">
        <v>0</v>
      </c>
      <c r="I1998" s="98">
        <v>0</v>
      </c>
      <c r="J1998" s="97">
        <v>0</v>
      </c>
      <c r="K1998" s="98">
        <v>0</v>
      </c>
      <c r="L1998" s="99">
        <v>0</v>
      </c>
      <c r="M1998" s="98">
        <v>0</v>
      </c>
      <c r="N1998" s="99">
        <v>0</v>
      </c>
      <c r="O1998" s="98">
        <v>0</v>
      </c>
      <c r="P1998" s="99">
        <v>0</v>
      </c>
      <c r="Q1998" s="98">
        <v>0</v>
      </c>
      <c r="R1998" s="96" t="s">
        <v>625</v>
      </c>
      <c r="S1998" s="96">
        <v>7414000005</v>
      </c>
      <c r="AA1998" s="131" t="s">
        <v>389</v>
      </c>
      <c r="AB1998" s="130">
        <v>430004.16102399997</v>
      </c>
      <c r="AC1998" s="130">
        <v>430004.16102399997</v>
      </c>
    </row>
    <row r="1999" spans="1:29" x14ac:dyDescent="0.25">
      <c r="A1999" t="str">
        <f t="shared" si="32"/>
        <v xml:space="preserve">79046GOBFED 310529       </v>
      </c>
      <c r="B1999" s="96">
        <v>80862</v>
      </c>
      <c r="C1999" s="96" t="s">
        <v>868</v>
      </c>
      <c r="D1999" s="96" t="s">
        <v>570</v>
      </c>
      <c r="E1999" s="96" t="s">
        <v>623</v>
      </c>
      <c r="F1999" s="96" t="s">
        <v>624</v>
      </c>
      <c r="G1999" s="99">
        <v>4500000</v>
      </c>
      <c r="H1999" s="97">
        <v>9.6141520000000007</v>
      </c>
      <c r="I1999" s="98">
        <v>43263684</v>
      </c>
      <c r="J1999" s="97">
        <v>9.0305956599999995</v>
      </c>
      <c r="K1999" s="98">
        <v>2626003.5299999998</v>
      </c>
      <c r="L1999" s="99">
        <v>0</v>
      </c>
      <c r="M1999" s="98">
        <v>0</v>
      </c>
      <c r="N1999" s="99">
        <v>0</v>
      </c>
      <c r="O1999" s="98">
        <v>0</v>
      </c>
      <c r="P1999" s="99">
        <v>4500000</v>
      </c>
      <c r="Q1999" s="98">
        <v>43263684</v>
      </c>
      <c r="R1999" s="96" t="s">
        <v>625</v>
      </c>
      <c r="S1999" s="96">
        <v>7414000005</v>
      </c>
      <c r="AA1999" s="131" t="s">
        <v>459</v>
      </c>
      <c r="AB1999" s="130">
        <v>12076563.384</v>
      </c>
      <c r="AC1999" s="130">
        <v>12076563.384</v>
      </c>
    </row>
    <row r="2000" spans="1:29" x14ac:dyDescent="0.25">
      <c r="A2000" t="str">
        <f t="shared" si="32"/>
        <v xml:space="preserve">79046UDIBONO 401115      </v>
      </c>
      <c r="B2000" s="96">
        <v>80862</v>
      </c>
      <c r="C2000" s="96" t="s">
        <v>868</v>
      </c>
      <c r="D2000" s="96" t="s">
        <v>363</v>
      </c>
      <c r="E2000" s="96" t="s">
        <v>623</v>
      </c>
      <c r="F2000" s="96" t="s">
        <v>624</v>
      </c>
      <c r="G2000" s="99">
        <v>85065</v>
      </c>
      <c r="H2000" s="97">
        <v>9.4935880000000008</v>
      </c>
      <c r="I2000" s="98">
        <v>807572.06322000001</v>
      </c>
      <c r="J2000" s="97">
        <v>8.2405490399999994</v>
      </c>
      <c r="K2000" s="98">
        <v>106589.75913239999</v>
      </c>
      <c r="L2000" s="99">
        <v>0</v>
      </c>
      <c r="M2000" s="98">
        <v>0</v>
      </c>
      <c r="N2000" s="99">
        <v>0</v>
      </c>
      <c r="O2000" s="98">
        <v>0</v>
      </c>
      <c r="P2000" s="99">
        <v>85065</v>
      </c>
      <c r="Q2000" s="98">
        <v>807572.06322000001</v>
      </c>
      <c r="R2000" s="96" t="s">
        <v>625</v>
      </c>
      <c r="S2000" s="96">
        <v>7414000005</v>
      </c>
      <c r="AA2000" s="131" t="s">
        <v>417</v>
      </c>
      <c r="AB2000" s="130">
        <v>13898.094486</v>
      </c>
      <c r="AC2000" s="130">
        <v>13898.094486</v>
      </c>
    </row>
    <row r="2001" spans="1:29" x14ac:dyDescent="0.25">
      <c r="A2001" t="str">
        <f t="shared" si="32"/>
        <v xml:space="preserve">80862CETES 240822        </v>
      </c>
      <c r="B2001" s="96">
        <v>80862</v>
      </c>
      <c r="C2001" s="96" t="s">
        <v>868</v>
      </c>
      <c r="D2001" s="96" t="s">
        <v>409</v>
      </c>
      <c r="E2001" s="96" t="s">
        <v>623</v>
      </c>
      <c r="F2001" s="96" t="s">
        <v>624</v>
      </c>
      <c r="G2001" s="99">
        <v>339672</v>
      </c>
      <c r="H2001" s="97">
        <v>9.3381629999999998</v>
      </c>
      <c r="I2001" s="98">
        <v>3171912.5025360002</v>
      </c>
      <c r="J2001" s="97">
        <v>8.3163347003177179</v>
      </c>
      <c r="K2001" s="98">
        <v>347086.46220968</v>
      </c>
      <c r="L2001" s="99">
        <v>0</v>
      </c>
      <c r="M2001" s="98">
        <v>0</v>
      </c>
      <c r="N2001" s="99">
        <v>0</v>
      </c>
      <c r="O2001" s="98">
        <v>0</v>
      </c>
      <c r="P2001" s="99">
        <v>339672</v>
      </c>
      <c r="Q2001" s="98">
        <v>3171912.5025360002</v>
      </c>
      <c r="R2001" s="96" t="s">
        <v>625</v>
      </c>
      <c r="S2001" s="96">
        <v>7414000005</v>
      </c>
      <c r="AA2001" s="129">
        <v>1036530</v>
      </c>
      <c r="AB2001" s="130">
        <v>13382850.821404001</v>
      </c>
      <c r="AC2001" s="130">
        <v>13382850.821404001</v>
      </c>
    </row>
    <row r="2002" spans="1:29" x14ac:dyDescent="0.25">
      <c r="A2002" t="str">
        <f t="shared" si="32"/>
        <v xml:space="preserve">80862CETES 241003        </v>
      </c>
      <c r="B2002" s="96">
        <v>80862</v>
      </c>
      <c r="C2002" s="96" t="s">
        <v>868</v>
      </c>
      <c r="D2002" s="96" t="s">
        <v>364</v>
      </c>
      <c r="E2002" s="96" t="s">
        <v>623</v>
      </c>
      <c r="F2002" s="96" t="s">
        <v>624</v>
      </c>
      <c r="G2002" s="99">
        <v>396010</v>
      </c>
      <c r="H2002" s="97">
        <v>9.190137</v>
      </c>
      <c r="I2002" s="98">
        <v>3639386.15337</v>
      </c>
      <c r="J2002" s="97">
        <v>8.2169445233590057</v>
      </c>
      <c r="K2002" s="98">
        <v>385393.9526746</v>
      </c>
      <c r="L2002" s="99">
        <v>0</v>
      </c>
      <c r="M2002" s="98">
        <v>0</v>
      </c>
      <c r="N2002" s="99">
        <v>0</v>
      </c>
      <c r="O2002" s="98">
        <v>0</v>
      </c>
      <c r="P2002" s="99">
        <v>396010</v>
      </c>
      <c r="Q2002" s="98">
        <v>3639386.15337</v>
      </c>
      <c r="R2002" s="96" t="s">
        <v>625</v>
      </c>
      <c r="S2002" s="96">
        <v>7414000005</v>
      </c>
      <c r="AA2002" s="131" t="s">
        <v>389</v>
      </c>
      <c r="AB2002" s="130">
        <v>499349.26140399999</v>
      </c>
      <c r="AC2002" s="130">
        <v>499349.26140399999</v>
      </c>
    </row>
    <row r="2003" spans="1:29" x14ac:dyDescent="0.25">
      <c r="A2003" t="str">
        <f t="shared" si="32"/>
        <v xml:space="preserve">80862CETES 241128        </v>
      </c>
      <c r="B2003" s="96">
        <v>80862</v>
      </c>
      <c r="C2003" s="96" t="s">
        <v>868</v>
      </c>
      <c r="D2003" s="96" t="s">
        <v>649</v>
      </c>
      <c r="E2003" s="96" t="s">
        <v>623</v>
      </c>
      <c r="F2003" s="96" t="s">
        <v>624</v>
      </c>
      <c r="G2003" s="99">
        <v>95990</v>
      </c>
      <c r="H2003" s="97">
        <v>9.0112480000000001</v>
      </c>
      <c r="I2003" s="98">
        <v>864989.69551999995</v>
      </c>
      <c r="J2003" s="97">
        <v>8.9969798000000001</v>
      </c>
      <c r="K2003" s="98">
        <v>1369.6045180000001</v>
      </c>
      <c r="L2003" s="99">
        <v>0</v>
      </c>
      <c r="M2003" s="98">
        <v>0</v>
      </c>
      <c r="N2003" s="99">
        <v>0</v>
      </c>
      <c r="O2003" s="98">
        <v>0</v>
      </c>
      <c r="P2003" s="99">
        <v>95990</v>
      </c>
      <c r="Q2003" s="98">
        <v>864989.69551999995</v>
      </c>
      <c r="R2003" s="96" t="s">
        <v>625</v>
      </c>
      <c r="S2003" s="96">
        <v>7414000005</v>
      </c>
      <c r="AA2003" s="131" t="s">
        <v>459</v>
      </c>
      <c r="AB2003" s="130">
        <v>12883501.560000001</v>
      </c>
      <c r="AC2003" s="130">
        <v>12883501.560000001</v>
      </c>
    </row>
    <row r="2004" spans="1:29" x14ac:dyDescent="0.25">
      <c r="A2004" t="str">
        <f t="shared" si="32"/>
        <v xml:space="preserve">80862CETES 250123        </v>
      </c>
      <c r="B2004" s="96">
        <v>80862</v>
      </c>
      <c r="C2004" s="96" t="s">
        <v>868</v>
      </c>
      <c r="D2004" s="96" t="s">
        <v>613</v>
      </c>
      <c r="E2004" s="96" t="s">
        <v>623</v>
      </c>
      <c r="F2004" s="96" t="s">
        <v>624</v>
      </c>
      <c r="G2004" s="99">
        <v>178190</v>
      </c>
      <c r="H2004" s="97">
        <v>8.2580650000000002</v>
      </c>
      <c r="I2004" s="98">
        <v>1471504.6023500001</v>
      </c>
      <c r="J2004" s="97">
        <v>8.2501711100000001</v>
      </c>
      <c r="K2004" s="98">
        <v>1406.6122591000001</v>
      </c>
      <c r="L2004" s="99">
        <v>0</v>
      </c>
      <c r="M2004" s="98">
        <v>0</v>
      </c>
      <c r="N2004" s="99">
        <v>0</v>
      </c>
      <c r="O2004" s="98">
        <v>0</v>
      </c>
      <c r="P2004" s="99">
        <v>178190</v>
      </c>
      <c r="Q2004" s="98">
        <v>1471504.6023500001</v>
      </c>
      <c r="R2004" s="96" t="s">
        <v>625</v>
      </c>
      <c r="S2004" s="96">
        <v>7414000005</v>
      </c>
      <c r="AA2004" s="129">
        <v>65501285111</v>
      </c>
      <c r="AB2004" s="130">
        <v>32732470.33326</v>
      </c>
      <c r="AC2004" s="130">
        <v>32732470.33326</v>
      </c>
    </row>
    <row r="2005" spans="1:29" x14ac:dyDescent="0.25">
      <c r="A2005" t="str">
        <f t="shared" si="32"/>
        <v xml:space="preserve">80862CETES 250403        </v>
      </c>
      <c r="B2005" s="96">
        <v>80862</v>
      </c>
      <c r="C2005" s="96" t="s">
        <v>868</v>
      </c>
      <c r="D2005" s="96" t="s">
        <v>389</v>
      </c>
      <c r="E2005" s="96" t="s">
        <v>623</v>
      </c>
      <c r="F2005" s="96" t="s">
        <v>624</v>
      </c>
      <c r="G2005" s="99">
        <v>3475671</v>
      </c>
      <c r="H2005" s="97">
        <v>3.3967719999999999</v>
      </c>
      <c r="I2005" s="98">
        <v>11806061.934012</v>
      </c>
      <c r="J2005" s="97">
        <v>3.3610751650544599</v>
      </c>
      <c r="K2005" s="98">
        <v>124070.454012</v>
      </c>
      <c r="L2005" s="99">
        <v>0</v>
      </c>
      <c r="M2005" s="98">
        <v>0</v>
      </c>
      <c r="N2005" s="99">
        <v>0</v>
      </c>
      <c r="O2005" s="98">
        <v>0</v>
      </c>
      <c r="P2005" s="99">
        <v>3475671</v>
      </c>
      <c r="Q2005" s="98">
        <v>11806061.934012</v>
      </c>
      <c r="R2005" s="96" t="s">
        <v>625</v>
      </c>
      <c r="S2005" s="96">
        <v>7414000005</v>
      </c>
      <c r="AA2005" s="131" t="s">
        <v>389</v>
      </c>
      <c r="AB2005" s="130">
        <v>20404596.226459999</v>
      </c>
      <c r="AC2005" s="130">
        <v>20404596.226459999</v>
      </c>
    </row>
    <row r="2006" spans="1:29" x14ac:dyDescent="0.25">
      <c r="A2006" t="str">
        <f t="shared" si="32"/>
        <v xml:space="preserve">80862CETES 260219        </v>
      </c>
      <c r="B2006" s="91"/>
      <c r="C2006" s="91"/>
      <c r="D2006" s="91"/>
      <c r="E2006" s="91"/>
      <c r="F2006" s="91"/>
      <c r="G2006" s="92"/>
      <c r="H2006" s="93"/>
      <c r="I2006" s="94"/>
      <c r="J2006" s="93"/>
      <c r="K2006" s="94"/>
      <c r="L2006" s="92"/>
      <c r="M2006" s="94"/>
      <c r="N2006" s="92"/>
      <c r="O2006" s="94"/>
      <c r="P2006" s="92"/>
      <c r="Q2006" s="94"/>
      <c r="R2006" s="91"/>
      <c r="S2006" s="91"/>
      <c r="AA2006" s="131" t="s">
        <v>417</v>
      </c>
      <c r="AB2006" s="130">
        <v>3897574.7831620001</v>
      </c>
      <c r="AC2006" s="130">
        <v>3897574.7831620001</v>
      </c>
    </row>
    <row r="2007" spans="1:29" x14ac:dyDescent="0.25">
      <c r="A2007" t="str">
        <f t="shared" si="32"/>
        <v xml:space="preserve">80862STERGOB ED          </v>
      </c>
      <c r="B2007" s="91"/>
      <c r="C2007" s="91"/>
      <c r="D2007" s="91"/>
      <c r="E2007" s="91"/>
      <c r="F2007" s="91"/>
      <c r="G2007" s="92"/>
      <c r="H2007" s="93"/>
      <c r="I2007" s="94"/>
      <c r="J2007" s="93"/>
      <c r="K2007" s="94"/>
      <c r="L2007" s="92"/>
      <c r="M2007" s="94"/>
      <c r="N2007" s="92"/>
      <c r="O2007" s="94"/>
      <c r="P2007" s="92"/>
      <c r="Q2007" s="94"/>
      <c r="R2007" s="91"/>
      <c r="S2007" s="91"/>
      <c r="AA2007" s="131" t="s">
        <v>407</v>
      </c>
      <c r="AB2007" s="130">
        <v>8430299.3236379996</v>
      </c>
      <c r="AC2007" s="130">
        <v>8430299.3236379996</v>
      </c>
    </row>
    <row r="2008" spans="1:29" x14ac:dyDescent="0.25">
      <c r="A2008" t="str">
        <f t="shared" si="32"/>
        <v/>
      </c>
      <c r="B2008" s="91"/>
      <c r="C2008" s="91"/>
      <c r="D2008" s="91"/>
      <c r="E2008" s="91"/>
      <c r="F2008" s="91"/>
      <c r="G2008" s="92"/>
      <c r="H2008" s="93"/>
      <c r="I2008" s="94"/>
      <c r="J2008" s="93"/>
      <c r="K2008" s="94"/>
      <c r="L2008" s="92"/>
      <c r="M2008" s="94"/>
      <c r="N2008" s="92"/>
      <c r="O2008" s="94"/>
      <c r="P2008" s="92"/>
      <c r="Q2008" s="94"/>
      <c r="R2008" s="91"/>
      <c r="S2008" s="91"/>
      <c r="AA2008" s="129">
        <v>1034042</v>
      </c>
      <c r="AB2008" s="130">
        <v>2651823761.6945496</v>
      </c>
      <c r="AC2008" s="130">
        <v>2651823761.6945496</v>
      </c>
    </row>
    <row r="2009" spans="1:29" x14ac:dyDescent="0.25">
      <c r="A2009" t="str">
        <f t="shared" si="32"/>
        <v/>
      </c>
      <c r="B2009" s="91"/>
      <c r="C2009" s="91"/>
      <c r="D2009" s="91"/>
      <c r="E2009" s="91"/>
      <c r="F2009" s="91"/>
      <c r="G2009" s="92"/>
      <c r="H2009" s="93"/>
      <c r="I2009" s="94"/>
      <c r="J2009" s="93"/>
      <c r="K2009" s="94"/>
      <c r="L2009" s="92"/>
      <c r="M2009" s="94"/>
      <c r="N2009" s="92"/>
      <c r="O2009" s="94"/>
      <c r="P2009" s="92"/>
      <c r="Q2009" s="94"/>
      <c r="R2009" s="91"/>
      <c r="S2009" s="91"/>
      <c r="AA2009" s="131" t="s">
        <v>366</v>
      </c>
      <c r="AB2009" s="130">
        <v>54991315.159999996</v>
      </c>
      <c r="AC2009" s="130">
        <v>54991315.159999996</v>
      </c>
    </row>
    <row r="2010" spans="1:29" x14ac:dyDescent="0.25">
      <c r="A2010" t="str">
        <f t="shared" si="32"/>
        <v/>
      </c>
      <c r="B2010" s="59"/>
      <c r="C2010" s="59"/>
      <c r="D2010" s="59"/>
      <c r="E2010" s="59"/>
      <c r="F2010" s="59"/>
      <c r="G2010" s="61"/>
      <c r="H2010" s="63"/>
      <c r="I2010" s="62"/>
      <c r="J2010" s="63"/>
      <c r="K2010" s="62"/>
      <c r="L2010" s="61"/>
      <c r="M2010" s="62"/>
      <c r="N2010" s="61"/>
      <c r="O2010" s="62"/>
      <c r="P2010" s="61"/>
      <c r="Q2010" s="62"/>
      <c r="R2010" s="59"/>
      <c r="S2010" s="59"/>
      <c r="AA2010" s="131" t="s">
        <v>382</v>
      </c>
      <c r="AB2010" s="130">
        <v>69345475.917964995</v>
      </c>
      <c r="AC2010" s="130">
        <v>69345475.917964995</v>
      </c>
    </row>
    <row r="2011" spans="1:29" x14ac:dyDescent="0.25">
      <c r="A2011" t="str">
        <f t="shared" si="32"/>
        <v/>
      </c>
      <c r="B2011" s="59"/>
      <c r="C2011" s="59"/>
      <c r="D2011" s="59"/>
      <c r="E2011" s="59"/>
      <c r="F2011" s="59"/>
      <c r="G2011" s="61"/>
      <c r="H2011" s="63"/>
      <c r="I2011" s="62"/>
      <c r="J2011" s="63"/>
      <c r="K2011" s="62"/>
      <c r="L2011" s="61"/>
      <c r="M2011" s="62"/>
      <c r="N2011" s="61"/>
      <c r="O2011" s="62"/>
      <c r="P2011" s="61"/>
      <c r="Q2011" s="62"/>
      <c r="R2011" s="59"/>
      <c r="S2011" s="59"/>
      <c r="AA2011" s="131" t="s">
        <v>427</v>
      </c>
      <c r="AB2011" s="130">
        <v>21617338.5</v>
      </c>
      <c r="AC2011" s="130">
        <v>21617338.5</v>
      </c>
    </row>
    <row r="2012" spans="1:29" x14ac:dyDescent="0.25">
      <c r="A2012" t="str">
        <f t="shared" si="32"/>
        <v/>
      </c>
      <c r="B2012" s="59"/>
      <c r="C2012" s="59"/>
      <c r="D2012" s="59"/>
      <c r="E2012" s="59"/>
      <c r="F2012" s="59"/>
      <c r="G2012" s="61"/>
      <c r="H2012" s="63"/>
      <c r="I2012" s="62"/>
      <c r="J2012" s="63"/>
      <c r="K2012" s="62"/>
      <c r="L2012" s="61"/>
      <c r="M2012" s="62"/>
      <c r="N2012" s="61"/>
      <c r="O2012" s="62"/>
      <c r="P2012" s="61"/>
      <c r="Q2012" s="62"/>
      <c r="R2012" s="59"/>
      <c r="S2012" s="59"/>
      <c r="AA2012" s="131" t="s">
        <v>408</v>
      </c>
      <c r="AB2012" s="130">
        <v>27635197.064160001</v>
      </c>
      <c r="AC2012" s="130">
        <v>27635197.064160001</v>
      </c>
    </row>
    <row r="2013" spans="1:29" x14ac:dyDescent="0.25">
      <c r="A2013" t="str">
        <f t="shared" si="32"/>
        <v/>
      </c>
      <c r="B2013" s="59"/>
      <c r="C2013" s="59"/>
      <c r="D2013" s="59"/>
      <c r="E2013" s="59"/>
      <c r="F2013" s="59"/>
      <c r="G2013" s="61"/>
      <c r="H2013" s="63"/>
      <c r="I2013" s="62"/>
      <c r="J2013" s="63"/>
      <c r="K2013" s="62"/>
      <c r="L2013" s="61"/>
      <c r="M2013" s="62"/>
      <c r="N2013" s="61"/>
      <c r="O2013" s="62"/>
      <c r="P2013" s="61"/>
      <c r="Q2013" s="62"/>
      <c r="R2013" s="59"/>
      <c r="S2013" s="59"/>
      <c r="AA2013" s="131" t="s">
        <v>384</v>
      </c>
      <c r="AB2013" s="130">
        <v>79336309.688020006</v>
      </c>
      <c r="AC2013" s="130">
        <v>79336309.688020006</v>
      </c>
    </row>
    <row r="2014" spans="1:29" x14ac:dyDescent="0.25">
      <c r="A2014" t="str">
        <f t="shared" si="32"/>
        <v/>
      </c>
      <c r="B2014" s="59"/>
      <c r="C2014" s="59"/>
      <c r="D2014" s="59"/>
      <c r="E2014" s="59"/>
      <c r="F2014" s="59"/>
      <c r="G2014" s="61"/>
      <c r="H2014" s="63"/>
      <c r="I2014" s="62"/>
      <c r="J2014" s="63"/>
      <c r="K2014" s="62"/>
      <c r="L2014" s="61"/>
      <c r="M2014" s="62"/>
      <c r="N2014" s="61"/>
      <c r="O2014" s="62"/>
      <c r="P2014" s="61"/>
      <c r="Q2014" s="62"/>
      <c r="R2014" s="59"/>
      <c r="S2014" s="59"/>
      <c r="AA2014" s="131" t="s">
        <v>395</v>
      </c>
      <c r="AB2014" s="130">
        <v>87411856.325780004</v>
      </c>
      <c r="AC2014" s="130">
        <v>87411856.325780004</v>
      </c>
    </row>
    <row r="2015" spans="1:29" x14ac:dyDescent="0.25">
      <c r="A2015" t="str">
        <f t="shared" si="32"/>
        <v/>
      </c>
      <c r="B2015" s="59"/>
      <c r="C2015" s="59"/>
      <c r="D2015" s="59"/>
      <c r="E2015" s="59"/>
      <c r="F2015" s="59"/>
      <c r="G2015" s="61"/>
      <c r="H2015" s="63"/>
      <c r="I2015" s="62"/>
      <c r="J2015" s="63"/>
      <c r="K2015" s="62"/>
      <c r="L2015" s="61"/>
      <c r="M2015" s="62"/>
      <c r="N2015" s="61"/>
      <c r="O2015" s="62"/>
      <c r="P2015" s="61"/>
      <c r="Q2015" s="62"/>
      <c r="R2015" s="59"/>
      <c r="S2015" s="59"/>
      <c r="AA2015" s="131" t="s">
        <v>396</v>
      </c>
      <c r="AB2015" s="130">
        <v>77822538.734720007</v>
      </c>
      <c r="AC2015" s="130">
        <v>77822538.734720007</v>
      </c>
    </row>
    <row r="2016" spans="1:29" x14ac:dyDescent="0.25">
      <c r="A2016" t="str">
        <f t="shared" si="32"/>
        <v/>
      </c>
      <c r="B2016" s="59"/>
      <c r="C2016" s="59"/>
      <c r="D2016" s="59"/>
      <c r="E2016" s="59"/>
      <c r="F2016" s="59"/>
      <c r="G2016" s="61"/>
      <c r="H2016" s="63"/>
      <c r="I2016" s="62"/>
      <c r="J2016" s="63"/>
      <c r="K2016" s="62"/>
      <c r="L2016" s="61"/>
      <c r="M2016" s="62"/>
      <c r="N2016" s="61"/>
      <c r="O2016" s="62"/>
      <c r="P2016" s="61"/>
      <c r="Q2016" s="62"/>
      <c r="R2016" s="59"/>
      <c r="S2016" s="59"/>
      <c r="AA2016" s="131" t="s">
        <v>398</v>
      </c>
      <c r="AB2016" s="130">
        <v>58265502.416516997</v>
      </c>
      <c r="AC2016" s="130">
        <v>58265502.416516997</v>
      </c>
    </row>
    <row r="2017" spans="1:29" x14ac:dyDescent="0.25">
      <c r="A2017" t="str">
        <f t="shared" si="32"/>
        <v/>
      </c>
      <c r="B2017" s="59"/>
      <c r="C2017" s="59"/>
      <c r="D2017" s="59"/>
      <c r="E2017" s="59"/>
      <c r="F2017" s="59"/>
      <c r="G2017" s="61"/>
      <c r="H2017" s="63"/>
      <c r="I2017" s="62"/>
      <c r="J2017" s="63"/>
      <c r="K2017" s="62"/>
      <c r="L2017" s="61"/>
      <c r="M2017" s="62"/>
      <c r="N2017" s="61"/>
      <c r="O2017" s="62"/>
      <c r="P2017" s="61"/>
      <c r="Q2017" s="62"/>
      <c r="R2017" s="59"/>
      <c r="S2017" s="59"/>
      <c r="AA2017" s="131" t="s">
        <v>381</v>
      </c>
      <c r="AB2017" s="130">
        <v>123440304.78055</v>
      </c>
      <c r="AC2017" s="130">
        <v>123440304.78055</v>
      </c>
    </row>
    <row r="2018" spans="1:29" x14ac:dyDescent="0.25">
      <c r="A2018" t="str">
        <f t="shared" si="32"/>
        <v/>
      </c>
      <c r="B2018" s="59"/>
      <c r="C2018" s="59"/>
      <c r="D2018" s="59"/>
      <c r="E2018" s="59"/>
      <c r="F2018" s="59"/>
      <c r="G2018" s="61"/>
      <c r="H2018" s="63"/>
      <c r="I2018" s="62"/>
      <c r="J2018" s="63"/>
      <c r="K2018" s="62"/>
      <c r="L2018" s="61"/>
      <c r="M2018" s="62"/>
      <c r="N2018" s="61"/>
      <c r="O2018" s="62"/>
      <c r="P2018" s="61"/>
      <c r="Q2018" s="62"/>
      <c r="R2018" s="59"/>
      <c r="S2018" s="59"/>
      <c r="AA2018" s="131" t="s">
        <v>393</v>
      </c>
      <c r="AB2018" s="130">
        <v>82260990.958083004</v>
      </c>
      <c r="AC2018" s="130">
        <v>82260990.958083004</v>
      </c>
    </row>
    <row r="2019" spans="1:29" x14ac:dyDescent="0.25">
      <c r="A2019" t="str">
        <f t="shared" si="32"/>
        <v/>
      </c>
      <c r="B2019" s="59"/>
      <c r="C2019" s="59"/>
      <c r="D2019" s="59"/>
      <c r="E2019" s="59"/>
      <c r="F2019" s="59"/>
      <c r="G2019" s="61"/>
      <c r="H2019" s="63"/>
      <c r="I2019" s="62"/>
      <c r="J2019" s="63"/>
      <c r="K2019" s="62"/>
      <c r="L2019" s="61"/>
      <c r="M2019" s="62"/>
      <c r="N2019" s="61"/>
      <c r="O2019" s="62"/>
      <c r="P2019" s="61"/>
      <c r="Q2019" s="62"/>
      <c r="R2019" s="59"/>
      <c r="S2019" s="59"/>
      <c r="AA2019" s="131" t="s">
        <v>385</v>
      </c>
      <c r="AB2019" s="130">
        <v>30934375.742844</v>
      </c>
      <c r="AC2019" s="130">
        <v>30934375.742844</v>
      </c>
    </row>
    <row r="2020" spans="1:29" x14ac:dyDescent="0.25">
      <c r="A2020" t="str">
        <f t="shared" si="32"/>
        <v/>
      </c>
      <c r="B2020" s="59"/>
      <c r="C2020" s="59"/>
      <c r="D2020" s="59"/>
      <c r="E2020" s="59"/>
      <c r="F2020" s="59"/>
      <c r="G2020" s="61"/>
      <c r="H2020" s="63"/>
      <c r="I2020" s="62"/>
      <c r="J2020" s="63"/>
      <c r="K2020" s="62"/>
      <c r="L2020" s="61"/>
      <c r="M2020" s="62"/>
      <c r="N2020" s="61"/>
      <c r="O2020" s="62"/>
      <c r="P2020" s="61"/>
      <c r="Q2020" s="62"/>
      <c r="R2020" s="59"/>
      <c r="S2020" s="59"/>
      <c r="AA2020" s="131" t="s">
        <v>399</v>
      </c>
      <c r="AB2020" s="130">
        <v>96485656.788902</v>
      </c>
      <c r="AC2020" s="130">
        <v>96485656.788902</v>
      </c>
    </row>
    <row r="2021" spans="1:29" x14ac:dyDescent="0.25">
      <c r="A2021" t="str">
        <f t="shared" si="32"/>
        <v/>
      </c>
      <c r="B2021" s="59"/>
      <c r="C2021" s="59"/>
      <c r="D2021" s="59"/>
      <c r="E2021" s="59"/>
      <c r="F2021" s="59"/>
      <c r="G2021" s="61"/>
      <c r="H2021" s="63"/>
      <c r="I2021" s="62"/>
      <c r="J2021" s="63"/>
      <c r="K2021" s="62"/>
      <c r="L2021" s="61"/>
      <c r="M2021" s="62"/>
      <c r="N2021" s="61"/>
      <c r="O2021" s="62"/>
      <c r="P2021" s="61"/>
      <c r="Q2021" s="62"/>
      <c r="R2021" s="59"/>
      <c r="S2021" s="59"/>
      <c r="AA2021" s="131" t="s">
        <v>429</v>
      </c>
      <c r="AB2021" s="130">
        <v>49003917</v>
      </c>
      <c r="AC2021" s="130">
        <v>49003917</v>
      </c>
    </row>
    <row r="2022" spans="1:29" x14ac:dyDescent="0.25">
      <c r="A2022" t="str">
        <f t="shared" si="32"/>
        <v/>
      </c>
      <c r="B2022" s="59"/>
      <c r="C2022" s="59"/>
      <c r="D2022" s="59"/>
      <c r="E2022" s="59"/>
      <c r="F2022" s="59"/>
      <c r="G2022" s="61"/>
      <c r="H2022" s="63"/>
      <c r="I2022" s="62"/>
      <c r="J2022" s="63"/>
      <c r="K2022" s="62"/>
      <c r="L2022" s="61"/>
      <c r="M2022" s="62"/>
      <c r="N2022" s="61"/>
      <c r="O2022" s="62"/>
      <c r="P2022" s="61"/>
      <c r="Q2022" s="62"/>
      <c r="R2022" s="59"/>
      <c r="S2022" s="59"/>
      <c r="AA2022" s="131" t="s">
        <v>394</v>
      </c>
      <c r="AB2022" s="130">
        <v>106719428.59955999</v>
      </c>
      <c r="AC2022" s="130">
        <v>106719428.59955999</v>
      </c>
    </row>
    <row r="2023" spans="1:29" x14ac:dyDescent="0.25">
      <c r="A2023" t="str">
        <f t="shared" si="32"/>
        <v/>
      </c>
      <c r="B2023" s="59"/>
      <c r="C2023" s="59"/>
      <c r="D2023" s="59"/>
      <c r="E2023" s="59"/>
      <c r="F2023" s="59"/>
      <c r="G2023" s="61"/>
      <c r="H2023" s="63"/>
      <c r="I2023" s="62"/>
      <c r="J2023" s="63"/>
      <c r="K2023" s="62"/>
      <c r="L2023" s="61"/>
      <c r="M2023" s="62"/>
      <c r="N2023" s="61"/>
      <c r="O2023" s="62"/>
      <c r="P2023" s="61"/>
      <c r="Q2023" s="62"/>
      <c r="R2023" s="59"/>
      <c r="S2023" s="59"/>
      <c r="AA2023" s="131" t="s">
        <v>460</v>
      </c>
      <c r="AB2023" s="130">
        <v>13207394.30652</v>
      </c>
      <c r="AC2023" s="130">
        <v>13207394.30652</v>
      </c>
    </row>
    <row r="2024" spans="1:29" x14ac:dyDescent="0.25">
      <c r="A2024" t="str">
        <f t="shared" si="32"/>
        <v/>
      </c>
      <c r="B2024" s="59"/>
      <c r="C2024" s="59"/>
      <c r="D2024" s="59"/>
      <c r="E2024" s="59"/>
      <c r="F2024" s="59"/>
      <c r="G2024" s="61"/>
      <c r="H2024" s="63"/>
      <c r="I2024" s="62"/>
      <c r="J2024" s="63"/>
      <c r="K2024" s="62"/>
      <c r="L2024" s="61"/>
      <c r="M2024" s="62"/>
      <c r="N2024" s="61"/>
      <c r="O2024" s="62"/>
      <c r="P2024" s="61"/>
      <c r="Q2024" s="62"/>
      <c r="R2024" s="59"/>
      <c r="S2024" s="59"/>
      <c r="AA2024" s="131" t="s">
        <v>461</v>
      </c>
      <c r="AB2024" s="130">
        <v>38910312.799999997</v>
      </c>
      <c r="AC2024" s="130">
        <v>38910312.799999997</v>
      </c>
    </row>
    <row r="2025" spans="1:29" x14ac:dyDescent="0.25">
      <c r="A2025" t="str">
        <f t="shared" si="32"/>
        <v/>
      </c>
      <c r="B2025" s="59"/>
      <c r="C2025" s="59"/>
      <c r="D2025" s="59"/>
      <c r="E2025" s="59"/>
      <c r="F2025" s="59"/>
      <c r="G2025" s="61"/>
      <c r="H2025" s="63"/>
      <c r="I2025" s="62"/>
      <c r="J2025" s="63"/>
      <c r="K2025" s="62"/>
      <c r="L2025" s="61"/>
      <c r="M2025" s="62"/>
      <c r="N2025" s="61"/>
      <c r="O2025" s="62"/>
      <c r="P2025" s="61"/>
      <c r="Q2025" s="62"/>
      <c r="R2025" s="59"/>
      <c r="S2025" s="59"/>
      <c r="AA2025" s="131" t="s">
        <v>463</v>
      </c>
      <c r="AB2025" s="130">
        <v>31991041.322411999</v>
      </c>
      <c r="AC2025" s="130">
        <v>31991041.322411999</v>
      </c>
    </row>
    <row r="2026" spans="1:29" x14ac:dyDescent="0.25">
      <c r="A2026" t="str">
        <f t="shared" si="32"/>
        <v/>
      </c>
      <c r="B2026" s="59"/>
      <c r="C2026" s="59"/>
      <c r="D2026" s="59"/>
      <c r="E2026" s="59"/>
      <c r="F2026" s="59"/>
      <c r="G2026" s="61"/>
      <c r="H2026" s="63"/>
      <c r="I2026" s="62"/>
      <c r="J2026" s="63"/>
      <c r="K2026" s="62"/>
      <c r="L2026" s="61"/>
      <c r="M2026" s="62"/>
      <c r="N2026" s="61"/>
      <c r="O2026" s="62"/>
      <c r="P2026" s="61"/>
      <c r="Q2026" s="62"/>
      <c r="R2026" s="59"/>
      <c r="S2026" s="59"/>
      <c r="AA2026" s="131" t="s">
        <v>464</v>
      </c>
      <c r="AB2026" s="130">
        <v>84250025.331006005</v>
      </c>
      <c r="AC2026" s="130">
        <v>84250025.331006005</v>
      </c>
    </row>
    <row r="2027" spans="1:29" x14ac:dyDescent="0.25">
      <c r="A2027" t="str">
        <f t="shared" si="32"/>
        <v/>
      </c>
      <c r="B2027" s="59"/>
      <c r="C2027" s="59"/>
      <c r="D2027" s="59"/>
      <c r="E2027" s="59"/>
      <c r="F2027" s="59"/>
      <c r="G2027" s="61"/>
      <c r="H2027" s="63"/>
      <c r="I2027" s="62"/>
      <c r="J2027" s="63"/>
      <c r="K2027" s="62"/>
      <c r="L2027" s="61"/>
      <c r="M2027" s="62"/>
      <c r="N2027" s="61"/>
      <c r="O2027" s="62"/>
      <c r="P2027" s="61"/>
      <c r="Q2027" s="62"/>
      <c r="R2027" s="59"/>
      <c r="S2027" s="59"/>
      <c r="AA2027" s="131" t="s">
        <v>422</v>
      </c>
      <c r="AB2027" s="130">
        <v>9929110.9095959999</v>
      </c>
      <c r="AC2027" s="130">
        <v>9929110.9095959999</v>
      </c>
    </row>
    <row r="2028" spans="1:29" x14ac:dyDescent="0.25">
      <c r="A2028" t="str">
        <f t="shared" si="32"/>
        <v/>
      </c>
      <c r="B2028" s="59"/>
      <c r="C2028" s="59"/>
      <c r="D2028" s="59"/>
      <c r="E2028" s="59"/>
      <c r="F2028" s="59"/>
      <c r="G2028" s="61"/>
      <c r="H2028" s="63"/>
      <c r="I2028" s="62"/>
      <c r="J2028" s="63"/>
      <c r="K2028" s="62"/>
      <c r="L2028" s="61"/>
      <c r="M2028" s="62"/>
      <c r="N2028" s="61"/>
      <c r="O2028" s="62"/>
      <c r="P2028" s="61"/>
      <c r="Q2028" s="62"/>
      <c r="R2028" s="59"/>
      <c r="S2028" s="59"/>
      <c r="AA2028" s="131" t="s">
        <v>462</v>
      </c>
      <c r="AB2028" s="130">
        <v>13160100.694390001</v>
      </c>
      <c r="AC2028" s="130">
        <v>13160100.694390001</v>
      </c>
    </row>
    <row r="2029" spans="1:29" x14ac:dyDescent="0.25">
      <c r="A2029" t="str">
        <f t="shared" si="32"/>
        <v/>
      </c>
      <c r="B2029" s="59"/>
      <c r="C2029" s="59"/>
      <c r="D2029" s="59"/>
      <c r="E2029" s="59"/>
      <c r="F2029" s="59"/>
      <c r="G2029" s="61"/>
      <c r="H2029" s="63"/>
      <c r="I2029" s="62"/>
      <c r="J2029" s="63"/>
      <c r="K2029" s="62"/>
      <c r="L2029" s="61"/>
      <c r="M2029" s="62"/>
      <c r="N2029" s="61"/>
      <c r="O2029" s="62"/>
      <c r="P2029" s="61"/>
      <c r="Q2029" s="62"/>
      <c r="R2029" s="59"/>
      <c r="S2029" s="59"/>
      <c r="AA2029" s="131" t="s">
        <v>386</v>
      </c>
      <c r="AB2029" s="130">
        <v>27029212.684581</v>
      </c>
      <c r="AC2029" s="130">
        <v>27029212.684581</v>
      </c>
    </row>
    <row r="2030" spans="1:29" x14ac:dyDescent="0.25">
      <c r="A2030" t="str">
        <f t="shared" si="32"/>
        <v/>
      </c>
      <c r="B2030" s="59"/>
      <c r="C2030" s="59"/>
      <c r="D2030" s="59"/>
      <c r="E2030" s="59"/>
      <c r="F2030" s="59"/>
      <c r="G2030" s="61"/>
      <c r="H2030" s="63"/>
      <c r="I2030" s="62"/>
      <c r="J2030" s="63"/>
      <c r="K2030" s="62"/>
      <c r="L2030" s="61"/>
      <c r="M2030" s="62"/>
      <c r="N2030" s="61"/>
      <c r="O2030" s="62"/>
      <c r="P2030" s="61"/>
      <c r="Q2030" s="62"/>
      <c r="R2030" s="59"/>
      <c r="S2030" s="59"/>
      <c r="AA2030" s="131" t="s">
        <v>465</v>
      </c>
      <c r="AB2030" s="130">
        <v>178886372.744605</v>
      </c>
      <c r="AC2030" s="130">
        <v>178886372.744605</v>
      </c>
    </row>
    <row r="2031" spans="1:29" x14ac:dyDescent="0.25">
      <c r="A2031" t="str">
        <f t="shared" si="32"/>
        <v/>
      </c>
      <c r="B2031" s="59"/>
      <c r="C2031" s="59"/>
      <c r="D2031" s="59"/>
      <c r="E2031" s="59"/>
      <c r="F2031" s="59"/>
      <c r="G2031" s="61"/>
      <c r="H2031" s="63"/>
      <c r="I2031" s="62"/>
      <c r="J2031" s="63"/>
      <c r="K2031" s="62"/>
      <c r="L2031" s="61"/>
      <c r="M2031" s="62"/>
      <c r="N2031" s="61"/>
      <c r="O2031" s="62"/>
      <c r="P2031" s="61"/>
      <c r="Q2031" s="62"/>
      <c r="R2031" s="59"/>
      <c r="S2031" s="59"/>
      <c r="AA2031" s="131" t="s">
        <v>425</v>
      </c>
      <c r="AB2031" s="130">
        <v>9920071.7710200008</v>
      </c>
      <c r="AC2031" s="130">
        <v>9920071.7710200008</v>
      </c>
    </row>
    <row r="2032" spans="1:29" x14ac:dyDescent="0.25">
      <c r="A2032" t="str">
        <f t="shared" si="32"/>
        <v/>
      </c>
      <c r="B2032" s="59"/>
      <c r="C2032" s="59"/>
      <c r="D2032" s="59"/>
      <c r="E2032" s="59"/>
      <c r="F2032" s="59"/>
      <c r="G2032" s="61"/>
      <c r="H2032" s="63"/>
      <c r="I2032" s="62"/>
      <c r="J2032" s="63"/>
      <c r="K2032" s="62"/>
      <c r="L2032" s="61"/>
      <c r="M2032" s="62"/>
      <c r="N2032" s="61"/>
      <c r="O2032" s="62"/>
      <c r="P2032" s="61"/>
      <c r="Q2032" s="62"/>
      <c r="R2032" s="59"/>
      <c r="S2032" s="59"/>
      <c r="AA2032" s="131" t="s">
        <v>423</v>
      </c>
      <c r="AB2032" s="130">
        <v>5390794.7934400002</v>
      </c>
      <c r="AC2032" s="130">
        <v>5390794.7934400002</v>
      </c>
    </row>
    <row r="2033" spans="1:29" x14ac:dyDescent="0.25">
      <c r="A2033" t="str">
        <f t="shared" si="32"/>
        <v/>
      </c>
      <c r="B2033" s="59"/>
      <c r="C2033" s="59"/>
      <c r="D2033" s="59"/>
      <c r="E2033" s="59"/>
      <c r="F2033" s="59"/>
      <c r="G2033" s="61"/>
      <c r="H2033" s="63"/>
      <c r="I2033" s="62"/>
      <c r="J2033" s="63"/>
      <c r="K2033" s="62"/>
      <c r="L2033" s="61"/>
      <c r="M2033" s="62"/>
      <c r="N2033" s="61"/>
      <c r="O2033" s="62"/>
      <c r="P2033" s="61"/>
      <c r="Q2033" s="62"/>
      <c r="R2033" s="59"/>
      <c r="S2033" s="59"/>
      <c r="AA2033" s="131" t="s">
        <v>363</v>
      </c>
      <c r="AB2033" s="130">
        <v>143437861.60495999</v>
      </c>
      <c r="AC2033" s="130">
        <v>143437861.60495999</v>
      </c>
    </row>
    <row r="2034" spans="1:29" x14ac:dyDescent="0.25">
      <c r="A2034" t="str">
        <f t="shared" si="32"/>
        <v/>
      </c>
      <c r="B2034" s="59"/>
      <c r="C2034" s="59"/>
      <c r="D2034" s="59"/>
      <c r="E2034" s="59"/>
      <c r="F2034" s="59"/>
      <c r="G2034" s="61"/>
      <c r="H2034" s="63"/>
      <c r="I2034" s="62"/>
      <c r="J2034" s="63"/>
      <c r="K2034" s="62"/>
      <c r="L2034" s="61"/>
      <c r="M2034" s="62"/>
      <c r="N2034" s="61"/>
      <c r="O2034" s="62"/>
      <c r="P2034" s="61"/>
      <c r="Q2034" s="62"/>
      <c r="R2034" s="59"/>
      <c r="S2034" s="59"/>
      <c r="AA2034" s="131" t="s">
        <v>438</v>
      </c>
      <c r="AB2034" s="130">
        <v>11315810.228970001</v>
      </c>
      <c r="AC2034" s="130">
        <v>11315810.228970001</v>
      </c>
    </row>
    <row r="2035" spans="1:29" x14ac:dyDescent="0.25">
      <c r="A2035" t="str">
        <f t="shared" si="32"/>
        <v/>
      </c>
      <c r="B2035" s="59"/>
      <c r="C2035" s="59"/>
      <c r="D2035" s="59"/>
      <c r="E2035" s="59"/>
      <c r="F2035" s="59"/>
      <c r="G2035" s="61"/>
      <c r="H2035" s="63"/>
      <c r="I2035" s="62"/>
      <c r="J2035" s="63"/>
      <c r="K2035" s="62"/>
      <c r="L2035" s="61"/>
      <c r="M2035" s="62"/>
      <c r="N2035" s="61"/>
      <c r="O2035" s="62"/>
      <c r="P2035" s="61"/>
      <c r="Q2035" s="62"/>
      <c r="R2035" s="59"/>
      <c r="S2035" s="59"/>
      <c r="AA2035" s="131" t="s">
        <v>409</v>
      </c>
      <c r="AB2035" s="130">
        <v>103229647.361637</v>
      </c>
      <c r="AC2035" s="130">
        <v>103229647.361637</v>
      </c>
    </row>
    <row r="2036" spans="1:29" x14ac:dyDescent="0.25">
      <c r="A2036" t="str">
        <f t="shared" si="32"/>
        <v/>
      </c>
      <c r="B2036" s="59"/>
      <c r="C2036" s="59"/>
      <c r="D2036" s="59"/>
      <c r="E2036" s="59"/>
      <c r="F2036" s="59"/>
      <c r="G2036" s="61"/>
      <c r="H2036" s="63"/>
      <c r="I2036" s="62"/>
      <c r="J2036" s="63"/>
      <c r="K2036" s="62"/>
      <c r="L2036" s="61"/>
      <c r="M2036" s="62"/>
      <c r="N2036" s="61"/>
      <c r="O2036" s="62"/>
      <c r="P2036" s="61"/>
      <c r="Q2036" s="62"/>
      <c r="R2036" s="59"/>
      <c r="S2036" s="59"/>
      <c r="AA2036" s="131" t="s">
        <v>383</v>
      </c>
      <c r="AB2036" s="130">
        <v>116881409.23118401</v>
      </c>
      <c r="AC2036" s="130">
        <v>116881409.23118401</v>
      </c>
    </row>
    <row r="2037" spans="1:29" x14ac:dyDescent="0.25">
      <c r="A2037" t="str">
        <f t="shared" si="32"/>
        <v/>
      </c>
      <c r="B2037" s="59"/>
      <c r="C2037" s="59"/>
      <c r="D2037" s="59"/>
      <c r="E2037" s="59"/>
      <c r="F2037" s="59"/>
      <c r="G2037" s="61"/>
      <c r="H2037" s="63"/>
      <c r="I2037" s="62"/>
      <c r="J2037" s="63"/>
      <c r="K2037" s="62"/>
      <c r="L2037" s="61"/>
      <c r="M2037" s="62"/>
      <c r="N2037" s="61"/>
      <c r="O2037" s="62"/>
      <c r="P2037" s="61"/>
      <c r="Q2037" s="62"/>
      <c r="R2037" s="59"/>
      <c r="S2037" s="59"/>
      <c r="AA2037" s="131" t="s">
        <v>364</v>
      </c>
      <c r="AB2037" s="130">
        <v>118944542.84031001</v>
      </c>
      <c r="AC2037" s="130">
        <v>118944542.84031001</v>
      </c>
    </row>
    <row r="2038" spans="1:29" x14ac:dyDescent="0.25">
      <c r="A2038" t="str">
        <f t="shared" si="32"/>
        <v/>
      </c>
      <c r="B2038" s="59"/>
      <c r="C2038" s="59"/>
      <c r="D2038" s="59"/>
      <c r="E2038" s="59"/>
      <c r="F2038" s="59"/>
      <c r="G2038" s="61"/>
      <c r="H2038" s="63"/>
      <c r="I2038" s="62"/>
      <c r="J2038" s="63"/>
      <c r="K2038" s="62"/>
      <c r="L2038" s="61"/>
      <c r="M2038" s="62"/>
      <c r="N2038" s="61"/>
      <c r="O2038" s="62"/>
      <c r="P2038" s="61"/>
      <c r="Q2038" s="62"/>
      <c r="R2038" s="59"/>
      <c r="S2038" s="59"/>
      <c r="AA2038" s="131" t="s">
        <v>397</v>
      </c>
      <c r="AB2038" s="130">
        <v>33070082.188000001</v>
      </c>
      <c r="AC2038" s="130">
        <v>33070082.188000001</v>
      </c>
    </row>
    <row r="2039" spans="1:29" x14ac:dyDescent="0.25">
      <c r="A2039" t="str">
        <f t="shared" si="32"/>
        <v/>
      </c>
      <c r="B2039" s="59"/>
      <c r="C2039" s="59"/>
      <c r="D2039" s="59"/>
      <c r="E2039" s="59"/>
      <c r="F2039" s="59"/>
      <c r="G2039" s="61"/>
      <c r="H2039" s="63"/>
      <c r="I2039" s="62"/>
      <c r="J2039" s="63"/>
      <c r="K2039" s="62"/>
      <c r="L2039" s="61"/>
      <c r="M2039" s="62"/>
      <c r="N2039" s="61"/>
      <c r="O2039" s="62"/>
      <c r="P2039" s="61"/>
      <c r="Q2039" s="62"/>
      <c r="R2039" s="59"/>
      <c r="S2039" s="59"/>
      <c r="AA2039" s="131" t="s">
        <v>501</v>
      </c>
      <c r="AB2039" s="130">
        <v>0</v>
      </c>
      <c r="AC2039" s="130">
        <v>0</v>
      </c>
    </row>
    <row r="2040" spans="1:29" x14ac:dyDescent="0.25">
      <c r="A2040" t="str">
        <f t="shared" si="32"/>
        <v/>
      </c>
      <c r="B2040" s="59"/>
      <c r="C2040" s="59"/>
      <c r="D2040" s="59"/>
      <c r="E2040" s="59"/>
      <c r="F2040" s="59"/>
      <c r="G2040" s="61"/>
      <c r="H2040" s="63"/>
      <c r="I2040" s="62"/>
      <c r="J2040" s="63"/>
      <c r="K2040" s="62"/>
      <c r="L2040" s="61"/>
      <c r="M2040" s="62"/>
      <c r="N2040" s="61"/>
      <c r="O2040" s="62"/>
      <c r="P2040" s="61"/>
      <c r="Q2040" s="62"/>
      <c r="R2040" s="59"/>
      <c r="S2040" s="59"/>
      <c r="AA2040" s="131" t="s">
        <v>502</v>
      </c>
      <c r="AB2040" s="130">
        <v>7405265.60011</v>
      </c>
      <c r="AC2040" s="130">
        <v>7405265.60011</v>
      </c>
    </row>
    <row r="2041" spans="1:29" x14ac:dyDescent="0.25">
      <c r="A2041" t="str">
        <f t="shared" si="32"/>
        <v/>
      </c>
      <c r="B2041" s="59"/>
      <c r="C2041" s="59"/>
      <c r="D2041" s="59"/>
      <c r="E2041" s="59"/>
      <c r="F2041" s="59"/>
      <c r="G2041" s="61"/>
      <c r="H2041" s="63"/>
      <c r="I2041" s="62"/>
      <c r="J2041" s="63"/>
      <c r="K2041" s="62"/>
      <c r="L2041" s="61"/>
      <c r="M2041" s="62"/>
      <c r="N2041" s="61"/>
      <c r="O2041" s="62"/>
      <c r="P2041" s="61"/>
      <c r="Q2041" s="62"/>
      <c r="R2041" s="59"/>
      <c r="S2041" s="59"/>
      <c r="AA2041" s="131" t="s">
        <v>504</v>
      </c>
      <c r="AB2041" s="130">
        <v>67004019.221620999</v>
      </c>
      <c r="AC2041" s="130">
        <v>67004019.221620999</v>
      </c>
    </row>
    <row r="2042" spans="1:29" x14ac:dyDescent="0.25">
      <c r="A2042" t="str">
        <f t="shared" si="32"/>
        <v/>
      </c>
      <c r="B2042" s="59"/>
      <c r="C2042" s="59"/>
      <c r="D2042" s="59"/>
      <c r="E2042" s="59"/>
      <c r="F2042" s="59"/>
      <c r="G2042" s="61"/>
      <c r="H2042" s="63"/>
      <c r="I2042" s="62"/>
      <c r="J2042" s="63"/>
      <c r="K2042" s="62"/>
      <c r="L2042" s="61"/>
      <c r="M2042" s="62"/>
      <c r="N2042" s="61"/>
      <c r="O2042" s="62"/>
      <c r="P2042" s="61"/>
      <c r="Q2042" s="62"/>
      <c r="R2042" s="59"/>
      <c r="S2042" s="59"/>
      <c r="AA2042" s="131" t="s">
        <v>505</v>
      </c>
      <c r="AB2042" s="130">
        <v>285000616.62376601</v>
      </c>
      <c r="AC2042" s="130">
        <v>285000616.62376601</v>
      </c>
    </row>
    <row r="2043" spans="1:29" x14ac:dyDescent="0.25">
      <c r="A2043" t="str">
        <f t="shared" si="32"/>
        <v/>
      </c>
      <c r="B2043" s="59"/>
      <c r="C2043" s="59"/>
      <c r="D2043" s="59"/>
      <c r="E2043" s="59"/>
      <c r="F2043" s="59"/>
      <c r="G2043" s="61"/>
      <c r="H2043" s="63"/>
      <c r="I2043" s="62"/>
      <c r="J2043" s="63"/>
      <c r="K2043" s="62"/>
      <c r="L2043" s="61"/>
      <c r="M2043" s="62"/>
      <c r="N2043" s="61"/>
      <c r="O2043" s="62"/>
      <c r="P2043" s="61"/>
      <c r="Q2043" s="62"/>
      <c r="R2043" s="59"/>
      <c r="S2043" s="59"/>
      <c r="AA2043" s="131" t="s">
        <v>543</v>
      </c>
      <c r="AB2043" s="130">
        <v>85044190</v>
      </c>
      <c r="AC2043" s="130">
        <v>85044190</v>
      </c>
    </row>
    <row r="2044" spans="1:29" x14ac:dyDescent="0.25">
      <c r="A2044" t="str">
        <f t="shared" si="32"/>
        <v/>
      </c>
      <c r="B2044" s="59"/>
      <c r="C2044" s="59"/>
      <c r="D2044" s="59"/>
      <c r="E2044" s="59"/>
      <c r="F2044" s="59"/>
      <c r="G2044" s="61"/>
      <c r="H2044" s="63"/>
      <c r="I2044" s="62"/>
      <c r="J2044" s="63"/>
      <c r="K2044" s="62"/>
      <c r="L2044" s="61"/>
      <c r="M2044" s="62"/>
      <c r="N2044" s="61"/>
      <c r="O2044" s="62"/>
      <c r="P2044" s="61"/>
      <c r="Q2044" s="62"/>
      <c r="R2044" s="59"/>
      <c r="S2044" s="59"/>
      <c r="AA2044" s="131" t="s">
        <v>545</v>
      </c>
      <c r="AB2044" s="130">
        <v>0</v>
      </c>
      <c r="AC2044" s="130">
        <v>0</v>
      </c>
    </row>
    <row r="2045" spans="1:29" x14ac:dyDescent="0.25">
      <c r="A2045" t="str">
        <f t="shared" si="32"/>
        <v/>
      </c>
      <c r="B2045" s="59"/>
      <c r="C2045" s="59"/>
      <c r="D2045" s="59"/>
      <c r="E2045" s="59"/>
      <c r="F2045" s="59"/>
      <c r="G2045" s="61"/>
      <c r="H2045" s="63"/>
      <c r="I2045" s="62"/>
      <c r="J2045" s="63"/>
      <c r="K2045" s="62"/>
      <c r="L2045" s="61"/>
      <c r="M2045" s="62"/>
      <c r="N2045" s="61"/>
      <c r="O2045" s="62"/>
      <c r="P2045" s="61"/>
      <c r="Q2045" s="62"/>
      <c r="R2045" s="59"/>
      <c r="S2045" s="59"/>
      <c r="AA2045" s="131" t="s">
        <v>552</v>
      </c>
      <c r="AB2045" s="130">
        <v>26657129.019880001</v>
      </c>
      <c r="AC2045" s="130">
        <v>26657129.019880001</v>
      </c>
    </row>
    <row r="2046" spans="1:29" x14ac:dyDescent="0.25">
      <c r="A2046" t="str">
        <f t="shared" si="32"/>
        <v/>
      </c>
      <c r="B2046" s="59"/>
      <c r="C2046" s="59"/>
      <c r="D2046" s="59"/>
      <c r="E2046" s="59"/>
      <c r="F2046" s="59"/>
      <c r="G2046" s="61"/>
      <c r="H2046" s="63"/>
      <c r="I2046" s="62"/>
      <c r="J2046" s="63"/>
      <c r="K2046" s="62"/>
      <c r="L2046" s="61"/>
      <c r="M2046" s="62"/>
      <c r="N2046" s="61"/>
      <c r="O2046" s="62"/>
      <c r="P2046" s="61"/>
      <c r="Q2046" s="62"/>
      <c r="R2046" s="59"/>
      <c r="S2046" s="59"/>
      <c r="AA2046" s="131" t="s">
        <v>554</v>
      </c>
      <c r="AB2046" s="130">
        <v>40705120.70713</v>
      </c>
      <c r="AC2046" s="130">
        <v>40705120.70713</v>
      </c>
    </row>
    <row r="2047" spans="1:29" x14ac:dyDescent="0.25">
      <c r="A2047" t="str">
        <f t="shared" si="32"/>
        <v/>
      </c>
      <c r="B2047" s="59"/>
      <c r="C2047" s="59"/>
      <c r="D2047" s="59"/>
      <c r="E2047" s="59"/>
      <c r="F2047" s="59"/>
      <c r="G2047" s="61"/>
      <c r="H2047" s="63"/>
      <c r="I2047" s="62"/>
      <c r="J2047" s="63"/>
      <c r="K2047" s="62"/>
      <c r="L2047" s="61"/>
      <c r="M2047" s="62"/>
      <c r="N2047" s="61"/>
      <c r="O2047" s="62"/>
      <c r="P2047" s="61"/>
      <c r="Q2047" s="62"/>
      <c r="R2047" s="59"/>
      <c r="S2047" s="59"/>
      <c r="AA2047" s="131" t="s">
        <v>556</v>
      </c>
      <c r="AB2047" s="130">
        <v>73227720</v>
      </c>
      <c r="AC2047" s="130">
        <v>73227720</v>
      </c>
    </row>
    <row r="2048" spans="1:29" x14ac:dyDescent="0.25">
      <c r="A2048" t="str">
        <f t="shared" si="32"/>
        <v/>
      </c>
      <c r="B2048" s="59"/>
      <c r="C2048" s="59"/>
      <c r="D2048" s="59"/>
      <c r="E2048" s="59"/>
      <c r="F2048" s="59"/>
      <c r="G2048" s="61"/>
      <c r="H2048" s="63"/>
      <c r="I2048" s="62"/>
      <c r="J2048" s="63"/>
      <c r="K2048" s="62"/>
      <c r="L2048" s="61"/>
      <c r="M2048" s="62"/>
      <c r="N2048" s="61"/>
      <c r="O2048" s="62"/>
      <c r="P2048" s="61"/>
      <c r="Q2048" s="62"/>
      <c r="R2048" s="59"/>
      <c r="S2048" s="59"/>
      <c r="AA2048" s="131" t="s">
        <v>613</v>
      </c>
      <c r="AB2048" s="130">
        <v>62695064.318700001</v>
      </c>
      <c r="AC2048" s="130">
        <v>62695064.318700001</v>
      </c>
    </row>
    <row r="2049" spans="1:29" x14ac:dyDescent="0.25">
      <c r="A2049" t="str">
        <f t="shared" si="32"/>
        <v/>
      </c>
      <c r="B2049" s="59"/>
      <c r="C2049" s="59"/>
      <c r="D2049" s="59"/>
      <c r="E2049" s="59"/>
      <c r="F2049" s="59"/>
      <c r="G2049" s="61"/>
      <c r="H2049" s="63"/>
      <c r="I2049" s="62"/>
      <c r="J2049" s="63"/>
      <c r="K2049" s="62"/>
      <c r="L2049" s="61"/>
      <c r="M2049" s="62"/>
      <c r="N2049" s="61"/>
      <c r="O2049" s="62"/>
      <c r="P2049" s="61"/>
      <c r="Q2049" s="62"/>
      <c r="R2049" s="59"/>
      <c r="S2049" s="59"/>
      <c r="AA2049" s="131" t="s">
        <v>615</v>
      </c>
      <c r="AB2049" s="130">
        <v>22709925</v>
      </c>
      <c r="AC2049" s="130">
        <v>22709925</v>
      </c>
    </row>
    <row r="2050" spans="1:29" x14ac:dyDescent="0.25">
      <c r="A2050" t="str">
        <f t="shared" si="32"/>
        <v/>
      </c>
      <c r="B2050" s="59"/>
      <c r="C2050" s="59"/>
      <c r="D2050" s="59"/>
      <c r="E2050" s="59"/>
      <c r="F2050" s="59"/>
      <c r="G2050" s="61"/>
      <c r="H2050" s="63"/>
      <c r="I2050" s="62"/>
      <c r="J2050" s="63"/>
      <c r="K2050" s="62"/>
      <c r="L2050" s="61"/>
      <c r="M2050" s="62"/>
      <c r="N2050" s="61"/>
      <c r="O2050" s="62"/>
      <c r="P2050" s="61"/>
      <c r="Q2050" s="62"/>
      <c r="R2050" s="59"/>
      <c r="S2050" s="59"/>
      <c r="AA2050" s="131" t="s">
        <v>627</v>
      </c>
      <c r="AB2050" s="130">
        <v>20094334.51385</v>
      </c>
      <c r="AC2050" s="130">
        <v>20094334.51385</v>
      </c>
    </row>
    <row r="2051" spans="1:29" x14ac:dyDescent="0.25">
      <c r="A2051" t="str">
        <f t="shared" si="32"/>
        <v/>
      </c>
      <c r="B2051" s="59"/>
      <c r="C2051" s="59"/>
      <c r="D2051" s="59"/>
      <c r="E2051" s="59"/>
      <c r="F2051" s="59"/>
      <c r="G2051" s="61"/>
      <c r="H2051" s="63"/>
      <c r="I2051" s="62"/>
      <c r="J2051" s="63"/>
      <c r="K2051" s="62"/>
      <c r="L2051" s="61"/>
      <c r="M2051" s="62"/>
      <c r="N2051" s="61"/>
      <c r="O2051" s="62"/>
      <c r="P2051" s="61"/>
      <c r="Q2051" s="62"/>
      <c r="R2051" s="59"/>
      <c r="S2051" s="59"/>
      <c r="AA2051" s="131" t="s">
        <v>628</v>
      </c>
      <c r="AB2051" s="130">
        <v>26999779.949999999</v>
      </c>
      <c r="AC2051" s="130">
        <v>26999779.949999999</v>
      </c>
    </row>
    <row r="2052" spans="1:29" x14ac:dyDescent="0.25">
      <c r="A2052" t="str">
        <f t="shared" si="32"/>
        <v/>
      </c>
      <c r="B2052" s="59"/>
      <c r="C2052" s="59"/>
      <c r="D2052" s="59"/>
      <c r="E2052" s="59"/>
      <c r="F2052" s="59"/>
      <c r="G2052" s="61"/>
      <c r="H2052" s="63"/>
      <c r="I2052" s="62"/>
      <c r="J2052" s="63"/>
      <c r="K2052" s="62"/>
      <c r="L2052" s="61"/>
      <c r="M2052" s="62"/>
      <c r="N2052" s="61"/>
      <c r="O2052" s="62"/>
      <c r="P2052" s="61"/>
      <c r="Q2052" s="62"/>
      <c r="R2052" s="59"/>
      <c r="S2052" s="59"/>
      <c r="AA2052" s="131" t="s">
        <v>649</v>
      </c>
      <c r="AB2052" s="130">
        <v>29456598.249759998</v>
      </c>
      <c r="AC2052" s="130">
        <v>29456598.249759998</v>
      </c>
    </row>
    <row r="2053" spans="1:29" x14ac:dyDescent="0.25">
      <c r="A2053" t="str">
        <f t="shared" si="32"/>
        <v/>
      </c>
      <c r="B2053" s="59"/>
      <c r="C2053" s="59"/>
      <c r="D2053" s="59"/>
      <c r="E2053" s="59"/>
      <c r="F2053" s="59"/>
      <c r="G2053" s="61"/>
      <c r="H2053" s="63"/>
      <c r="I2053" s="62"/>
      <c r="J2053" s="63"/>
      <c r="K2053" s="62"/>
      <c r="L2053" s="61"/>
      <c r="M2053" s="62"/>
      <c r="N2053" s="61"/>
      <c r="O2053" s="62"/>
      <c r="P2053" s="61"/>
      <c r="Q2053" s="62"/>
      <c r="R2053" s="59"/>
      <c r="S2053" s="59"/>
      <c r="AA2053" s="129">
        <v>1037085</v>
      </c>
      <c r="AB2053" s="130">
        <v>40351701.630644001</v>
      </c>
      <c r="AC2053" s="130">
        <v>40351701.630644001</v>
      </c>
    </row>
    <row r="2054" spans="1:29" x14ac:dyDescent="0.25">
      <c r="A2054" t="str">
        <f t="shared" si="32"/>
        <v/>
      </c>
      <c r="B2054" s="59"/>
      <c r="C2054" s="59"/>
      <c r="D2054" s="59"/>
      <c r="E2054" s="59"/>
      <c r="F2054" s="59"/>
      <c r="G2054" s="61"/>
      <c r="H2054" s="63"/>
      <c r="I2054" s="62"/>
      <c r="J2054" s="63"/>
      <c r="K2054" s="62"/>
      <c r="L2054" s="61"/>
      <c r="M2054" s="62"/>
      <c r="N2054" s="61"/>
      <c r="O2054" s="62"/>
      <c r="P2054" s="61"/>
      <c r="Q2054" s="62"/>
      <c r="R2054" s="59"/>
      <c r="S2054" s="59"/>
      <c r="AA2054" s="131" t="s">
        <v>366</v>
      </c>
      <c r="AB2054" s="130">
        <v>2066083.19</v>
      </c>
      <c r="AC2054" s="130">
        <v>2066083.19</v>
      </c>
    </row>
    <row r="2055" spans="1:29" x14ac:dyDescent="0.25">
      <c r="A2055" t="str">
        <f t="shared" ref="A2055:A2118" si="33">B2053&amp;D2053</f>
        <v/>
      </c>
      <c r="B2055" s="59"/>
      <c r="C2055" s="59"/>
      <c r="D2055" s="59"/>
      <c r="E2055" s="59"/>
      <c r="F2055" s="59"/>
      <c r="G2055" s="61"/>
      <c r="H2055" s="63"/>
      <c r="I2055" s="62"/>
      <c r="J2055" s="63"/>
      <c r="K2055" s="62"/>
      <c r="L2055" s="61"/>
      <c r="M2055" s="62"/>
      <c r="N2055" s="61"/>
      <c r="O2055" s="62"/>
      <c r="P2055" s="61"/>
      <c r="Q2055" s="62"/>
      <c r="R2055" s="59"/>
      <c r="S2055" s="59"/>
      <c r="AA2055" s="131" t="s">
        <v>389</v>
      </c>
      <c r="AB2055" s="130">
        <v>38285618.440644003</v>
      </c>
      <c r="AC2055" s="130">
        <v>38285618.440644003</v>
      </c>
    </row>
    <row r="2056" spans="1:29" x14ac:dyDescent="0.25">
      <c r="A2056" t="str">
        <f t="shared" si="33"/>
        <v/>
      </c>
      <c r="B2056" s="59"/>
      <c r="C2056" s="59"/>
      <c r="D2056" s="59"/>
      <c r="E2056" s="59"/>
      <c r="F2056" s="59"/>
      <c r="G2056" s="61"/>
      <c r="H2056" s="63"/>
      <c r="I2056" s="62"/>
      <c r="J2056" s="63"/>
      <c r="K2056" s="62"/>
      <c r="L2056" s="61"/>
      <c r="M2056" s="62"/>
      <c r="N2056" s="61"/>
      <c r="O2056" s="62"/>
      <c r="P2056" s="61"/>
      <c r="Q2056" s="62"/>
      <c r="R2056" s="59"/>
      <c r="S2056" s="59"/>
      <c r="AA2056" s="129">
        <v>1037086</v>
      </c>
      <c r="AB2056" s="130">
        <v>55433047.280056</v>
      </c>
      <c r="AC2056" s="130">
        <v>55433047.280056</v>
      </c>
    </row>
    <row r="2057" spans="1:29" x14ac:dyDescent="0.25">
      <c r="A2057" t="str">
        <f t="shared" si="33"/>
        <v/>
      </c>
      <c r="B2057" s="59"/>
      <c r="C2057" s="59"/>
      <c r="D2057" s="59"/>
      <c r="E2057" s="59"/>
      <c r="F2057" s="59"/>
      <c r="G2057" s="61"/>
      <c r="H2057" s="63"/>
      <c r="I2057" s="62"/>
      <c r="J2057" s="63"/>
      <c r="K2057" s="62"/>
      <c r="L2057" s="61"/>
      <c r="M2057" s="62"/>
      <c r="N2057" s="61"/>
      <c r="O2057" s="62"/>
      <c r="P2057" s="61"/>
      <c r="Q2057" s="62"/>
      <c r="R2057" s="59"/>
      <c r="S2057" s="59"/>
      <c r="AA2057" s="131" t="s">
        <v>366</v>
      </c>
      <c r="AB2057" s="130">
        <v>4816735.47</v>
      </c>
      <c r="AC2057" s="130">
        <v>4816735.47</v>
      </c>
    </row>
    <row r="2058" spans="1:29" x14ac:dyDescent="0.25">
      <c r="A2058" t="str">
        <f t="shared" si="33"/>
        <v/>
      </c>
      <c r="B2058" s="59"/>
      <c r="C2058" s="59"/>
      <c r="D2058" s="59"/>
      <c r="E2058" s="59"/>
      <c r="F2058" s="59"/>
      <c r="G2058" s="61"/>
      <c r="H2058" s="63"/>
      <c r="I2058" s="62"/>
      <c r="J2058" s="63"/>
      <c r="K2058" s="62"/>
      <c r="L2058" s="61"/>
      <c r="M2058" s="62"/>
      <c r="N2058" s="61"/>
      <c r="O2058" s="62"/>
      <c r="P2058" s="61"/>
      <c r="Q2058" s="62"/>
      <c r="R2058" s="59"/>
      <c r="S2058" s="59"/>
      <c r="AA2058" s="131" t="s">
        <v>389</v>
      </c>
      <c r="AB2058" s="130">
        <v>50616311.810056001</v>
      </c>
      <c r="AC2058" s="130">
        <v>50616311.810056001</v>
      </c>
    </row>
    <row r="2059" spans="1:29" x14ac:dyDescent="0.25">
      <c r="A2059" t="str">
        <f t="shared" si="33"/>
        <v/>
      </c>
      <c r="B2059" s="59"/>
      <c r="C2059" s="59"/>
      <c r="D2059" s="59"/>
      <c r="E2059" s="59"/>
      <c r="F2059" s="59"/>
      <c r="G2059" s="61"/>
      <c r="H2059" s="63"/>
      <c r="I2059" s="62"/>
      <c r="J2059" s="63"/>
      <c r="K2059" s="62"/>
      <c r="L2059" s="61"/>
      <c r="M2059" s="62"/>
      <c r="N2059" s="61"/>
      <c r="O2059" s="62"/>
      <c r="P2059" s="61"/>
      <c r="Q2059" s="62"/>
      <c r="R2059" s="59"/>
      <c r="S2059" s="59"/>
      <c r="AA2059" s="129">
        <v>1037124</v>
      </c>
      <c r="AB2059" s="130">
        <v>2875696.5890790001</v>
      </c>
      <c r="AC2059" s="130">
        <v>2875696.5890790001</v>
      </c>
    </row>
    <row r="2060" spans="1:29" x14ac:dyDescent="0.25">
      <c r="A2060" t="str">
        <f t="shared" si="33"/>
        <v/>
      </c>
      <c r="B2060" s="59"/>
      <c r="C2060" s="59"/>
      <c r="D2060" s="59"/>
      <c r="E2060" s="59"/>
      <c r="F2060" s="59"/>
      <c r="G2060" s="61"/>
      <c r="H2060" s="63"/>
      <c r="I2060" s="62"/>
      <c r="J2060" s="63"/>
      <c r="K2060" s="62"/>
      <c r="L2060" s="61"/>
      <c r="M2060" s="62"/>
      <c r="N2060" s="61"/>
      <c r="O2060" s="62"/>
      <c r="P2060" s="61"/>
      <c r="Q2060" s="62"/>
      <c r="R2060" s="59"/>
      <c r="S2060" s="59"/>
      <c r="AA2060" s="131" t="s">
        <v>412</v>
      </c>
      <c r="AB2060" s="130">
        <v>2875696.5890790001</v>
      </c>
      <c r="AC2060" s="130">
        <v>2875696.5890790001</v>
      </c>
    </row>
    <row r="2061" spans="1:29" x14ac:dyDescent="0.25">
      <c r="A2061" t="str">
        <f t="shared" si="33"/>
        <v/>
      </c>
      <c r="B2061" s="59"/>
      <c r="C2061" s="59"/>
      <c r="D2061" s="59"/>
      <c r="E2061" s="59"/>
      <c r="F2061" s="59"/>
      <c r="G2061" s="61"/>
      <c r="H2061" s="63"/>
      <c r="I2061" s="62"/>
      <c r="J2061" s="63"/>
      <c r="K2061" s="62"/>
      <c r="L2061" s="61"/>
      <c r="M2061" s="62"/>
      <c r="N2061" s="61"/>
      <c r="O2061" s="62"/>
      <c r="P2061" s="61"/>
      <c r="Q2061" s="62"/>
      <c r="R2061" s="59"/>
      <c r="S2061" s="59"/>
      <c r="AA2061" s="129">
        <v>1037125</v>
      </c>
      <c r="AB2061" s="130">
        <v>37110417.361504003</v>
      </c>
      <c r="AC2061" s="130">
        <v>37110417.361504003</v>
      </c>
    </row>
    <row r="2062" spans="1:29" x14ac:dyDescent="0.25">
      <c r="A2062" t="str">
        <f t="shared" si="33"/>
        <v/>
      </c>
      <c r="B2062" s="59"/>
      <c r="C2062" s="59"/>
      <c r="D2062" s="59"/>
      <c r="E2062" s="59"/>
      <c r="F2062" s="59"/>
      <c r="G2062" s="61"/>
      <c r="H2062" s="63"/>
      <c r="I2062" s="62"/>
      <c r="J2062" s="63"/>
      <c r="K2062" s="62"/>
      <c r="L2062" s="61"/>
      <c r="M2062" s="62"/>
      <c r="N2062" s="61"/>
      <c r="O2062" s="62"/>
      <c r="P2062" s="61"/>
      <c r="Q2062" s="62"/>
      <c r="R2062" s="59"/>
      <c r="S2062" s="59"/>
      <c r="AA2062" s="131" t="s">
        <v>389</v>
      </c>
      <c r="AB2062" s="130">
        <v>3391445.8615040001</v>
      </c>
      <c r="AC2062" s="130">
        <v>3391445.8615040001</v>
      </c>
    </row>
    <row r="2063" spans="1:29" x14ac:dyDescent="0.25">
      <c r="A2063" t="str">
        <f t="shared" si="33"/>
        <v/>
      </c>
      <c r="B2063" s="59"/>
      <c r="C2063" s="59"/>
      <c r="D2063" s="59"/>
      <c r="E2063" s="59"/>
      <c r="F2063" s="59"/>
      <c r="G2063" s="61"/>
      <c r="H2063" s="63"/>
      <c r="I2063" s="62"/>
      <c r="J2063" s="63"/>
      <c r="K2063" s="62"/>
      <c r="L2063" s="61"/>
      <c r="M2063" s="62"/>
      <c r="N2063" s="61"/>
      <c r="O2063" s="62"/>
      <c r="P2063" s="61"/>
      <c r="Q2063" s="62"/>
      <c r="R2063" s="59"/>
      <c r="S2063" s="59"/>
      <c r="AA2063" s="131" t="s">
        <v>410</v>
      </c>
      <c r="AB2063" s="130">
        <v>9062164</v>
      </c>
      <c r="AC2063" s="130">
        <v>9062164</v>
      </c>
    </row>
    <row r="2064" spans="1:29" x14ac:dyDescent="0.25">
      <c r="A2064" t="str">
        <f t="shared" si="33"/>
        <v/>
      </c>
      <c r="B2064" s="59"/>
      <c r="C2064" s="59"/>
      <c r="D2064" s="59"/>
      <c r="E2064" s="59"/>
      <c r="F2064" s="59"/>
      <c r="G2064" s="61"/>
      <c r="H2064" s="63"/>
      <c r="I2064" s="62"/>
      <c r="J2064" s="63"/>
      <c r="K2064" s="62"/>
      <c r="L2064" s="61"/>
      <c r="M2064" s="62"/>
      <c r="N2064" s="61"/>
      <c r="O2064" s="62"/>
      <c r="P2064" s="61"/>
      <c r="Q2064" s="62"/>
      <c r="R2064" s="59"/>
      <c r="S2064" s="59"/>
      <c r="AA2064" s="131" t="s">
        <v>612</v>
      </c>
      <c r="AB2064" s="130">
        <v>24656807.5</v>
      </c>
      <c r="AC2064" s="130">
        <v>24656807.5</v>
      </c>
    </row>
    <row r="2065" spans="1:29" x14ac:dyDescent="0.25">
      <c r="A2065" t="str">
        <f t="shared" si="33"/>
        <v/>
      </c>
      <c r="B2065" s="59"/>
      <c r="C2065" s="59"/>
      <c r="D2065" s="59"/>
      <c r="E2065" s="59"/>
      <c r="F2065" s="59"/>
      <c r="G2065" s="61"/>
      <c r="H2065" s="63"/>
      <c r="I2065" s="62"/>
      <c r="J2065" s="63"/>
      <c r="K2065" s="62"/>
      <c r="L2065" s="61"/>
      <c r="M2065" s="62"/>
      <c r="N2065" s="61"/>
      <c r="O2065" s="62"/>
      <c r="P2065" s="61"/>
      <c r="Q2065" s="62"/>
      <c r="R2065" s="59"/>
      <c r="S2065" s="59"/>
      <c r="AA2065" s="129" t="s">
        <v>20</v>
      </c>
      <c r="AB2065" s="130"/>
      <c r="AC2065" s="130"/>
    </row>
    <row r="2066" spans="1:29" x14ac:dyDescent="0.25">
      <c r="A2066" t="str">
        <f t="shared" si="33"/>
        <v/>
      </c>
      <c r="B2066" s="59"/>
      <c r="C2066" s="59"/>
      <c r="D2066" s="59"/>
      <c r="E2066" s="59"/>
      <c r="F2066" s="59"/>
      <c r="G2066" s="61"/>
      <c r="H2066" s="63"/>
      <c r="I2066" s="62"/>
      <c r="J2066" s="63"/>
      <c r="K2066" s="62"/>
      <c r="L2066" s="61"/>
      <c r="M2066" s="62"/>
      <c r="N2066" s="61"/>
      <c r="O2066" s="62"/>
      <c r="P2066" s="61"/>
      <c r="Q2066" s="62"/>
      <c r="R2066" s="59"/>
      <c r="S2066" s="59"/>
      <c r="AA2066" s="131" t="s">
        <v>20</v>
      </c>
      <c r="AB2066" s="130"/>
      <c r="AC2066" s="130"/>
    </row>
    <row r="2067" spans="1:29" x14ac:dyDescent="0.25">
      <c r="A2067" t="str">
        <f t="shared" si="33"/>
        <v/>
      </c>
      <c r="B2067" s="59"/>
      <c r="C2067" s="59"/>
      <c r="D2067" s="59"/>
      <c r="E2067" s="59"/>
      <c r="F2067" s="59"/>
      <c r="G2067" s="61"/>
      <c r="H2067" s="63"/>
      <c r="I2067" s="62"/>
      <c r="J2067" s="63"/>
      <c r="K2067" s="62"/>
      <c r="L2067" s="61"/>
      <c r="M2067" s="62"/>
      <c r="N2067" s="61"/>
      <c r="O2067" s="62"/>
      <c r="P2067" s="61"/>
      <c r="Q2067" s="62"/>
      <c r="R2067" s="59"/>
      <c r="S2067" s="59"/>
      <c r="AA2067" s="129">
        <v>1036724</v>
      </c>
      <c r="AB2067" s="130">
        <v>9398474.0984480008</v>
      </c>
      <c r="AC2067" s="130">
        <v>9398474.0984480008</v>
      </c>
    </row>
    <row r="2068" spans="1:29" x14ac:dyDescent="0.25">
      <c r="A2068" t="str">
        <f t="shared" si="33"/>
        <v/>
      </c>
      <c r="B2068" s="59"/>
      <c r="C2068" s="59"/>
      <c r="D2068" s="59"/>
      <c r="E2068" s="59"/>
      <c r="F2068" s="59"/>
      <c r="G2068" s="61"/>
      <c r="H2068" s="63"/>
      <c r="I2068" s="62"/>
      <c r="J2068" s="63"/>
      <c r="K2068" s="62"/>
      <c r="L2068" s="61"/>
      <c r="M2068" s="62"/>
      <c r="N2068" s="61"/>
      <c r="O2068" s="62"/>
      <c r="P2068" s="61"/>
      <c r="Q2068" s="62"/>
      <c r="R2068" s="59"/>
      <c r="S2068" s="59"/>
      <c r="AA2068" s="131" t="s">
        <v>389</v>
      </c>
      <c r="AB2068" s="130">
        <v>9398474.0984480008</v>
      </c>
      <c r="AC2068" s="130">
        <v>9398474.0984480008</v>
      </c>
    </row>
    <row r="2069" spans="1:29" x14ac:dyDescent="0.25">
      <c r="A2069" t="str">
        <f t="shared" si="33"/>
        <v/>
      </c>
      <c r="B2069" s="59"/>
      <c r="C2069" s="59"/>
      <c r="D2069" s="59"/>
      <c r="E2069" s="59"/>
      <c r="F2069" s="59"/>
      <c r="G2069" s="61"/>
      <c r="H2069" s="63"/>
      <c r="I2069" s="62"/>
      <c r="J2069" s="63"/>
      <c r="K2069" s="62"/>
      <c r="L2069" s="61"/>
      <c r="M2069" s="62"/>
      <c r="N2069" s="61"/>
      <c r="O2069" s="62"/>
      <c r="P2069" s="61"/>
      <c r="Q2069" s="62"/>
      <c r="R2069" s="59"/>
      <c r="S2069" s="59"/>
      <c r="AA2069" s="129">
        <v>65508989338</v>
      </c>
      <c r="AB2069" s="130">
        <v>57461140.273712002</v>
      </c>
      <c r="AC2069" s="130">
        <v>57461140.273712002</v>
      </c>
    </row>
    <row r="2070" spans="1:29" x14ac:dyDescent="0.25">
      <c r="A2070" t="str">
        <f t="shared" si="33"/>
        <v/>
      </c>
      <c r="B2070" s="59"/>
      <c r="C2070" s="59"/>
      <c r="D2070" s="59"/>
      <c r="E2070" s="59"/>
      <c r="F2070" s="59"/>
      <c r="G2070" s="61"/>
      <c r="H2070" s="63"/>
      <c r="I2070" s="62"/>
      <c r="J2070" s="63"/>
      <c r="K2070" s="62"/>
      <c r="L2070" s="61"/>
      <c r="M2070" s="62"/>
      <c r="N2070" s="61"/>
      <c r="O2070" s="62"/>
      <c r="P2070" s="61"/>
      <c r="Q2070" s="62"/>
      <c r="R2070" s="59"/>
      <c r="S2070" s="59"/>
      <c r="AA2070" s="131" t="s">
        <v>389</v>
      </c>
      <c r="AB2070" s="130">
        <v>57461140.273712002</v>
      </c>
      <c r="AC2070" s="130">
        <v>57461140.273712002</v>
      </c>
    </row>
    <row r="2071" spans="1:29" x14ac:dyDescent="0.25">
      <c r="A2071" t="str">
        <f t="shared" si="33"/>
        <v/>
      </c>
      <c r="B2071" s="59"/>
      <c r="C2071" s="59"/>
      <c r="D2071" s="59"/>
      <c r="E2071" s="59"/>
      <c r="F2071" s="59"/>
      <c r="G2071" s="61"/>
      <c r="H2071" s="63"/>
      <c r="I2071" s="62"/>
      <c r="J2071" s="63"/>
      <c r="K2071" s="62"/>
      <c r="L2071" s="61"/>
      <c r="M2071" s="62"/>
      <c r="N2071" s="61"/>
      <c r="O2071" s="62"/>
      <c r="P2071" s="61"/>
      <c r="Q2071" s="62"/>
      <c r="R2071" s="59"/>
      <c r="S2071" s="59"/>
      <c r="AA2071" s="129">
        <v>1037923</v>
      </c>
      <c r="AB2071" s="130">
        <v>1499134.751252</v>
      </c>
      <c r="AC2071" s="130">
        <v>1499134.751252</v>
      </c>
    </row>
    <row r="2072" spans="1:29" x14ac:dyDescent="0.25">
      <c r="A2072" t="str">
        <f t="shared" si="33"/>
        <v/>
      </c>
      <c r="B2072" s="59"/>
      <c r="C2072" s="59"/>
      <c r="D2072" s="59"/>
      <c r="E2072" s="59"/>
      <c r="F2072" s="59"/>
      <c r="G2072" s="61"/>
      <c r="H2072" s="63"/>
      <c r="I2072" s="62"/>
      <c r="J2072" s="63"/>
      <c r="K2072" s="62"/>
      <c r="L2072" s="61"/>
      <c r="M2072" s="62"/>
      <c r="N2072" s="61"/>
      <c r="O2072" s="62"/>
      <c r="P2072" s="61"/>
      <c r="Q2072" s="62"/>
      <c r="R2072" s="59"/>
      <c r="S2072" s="59"/>
      <c r="AA2072" s="131" t="s">
        <v>389</v>
      </c>
      <c r="AB2072" s="130">
        <v>1499134.751252</v>
      </c>
      <c r="AC2072" s="130">
        <v>1499134.751252</v>
      </c>
    </row>
    <row r="2073" spans="1:29" x14ac:dyDescent="0.25">
      <c r="A2073" t="str">
        <f t="shared" si="33"/>
        <v/>
      </c>
      <c r="B2073" s="59"/>
      <c r="C2073" s="59"/>
      <c r="D2073" s="59"/>
      <c r="E2073" s="59"/>
      <c r="F2073" s="59"/>
      <c r="G2073" s="61"/>
      <c r="H2073" s="63"/>
      <c r="I2073" s="62"/>
      <c r="J2073" s="63"/>
      <c r="K2073" s="62"/>
      <c r="L2073" s="61"/>
      <c r="M2073" s="62"/>
      <c r="N2073" s="61"/>
      <c r="O2073" s="62"/>
      <c r="P2073" s="61"/>
      <c r="Q2073" s="62"/>
      <c r="R2073" s="59"/>
      <c r="S2073" s="59"/>
      <c r="AA2073" s="129">
        <v>1037925</v>
      </c>
      <c r="AB2073" s="130">
        <v>1531784.5237159999</v>
      </c>
      <c r="AC2073" s="130">
        <v>1531784.5237159999</v>
      </c>
    </row>
    <row r="2074" spans="1:29" x14ac:dyDescent="0.25">
      <c r="A2074" t="str">
        <f t="shared" si="33"/>
        <v/>
      </c>
      <c r="B2074" s="59"/>
      <c r="C2074" s="59"/>
      <c r="D2074" s="59"/>
      <c r="E2074" s="59"/>
      <c r="F2074" s="59"/>
      <c r="G2074" s="61"/>
      <c r="H2074" s="63"/>
      <c r="I2074" s="62"/>
      <c r="J2074" s="63"/>
      <c r="K2074" s="62"/>
      <c r="L2074" s="61"/>
      <c r="M2074" s="62"/>
      <c r="N2074" s="61"/>
      <c r="O2074" s="62"/>
      <c r="P2074" s="61"/>
      <c r="Q2074" s="62"/>
      <c r="R2074" s="59"/>
      <c r="S2074" s="59"/>
      <c r="AA2074" s="131" t="s">
        <v>389</v>
      </c>
      <c r="AB2074" s="130">
        <v>1531784.5237159999</v>
      </c>
      <c r="AC2074" s="130">
        <v>1531784.5237159999</v>
      </c>
    </row>
    <row r="2075" spans="1:29" x14ac:dyDescent="0.25">
      <c r="A2075" t="str">
        <f t="shared" si="33"/>
        <v/>
      </c>
      <c r="B2075" s="59"/>
      <c r="C2075" s="59"/>
      <c r="D2075" s="59"/>
      <c r="E2075" s="59"/>
      <c r="F2075" s="59"/>
      <c r="G2075" s="61"/>
      <c r="H2075" s="63"/>
      <c r="I2075" s="62"/>
      <c r="J2075" s="63"/>
      <c r="K2075" s="62"/>
      <c r="L2075" s="61"/>
      <c r="M2075" s="62"/>
      <c r="N2075" s="61"/>
      <c r="O2075" s="62"/>
      <c r="P2075" s="61"/>
      <c r="Q2075" s="62"/>
      <c r="R2075" s="59"/>
      <c r="S2075" s="59"/>
      <c r="AA2075" s="129">
        <v>1037540</v>
      </c>
      <c r="AB2075" s="130">
        <v>27059361.441995993</v>
      </c>
      <c r="AC2075" s="130">
        <v>27059361.441995993</v>
      </c>
    </row>
    <row r="2076" spans="1:29" x14ac:dyDescent="0.25">
      <c r="A2076" t="str">
        <f t="shared" si="33"/>
        <v/>
      </c>
      <c r="B2076" s="59"/>
      <c r="C2076" s="59"/>
      <c r="D2076" s="59"/>
      <c r="E2076" s="59"/>
      <c r="F2076" s="59"/>
      <c r="G2076" s="61"/>
      <c r="H2076" s="63"/>
      <c r="I2076" s="62"/>
      <c r="J2076" s="63"/>
      <c r="K2076" s="62"/>
      <c r="L2076" s="61"/>
      <c r="M2076" s="62"/>
      <c r="N2076" s="61"/>
      <c r="O2076" s="62"/>
      <c r="P2076" s="61"/>
      <c r="Q2076" s="62"/>
      <c r="R2076" s="59"/>
      <c r="S2076" s="59"/>
      <c r="AA2076" s="131" t="s">
        <v>366</v>
      </c>
      <c r="AB2076" s="130">
        <v>6761036.1500000004</v>
      </c>
      <c r="AC2076" s="130">
        <v>6761036.1500000004</v>
      </c>
    </row>
    <row r="2077" spans="1:29" x14ac:dyDescent="0.25">
      <c r="A2077" t="str">
        <f t="shared" si="33"/>
        <v/>
      </c>
      <c r="B2077" s="59"/>
      <c r="C2077" s="59"/>
      <c r="D2077" s="59"/>
      <c r="E2077" s="59"/>
      <c r="F2077" s="59"/>
      <c r="G2077" s="61"/>
      <c r="H2077" s="63"/>
      <c r="I2077" s="62"/>
      <c r="J2077" s="63"/>
      <c r="K2077" s="62"/>
      <c r="L2077" s="61"/>
      <c r="M2077" s="62"/>
      <c r="N2077" s="61"/>
      <c r="O2077" s="62"/>
      <c r="P2077" s="61"/>
      <c r="Q2077" s="62"/>
      <c r="R2077" s="59"/>
      <c r="S2077" s="59"/>
      <c r="AA2077" s="131" t="s">
        <v>376</v>
      </c>
      <c r="AB2077" s="130">
        <v>460409.14322199998</v>
      </c>
      <c r="AC2077" s="130">
        <v>460409.14322199998</v>
      </c>
    </row>
    <row r="2078" spans="1:29" x14ac:dyDescent="0.25">
      <c r="A2078" t="str">
        <f t="shared" si="33"/>
        <v/>
      </c>
      <c r="B2078" s="59"/>
      <c r="C2078" s="59"/>
      <c r="D2078" s="59"/>
      <c r="E2078" s="59"/>
      <c r="F2078" s="59"/>
      <c r="G2078" s="61"/>
      <c r="H2078" s="63"/>
      <c r="I2078" s="62"/>
      <c r="J2078" s="63"/>
      <c r="K2078" s="62"/>
      <c r="L2078" s="61"/>
      <c r="M2078" s="62"/>
      <c r="N2078" s="61"/>
      <c r="O2078" s="62"/>
      <c r="P2078" s="61"/>
      <c r="Q2078" s="62"/>
      <c r="R2078" s="59"/>
      <c r="S2078" s="59"/>
      <c r="AA2078" s="131" t="s">
        <v>378</v>
      </c>
      <c r="AB2078" s="130">
        <v>740349.71815500001</v>
      </c>
      <c r="AC2078" s="130">
        <v>740349.71815500001</v>
      </c>
    </row>
    <row r="2079" spans="1:29" x14ac:dyDescent="0.25">
      <c r="A2079" t="str">
        <f t="shared" si="33"/>
        <v/>
      </c>
      <c r="B2079" s="59"/>
      <c r="C2079" s="59"/>
      <c r="D2079" s="59"/>
      <c r="E2079" s="59"/>
      <c r="F2079" s="59"/>
      <c r="G2079" s="61"/>
      <c r="H2079" s="63"/>
      <c r="I2079" s="62"/>
      <c r="J2079" s="63"/>
      <c r="K2079" s="62"/>
      <c r="L2079" s="61"/>
      <c r="M2079" s="62"/>
      <c r="N2079" s="61"/>
      <c r="O2079" s="62"/>
      <c r="P2079" s="61"/>
      <c r="Q2079" s="62"/>
      <c r="R2079" s="59"/>
      <c r="S2079" s="59"/>
      <c r="AA2079" s="131" t="s">
        <v>380</v>
      </c>
      <c r="AB2079" s="130">
        <v>642001.64095999999</v>
      </c>
      <c r="AC2079" s="130">
        <v>642001.64095999999</v>
      </c>
    </row>
    <row r="2080" spans="1:29" x14ac:dyDescent="0.25">
      <c r="A2080" t="str">
        <f t="shared" si="33"/>
        <v/>
      </c>
      <c r="B2080" s="59"/>
      <c r="C2080" s="59"/>
      <c r="D2080" s="59"/>
      <c r="E2080" s="59"/>
      <c r="F2080" s="59"/>
      <c r="G2080" s="61"/>
      <c r="H2080" s="63"/>
      <c r="I2080" s="62"/>
      <c r="J2080" s="63"/>
      <c r="K2080" s="62"/>
      <c r="L2080" s="61"/>
      <c r="M2080" s="62"/>
      <c r="N2080" s="61"/>
      <c r="O2080" s="62"/>
      <c r="P2080" s="61"/>
      <c r="Q2080" s="62"/>
      <c r="R2080" s="59"/>
      <c r="S2080" s="59"/>
      <c r="AA2080" s="131" t="s">
        <v>382</v>
      </c>
      <c r="AB2080" s="130">
        <v>668575.79301499994</v>
      </c>
      <c r="AC2080" s="130">
        <v>668575.79301499994</v>
      </c>
    </row>
    <row r="2081" spans="1:29" x14ac:dyDescent="0.25">
      <c r="A2081" t="str">
        <f t="shared" si="33"/>
        <v/>
      </c>
      <c r="B2081" s="59"/>
      <c r="C2081" s="59"/>
      <c r="D2081" s="59"/>
      <c r="E2081" s="59"/>
      <c r="F2081" s="59"/>
      <c r="G2081" s="61"/>
      <c r="H2081" s="63"/>
      <c r="I2081" s="62"/>
      <c r="J2081" s="63"/>
      <c r="K2081" s="62"/>
      <c r="L2081" s="61"/>
      <c r="M2081" s="62"/>
      <c r="N2081" s="61"/>
      <c r="O2081" s="62"/>
      <c r="P2081" s="61"/>
      <c r="Q2081" s="62"/>
      <c r="R2081" s="59"/>
      <c r="S2081" s="59"/>
      <c r="AA2081" s="131" t="s">
        <v>427</v>
      </c>
      <c r="AB2081" s="130">
        <v>169479.93384000001</v>
      </c>
      <c r="AC2081" s="130">
        <v>169479.93384000001</v>
      </c>
    </row>
    <row r="2082" spans="1:29" x14ac:dyDescent="0.25">
      <c r="A2082" t="str">
        <f t="shared" si="33"/>
        <v/>
      </c>
      <c r="B2082" s="59"/>
      <c r="C2082" s="59"/>
      <c r="D2082" s="59"/>
      <c r="E2082" s="59"/>
      <c r="F2082" s="59"/>
      <c r="G2082" s="61"/>
      <c r="H2082" s="63"/>
      <c r="I2082" s="62"/>
      <c r="J2082" s="63"/>
      <c r="K2082" s="62"/>
      <c r="L2082" s="61"/>
      <c r="M2082" s="62"/>
      <c r="N2082" s="61"/>
      <c r="O2082" s="62"/>
      <c r="P2082" s="61"/>
      <c r="Q2082" s="62"/>
      <c r="R2082" s="59"/>
      <c r="S2082" s="59"/>
      <c r="AA2082" s="131" t="s">
        <v>418</v>
      </c>
      <c r="AB2082" s="130">
        <v>106523.5143</v>
      </c>
      <c r="AC2082" s="130">
        <v>106523.5143</v>
      </c>
    </row>
    <row r="2083" spans="1:29" x14ac:dyDescent="0.25">
      <c r="A2083" t="str">
        <f t="shared" si="33"/>
        <v/>
      </c>
      <c r="B2083" s="59"/>
      <c r="C2083" s="59"/>
      <c r="D2083" s="59"/>
      <c r="E2083" s="59"/>
      <c r="F2083" s="59"/>
      <c r="G2083" s="61"/>
      <c r="H2083" s="63"/>
      <c r="I2083" s="62"/>
      <c r="J2083" s="63"/>
      <c r="K2083" s="62"/>
      <c r="L2083" s="61"/>
      <c r="M2083" s="62"/>
      <c r="N2083" s="61"/>
      <c r="O2083" s="62"/>
      <c r="P2083" s="61"/>
      <c r="Q2083" s="62"/>
      <c r="R2083" s="59"/>
      <c r="S2083" s="59"/>
      <c r="AA2083" s="131" t="s">
        <v>408</v>
      </c>
      <c r="AB2083" s="130">
        <v>243560.49832399999</v>
      </c>
      <c r="AC2083" s="130">
        <v>243560.49832399999</v>
      </c>
    </row>
    <row r="2084" spans="1:29" x14ac:dyDescent="0.25">
      <c r="A2084" t="str">
        <f t="shared" si="33"/>
        <v/>
      </c>
      <c r="B2084" s="59"/>
      <c r="C2084" s="59"/>
      <c r="D2084" s="59"/>
      <c r="E2084" s="59"/>
      <c r="F2084" s="59"/>
      <c r="G2084" s="61"/>
      <c r="H2084" s="63"/>
      <c r="I2084" s="62"/>
      <c r="J2084" s="63"/>
      <c r="K2084" s="62"/>
      <c r="L2084" s="61"/>
      <c r="M2084" s="62"/>
      <c r="N2084" s="61"/>
      <c r="O2084" s="62"/>
      <c r="P2084" s="61"/>
      <c r="Q2084" s="62"/>
      <c r="R2084" s="59"/>
      <c r="S2084" s="59"/>
      <c r="AA2084" s="131" t="s">
        <v>391</v>
      </c>
      <c r="AB2084" s="130">
        <v>836195.74638599996</v>
      </c>
      <c r="AC2084" s="130">
        <v>836195.74638599996</v>
      </c>
    </row>
    <row r="2085" spans="1:29" x14ac:dyDescent="0.25">
      <c r="A2085" t="str">
        <f t="shared" si="33"/>
        <v/>
      </c>
      <c r="B2085" s="59"/>
      <c r="C2085" s="59"/>
      <c r="D2085" s="59"/>
      <c r="E2085" s="59"/>
      <c r="F2085" s="59"/>
      <c r="G2085" s="61"/>
      <c r="H2085" s="63"/>
      <c r="I2085" s="62"/>
      <c r="J2085" s="63"/>
      <c r="K2085" s="62"/>
      <c r="L2085" s="61"/>
      <c r="M2085" s="62"/>
      <c r="N2085" s="61"/>
      <c r="O2085" s="62"/>
      <c r="P2085" s="61"/>
      <c r="Q2085" s="62"/>
      <c r="R2085" s="59"/>
      <c r="S2085" s="59"/>
      <c r="AA2085" s="131" t="s">
        <v>395</v>
      </c>
      <c r="AB2085" s="130">
        <v>268978.58382</v>
      </c>
      <c r="AC2085" s="130">
        <v>268978.58382</v>
      </c>
    </row>
    <row r="2086" spans="1:29" x14ac:dyDescent="0.25">
      <c r="A2086" t="str">
        <f t="shared" si="33"/>
        <v/>
      </c>
      <c r="B2086" s="59"/>
      <c r="C2086" s="59"/>
      <c r="D2086" s="59"/>
      <c r="E2086" s="59"/>
      <c r="F2086" s="59"/>
      <c r="G2086" s="61"/>
      <c r="H2086" s="63"/>
      <c r="I2086" s="62"/>
      <c r="J2086" s="63"/>
      <c r="K2086" s="62"/>
      <c r="L2086" s="61"/>
      <c r="M2086" s="62"/>
      <c r="N2086" s="61"/>
      <c r="O2086" s="62"/>
      <c r="P2086" s="61"/>
      <c r="Q2086" s="62"/>
      <c r="R2086" s="59"/>
      <c r="S2086" s="59"/>
      <c r="AA2086" s="131" t="s">
        <v>396</v>
      </c>
      <c r="AB2086" s="130">
        <v>957556.08727999998</v>
      </c>
      <c r="AC2086" s="130">
        <v>957556.08727999998</v>
      </c>
    </row>
    <row r="2087" spans="1:29" x14ac:dyDescent="0.25">
      <c r="A2087" t="str">
        <f t="shared" si="33"/>
        <v/>
      </c>
      <c r="B2087" s="59"/>
      <c r="C2087" s="59"/>
      <c r="D2087" s="59"/>
      <c r="E2087" s="59"/>
      <c r="F2087" s="59"/>
      <c r="G2087" s="61"/>
      <c r="H2087" s="63"/>
      <c r="I2087" s="62"/>
      <c r="J2087" s="63"/>
      <c r="K2087" s="62"/>
      <c r="L2087" s="61"/>
      <c r="M2087" s="62"/>
      <c r="N2087" s="61"/>
      <c r="O2087" s="62"/>
      <c r="P2087" s="61"/>
      <c r="Q2087" s="62"/>
      <c r="R2087" s="59"/>
      <c r="S2087" s="59"/>
      <c r="AA2087" s="131" t="s">
        <v>398</v>
      </c>
      <c r="AB2087" s="130">
        <v>504361.88585100003</v>
      </c>
      <c r="AC2087" s="130">
        <v>504361.88585100003</v>
      </c>
    </row>
    <row r="2088" spans="1:29" x14ac:dyDescent="0.25">
      <c r="A2088" t="str">
        <f t="shared" si="33"/>
        <v/>
      </c>
      <c r="B2088" s="59"/>
      <c r="C2088" s="59"/>
      <c r="D2088" s="59"/>
      <c r="E2088" s="59"/>
      <c r="F2088" s="59"/>
      <c r="G2088" s="59"/>
      <c r="H2088" s="59"/>
      <c r="I2088" s="59"/>
      <c r="J2088" s="59"/>
      <c r="K2088" s="59"/>
      <c r="L2088" s="59"/>
      <c r="M2088" s="59"/>
      <c r="N2088" s="59"/>
      <c r="O2088" s="59"/>
      <c r="P2088" s="59"/>
      <c r="Q2088" s="59"/>
      <c r="R2088" s="59"/>
      <c r="S2088" s="59"/>
      <c r="AA2088" s="131" t="s">
        <v>381</v>
      </c>
      <c r="AB2088" s="130">
        <v>593507.702192</v>
      </c>
      <c r="AC2088" s="130">
        <v>593507.702192</v>
      </c>
    </row>
    <row r="2089" spans="1:29" x14ac:dyDescent="0.25">
      <c r="A2089" t="str">
        <f t="shared" si="33"/>
        <v/>
      </c>
      <c r="B2089" s="59"/>
      <c r="C2089" s="59"/>
      <c r="D2089" s="59"/>
      <c r="E2089" s="59"/>
      <c r="F2089" s="59"/>
      <c r="G2089" s="61"/>
      <c r="H2089" s="63"/>
      <c r="I2089" s="62"/>
      <c r="J2089" s="63"/>
      <c r="K2089" s="62"/>
      <c r="L2089" s="61"/>
      <c r="M2089" s="62"/>
      <c r="N2089" s="61"/>
      <c r="O2089" s="62"/>
      <c r="P2089" s="61"/>
      <c r="Q2089" s="62"/>
      <c r="R2089" s="59"/>
      <c r="S2089" s="59"/>
      <c r="AA2089" s="131" t="s">
        <v>467</v>
      </c>
      <c r="AB2089" s="130">
        <v>4418876.71</v>
      </c>
      <c r="AC2089" s="130">
        <v>4418876.71</v>
      </c>
    </row>
    <row r="2090" spans="1:29" x14ac:dyDescent="0.25">
      <c r="A2090" t="str">
        <f t="shared" si="33"/>
        <v/>
      </c>
      <c r="B2090" s="59"/>
      <c r="C2090" s="59"/>
      <c r="D2090" s="59"/>
      <c r="E2090" s="59"/>
      <c r="F2090" s="59"/>
      <c r="G2090" s="61"/>
      <c r="H2090" s="63"/>
      <c r="I2090" s="62"/>
      <c r="J2090" s="63"/>
      <c r="K2090" s="62"/>
      <c r="L2090" s="61"/>
      <c r="M2090" s="62"/>
      <c r="N2090" s="61"/>
      <c r="O2090" s="62"/>
      <c r="P2090" s="61"/>
      <c r="Q2090" s="62"/>
      <c r="R2090" s="59"/>
      <c r="S2090" s="59"/>
      <c r="AA2090" s="131" t="s">
        <v>393</v>
      </c>
      <c r="AB2090" s="130">
        <v>1185650.1708839999</v>
      </c>
      <c r="AC2090" s="130">
        <v>1185650.1708839999</v>
      </c>
    </row>
    <row r="2091" spans="1:29" x14ac:dyDescent="0.25">
      <c r="A2091" t="str">
        <f t="shared" si="33"/>
        <v/>
      </c>
      <c r="B2091" s="59"/>
      <c r="C2091" s="59"/>
      <c r="D2091" s="59"/>
      <c r="E2091" s="59"/>
      <c r="F2091" s="59"/>
      <c r="G2091" s="61"/>
      <c r="H2091" s="63"/>
      <c r="I2091" s="62"/>
      <c r="J2091" s="63"/>
      <c r="K2091" s="62"/>
      <c r="L2091" s="61"/>
      <c r="M2091" s="62"/>
      <c r="N2091" s="61"/>
      <c r="O2091" s="62"/>
      <c r="P2091" s="61"/>
      <c r="Q2091" s="62"/>
      <c r="R2091" s="59"/>
      <c r="S2091" s="59"/>
      <c r="AA2091" s="131" t="s">
        <v>385</v>
      </c>
      <c r="AB2091" s="130">
        <v>164737.50678</v>
      </c>
      <c r="AC2091" s="130">
        <v>164737.50678</v>
      </c>
    </row>
    <row r="2092" spans="1:29" x14ac:dyDescent="0.25">
      <c r="A2092" t="str">
        <f t="shared" si="33"/>
        <v/>
      </c>
      <c r="B2092" s="59"/>
      <c r="C2092" s="59"/>
      <c r="D2092" s="59"/>
      <c r="E2092" s="59"/>
      <c r="F2092" s="59"/>
      <c r="G2092" s="61"/>
      <c r="H2092" s="63"/>
      <c r="I2092" s="62"/>
      <c r="J2092" s="63"/>
      <c r="K2092" s="62"/>
      <c r="L2092" s="61"/>
      <c r="M2092" s="62"/>
      <c r="N2092" s="61"/>
      <c r="O2092" s="62"/>
      <c r="P2092" s="61"/>
      <c r="Q2092" s="62"/>
      <c r="R2092" s="59"/>
      <c r="S2092" s="59"/>
      <c r="AA2092" s="131" t="s">
        <v>375</v>
      </c>
      <c r="AB2092" s="130">
        <v>624963.10916999995</v>
      </c>
      <c r="AC2092" s="130">
        <v>624963.10916999995</v>
      </c>
    </row>
    <row r="2093" spans="1:29" x14ac:dyDescent="0.25">
      <c r="A2093" t="str">
        <f t="shared" si="33"/>
        <v/>
      </c>
      <c r="B2093" s="59"/>
      <c r="C2093" s="59"/>
      <c r="D2093" s="59"/>
      <c r="E2093" s="59"/>
      <c r="F2093" s="59"/>
      <c r="G2093" s="61"/>
      <c r="H2093" s="63"/>
      <c r="I2093" s="62"/>
      <c r="J2093" s="63"/>
      <c r="K2093" s="62"/>
      <c r="L2093" s="61"/>
      <c r="M2093" s="62"/>
      <c r="N2093" s="61"/>
      <c r="O2093" s="62"/>
      <c r="P2093" s="61"/>
      <c r="Q2093" s="62"/>
      <c r="R2093" s="59"/>
      <c r="S2093" s="59"/>
      <c r="AA2093" s="131" t="s">
        <v>399</v>
      </c>
      <c r="AB2093" s="130">
        <v>1818662.898753</v>
      </c>
      <c r="AC2093" s="130">
        <v>1818662.898753</v>
      </c>
    </row>
    <row r="2094" spans="1:29" x14ac:dyDescent="0.25">
      <c r="A2094" t="str">
        <f t="shared" si="33"/>
        <v/>
      </c>
      <c r="B2094" s="59"/>
      <c r="C2094" s="59"/>
      <c r="D2094" s="59"/>
      <c r="E2094" s="59"/>
      <c r="F2094" s="59"/>
      <c r="G2094" s="61"/>
      <c r="H2094" s="63"/>
      <c r="I2094" s="62"/>
      <c r="J2094" s="63"/>
      <c r="K2094" s="62"/>
      <c r="L2094" s="61"/>
      <c r="M2094" s="62"/>
      <c r="N2094" s="61"/>
      <c r="O2094" s="62"/>
      <c r="P2094" s="61"/>
      <c r="Q2094" s="62"/>
      <c r="R2094" s="59"/>
      <c r="S2094" s="59"/>
      <c r="AA2094" s="131" t="s">
        <v>429</v>
      </c>
      <c r="AB2094" s="130">
        <v>1140615.172092</v>
      </c>
      <c r="AC2094" s="130">
        <v>1140615.172092</v>
      </c>
    </row>
    <row r="2095" spans="1:29" x14ac:dyDescent="0.25">
      <c r="A2095" t="str">
        <f t="shared" si="33"/>
        <v/>
      </c>
      <c r="B2095" s="59"/>
      <c r="C2095" s="59"/>
      <c r="D2095" s="59"/>
      <c r="E2095" s="59"/>
      <c r="F2095" s="59"/>
      <c r="G2095" s="61"/>
      <c r="H2095" s="63"/>
      <c r="I2095" s="62"/>
      <c r="J2095" s="63"/>
      <c r="K2095" s="62"/>
      <c r="L2095" s="61"/>
      <c r="M2095" s="62"/>
      <c r="N2095" s="61"/>
      <c r="O2095" s="62"/>
      <c r="P2095" s="61"/>
      <c r="Q2095" s="62"/>
      <c r="R2095" s="59"/>
      <c r="S2095" s="59"/>
      <c r="AA2095" s="131" t="s">
        <v>394</v>
      </c>
      <c r="AB2095" s="130">
        <v>623249.13378000003</v>
      </c>
      <c r="AC2095" s="130">
        <v>623249.13378000003</v>
      </c>
    </row>
    <row r="2096" spans="1:29" x14ac:dyDescent="0.25">
      <c r="A2096" t="str">
        <f t="shared" si="33"/>
        <v/>
      </c>
      <c r="B2096" s="59"/>
      <c r="C2096" s="59"/>
      <c r="D2096" s="59"/>
      <c r="E2096" s="59"/>
      <c r="F2096" s="59"/>
      <c r="G2096" s="61"/>
      <c r="H2096" s="63"/>
      <c r="I2096" s="62"/>
      <c r="J2096" s="63"/>
      <c r="K2096" s="62"/>
      <c r="L2096" s="61"/>
      <c r="M2096" s="62"/>
      <c r="N2096" s="61"/>
      <c r="O2096" s="62"/>
      <c r="P2096" s="61"/>
      <c r="Q2096" s="62"/>
      <c r="R2096" s="59"/>
      <c r="S2096" s="59"/>
      <c r="AA2096" s="131" t="s">
        <v>379</v>
      </c>
      <c r="AB2096" s="130">
        <v>299799.65574000002</v>
      </c>
      <c r="AC2096" s="130">
        <v>299799.65574000002</v>
      </c>
    </row>
    <row r="2097" spans="1:29" x14ac:dyDescent="0.25">
      <c r="A2097" t="str">
        <f t="shared" si="33"/>
        <v/>
      </c>
      <c r="B2097" s="59"/>
      <c r="C2097" s="59"/>
      <c r="D2097" s="59"/>
      <c r="E2097" s="59"/>
      <c r="F2097" s="59"/>
      <c r="G2097" s="61"/>
      <c r="H2097" s="63"/>
      <c r="I2097" s="62"/>
      <c r="J2097" s="63"/>
      <c r="K2097" s="62"/>
      <c r="L2097" s="61"/>
      <c r="M2097" s="62"/>
      <c r="N2097" s="61"/>
      <c r="O2097" s="62"/>
      <c r="P2097" s="61"/>
      <c r="Q2097" s="62"/>
      <c r="R2097" s="59"/>
      <c r="S2097" s="59"/>
      <c r="AA2097" s="131" t="s">
        <v>377</v>
      </c>
      <c r="AB2097" s="130">
        <v>129163.47992</v>
      </c>
      <c r="AC2097" s="130">
        <v>129163.47992</v>
      </c>
    </row>
    <row r="2098" spans="1:29" x14ac:dyDescent="0.25">
      <c r="A2098" t="str">
        <f t="shared" si="33"/>
        <v/>
      </c>
      <c r="B2098" s="59"/>
      <c r="C2098" s="59"/>
      <c r="D2098" s="59"/>
      <c r="E2098" s="59"/>
      <c r="F2098" s="59"/>
      <c r="G2098" s="61"/>
      <c r="H2098" s="63"/>
      <c r="I2098" s="62"/>
      <c r="J2098" s="63"/>
      <c r="K2098" s="62"/>
      <c r="L2098" s="61"/>
      <c r="M2098" s="62"/>
      <c r="N2098" s="61"/>
      <c r="O2098" s="62"/>
      <c r="P2098" s="61"/>
      <c r="Q2098" s="62"/>
      <c r="R2098" s="59"/>
      <c r="S2098" s="59"/>
      <c r="AA2098" s="131" t="s">
        <v>392</v>
      </c>
      <c r="AB2098" s="130">
        <v>530496.68672</v>
      </c>
      <c r="AC2098" s="130">
        <v>530496.68672</v>
      </c>
    </row>
    <row r="2099" spans="1:29" x14ac:dyDescent="0.25">
      <c r="A2099" t="str">
        <f t="shared" si="33"/>
        <v/>
      </c>
      <c r="B2099" s="59"/>
      <c r="C2099" s="59"/>
      <c r="D2099" s="59"/>
      <c r="E2099" s="59"/>
      <c r="F2099" s="59"/>
      <c r="G2099" s="61"/>
      <c r="H2099" s="63"/>
      <c r="I2099" s="62"/>
      <c r="J2099" s="63"/>
      <c r="K2099" s="62"/>
      <c r="L2099" s="61"/>
      <c r="M2099" s="62"/>
      <c r="N2099" s="61"/>
      <c r="O2099" s="62"/>
      <c r="P2099" s="61"/>
      <c r="Q2099" s="62"/>
      <c r="R2099" s="59"/>
      <c r="S2099" s="59"/>
      <c r="AA2099" s="131" t="s">
        <v>386</v>
      </c>
      <c r="AB2099" s="130">
        <v>185270.59028500001</v>
      </c>
      <c r="AC2099" s="130">
        <v>185270.59028500001</v>
      </c>
    </row>
    <row r="2100" spans="1:29" x14ac:dyDescent="0.25">
      <c r="A2100" t="str">
        <f t="shared" si="33"/>
        <v/>
      </c>
      <c r="B2100" s="59"/>
      <c r="C2100" s="59"/>
      <c r="D2100" s="59"/>
      <c r="E2100" s="59"/>
      <c r="F2100" s="59"/>
      <c r="G2100" s="61"/>
      <c r="H2100" s="63"/>
      <c r="I2100" s="62"/>
      <c r="J2100" s="63"/>
      <c r="K2100" s="62"/>
      <c r="L2100" s="61"/>
      <c r="M2100" s="62"/>
      <c r="N2100" s="61"/>
      <c r="O2100" s="62"/>
      <c r="P2100" s="61"/>
      <c r="Q2100" s="62"/>
      <c r="R2100" s="59"/>
      <c r="S2100" s="59"/>
      <c r="AA2100" s="131" t="s">
        <v>409</v>
      </c>
      <c r="AB2100" s="130">
        <v>1316027.3115900001</v>
      </c>
      <c r="AC2100" s="130">
        <v>1316027.3115900001</v>
      </c>
    </row>
    <row r="2101" spans="1:29" x14ac:dyDescent="0.25">
      <c r="A2101" t="str">
        <f t="shared" si="33"/>
        <v/>
      </c>
      <c r="B2101" s="59"/>
      <c r="C2101" s="59"/>
      <c r="D2101" s="59"/>
      <c r="E2101" s="59"/>
      <c r="F2101" s="59"/>
      <c r="G2101" s="61"/>
      <c r="H2101" s="63"/>
      <c r="I2101" s="62"/>
      <c r="J2101" s="63"/>
      <c r="K2101" s="62"/>
      <c r="L2101" s="61"/>
      <c r="M2101" s="62"/>
      <c r="N2101" s="61"/>
      <c r="O2101" s="62"/>
      <c r="P2101" s="61"/>
      <c r="Q2101" s="62"/>
      <c r="R2101" s="59"/>
      <c r="S2101" s="59"/>
      <c r="AA2101" s="131" t="s">
        <v>383</v>
      </c>
      <c r="AB2101" s="130">
        <v>433571.55384000001</v>
      </c>
      <c r="AC2101" s="130">
        <v>433571.55384000001</v>
      </c>
    </row>
    <row r="2102" spans="1:29" x14ac:dyDescent="0.25">
      <c r="A2102" t="str">
        <f t="shared" si="33"/>
        <v/>
      </c>
      <c r="B2102" s="59"/>
      <c r="C2102" s="59"/>
      <c r="D2102" s="59"/>
      <c r="E2102" s="59"/>
      <c r="F2102" s="59"/>
      <c r="G2102" s="61"/>
      <c r="H2102" s="63"/>
      <c r="I2102" s="62"/>
      <c r="J2102" s="63"/>
      <c r="K2102" s="62"/>
      <c r="L2102" s="61"/>
      <c r="M2102" s="62"/>
      <c r="N2102" s="61"/>
      <c r="O2102" s="62"/>
      <c r="P2102" s="61"/>
      <c r="Q2102" s="62"/>
      <c r="R2102" s="59"/>
      <c r="S2102" s="59"/>
      <c r="AA2102" s="131" t="s">
        <v>364</v>
      </c>
      <c r="AB2102" s="130">
        <v>992167.19051999995</v>
      </c>
      <c r="AC2102" s="130">
        <v>992167.19051999995</v>
      </c>
    </row>
    <row r="2103" spans="1:29" x14ac:dyDescent="0.25">
      <c r="A2103" t="str">
        <f t="shared" si="33"/>
        <v/>
      </c>
      <c r="B2103" s="59"/>
      <c r="C2103" s="59"/>
      <c r="D2103" s="59"/>
      <c r="E2103" s="59"/>
      <c r="F2103" s="59"/>
      <c r="G2103" s="61"/>
      <c r="H2103" s="63"/>
      <c r="I2103" s="62"/>
      <c r="J2103" s="63"/>
      <c r="K2103" s="62"/>
      <c r="L2103" s="61"/>
      <c r="M2103" s="62"/>
      <c r="N2103" s="61"/>
      <c r="O2103" s="62"/>
      <c r="P2103" s="61"/>
      <c r="Q2103" s="62"/>
      <c r="R2103" s="59"/>
      <c r="S2103" s="59"/>
      <c r="AA2103" s="131" t="s">
        <v>397</v>
      </c>
      <c r="AB2103" s="130">
        <v>243573.87457700001</v>
      </c>
      <c r="AC2103" s="130">
        <v>243573.87457700001</v>
      </c>
    </row>
    <row r="2104" spans="1:29" x14ac:dyDescent="0.25">
      <c r="A2104" t="str">
        <f t="shared" si="33"/>
        <v/>
      </c>
      <c r="B2104" s="85"/>
      <c r="C2104" s="85"/>
      <c r="D2104" s="85"/>
      <c r="E2104" s="85"/>
      <c r="F2104" s="85"/>
      <c r="G2104" s="86"/>
      <c r="H2104" s="88"/>
      <c r="I2104" s="87"/>
      <c r="J2104" s="88"/>
      <c r="K2104" s="87"/>
      <c r="L2104" s="86"/>
      <c r="M2104" s="87"/>
      <c r="N2104" s="86"/>
      <c r="O2104" s="87"/>
      <c r="P2104" s="86"/>
      <c r="Q2104" s="87"/>
      <c r="R2104" s="85"/>
      <c r="S2104" s="85"/>
      <c r="AA2104" s="129">
        <v>65508702490</v>
      </c>
      <c r="AB2104" s="130">
        <v>196894751.760088</v>
      </c>
      <c r="AC2104" s="130">
        <v>196894751.760088</v>
      </c>
    </row>
    <row r="2105" spans="1:29" x14ac:dyDescent="0.25">
      <c r="A2105" t="str">
        <f t="shared" si="33"/>
        <v/>
      </c>
      <c r="B2105" s="85"/>
      <c r="C2105" s="85"/>
      <c r="D2105" s="85"/>
      <c r="E2105" s="85"/>
      <c r="F2105" s="85"/>
      <c r="G2105" s="86"/>
      <c r="H2105" s="88"/>
      <c r="I2105" s="87"/>
      <c r="J2105" s="88"/>
      <c r="K2105" s="87"/>
      <c r="L2105" s="86"/>
      <c r="M2105" s="87"/>
      <c r="N2105" s="86"/>
      <c r="O2105" s="87"/>
      <c r="P2105" s="86"/>
      <c r="Q2105" s="87"/>
      <c r="R2105" s="85"/>
      <c r="S2105" s="85"/>
      <c r="AA2105" s="131" t="s">
        <v>389</v>
      </c>
      <c r="AB2105" s="130">
        <v>196894751.760088</v>
      </c>
      <c r="AC2105" s="130">
        <v>196894751.760088</v>
      </c>
    </row>
    <row r="2106" spans="1:29" x14ac:dyDescent="0.25">
      <c r="A2106" t="str">
        <f t="shared" si="33"/>
        <v/>
      </c>
      <c r="B2106" s="85"/>
      <c r="C2106" s="85"/>
      <c r="D2106" s="85"/>
      <c r="E2106" s="85"/>
      <c r="F2106" s="85"/>
      <c r="G2106" s="86"/>
      <c r="H2106" s="88"/>
      <c r="I2106" s="87"/>
      <c r="J2106" s="88"/>
      <c r="K2106" s="87"/>
      <c r="L2106" s="86"/>
      <c r="M2106" s="87"/>
      <c r="N2106" s="86"/>
      <c r="O2106" s="87"/>
      <c r="P2106" s="86"/>
      <c r="Q2106" s="87"/>
      <c r="R2106" s="85"/>
      <c r="S2106" s="85"/>
      <c r="AA2106" s="129">
        <v>1036723</v>
      </c>
      <c r="AB2106" s="130">
        <v>4302568.8086080002</v>
      </c>
      <c r="AC2106" s="130">
        <v>4302568.8086080002</v>
      </c>
    </row>
    <row r="2107" spans="1:29" x14ac:dyDescent="0.25">
      <c r="A2107" t="str">
        <f t="shared" si="33"/>
        <v/>
      </c>
      <c r="B2107" s="85"/>
      <c r="C2107" s="85"/>
      <c r="D2107" s="85"/>
      <c r="E2107" s="85"/>
      <c r="F2107" s="85"/>
      <c r="G2107" s="86"/>
      <c r="H2107" s="88"/>
      <c r="I2107" s="87"/>
      <c r="J2107" s="88"/>
      <c r="K2107" s="87"/>
      <c r="L2107" s="86"/>
      <c r="M2107" s="87"/>
      <c r="N2107" s="86"/>
      <c r="O2107" s="87"/>
      <c r="P2107" s="86"/>
      <c r="Q2107" s="87"/>
      <c r="R2107" s="85"/>
      <c r="S2107" s="85"/>
      <c r="AA2107" s="131" t="s">
        <v>389</v>
      </c>
      <c r="AB2107" s="130">
        <v>4302568.8086080002</v>
      </c>
      <c r="AC2107" s="130">
        <v>4302568.8086080002</v>
      </c>
    </row>
    <row r="2108" spans="1:29" x14ac:dyDescent="0.25">
      <c r="A2108" t="str">
        <f t="shared" si="33"/>
        <v/>
      </c>
      <c r="B2108" s="85"/>
      <c r="C2108" s="85"/>
      <c r="D2108" s="85"/>
      <c r="E2108" s="85"/>
      <c r="F2108" s="85"/>
      <c r="G2108" s="86"/>
      <c r="H2108" s="88"/>
      <c r="I2108" s="87"/>
      <c r="J2108" s="88"/>
      <c r="K2108" s="87"/>
      <c r="L2108" s="86"/>
      <c r="M2108" s="87"/>
      <c r="N2108" s="86"/>
      <c r="O2108" s="87"/>
      <c r="P2108" s="86"/>
      <c r="Q2108" s="87"/>
      <c r="R2108" s="85"/>
      <c r="S2108" s="85"/>
      <c r="AA2108" s="129">
        <v>1000001573</v>
      </c>
      <c r="AB2108" s="130">
        <v>316697159.45986897</v>
      </c>
      <c r="AC2108" s="130">
        <v>316697159.45986897</v>
      </c>
    </row>
    <row r="2109" spans="1:29" x14ac:dyDescent="0.25">
      <c r="A2109" t="str">
        <f t="shared" si="33"/>
        <v/>
      </c>
      <c r="B2109" s="85"/>
      <c r="C2109" s="85"/>
      <c r="D2109" s="85"/>
      <c r="E2109" s="85"/>
      <c r="F2109" s="85"/>
      <c r="G2109" s="86"/>
      <c r="H2109" s="88"/>
      <c r="I2109" s="87"/>
      <c r="J2109" s="88"/>
      <c r="K2109" s="87"/>
      <c r="L2109" s="86"/>
      <c r="M2109" s="87"/>
      <c r="N2109" s="86"/>
      <c r="O2109" s="87"/>
      <c r="P2109" s="86"/>
      <c r="Q2109" s="87"/>
      <c r="R2109" s="85"/>
      <c r="S2109" s="85"/>
      <c r="AA2109" s="131" t="s">
        <v>378</v>
      </c>
      <c r="AB2109" s="130">
        <v>9191182.0999999996</v>
      </c>
      <c r="AC2109" s="130">
        <v>9191182.0999999996</v>
      </c>
    </row>
    <row r="2110" spans="1:29" x14ac:dyDescent="0.25">
      <c r="A2110" t="str">
        <f t="shared" si="33"/>
        <v/>
      </c>
      <c r="B2110" s="85"/>
      <c r="C2110" s="85"/>
      <c r="D2110" s="85"/>
      <c r="E2110" s="85"/>
      <c r="F2110" s="85"/>
      <c r="G2110" s="86"/>
      <c r="H2110" s="88"/>
      <c r="I2110" s="87"/>
      <c r="J2110" s="88"/>
      <c r="K2110" s="87"/>
      <c r="L2110" s="86"/>
      <c r="M2110" s="87"/>
      <c r="N2110" s="86"/>
      <c r="O2110" s="87"/>
      <c r="P2110" s="86"/>
      <c r="Q2110" s="87"/>
      <c r="R2110" s="85"/>
      <c r="S2110" s="85"/>
      <c r="AA2110" s="131" t="s">
        <v>380</v>
      </c>
      <c r="AB2110" s="130">
        <v>11875164.07392</v>
      </c>
      <c r="AC2110" s="130">
        <v>11875164.07392</v>
      </c>
    </row>
    <row r="2111" spans="1:29" x14ac:dyDescent="0.25">
      <c r="A2111" t="str">
        <f t="shared" si="33"/>
        <v/>
      </c>
      <c r="B2111" s="85"/>
      <c r="C2111" s="85"/>
      <c r="D2111" s="85"/>
      <c r="E2111" s="85"/>
      <c r="F2111" s="85"/>
      <c r="G2111" s="86"/>
      <c r="H2111" s="88"/>
      <c r="I2111" s="87"/>
      <c r="J2111" s="88"/>
      <c r="K2111" s="87"/>
      <c r="L2111" s="86"/>
      <c r="M2111" s="87"/>
      <c r="N2111" s="86"/>
      <c r="O2111" s="87"/>
      <c r="P2111" s="86"/>
      <c r="Q2111" s="87"/>
      <c r="R2111" s="85"/>
      <c r="S2111" s="85"/>
      <c r="AA2111" s="131" t="s">
        <v>382</v>
      </c>
      <c r="AB2111" s="130">
        <v>4564499.6517899996</v>
      </c>
      <c r="AC2111" s="130">
        <v>4564499.6517899996</v>
      </c>
    </row>
    <row r="2112" spans="1:29" x14ac:dyDescent="0.25">
      <c r="A2112" t="str">
        <f t="shared" si="33"/>
        <v/>
      </c>
      <c r="B2112" s="85"/>
      <c r="C2112" s="85"/>
      <c r="D2112" s="85"/>
      <c r="E2112" s="85"/>
      <c r="F2112" s="85"/>
      <c r="G2112" s="86"/>
      <c r="H2112" s="88"/>
      <c r="I2112" s="87"/>
      <c r="J2112" s="88"/>
      <c r="K2112" s="87"/>
      <c r="L2112" s="86"/>
      <c r="M2112" s="87"/>
      <c r="N2112" s="86"/>
      <c r="O2112" s="87"/>
      <c r="P2112" s="86"/>
      <c r="Q2112" s="87"/>
      <c r="R2112" s="85"/>
      <c r="S2112" s="85"/>
      <c r="AA2112" s="131" t="s">
        <v>427</v>
      </c>
      <c r="AB2112" s="130">
        <v>16921966.108445998</v>
      </c>
      <c r="AC2112" s="130">
        <v>16921966.108445998</v>
      </c>
    </row>
    <row r="2113" spans="1:29" x14ac:dyDescent="0.25">
      <c r="A2113" t="str">
        <f t="shared" si="33"/>
        <v/>
      </c>
      <c r="B2113" s="85"/>
      <c r="C2113" s="85"/>
      <c r="D2113" s="85"/>
      <c r="E2113" s="85"/>
      <c r="F2113" s="85"/>
      <c r="G2113" s="86"/>
      <c r="H2113" s="88"/>
      <c r="I2113" s="87"/>
      <c r="J2113" s="88"/>
      <c r="K2113" s="87"/>
      <c r="L2113" s="86"/>
      <c r="M2113" s="87"/>
      <c r="N2113" s="86"/>
      <c r="O2113" s="87"/>
      <c r="P2113" s="86"/>
      <c r="Q2113" s="87"/>
      <c r="R2113" s="85"/>
      <c r="S2113" s="85"/>
      <c r="AA2113" s="131" t="s">
        <v>384</v>
      </c>
      <c r="AB2113" s="130">
        <v>11251517.55672</v>
      </c>
      <c r="AC2113" s="130">
        <v>11251517.55672</v>
      </c>
    </row>
    <row r="2114" spans="1:29" x14ac:dyDescent="0.25">
      <c r="A2114" t="str">
        <f t="shared" si="33"/>
        <v/>
      </c>
      <c r="B2114" s="85"/>
      <c r="C2114" s="85"/>
      <c r="D2114" s="85"/>
      <c r="E2114" s="85"/>
      <c r="F2114" s="85"/>
      <c r="G2114" s="86"/>
      <c r="H2114" s="88"/>
      <c r="I2114" s="87"/>
      <c r="J2114" s="88"/>
      <c r="K2114" s="87"/>
      <c r="L2114" s="86"/>
      <c r="M2114" s="87"/>
      <c r="N2114" s="86"/>
      <c r="O2114" s="87"/>
      <c r="P2114" s="86"/>
      <c r="Q2114" s="87"/>
      <c r="R2114" s="85"/>
      <c r="S2114" s="85"/>
      <c r="AA2114" s="131" t="s">
        <v>389</v>
      </c>
      <c r="AB2114" s="130">
        <v>5229466.3648800002</v>
      </c>
      <c r="AC2114" s="130">
        <v>5229466.3648800002</v>
      </c>
    </row>
    <row r="2115" spans="1:29" x14ac:dyDescent="0.25">
      <c r="A2115" t="str">
        <f t="shared" si="33"/>
        <v/>
      </c>
      <c r="B2115" s="85"/>
      <c r="C2115" s="85"/>
      <c r="D2115" s="85"/>
      <c r="E2115" s="85"/>
      <c r="F2115" s="85"/>
      <c r="G2115" s="86"/>
      <c r="H2115" s="88"/>
      <c r="I2115" s="87"/>
      <c r="J2115" s="88"/>
      <c r="K2115" s="87"/>
      <c r="L2115" s="86"/>
      <c r="M2115" s="87"/>
      <c r="N2115" s="86"/>
      <c r="O2115" s="87"/>
      <c r="P2115" s="86"/>
      <c r="Q2115" s="87"/>
      <c r="R2115" s="85"/>
      <c r="S2115" s="85"/>
      <c r="AA2115" s="131" t="s">
        <v>391</v>
      </c>
      <c r="AB2115" s="130">
        <v>13059546.925931999</v>
      </c>
      <c r="AC2115" s="130">
        <v>13059546.925931999</v>
      </c>
    </row>
    <row r="2116" spans="1:29" x14ac:dyDescent="0.25">
      <c r="A2116" t="str">
        <f t="shared" si="33"/>
        <v/>
      </c>
      <c r="B2116" s="85"/>
      <c r="C2116" s="85"/>
      <c r="D2116" s="85"/>
      <c r="E2116" s="85"/>
      <c r="F2116" s="85"/>
      <c r="G2116" s="86"/>
      <c r="H2116" s="88"/>
      <c r="I2116" s="87"/>
      <c r="J2116" s="88"/>
      <c r="K2116" s="87"/>
      <c r="L2116" s="86"/>
      <c r="M2116" s="87"/>
      <c r="N2116" s="86"/>
      <c r="O2116" s="87"/>
      <c r="P2116" s="86"/>
      <c r="Q2116" s="87"/>
      <c r="R2116" s="85"/>
      <c r="S2116" s="85"/>
      <c r="AA2116" s="131" t="s">
        <v>395</v>
      </c>
      <c r="AB2116" s="130">
        <v>7719994.52642</v>
      </c>
      <c r="AC2116" s="130">
        <v>7719994.52642</v>
      </c>
    </row>
    <row r="2117" spans="1:29" x14ac:dyDescent="0.25">
      <c r="A2117" t="str">
        <f t="shared" si="33"/>
        <v/>
      </c>
      <c r="B2117" s="85"/>
      <c r="C2117" s="85"/>
      <c r="D2117" s="85"/>
      <c r="E2117" s="85"/>
      <c r="F2117" s="85"/>
      <c r="G2117" s="86"/>
      <c r="H2117" s="88"/>
      <c r="I2117" s="87"/>
      <c r="J2117" s="88"/>
      <c r="K2117" s="87"/>
      <c r="L2117" s="86"/>
      <c r="M2117" s="87"/>
      <c r="N2117" s="86"/>
      <c r="O2117" s="87"/>
      <c r="P2117" s="86"/>
      <c r="Q2117" s="87"/>
      <c r="R2117" s="85"/>
      <c r="S2117" s="85"/>
      <c r="AA2117" s="131" t="s">
        <v>396</v>
      </c>
      <c r="AB2117" s="130">
        <v>7233986.2659999998</v>
      </c>
      <c r="AC2117" s="130">
        <v>7233986.2659999998</v>
      </c>
    </row>
    <row r="2118" spans="1:29" x14ac:dyDescent="0.25">
      <c r="A2118" t="str">
        <f t="shared" si="33"/>
        <v/>
      </c>
      <c r="B2118" s="85"/>
      <c r="C2118" s="85"/>
      <c r="D2118" s="85"/>
      <c r="E2118" s="85"/>
      <c r="F2118" s="85"/>
      <c r="G2118" s="86"/>
      <c r="H2118" s="88"/>
      <c r="I2118" s="87"/>
      <c r="J2118" s="88"/>
      <c r="K2118" s="87"/>
      <c r="L2118" s="86"/>
      <c r="M2118" s="87"/>
      <c r="N2118" s="86"/>
      <c r="O2118" s="87"/>
      <c r="P2118" s="86"/>
      <c r="Q2118" s="87"/>
      <c r="R2118" s="85"/>
      <c r="S2118" s="85"/>
      <c r="AA2118" s="131" t="s">
        <v>398</v>
      </c>
      <c r="AB2118" s="130">
        <v>7391632.7012200002</v>
      </c>
      <c r="AC2118" s="130">
        <v>7391632.7012200002</v>
      </c>
    </row>
    <row r="2119" spans="1:29" x14ac:dyDescent="0.25">
      <c r="A2119" t="str">
        <f t="shared" ref="A2119:A2182" si="34">B2117&amp;D2117</f>
        <v/>
      </c>
      <c r="B2119" s="85"/>
      <c r="C2119" s="85"/>
      <c r="D2119" s="85"/>
      <c r="E2119" s="85"/>
      <c r="F2119" s="85"/>
      <c r="G2119" s="86"/>
      <c r="H2119" s="88"/>
      <c r="I2119" s="87"/>
      <c r="J2119" s="88"/>
      <c r="K2119" s="87"/>
      <c r="L2119" s="86"/>
      <c r="M2119" s="87"/>
      <c r="N2119" s="86"/>
      <c r="O2119" s="87"/>
      <c r="P2119" s="86"/>
      <c r="Q2119" s="87"/>
      <c r="R2119" s="85"/>
      <c r="S2119" s="85"/>
      <c r="AA2119" s="131" t="s">
        <v>357</v>
      </c>
      <c r="AB2119" s="130">
        <v>0</v>
      </c>
      <c r="AC2119" s="130">
        <v>0</v>
      </c>
    </row>
    <row r="2120" spans="1:29" x14ac:dyDescent="0.25">
      <c r="A2120" t="str">
        <f t="shared" si="34"/>
        <v/>
      </c>
      <c r="B2120" s="85"/>
      <c r="C2120" s="85"/>
      <c r="D2120" s="85"/>
      <c r="E2120" s="85"/>
      <c r="F2120" s="85"/>
      <c r="G2120" s="86"/>
      <c r="H2120" s="88"/>
      <c r="I2120" s="87"/>
      <c r="J2120" s="88"/>
      <c r="K2120" s="87"/>
      <c r="L2120" s="86"/>
      <c r="M2120" s="87"/>
      <c r="N2120" s="86"/>
      <c r="O2120" s="87"/>
      <c r="P2120" s="86"/>
      <c r="Q2120" s="87"/>
      <c r="R2120" s="85"/>
      <c r="S2120" s="85"/>
      <c r="AA2120" s="131" t="s">
        <v>506</v>
      </c>
      <c r="AB2120" s="130">
        <v>0</v>
      </c>
      <c r="AC2120" s="130">
        <v>0</v>
      </c>
    </row>
    <row r="2121" spans="1:29" x14ac:dyDescent="0.25">
      <c r="A2121" t="str">
        <f t="shared" si="34"/>
        <v/>
      </c>
      <c r="B2121" s="85"/>
      <c r="C2121" s="85"/>
      <c r="D2121" s="85"/>
      <c r="E2121" s="85"/>
      <c r="F2121" s="85"/>
      <c r="G2121" s="86"/>
      <c r="H2121" s="88"/>
      <c r="I2121" s="87"/>
      <c r="J2121" s="88"/>
      <c r="K2121" s="87"/>
      <c r="L2121" s="86"/>
      <c r="M2121" s="87"/>
      <c r="N2121" s="86"/>
      <c r="O2121" s="87"/>
      <c r="P2121" s="86"/>
      <c r="Q2121" s="87"/>
      <c r="R2121" s="85"/>
      <c r="S2121" s="85"/>
      <c r="AA2121" s="131" t="s">
        <v>359</v>
      </c>
      <c r="AB2121" s="130">
        <v>0</v>
      </c>
      <c r="AC2121" s="130">
        <v>0</v>
      </c>
    </row>
    <row r="2122" spans="1:29" x14ac:dyDescent="0.25">
      <c r="A2122" t="str">
        <f t="shared" si="34"/>
        <v/>
      </c>
      <c r="B2122" s="85"/>
      <c r="C2122" s="85"/>
      <c r="D2122" s="85"/>
      <c r="E2122" s="85"/>
      <c r="F2122" s="85"/>
      <c r="G2122" s="86"/>
      <c r="H2122" s="88"/>
      <c r="I2122" s="87"/>
      <c r="J2122" s="88"/>
      <c r="K2122" s="87"/>
      <c r="L2122" s="86"/>
      <c r="M2122" s="87"/>
      <c r="N2122" s="86"/>
      <c r="O2122" s="87"/>
      <c r="P2122" s="86"/>
      <c r="Q2122" s="87"/>
      <c r="R2122" s="85"/>
      <c r="S2122" s="85"/>
      <c r="AA2122" s="131" t="s">
        <v>551</v>
      </c>
      <c r="AB2122" s="130">
        <v>0</v>
      </c>
      <c r="AC2122" s="130">
        <v>0</v>
      </c>
    </row>
    <row r="2123" spans="1:29" x14ac:dyDescent="0.25">
      <c r="A2123" t="str">
        <f t="shared" si="34"/>
        <v/>
      </c>
      <c r="B2123" s="85"/>
      <c r="C2123" s="85"/>
      <c r="D2123" s="85"/>
      <c r="E2123" s="85"/>
      <c r="F2123" s="85"/>
      <c r="G2123" s="86"/>
      <c r="H2123" s="88"/>
      <c r="I2123" s="87"/>
      <c r="J2123" s="88"/>
      <c r="K2123" s="87"/>
      <c r="L2123" s="86"/>
      <c r="M2123" s="87"/>
      <c r="N2123" s="86"/>
      <c r="O2123" s="87"/>
      <c r="P2123" s="86"/>
      <c r="Q2123" s="87"/>
      <c r="R2123" s="85"/>
      <c r="S2123" s="85"/>
      <c r="AA2123" s="131" t="s">
        <v>361</v>
      </c>
      <c r="AB2123" s="130">
        <v>0</v>
      </c>
      <c r="AC2123" s="130">
        <v>0</v>
      </c>
    </row>
    <row r="2124" spans="1:29" x14ac:dyDescent="0.25">
      <c r="A2124" t="str">
        <f t="shared" si="34"/>
        <v/>
      </c>
      <c r="B2124" s="85"/>
      <c r="C2124" s="85"/>
      <c r="D2124" s="85"/>
      <c r="E2124" s="85"/>
      <c r="F2124" s="85"/>
      <c r="G2124" s="86"/>
      <c r="H2124" s="88"/>
      <c r="I2124" s="87"/>
      <c r="J2124" s="88"/>
      <c r="K2124" s="87"/>
      <c r="L2124" s="86"/>
      <c r="M2124" s="87"/>
      <c r="N2124" s="86"/>
      <c r="O2124" s="87"/>
      <c r="P2124" s="86"/>
      <c r="Q2124" s="87"/>
      <c r="R2124" s="85"/>
      <c r="S2124" s="85"/>
      <c r="AA2124" s="131" t="s">
        <v>362</v>
      </c>
      <c r="AB2124" s="130">
        <v>0</v>
      </c>
      <c r="AC2124" s="130">
        <v>0</v>
      </c>
    </row>
    <row r="2125" spans="1:29" x14ac:dyDescent="0.25">
      <c r="A2125" t="str">
        <f t="shared" si="34"/>
        <v/>
      </c>
      <c r="B2125" s="85"/>
      <c r="C2125" s="85"/>
      <c r="D2125" s="85"/>
      <c r="E2125" s="85"/>
      <c r="F2125" s="85"/>
      <c r="G2125" s="86"/>
      <c r="H2125" s="88"/>
      <c r="I2125" s="87"/>
      <c r="J2125" s="88"/>
      <c r="K2125" s="87"/>
      <c r="L2125" s="86"/>
      <c r="M2125" s="87"/>
      <c r="N2125" s="86"/>
      <c r="O2125" s="87"/>
      <c r="P2125" s="86"/>
      <c r="Q2125" s="87"/>
      <c r="R2125" s="85"/>
      <c r="S2125" s="85"/>
      <c r="AA2125" s="131" t="s">
        <v>369</v>
      </c>
      <c r="AB2125" s="130">
        <v>0</v>
      </c>
      <c r="AC2125" s="130">
        <v>0</v>
      </c>
    </row>
    <row r="2126" spans="1:29" x14ac:dyDescent="0.25">
      <c r="A2126" t="str">
        <f t="shared" si="34"/>
        <v/>
      </c>
      <c r="B2126" s="85"/>
      <c r="C2126" s="85"/>
      <c r="D2126" s="85"/>
      <c r="E2126" s="85"/>
      <c r="F2126" s="85"/>
      <c r="G2126" s="86"/>
      <c r="H2126" s="88"/>
      <c r="I2126" s="87"/>
      <c r="J2126" s="88"/>
      <c r="K2126" s="87"/>
      <c r="L2126" s="86"/>
      <c r="M2126" s="87"/>
      <c r="N2126" s="86"/>
      <c r="O2126" s="87"/>
      <c r="P2126" s="86"/>
      <c r="Q2126" s="87"/>
      <c r="R2126" s="85"/>
      <c r="S2126" s="85"/>
      <c r="AA2126" s="131" t="s">
        <v>370</v>
      </c>
      <c r="AB2126" s="130">
        <v>0</v>
      </c>
      <c r="AC2126" s="130">
        <v>0</v>
      </c>
    </row>
    <row r="2127" spans="1:29" x14ac:dyDescent="0.25">
      <c r="A2127" t="str">
        <f t="shared" si="34"/>
        <v/>
      </c>
      <c r="B2127" s="85"/>
      <c r="C2127" s="85"/>
      <c r="D2127" s="85"/>
      <c r="E2127" s="85"/>
      <c r="F2127" s="85"/>
      <c r="G2127" s="86"/>
      <c r="H2127" s="88"/>
      <c r="I2127" s="87"/>
      <c r="J2127" s="88"/>
      <c r="K2127" s="87"/>
      <c r="L2127" s="86"/>
      <c r="M2127" s="87"/>
      <c r="N2127" s="86"/>
      <c r="O2127" s="87"/>
      <c r="P2127" s="86"/>
      <c r="Q2127" s="87"/>
      <c r="R2127" s="85"/>
      <c r="S2127" s="85"/>
      <c r="AA2127" s="131" t="s">
        <v>372</v>
      </c>
      <c r="AB2127" s="130">
        <v>0</v>
      </c>
      <c r="AC2127" s="130">
        <v>0</v>
      </c>
    </row>
    <row r="2128" spans="1:29" x14ac:dyDescent="0.25">
      <c r="A2128" t="str">
        <f t="shared" si="34"/>
        <v/>
      </c>
      <c r="B2128" s="85"/>
      <c r="C2128" s="85"/>
      <c r="D2128" s="85"/>
      <c r="E2128" s="85"/>
      <c r="F2128" s="85"/>
      <c r="G2128" s="86"/>
      <c r="H2128" s="88"/>
      <c r="I2128" s="87"/>
      <c r="J2128" s="88"/>
      <c r="K2128" s="87"/>
      <c r="L2128" s="86"/>
      <c r="M2128" s="87"/>
      <c r="N2128" s="86"/>
      <c r="O2128" s="87"/>
      <c r="P2128" s="86"/>
      <c r="Q2128" s="87"/>
      <c r="R2128" s="85"/>
      <c r="S2128" s="85"/>
      <c r="AA2128" s="131" t="s">
        <v>373</v>
      </c>
      <c r="AB2128" s="130">
        <v>0</v>
      </c>
      <c r="AC2128" s="130">
        <v>0</v>
      </c>
    </row>
    <row r="2129" spans="1:29" x14ac:dyDescent="0.25">
      <c r="A2129" t="str">
        <f t="shared" si="34"/>
        <v/>
      </c>
      <c r="B2129" s="85"/>
      <c r="C2129" s="85"/>
      <c r="D2129" s="85"/>
      <c r="E2129" s="85"/>
      <c r="F2129" s="85"/>
      <c r="G2129" s="86"/>
      <c r="H2129" s="88"/>
      <c r="I2129" s="87"/>
      <c r="J2129" s="88"/>
      <c r="K2129" s="87"/>
      <c r="L2129" s="86"/>
      <c r="M2129" s="87"/>
      <c r="N2129" s="86"/>
      <c r="O2129" s="87"/>
      <c r="P2129" s="86"/>
      <c r="Q2129" s="87"/>
      <c r="R2129" s="85"/>
      <c r="S2129" s="85"/>
      <c r="AA2129" s="131" t="s">
        <v>374</v>
      </c>
      <c r="AB2129" s="130">
        <v>0</v>
      </c>
      <c r="AC2129" s="130">
        <v>0</v>
      </c>
    </row>
    <row r="2130" spans="1:29" x14ac:dyDescent="0.25">
      <c r="A2130" t="str">
        <f t="shared" si="34"/>
        <v/>
      </c>
      <c r="B2130" s="85"/>
      <c r="C2130" s="85"/>
      <c r="D2130" s="85"/>
      <c r="E2130" s="85"/>
      <c r="F2130" s="85"/>
      <c r="G2130" s="86"/>
      <c r="H2130" s="88"/>
      <c r="I2130" s="87"/>
      <c r="J2130" s="88"/>
      <c r="K2130" s="87"/>
      <c r="L2130" s="86"/>
      <c r="M2130" s="87"/>
      <c r="N2130" s="86"/>
      <c r="O2130" s="87"/>
      <c r="P2130" s="86"/>
      <c r="Q2130" s="87"/>
      <c r="R2130" s="85"/>
      <c r="S2130" s="85"/>
      <c r="AA2130" s="131" t="s">
        <v>387</v>
      </c>
      <c r="AB2130" s="130">
        <v>0</v>
      </c>
      <c r="AC2130" s="130">
        <v>0</v>
      </c>
    </row>
    <row r="2131" spans="1:29" x14ac:dyDescent="0.25">
      <c r="A2131" t="str">
        <f t="shared" si="34"/>
        <v/>
      </c>
      <c r="B2131" s="85"/>
      <c r="C2131" s="85"/>
      <c r="D2131" s="85"/>
      <c r="E2131" s="85"/>
      <c r="F2131" s="85"/>
      <c r="G2131" s="86"/>
      <c r="H2131" s="88"/>
      <c r="I2131" s="87"/>
      <c r="J2131" s="88"/>
      <c r="K2131" s="87"/>
      <c r="L2131" s="86"/>
      <c r="M2131" s="87"/>
      <c r="N2131" s="86"/>
      <c r="O2131" s="87"/>
      <c r="P2131" s="86"/>
      <c r="Q2131" s="87"/>
      <c r="R2131" s="85"/>
      <c r="S2131" s="85"/>
      <c r="AA2131" s="131" t="s">
        <v>553</v>
      </c>
      <c r="AB2131" s="130">
        <v>0</v>
      </c>
      <c r="AC2131" s="130">
        <v>0</v>
      </c>
    </row>
    <row r="2132" spans="1:29" x14ac:dyDescent="0.25">
      <c r="A2132" t="str">
        <f t="shared" si="34"/>
        <v/>
      </c>
      <c r="B2132" s="85"/>
      <c r="C2132" s="85"/>
      <c r="D2132" s="85"/>
      <c r="E2132" s="85"/>
      <c r="F2132" s="85"/>
      <c r="G2132" s="86"/>
      <c r="H2132" s="88"/>
      <c r="I2132" s="87"/>
      <c r="J2132" s="88"/>
      <c r="K2132" s="87"/>
      <c r="L2132" s="86"/>
      <c r="M2132" s="87"/>
      <c r="N2132" s="86"/>
      <c r="O2132" s="87"/>
      <c r="P2132" s="86"/>
      <c r="Q2132" s="87"/>
      <c r="R2132" s="85"/>
      <c r="S2132" s="85"/>
      <c r="AA2132" s="131" t="s">
        <v>544</v>
      </c>
      <c r="AB2132" s="130">
        <v>0</v>
      </c>
      <c r="AC2132" s="130">
        <v>0</v>
      </c>
    </row>
    <row r="2133" spans="1:29" x14ac:dyDescent="0.25">
      <c r="A2133" t="str">
        <f t="shared" si="34"/>
        <v/>
      </c>
      <c r="B2133" s="85"/>
      <c r="C2133" s="85"/>
      <c r="D2133" s="85"/>
      <c r="E2133" s="85"/>
      <c r="F2133" s="85"/>
      <c r="G2133" s="86"/>
      <c r="H2133" s="88"/>
      <c r="I2133" s="87"/>
      <c r="J2133" s="88"/>
      <c r="K2133" s="87"/>
      <c r="L2133" s="86"/>
      <c r="M2133" s="87"/>
      <c r="N2133" s="86"/>
      <c r="O2133" s="87"/>
      <c r="P2133" s="86"/>
      <c r="Q2133" s="87"/>
      <c r="R2133" s="85"/>
      <c r="S2133" s="85"/>
      <c r="AA2133" s="131" t="s">
        <v>400</v>
      </c>
      <c r="AB2133" s="130">
        <v>0</v>
      </c>
      <c r="AC2133" s="130">
        <v>0</v>
      </c>
    </row>
    <row r="2134" spans="1:29" x14ac:dyDescent="0.25">
      <c r="A2134" t="str">
        <f t="shared" si="34"/>
        <v/>
      </c>
      <c r="B2134" s="85"/>
      <c r="C2134" s="85"/>
      <c r="D2134" s="85"/>
      <c r="E2134" s="85"/>
      <c r="F2134" s="85"/>
      <c r="G2134" s="86"/>
      <c r="H2134" s="88"/>
      <c r="I2134" s="87"/>
      <c r="J2134" s="88"/>
      <c r="K2134" s="87"/>
      <c r="L2134" s="86"/>
      <c r="M2134" s="87"/>
      <c r="N2134" s="86"/>
      <c r="O2134" s="87"/>
      <c r="P2134" s="86"/>
      <c r="Q2134" s="87"/>
      <c r="R2134" s="85"/>
      <c r="S2134" s="85"/>
      <c r="AA2134" s="131" t="s">
        <v>403</v>
      </c>
      <c r="AB2134" s="130">
        <v>0</v>
      </c>
      <c r="AC2134" s="130">
        <v>0</v>
      </c>
    </row>
    <row r="2135" spans="1:29" x14ac:dyDescent="0.25">
      <c r="A2135" t="str">
        <f t="shared" si="34"/>
        <v/>
      </c>
      <c r="B2135" s="85"/>
      <c r="C2135" s="85"/>
      <c r="D2135" s="85"/>
      <c r="E2135" s="85"/>
      <c r="F2135" s="85"/>
      <c r="G2135" s="86"/>
      <c r="H2135" s="88"/>
      <c r="I2135" s="87"/>
      <c r="J2135" s="88"/>
      <c r="K2135" s="87"/>
      <c r="L2135" s="86"/>
      <c r="M2135" s="87"/>
      <c r="N2135" s="86"/>
      <c r="O2135" s="87"/>
      <c r="P2135" s="86"/>
      <c r="Q2135" s="87"/>
      <c r="R2135" s="85"/>
      <c r="S2135" s="85"/>
      <c r="AA2135" s="131" t="s">
        <v>358</v>
      </c>
      <c r="AB2135" s="130">
        <v>0</v>
      </c>
      <c r="AC2135" s="130">
        <v>0</v>
      </c>
    </row>
    <row r="2136" spans="1:29" x14ac:dyDescent="0.25">
      <c r="A2136" t="str">
        <f t="shared" si="34"/>
        <v/>
      </c>
      <c r="B2136" s="85"/>
      <c r="C2136" s="85"/>
      <c r="D2136" s="85"/>
      <c r="E2136" s="85"/>
      <c r="F2136" s="85"/>
      <c r="G2136" s="86"/>
      <c r="H2136" s="88"/>
      <c r="I2136" s="87"/>
      <c r="J2136" s="88"/>
      <c r="K2136" s="87"/>
      <c r="L2136" s="86"/>
      <c r="M2136" s="87"/>
      <c r="N2136" s="86"/>
      <c r="O2136" s="87"/>
      <c r="P2136" s="86"/>
      <c r="Q2136" s="87"/>
      <c r="R2136" s="85"/>
      <c r="S2136" s="85"/>
      <c r="AA2136" s="131" t="s">
        <v>365</v>
      </c>
      <c r="AB2136" s="130">
        <v>0</v>
      </c>
      <c r="AC2136" s="130">
        <v>0</v>
      </c>
    </row>
    <row r="2137" spans="1:29" x14ac:dyDescent="0.25">
      <c r="A2137" t="str">
        <f t="shared" si="34"/>
        <v/>
      </c>
      <c r="B2137" s="85"/>
      <c r="C2137" s="85"/>
      <c r="D2137" s="85"/>
      <c r="E2137" s="85"/>
      <c r="F2137" s="85"/>
      <c r="G2137" s="86"/>
      <c r="H2137" s="88"/>
      <c r="I2137" s="87"/>
      <c r="J2137" s="88"/>
      <c r="K2137" s="87"/>
      <c r="L2137" s="86"/>
      <c r="M2137" s="87"/>
      <c r="N2137" s="86"/>
      <c r="O2137" s="87"/>
      <c r="P2137" s="86"/>
      <c r="Q2137" s="87"/>
      <c r="R2137" s="85"/>
      <c r="S2137" s="85"/>
      <c r="AA2137" s="131" t="s">
        <v>367</v>
      </c>
      <c r="AB2137" s="130">
        <v>0</v>
      </c>
      <c r="AC2137" s="130">
        <v>0</v>
      </c>
    </row>
    <row r="2138" spans="1:29" x14ac:dyDescent="0.25">
      <c r="A2138" t="str">
        <f t="shared" si="34"/>
        <v/>
      </c>
      <c r="B2138" s="85"/>
      <c r="C2138" s="85"/>
      <c r="D2138" s="85"/>
      <c r="E2138" s="85"/>
      <c r="F2138" s="85"/>
      <c r="G2138" s="86"/>
      <c r="H2138" s="88"/>
      <c r="I2138" s="87"/>
      <c r="J2138" s="88"/>
      <c r="K2138" s="87"/>
      <c r="L2138" s="86"/>
      <c r="M2138" s="87"/>
      <c r="N2138" s="86"/>
      <c r="O2138" s="87"/>
      <c r="P2138" s="86"/>
      <c r="Q2138" s="87"/>
      <c r="R2138" s="85"/>
      <c r="S2138" s="85"/>
      <c r="AA2138" s="131" t="s">
        <v>368</v>
      </c>
      <c r="AB2138" s="130">
        <v>0</v>
      </c>
      <c r="AC2138" s="130">
        <v>0</v>
      </c>
    </row>
    <row r="2139" spans="1:29" x14ac:dyDescent="0.25">
      <c r="A2139" t="str">
        <f t="shared" si="34"/>
        <v/>
      </c>
      <c r="B2139" s="85"/>
      <c r="C2139" s="85"/>
      <c r="D2139" s="85"/>
      <c r="E2139" s="85"/>
      <c r="F2139" s="85"/>
      <c r="G2139" s="86"/>
      <c r="H2139" s="88"/>
      <c r="I2139" s="87"/>
      <c r="J2139" s="88"/>
      <c r="K2139" s="87"/>
      <c r="L2139" s="86"/>
      <c r="M2139" s="87"/>
      <c r="N2139" s="86"/>
      <c r="O2139" s="87"/>
      <c r="P2139" s="86"/>
      <c r="Q2139" s="87"/>
      <c r="R2139" s="85"/>
      <c r="S2139" s="85"/>
      <c r="AA2139" s="131" t="s">
        <v>381</v>
      </c>
      <c r="AB2139" s="130">
        <v>28222923.005929999</v>
      </c>
      <c r="AC2139" s="130">
        <v>28222923.005929999</v>
      </c>
    </row>
    <row r="2140" spans="1:29" x14ac:dyDescent="0.25">
      <c r="A2140" t="str">
        <f t="shared" si="34"/>
        <v/>
      </c>
      <c r="B2140" s="85"/>
      <c r="C2140" s="85"/>
      <c r="D2140" s="85"/>
      <c r="E2140" s="85"/>
      <c r="F2140" s="85"/>
      <c r="G2140" s="86"/>
      <c r="H2140" s="88"/>
      <c r="I2140" s="87"/>
      <c r="J2140" s="88"/>
      <c r="K2140" s="87"/>
      <c r="L2140" s="86"/>
      <c r="M2140" s="87"/>
      <c r="N2140" s="86"/>
      <c r="O2140" s="87"/>
      <c r="P2140" s="86"/>
      <c r="Q2140" s="87"/>
      <c r="R2140" s="85"/>
      <c r="S2140" s="85"/>
      <c r="AA2140" s="131" t="s">
        <v>388</v>
      </c>
      <c r="AB2140" s="130">
        <v>0</v>
      </c>
      <c r="AC2140" s="130">
        <v>0</v>
      </c>
    </row>
    <row r="2141" spans="1:29" x14ac:dyDescent="0.25">
      <c r="A2141" t="str">
        <f t="shared" si="34"/>
        <v/>
      </c>
      <c r="B2141" s="85"/>
      <c r="C2141" s="85"/>
      <c r="D2141" s="85"/>
      <c r="E2141" s="85"/>
      <c r="F2141" s="85"/>
      <c r="G2141" s="86"/>
      <c r="H2141" s="88"/>
      <c r="I2141" s="87"/>
      <c r="J2141" s="88"/>
      <c r="K2141" s="87"/>
      <c r="L2141" s="86"/>
      <c r="M2141" s="87"/>
      <c r="N2141" s="86"/>
      <c r="O2141" s="87"/>
      <c r="P2141" s="86"/>
      <c r="Q2141" s="87"/>
      <c r="R2141" s="85"/>
      <c r="S2141" s="85"/>
      <c r="AA2141" s="131" t="s">
        <v>401</v>
      </c>
      <c r="AB2141" s="130">
        <v>0</v>
      </c>
      <c r="AC2141" s="130">
        <v>0</v>
      </c>
    </row>
    <row r="2142" spans="1:29" x14ac:dyDescent="0.25">
      <c r="A2142" t="str">
        <f t="shared" si="34"/>
        <v/>
      </c>
      <c r="B2142" s="85"/>
      <c r="C2142" s="85"/>
      <c r="D2142" s="85"/>
      <c r="E2142" s="85"/>
      <c r="F2142" s="85"/>
      <c r="G2142" s="86"/>
      <c r="H2142" s="88"/>
      <c r="I2142" s="87"/>
      <c r="J2142" s="88"/>
      <c r="K2142" s="87"/>
      <c r="L2142" s="86"/>
      <c r="M2142" s="87"/>
      <c r="N2142" s="86"/>
      <c r="O2142" s="87"/>
      <c r="P2142" s="86"/>
      <c r="Q2142" s="87"/>
      <c r="R2142" s="85"/>
      <c r="S2142" s="85"/>
      <c r="AA2142" s="131" t="s">
        <v>540</v>
      </c>
      <c r="AB2142" s="130">
        <v>0</v>
      </c>
      <c r="AC2142" s="130">
        <v>0</v>
      </c>
    </row>
    <row r="2143" spans="1:29" x14ac:dyDescent="0.25">
      <c r="A2143" t="str">
        <f t="shared" si="34"/>
        <v/>
      </c>
      <c r="B2143" s="85"/>
      <c r="C2143" s="85"/>
      <c r="D2143" s="85"/>
      <c r="E2143" s="85"/>
      <c r="F2143" s="85"/>
      <c r="G2143" s="86"/>
      <c r="H2143" s="88"/>
      <c r="I2143" s="87"/>
      <c r="J2143" s="88"/>
      <c r="K2143" s="87"/>
      <c r="L2143" s="86"/>
      <c r="M2143" s="87"/>
      <c r="N2143" s="86"/>
      <c r="O2143" s="87"/>
      <c r="P2143" s="86"/>
      <c r="Q2143" s="87"/>
      <c r="R2143" s="85"/>
      <c r="S2143" s="85"/>
      <c r="AA2143" s="131" t="s">
        <v>393</v>
      </c>
      <c r="AB2143" s="130">
        <v>5621115.3773370003</v>
      </c>
      <c r="AC2143" s="130">
        <v>5621115.3773370003</v>
      </c>
    </row>
    <row r="2144" spans="1:29" x14ac:dyDescent="0.25">
      <c r="A2144" t="str">
        <f t="shared" si="34"/>
        <v/>
      </c>
      <c r="B2144" s="85"/>
      <c r="C2144" s="85"/>
      <c r="D2144" s="85"/>
      <c r="E2144" s="85"/>
      <c r="F2144" s="85"/>
      <c r="G2144" s="86"/>
      <c r="H2144" s="88"/>
      <c r="I2144" s="87"/>
      <c r="J2144" s="88"/>
      <c r="K2144" s="87"/>
      <c r="L2144" s="86"/>
      <c r="M2144" s="87"/>
      <c r="N2144" s="86"/>
      <c r="O2144" s="87"/>
      <c r="P2144" s="86"/>
      <c r="Q2144" s="87"/>
      <c r="R2144" s="85"/>
      <c r="S2144" s="85"/>
      <c r="AA2144" s="131" t="s">
        <v>503</v>
      </c>
      <c r="AB2144" s="130">
        <v>0</v>
      </c>
      <c r="AC2144" s="130">
        <v>0</v>
      </c>
    </row>
    <row r="2145" spans="1:29" x14ac:dyDescent="0.25">
      <c r="A2145" t="str">
        <f t="shared" si="34"/>
        <v/>
      </c>
      <c r="B2145" s="85"/>
      <c r="C2145" s="85"/>
      <c r="D2145" s="85"/>
      <c r="E2145" s="85"/>
      <c r="F2145" s="85"/>
      <c r="G2145" s="86"/>
      <c r="H2145" s="88"/>
      <c r="I2145" s="87"/>
      <c r="J2145" s="88"/>
      <c r="K2145" s="87"/>
      <c r="L2145" s="86"/>
      <c r="M2145" s="87"/>
      <c r="N2145" s="86"/>
      <c r="O2145" s="87"/>
      <c r="P2145" s="86"/>
      <c r="Q2145" s="87"/>
      <c r="R2145" s="85"/>
      <c r="S2145" s="85"/>
      <c r="AA2145" s="131" t="s">
        <v>385</v>
      </c>
      <c r="AB2145" s="130">
        <v>4029745.658274</v>
      </c>
      <c r="AC2145" s="130">
        <v>4029745.658274</v>
      </c>
    </row>
    <row r="2146" spans="1:29" x14ac:dyDescent="0.25">
      <c r="A2146" t="str">
        <f t="shared" si="34"/>
        <v/>
      </c>
      <c r="B2146" s="85"/>
      <c r="C2146" s="85"/>
      <c r="D2146" s="85"/>
      <c r="E2146" s="85"/>
      <c r="F2146" s="85"/>
      <c r="G2146" s="86"/>
      <c r="H2146" s="88"/>
      <c r="I2146" s="87"/>
      <c r="J2146" s="88"/>
      <c r="K2146" s="87"/>
      <c r="L2146" s="86"/>
      <c r="M2146" s="87"/>
      <c r="N2146" s="86"/>
      <c r="O2146" s="87"/>
      <c r="P2146" s="86"/>
      <c r="Q2146" s="87"/>
      <c r="R2146" s="85"/>
      <c r="S2146" s="85"/>
      <c r="AA2146" s="131" t="s">
        <v>500</v>
      </c>
      <c r="AB2146" s="130">
        <v>0</v>
      </c>
      <c r="AC2146" s="130">
        <v>0</v>
      </c>
    </row>
    <row r="2147" spans="1:29" x14ac:dyDescent="0.25">
      <c r="A2147" t="str">
        <f t="shared" si="34"/>
        <v/>
      </c>
      <c r="B2147" s="85"/>
      <c r="C2147" s="85"/>
      <c r="D2147" s="85"/>
      <c r="E2147" s="85"/>
      <c r="F2147" s="85"/>
      <c r="G2147" s="86"/>
      <c r="H2147" s="88"/>
      <c r="I2147" s="87"/>
      <c r="J2147" s="88"/>
      <c r="K2147" s="87"/>
      <c r="L2147" s="86"/>
      <c r="M2147" s="87"/>
      <c r="N2147" s="86"/>
      <c r="O2147" s="87"/>
      <c r="P2147" s="86"/>
      <c r="Q2147" s="87"/>
      <c r="R2147" s="85"/>
      <c r="S2147" s="85"/>
      <c r="AA2147" s="131" t="s">
        <v>541</v>
      </c>
      <c r="AB2147" s="130">
        <v>0</v>
      </c>
      <c r="AC2147" s="130">
        <v>0</v>
      </c>
    </row>
    <row r="2148" spans="1:29" x14ac:dyDescent="0.25">
      <c r="A2148" t="str">
        <f t="shared" si="34"/>
        <v/>
      </c>
      <c r="B2148" s="85"/>
      <c r="C2148" s="85"/>
      <c r="D2148" s="85"/>
      <c r="E2148" s="85"/>
      <c r="F2148" s="85"/>
      <c r="G2148" s="86"/>
      <c r="H2148" s="88"/>
      <c r="I2148" s="87"/>
      <c r="J2148" s="88"/>
      <c r="K2148" s="87"/>
      <c r="L2148" s="86"/>
      <c r="M2148" s="87"/>
      <c r="N2148" s="86"/>
      <c r="O2148" s="87"/>
      <c r="P2148" s="86"/>
      <c r="Q2148" s="87"/>
      <c r="R2148" s="85"/>
      <c r="S2148" s="85"/>
      <c r="AA2148" s="131" t="s">
        <v>371</v>
      </c>
      <c r="AB2148" s="130">
        <v>0</v>
      </c>
      <c r="AC2148" s="130">
        <v>0</v>
      </c>
    </row>
    <row r="2149" spans="1:29" x14ac:dyDescent="0.25">
      <c r="A2149" t="str">
        <f t="shared" si="34"/>
        <v/>
      </c>
      <c r="B2149" s="85"/>
      <c r="C2149" s="85"/>
      <c r="D2149" s="85"/>
      <c r="E2149" s="85"/>
      <c r="F2149" s="85"/>
      <c r="G2149" s="86"/>
      <c r="H2149" s="88"/>
      <c r="I2149" s="87"/>
      <c r="J2149" s="88"/>
      <c r="K2149" s="87"/>
      <c r="L2149" s="86"/>
      <c r="M2149" s="87"/>
      <c r="N2149" s="86"/>
      <c r="O2149" s="87"/>
      <c r="P2149" s="86"/>
      <c r="Q2149" s="87"/>
      <c r="R2149" s="85"/>
      <c r="S2149" s="85"/>
      <c r="AA2149" s="131" t="s">
        <v>375</v>
      </c>
      <c r="AB2149" s="130">
        <v>4966136.5547000002</v>
      </c>
      <c r="AC2149" s="130">
        <v>4966136.5547000002</v>
      </c>
    </row>
    <row r="2150" spans="1:29" x14ac:dyDescent="0.25">
      <c r="A2150" t="str">
        <f t="shared" si="34"/>
        <v/>
      </c>
      <c r="B2150" s="10"/>
      <c r="C2150" s="10"/>
      <c r="D2150" s="10"/>
      <c r="E2150" s="10"/>
      <c r="F2150" s="10"/>
      <c r="G2150" s="11"/>
      <c r="H2150" s="12"/>
      <c r="I2150" s="13"/>
      <c r="J2150" s="12"/>
      <c r="K2150" s="13"/>
      <c r="L2150" s="11"/>
      <c r="M2150" s="13"/>
      <c r="N2150" s="11"/>
      <c r="O2150" s="13"/>
      <c r="P2150" s="11"/>
      <c r="Q2150" s="13"/>
      <c r="R2150" s="10"/>
      <c r="S2150" s="10"/>
      <c r="AA2150" s="131" t="s">
        <v>539</v>
      </c>
      <c r="AB2150" s="130">
        <v>0</v>
      </c>
      <c r="AC2150" s="130">
        <v>0</v>
      </c>
    </row>
    <row r="2151" spans="1:29" x14ac:dyDescent="0.25">
      <c r="A2151" t="str">
        <f t="shared" si="34"/>
        <v/>
      </c>
      <c r="B2151" s="10"/>
      <c r="C2151" s="10"/>
      <c r="D2151" s="10"/>
      <c r="E2151" s="10"/>
      <c r="F2151" s="10"/>
      <c r="G2151" s="11"/>
      <c r="H2151" s="12"/>
      <c r="I2151" s="13"/>
      <c r="J2151" s="12"/>
      <c r="K2151" s="13"/>
      <c r="L2151" s="11"/>
      <c r="M2151" s="13"/>
      <c r="N2151" s="11"/>
      <c r="O2151" s="13"/>
      <c r="P2151" s="11"/>
      <c r="Q2151" s="13"/>
      <c r="R2151" s="10"/>
      <c r="S2151" s="10"/>
      <c r="AA2151" s="131" t="s">
        <v>399</v>
      </c>
      <c r="AB2151" s="130">
        <v>11855682.195651</v>
      </c>
      <c r="AC2151" s="130">
        <v>11855682.195651</v>
      </c>
    </row>
    <row r="2152" spans="1:29" x14ac:dyDescent="0.25">
      <c r="A2152" t="str">
        <f t="shared" si="34"/>
        <v/>
      </c>
      <c r="B2152" s="10"/>
      <c r="C2152" s="10"/>
      <c r="D2152" s="10"/>
      <c r="E2152" s="10"/>
      <c r="F2152" s="10"/>
      <c r="G2152" s="11"/>
      <c r="H2152" s="12"/>
      <c r="I2152" s="13"/>
      <c r="J2152" s="12"/>
      <c r="K2152" s="13"/>
      <c r="L2152" s="11"/>
      <c r="M2152" s="13"/>
      <c r="N2152" s="11"/>
      <c r="O2152" s="13"/>
      <c r="P2152" s="11"/>
      <c r="Q2152" s="13"/>
      <c r="R2152" s="10"/>
      <c r="S2152" s="10"/>
      <c r="AA2152" s="131" t="s">
        <v>402</v>
      </c>
      <c r="AB2152" s="130">
        <v>0</v>
      </c>
      <c r="AC2152" s="130">
        <v>0</v>
      </c>
    </row>
    <row r="2153" spans="1:29" x14ac:dyDescent="0.25">
      <c r="A2153" t="str">
        <f t="shared" si="34"/>
        <v/>
      </c>
      <c r="B2153" s="10"/>
      <c r="C2153" s="10"/>
      <c r="D2153" s="10"/>
      <c r="E2153" s="10"/>
      <c r="F2153" s="10"/>
      <c r="G2153" s="11"/>
      <c r="H2153" s="12"/>
      <c r="I2153" s="13"/>
      <c r="J2153" s="12"/>
      <c r="K2153" s="13"/>
      <c r="L2153" s="11"/>
      <c r="M2153" s="13"/>
      <c r="N2153" s="11"/>
      <c r="O2153" s="13"/>
      <c r="P2153" s="11"/>
      <c r="Q2153" s="13"/>
      <c r="R2153" s="10"/>
      <c r="S2153" s="10"/>
      <c r="AA2153" s="131" t="s">
        <v>394</v>
      </c>
      <c r="AB2153" s="130">
        <v>6701640.4110300001</v>
      </c>
      <c r="AC2153" s="130">
        <v>6701640.4110300001</v>
      </c>
    </row>
    <row r="2154" spans="1:29" x14ac:dyDescent="0.25">
      <c r="A2154" t="str">
        <f t="shared" si="34"/>
        <v/>
      </c>
      <c r="B2154" s="10"/>
      <c r="C2154" s="10"/>
      <c r="D2154" s="10"/>
      <c r="E2154" s="10"/>
      <c r="F2154" s="10"/>
      <c r="G2154" s="11"/>
      <c r="H2154" s="12"/>
      <c r="I2154" s="13"/>
      <c r="J2154" s="12"/>
      <c r="K2154" s="13"/>
      <c r="L2154" s="11"/>
      <c r="M2154" s="13"/>
      <c r="N2154" s="11"/>
      <c r="O2154" s="13"/>
      <c r="P2154" s="11"/>
      <c r="Q2154" s="13"/>
      <c r="R2154" s="10"/>
      <c r="S2154" s="10"/>
      <c r="AA2154" s="131" t="s">
        <v>379</v>
      </c>
      <c r="AB2154" s="130">
        <v>2660943.69</v>
      </c>
      <c r="AC2154" s="130">
        <v>2660943.69</v>
      </c>
    </row>
    <row r="2155" spans="1:29" x14ac:dyDescent="0.25">
      <c r="A2155" t="str">
        <f t="shared" si="34"/>
        <v/>
      </c>
      <c r="B2155" s="10"/>
      <c r="C2155" s="10"/>
      <c r="D2155" s="10"/>
      <c r="E2155" s="10"/>
      <c r="F2155" s="10"/>
      <c r="G2155" s="11"/>
      <c r="H2155" s="12"/>
      <c r="I2155" s="13"/>
      <c r="J2155" s="12"/>
      <c r="K2155" s="13"/>
      <c r="L2155" s="11"/>
      <c r="M2155" s="13"/>
      <c r="N2155" s="11"/>
      <c r="O2155" s="13"/>
      <c r="P2155" s="11"/>
      <c r="Q2155" s="13"/>
      <c r="R2155" s="10"/>
      <c r="S2155" s="10"/>
      <c r="AA2155" s="131" t="s">
        <v>377</v>
      </c>
      <c r="AB2155" s="130">
        <v>12346509.109999999</v>
      </c>
      <c r="AC2155" s="130">
        <v>12346509.109999999</v>
      </c>
    </row>
    <row r="2156" spans="1:29" x14ac:dyDescent="0.25">
      <c r="A2156" t="str">
        <f t="shared" si="34"/>
        <v/>
      </c>
      <c r="B2156" s="10"/>
      <c r="C2156" s="10"/>
      <c r="D2156" s="10"/>
      <c r="E2156" s="10"/>
      <c r="F2156" s="10"/>
      <c r="G2156" s="11"/>
      <c r="H2156" s="12"/>
      <c r="I2156" s="13"/>
      <c r="J2156" s="12"/>
      <c r="K2156" s="13"/>
      <c r="L2156" s="11"/>
      <c r="M2156" s="13"/>
      <c r="N2156" s="11"/>
      <c r="O2156" s="13"/>
      <c r="P2156" s="11"/>
      <c r="Q2156" s="13"/>
      <c r="R2156" s="10"/>
      <c r="S2156" s="10"/>
      <c r="AA2156" s="131" t="s">
        <v>392</v>
      </c>
      <c r="AB2156" s="130">
        <v>8931023.797696</v>
      </c>
      <c r="AC2156" s="130">
        <v>8931023.797696</v>
      </c>
    </row>
    <row r="2157" spans="1:29" x14ac:dyDescent="0.25">
      <c r="A2157" t="str">
        <f t="shared" si="34"/>
        <v/>
      </c>
      <c r="B2157" s="10"/>
      <c r="C2157" s="10"/>
      <c r="D2157" s="10"/>
      <c r="E2157" s="10"/>
      <c r="F2157" s="10"/>
      <c r="G2157" s="11"/>
      <c r="H2157" s="12"/>
      <c r="I2157" s="13"/>
      <c r="J2157" s="12"/>
      <c r="K2157" s="13"/>
      <c r="L2157" s="11"/>
      <c r="M2157" s="13"/>
      <c r="N2157" s="11"/>
      <c r="O2157" s="13"/>
      <c r="P2157" s="11"/>
      <c r="Q2157" s="13"/>
      <c r="R2157" s="10"/>
      <c r="S2157" s="10"/>
      <c r="AA2157" s="131" t="s">
        <v>386</v>
      </c>
      <c r="AB2157" s="130">
        <v>10977795.973804999</v>
      </c>
      <c r="AC2157" s="130">
        <v>10977795.973804999</v>
      </c>
    </row>
    <row r="2158" spans="1:29" x14ac:dyDescent="0.25">
      <c r="A2158" t="str">
        <f t="shared" si="34"/>
        <v/>
      </c>
      <c r="B2158" s="10"/>
      <c r="C2158" s="10"/>
      <c r="D2158" s="10"/>
      <c r="E2158" s="10"/>
      <c r="F2158" s="10"/>
      <c r="G2158" s="11"/>
      <c r="H2158" s="12"/>
      <c r="I2158" s="13"/>
      <c r="J2158" s="12"/>
      <c r="K2158" s="13"/>
      <c r="L2158" s="11"/>
      <c r="M2158" s="13"/>
      <c r="N2158" s="11"/>
      <c r="O2158" s="13"/>
      <c r="P2158" s="11"/>
      <c r="Q2158" s="13"/>
      <c r="R2158" s="10"/>
      <c r="S2158" s="10"/>
      <c r="AA2158" s="131" t="s">
        <v>383</v>
      </c>
      <c r="AB2158" s="130">
        <v>17208394.633919999</v>
      </c>
      <c r="AC2158" s="130">
        <v>17208394.633919999</v>
      </c>
    </row>
    <row r="2159" spans="1:29" x14ac:dyDescent="0.25">
      <c r="A2159" t="str">
        <f t="shared" si="34"/>
        <v/>
      </c>
      <c r="B2159" s="10"/>
      <c r="C2159" s="10"/>
      <c r="D2159" s="10"/>
      <c r="E2159" s="10"/>
      <c r="F2159" s="10"/>
      <c r="G2159" s="11"/>
      <c r="H2159" s="12"/>
      <c r="I2159" s="13"/>
      <c r="J2159" s="12"/>
      <c r="K2159" s="13"/>
      <c r="L2159" s="11"/>
      <c r="M2159" s="13"/>
      <c r="N2159" s="11"/>
      <c r="O2159" s="13"/>
      <c r="P2159" s="11"/>
      <c r="Q2159" s="13"/>
      <c r="R2159" s="10"/>
      <c r="S2159" s="10"/>
      <c r="AA2159" s="131" t="s">
        <v>497</v>
      </c>
      <c r="AB2159" s="130">
        <v>9961180.3734000009</v>
      </c>
      <c r="AC2159" s="130">
        <v>9961180.3734000009</v>
      </c>
    </row>
    <row r="2160" spans="1:29" x14ac:dyDescent="0.25">
      <c r="A2160" t="str">
        <f t="shared" si="34"/>
        <v/>
      </c>
      <c r="B2160" s="10"/>
      <c r="C2160" s="10"/>
      <c r="D2160" s="10"/>
      <c r="E2160" s="10"/>
      <c r="F2160" s="10"/>
      <c r="G2160" s="11"/>
      <c r="H2160" s="12"/>
      <c r="I2160" s="13"/>
      <c r="J2160" s="12"/>
      <c r="K2160" s="13"/>
      <c r="L2160" s="11"/>
      <c r="M2160" s="13"/>
      <c r="N2160" s="11"/>
      <c r="O2160" s="13"/>
      <c r="P2160" s="11"/>
      <c r="Q2160" s="13"/>
      <c r="R2160" s="10"/>
      <c r="S2160" s="10"/>
      <c r="AA2160" s="131" t="s">
        <v>498</v>
      </c>
      <c r="AB2160" s="130">
        <v>3910720.5864349999</v>
      </c>
      <c r="AC2160" s="130">
        <v>3910720.5864349999</v>
      </c>
    </row>
    <row r="2161" spans="1:29" x14ac:dyDescent="0.25">
      <c r="A2161" t="str">
        <f t="shared" si="34"/>
        <v/>
      </c>
      <c r="B2161" s="10"/>
      <c r="C2161" s="10"/>
      <c r="D2161" s="10"/>
      <c r="E2161" s="10"/>
      <c r="F2161" s="10"/>
      <c r="G2161" s="11"/>
      <c r="H2161" s="12"/>
      <c r="I2161" s="13"/>
      <c r="J2161" s="12"/>
      <c r="K2161" s="13"/>
      <c r="L2161" s="11"/>
      <c r="M2161" s="13"/>
      <c r="N2161" s="11"/>
      <c r="O2161" s="13"/>
      <c r="P2161" s="11"/>
      <c r="Q2161" s="13"/>
      <c r="R2161" s="10"/>
      <c r="S2161" s="10"/>
      <c r="AA2161" s="131" t="s">
        <v>360</v>
      </c>
      <c r="AB2161" s="130">
        <v>0</v>
      </c>
      <c r="AC2161" s="130">
        <v>0</v>
      </c>
    </row>
    <row r="2162" spans="1:29" x14ac:dyDescent="0.25">
      <c r="A2162" t="str">
        <f t="shared" si="34"/>
        <v/>
      </c>
      <c r="B2162" s="10"/>
      <c r="C2162" s="10"/>
      <c r="D2162" s="10"/>
      <c r="E2162" s="10"/>
      <c r="F2162" s="10"/>
      <c r="G2162" s="11"/>
      <c r="H2162" s="12"/>
      <c r="I2162" s="13"/>
      <c r="J2162" s="12"/>
      <c r="K2162" s="13"/>
      <c r="L2162" s="11"/>
      <c r="M2162" s="13"/>
      <c r="N2162" s="11"/>
      <c r="O2162" s="13"/>
      <c r="P2162" s="11"/>
      <c r="Q2162" s="13"/>
      <c r="R2162" s="10"/>
      <c r="S2162" s="10"/>
      <c r="AA2162" s="131" t="s">
        <v>364</v>
      </c>
      <c r="AB2162" s="130">
        <v>58135703.845559999</v>
      </c>
      <c r="AC2162" s="130">
        <v>58135703.845559999</v>
      </c>
    </row>
    <row r="2163" spans="1:29" x14ac:dyDescent="0.25">
      <c r="A2163" t="str">
        <f t="shared" si="34"/>
        <v/>
      </c>
      <c r="B2163" s="10"/>
      <c r="C2163" s="10"/>
      <c r="D2163" s="10"/>
      <c r="E2163" s="10"/>
      <c r="F2163" s="10"/>
      <c r="G2163" s="11"/>
      <c r="H2163" s="12"/>
      <c r="I2163" s="13"/>
      <c r="J2163" s="12"/>
      <c r="K2163" s="13"/>
      <c r="L2163" s="11"/>
      <c r="M2163" s="13"/>
      <c r="N2163" s="11"/>
      <c r="O2163" s="13"/>
      <c r="P2163" s="11"/>
      <c r="Q2163" s="13"/>
      <c r="R2163" s="10"/>
      <c r="S2163" s="10"/>
      <c r="AA2163" s="131" t="s">
        <v>397</v>
      </c>
      <c r="AB2163" s="130">
        <v>1619798.064093</v>
      </c>
      <c r="AC2163" s="130">
        <v>1619798.064093</v>
      </c>
    </row>
    <row r="2164" spans="1:29" x14ac:dyDescent="0.25">
      <c r="A2164" t="str">
        <f t="shared" si="34"/>
        <v/>
      </c>
      <c r="B2164" s="10"/>
      <c r="C2164" s="10"/>
      <c r="D2164" s="10"/>
      <c r="E2164" s="10"/>
      <c r="F2164" s="10"/>
      <c r="G2164" s="11"/>
      <c r="H2164" s="12"/>
      <c r="I2164" s="13"/>
      <c r="J2164" s="12"/>
      <c r="K2164" s="13"/>
      <c r="L2164" s="11"/>
      <c r="M2164" s="13"/>
      <c r="N2164" s="11"/>
      <c r="O2164" s="13"/>
      <c r="P2164" s="11"/>
      <c r="Q2164" s="13"/>
      <c r="R2164" s="10"/>
      <c r="S2164" s="10"/>
      <c r="AA2164" s="131" t="s">
        <v>499</v>
      </c>
      <c r="AB2164" s="130">
        <v>2097053.5876800001</v>
      </c>
      <c r="AC2164" s="130">
        <v>2097053.5876800001</v>
      </c>
    </row>
    <row r="2165" spans="1:29" x14ac:dyDescent="0.25">
      <c r="A2165" t="str">
        <f t="shared" si="34"/>
        <v/>
      </c>
      <c r="B2165" s="10"/>
      <c r="C2165" s="10"/>
      <c r="D2165" s="10"/>
      <c r="E2165" s="10"/>
      <c r="F2165" s="10"/>
      <c r="G2165" s="11"/>
      <c r="H2165" s="12"/>
      <c r="I2165" s="13"/>
      <c r="J2165" s="12"/>
      <c r="K2165" s="13"/>
      <c r="L2165" s="11"/>
      <c r="M2165" s="13"/>
      <c r="N2165" s="11"/>
      <c r="O2165" s="13"/>
      <c r="P2165" s="11"/>
      <c r="Q2165" s="13"/>
      <c r="R2165" s="10"/>
      <c r="S2165" s="10"/>
      <c r="AA2165" s="131" t="s">
        <v>501</v>
      </c>
      <c r="AB2165" s="130">
        <v>0</v>
      </c>
      <c r="AC2165" s="130">
        <v>0</v>
      </c>
    </row>
    <row r="2166" spans="1:29" x14ac:dyDescent="0.25">
      <c r="A2166" t="str">
        <f t="shared" si="34"/>
        <v/>
      </c>
      <c r="B2166" s="10"/>
      <c r="C2166" s="10"/>
      <c r="D2166" s="10"/>
      <c r="E2166" s="10"/>
      <c r="F2166" s="10"/>
      <c r="G2166" s="11"/>
      <c r="H2166" s="12"/>
      <c r="I2166" s="13"/>
      <c r="J2166" s="12"/>
      <c r="K2166" s="13"/>
      <c r="L2166" s="11"/>
      <c r="M2166" s="13"/>
      <c r="N2166" s="11"/>
      <c r="O2166" s="13"/>
      <c r="P2166" s="11"/>
      <c r="Q2166" s="13"/>
      <c r="R2166" s="10"/>
      <c r="S2166" s="10"/>
      <c r="AA2166" s="131" t="s">
        <v>502</v>
      </c>
      <c r="AB2166" s="130">
        <v>1477265.2603800001</v>
      </c>
      <c r="AC2166" s="130">
        <v>1477265.2603800001</v>
      </c>
    </row>
    <row r="2167" spans="1:29" x14ac:dyDescent="0.25">
      <c r="A2167" t="str">
        <f t="shared" si="34"/>
        <v/>
      </c>
      <c r="B2167" s="10"/>
      <c r="C2167" s="10"/>
      <c r="D2167" s="10"/>
      <c r="E2167" s="10"/>
      <c r="F2167" s="10"/>
      <c r="G2167" s="11"/>
      <c r="H2167" s="12"/>
      <c r="I2167" s="13"/>
      <c r="J2167" s="12"/>
      <c r="K2167" s="13"/>
      <c r="L2167" s="11"/>
      <c r="M2167" s="13"/>
      <c r="N2167" s="11"/>
      <c r="O2167" s="13"/>
      <c r="P2167" s="11"/>
      <c r="Q2167" s="13"/>
      <c r="R2167" s="10"/>
      <c r="S2167" s="10"/>
      <c r="AA2167" s="131" t="s">
        <v>507</v>
      </c>
      <c r="AB2167" s="130">
        <v>7275133.0439200001</v>
      </c>
      <c r="AC2167" s="130">
        <v>7275133.0439200001</v>
      </c>
    </row>
    <row r="2168" spans="1:29" x14ac:dyDescent="0.25">
      <c r="A2168" t="str">
        <f t="shared" si="34"/>
        <v/>
      </c>
      <c r="B2168" s="10"/>
      <c r="C2168" s="10"/>
      <c r="D2168" s="10"/>
      <c r="E2168" s="10"/>
      <c r="F2168" s="10"/>
      <c r="G2168" s="11"/>
      <c r="H2168" s="12"/>
      <c r="I2168" s="13"/>
      <c r="J2168" s="12"/>
      <c r="K2168" s="13"/>
      <c r="L2168" s="11"/>
      <c r="M2168" s="13"/>
      <c r="N2168" s="11"/>
      <c r="O2168" s="13"/>
      <c r="P2168" s="11"/>
      <c r="Q2168" s="13"/>
      <c r="R2168" s="10"/>
      <c r="S2168" s="10"/>
      <c r="AA2168" s="131" t="s">
        <v>552</v>
      </c>
      <c r="AB2168" s="130">
        <v>6297030.4774799999</v>
      </c>
      <c r="AC2168" s="130">
        <v>6297030.4774799999</v>
      </c>
    </row>
    <row r="2169" spans="1:29" x14ac:dyDescent="0.25">
      <c r="A2169" t="str">
        <f t="shared" si="34"/>
        <v/>
      </c>
      <c r="B2169" s="10"/>
      <c r="C2169" s="10"/>
      <c r="D2169" s="10"/>
      <c r="E2169" s="10"/>
      <c r="F2169" s="10"/>
      <c r="G2169" s="11"/>
      <c r="H2169" s="12"/>
      <c r="I2169" s="13"/>
      <c r="J2169" s="12"/>
      <c r="K2169" s="13"/>
      <c r="L2169" s="11"/>
      <c r="M2169" s="13"/>
      <c r="N2169" s="11"/>
      <c r="O2169" s="13"/>
      <c r="P2169" s="11"/>
      <c r="Q2169" s="13"/>
      <c r="R2169" s="10"/>
      <c r="S2169" s="10"/>
      <c r="AA2169" s="131" t="s">
        <v>613</v>
      </c>
      <c r="AB2169" s="130">
        <v>7551504.9585999995</v>
      </c>
      <c r="AC2169" s="130">
        <v>7551504.9585999995</v>
      </c>
    </row>
    <row r="2170" spans="1:29" x14ac:dyDescent="0.25">
      <c r="A2170" t="str">
        <f t="shared" si="34"/>
        <v/>
      </c>
      <c r="B2170" s="10"/>
      <c r="C2170" s="10"/>
      <c r="D2170" s="10"/>
      <c r="E2170" s="10"/>
      <c r="F2170" s="10"/>
      <c r="G2170" s="11"/>
      <c r="H2170" s="12"/>
      <c r="I2170" s="13"/>
      <c r="J2170" s="12"/>
      <c r="K2170" s="13"/>
      <c r="L2170" s="11"/>
      <c r="M2170" s="13"/>
      <c r="N2170" s="11"/>
      <c r="O2170" s="13"/>
      <c r="P2170" s="11"/>
      <c r="Q2170" s="13"/>
      <c r="R2170" s="10"/>
      <c r="S2170" s="10"/>
      <c r="AA2170" s="131" t="s">
        <v>627</v>
      </c>
      <c r="AB2170" s="130">
        <v>4410951.4786499999</v>
      </c>
      <c r="AC2170" s="130">
        <v>4410951.4786499999</v>
      </c>
    </row>
    <row r="2171" spans="1:29" x14ac:dyDescent="0.25">
      <c r="A2171" t="str">
        <f t="shared" si="34"/>
        <v/>
      </c>
      <c r="B2171" s="10"/>
      <c r="C2171" s="10"/>
      <c r="D2171" s="10"/>
      <c r="E2171" s="10"/>
      <c r="F2171" s="10"/>
      <c r="G2171" s="11"/>
      <c r="H2171" s="12"/>
      <c r="I2171" s="13"/>
      <c r="J2171" s="12"/>
      <c r="K2171" s="13"/>
      <c r="L2171" s="11"/>
      <c r="M2171" s="13"/>
      <c r="N2171" s="11"/>
      <c r="O2171" s="13"/>
      <c r="P2171" s="11"/>
      <c r="Q2171" s="13"/>
      <c r="R2171" s="10"/>
      <c r="S2171" s="10"/>
      <c r="AA2171" s="131" t="s">
        <v>628</v>
      </c>
      <c r="AB2171" s="130">
        <v>5999951.0999999996</v>
      </c>
      <c r="AC2171" s="130">
        <v>5999951.0999999996</v>
      </c>
    </row>
    <row r="2172" spans="1:29" x14ac:dyDescent="0.25">
      <c r="A2172" t="str">
        <f t="shared" si="34"/>
        <v/>
      </c>
      <c r="B2172" s="10"/>
      <c r="C2172" s="10"/>
      <c r="D2172" s="10"/>
      <c r="E2172" s="10"/>
      <c r="F2172" s="10"/>
      <c r="G2172" s="11"/>
      <c r="H2172" s="12"/>
      <c r="I2172" s="13"/>
      <c r="J2172" s="12"/>
      <c r="K2172" s="13"/>
      <c r="L2172" s="11"/>
      <c r="M2172" s="13"/>
      <c r="N2172" s="11"/>
      <c r="O2172" s="13"/>
      <c r="P2172" s="11"/>
      <c r="Q2172" s="13"/>
      <c r="R2172" s="10"/>
      <c r="S2172" s="10"/>
      <c r="AA2172" s="129">
        <v>1000002191</v>
      </c>
      <c r="AB2172" s="130">
        <v>319598965.16798604</v>
      </c>
      <c r="AC2172" s="130">
        <v>319598965.16798604</v>
      </c>
    </row>
    <row r="2173" spans="1:29" x14ac:dyDescent="0.25">
      <c r="A2173" t="str">
        <f t="shared" si="34"/>
        <v/>
      </c>
      <c r="B2173" s="10"/>
      <c r="C2173" s="10"/>
      <c r="D2173" s="10"/>
      <c r="E2173" s="10"/>
      <c r="F2173" s="10"/>
      <c r="G2173" s="11"/>
      <c r="H2173" s="12"/>
      <c r="I2173" s="13"/>
      <c r="J2173" s="12"/>
      <c r="K2173" s="13"/>
      <c r="L2173" s="11"/>
      <c r="M2173" s="13"/>
      <c r="N2173" s="11"/>
      <c r="O2173" s="13"/>
      <c r="P2173" s="11"/>
      <c r="Q2173" s="13"/>
      <c r="R2173" s="10"/>
      <c r="S2173" s="10"/>
      <c r="AA2173" s="131" t="s">
        <v>389</v>
      </c>
      <c r="AB2173" s="130">
        <v>14825245.361719999</v>
      </c>
      <c r="AC2173" s="130">
        <v>14825245.361719999</v>
      </c>
    </row>
    <row r="2174" spans="1:29" x14ac:dyDescent="0.25">
      <c r="A2174" t="str">
        <f t="shared" si="34"/>
        <v/>
      </c>
      <c r="B2174" s="10"/>
      <c r="C2174" s="10"/>
      <c r="D2174" s="10"/>
      <c r="E2174" s="10"/>
      <c r="F2174" s="10"/>
      <c r="G2174" s="11"/>
      <c r="H2174" s="12"/>
      <c r="I2174" s="13"/>
      <c r="J2174" s="12"/>
      <c r="K2174" s="13"/>
      <c r="L2174" s="11"/>
      <c r="M2174" s="13"/>
      <c r="N2174" s="11"/>
      <c r="O2174" s="13"/>
      <c r="P2174" s="11"/>
      <c r="Q2174" s="13"/>
      <c r="R2174" s="10"/>
      <c r="S2174" s="10"/>
      <c r="AA2174" s="131" t="s">
        <v>407</v>
      </c>
      <c r="AB2174" s="130">
        <v>87171051.810473993</v>
      </c>
      <c r="AC2174" s="130">
        <v>87171051.810473993</v>
      </c>
    </row>
    <row r="2175" spans="1:29" x14ac:dyDescent="0.25">
      <c r="A2175" t="str">
        <f t="shared" si="34"/>
        <v/>
      </c>
      <c r="B2175" s="10"/>
      <c r="C2175" s="10"/>
      <c r="D2175" s="10"/>
      <c r="E2175" s="10"/>
      <c r="F2175" s="10"/>
      <c r="G2175" s="11"/>
      <c r="H2175" s="12"/>
      <c r="I2175" s="13"/>
      <c r="J2175" s="12"/>
      <c r="K2175" s="13"/>
      <c r="L2175" s="11"/>
      <c r="M2175" s="13"/>
      <c r="N2175" s="11"/>
      <c r="O2175" s="13"/>
      <c r="P2175" s="11"/>
      <c r="Q2175" s="13"/>
      <c r="R2175" s="10"/>
      <c r="S2175" s="10"/>
      <c r="AA2175" s="131" t="s">
        <v>406</v>
      </c>
      <c r="AB2175" s="130">
        <v>111800430.322932</v>
      </c>
      <c r="AC2175" s="130">
        <v>111800430.322932</v>
      </c>
    </row>
    <row r="2176" spans="1:29" x14ac:dyDescent="0.25">
      <c r="A2176" t="str">
        <f t="shared" si="34"/>
        <v/>
      </c>
      <c r="B2176" s="10"/>
      <c r="C2176" s="10"/>
      <c r="D2176" s="10"/>
      <c r="E2176" s="10"/>
      <c r="F2176" s="10"/>
      <c r="G2176" s="11"/>
      <c r="H2176" s="12"/>
      <c r="I2176" s="13"/>
      <c r="J2176" s="12"/>
      <c r="K2176" s="13"/>
      <c r="L2176" s="11"/>
      <c r="M2176" s="13"/>
      <c r="N2176" s="11"/>
      <c r="O2176" s="13"/>
      <c r="P2176" s="11"/>
      <c r="Q2176" s="13"/>
      <c r="R2176" s="10"/>
      <c r="S2176" s="10"/>
      <c r="AA2176" s="131" t="s">
        <v>404</v>
      </c>
      <c r="AB2176" s="130">
        <v>9657532.8919200003</v>
      </c>
      <c r="AC2176" s="130">
        <v>9657532.8919200003</v>
      </c>
    </row>
    <row r="2177" spans="1:29" x14ac:dyDescent="0.25">
      <c r="A2177" t="str">
        <f t="shared" si="34"/>
        <v/>
      </c>
      <c r="B2177" s="10"/>
      <c r="C2177" s="10"/>
      <c r="D2177" s="10"/>
      <c r="E2177" s="10"/>
      <c r="F2177" s="10"/>
      <c r="G2177" s="11"/>
      <c r="H2177" s="12"/>
      <c r="I2177" s="13"/>
      <c r="J2177" s="12"/>
      <c r="K2177" s="13"/>
      <c r="L2177" s="11"/>
      <c r="M2177" s="13"/>
      <c r="N2177" s="11"/>
      <c r="O2177" s="13"/>
      <c r="P2177" s="11"/>
      <c r="Q2177" s="13"/>
      <c r="R2177" s="10"/>
      <c r="S2177" s="10"/>
      <c r="AA2177" s="131" t="s">
        <v>405</v>
      </c>
      <c r="AB2177" s="130">
        <v>96144704.780939996</v>
      </c>
      <c r="AC2177" s="130">
        <v>96144704.780939996</v>
      </c>
    </row>
    <row r="2178" spans="1:29" x14ac:dyDescent="0.25">
      <c r="A2178" t="str">
        <f t="shared" si="34"/>
        <v/>
      </c>
      <c r="B2178" s="10"/>
      <c r="C2178" s="10"/>
      <c r="D2178" s="10"/>
      <c r="E2178" s="10"/>
      <c r="F2178" s="10"/>
      <c r="G2178" s="11"/>
      <c r="H2178" s="12"/>
      <c r="I2178" s="13"/>
      <c r="J2178" s="12"/>
      <c r="K2178" s="13"/>
      <c r="L2178" s="11"/>
      <c r="M2178" s="13"/>
      <c r="N2178" s="11"/>
      <c r="O2178" s="13"/>
      <c r="P2178" s="11"/>
      <c r="Q2178" s="13"/>
      <c r="R2178" s="10"/>
      <c r="S2178" s="10"/>
      <c r="AA2178" s="129">
        <v>1015460</v>
      </c>
      <c r="AB2178" s="130">
        <v>0</v>
      </c>
      <c r="AC2178" s="130">
        <v>0</v>
      </c>
    </row>
    <row r="2179" spans="1:29" x14ac:dyDescent="0.25">
      <c r="A2179" t="str">
        <f t="shared" si="34"/>
        <v/>
      </c>
      <c r="B2179" s="10"/>
      <c r="C2179" s="10"/>
      <c r="D2179" s="10"/>
      <c r="E2179" s="10"/>
      <c r="F2179" s="10"/>
      <c r="G2179" s="11"/>
      <c r="H2179" s="12"/>
      <c r="I2179" s="13"/>
      <c r="J2179" s="12"/>
      <c r="K2179" s="13"/>
      <c r="L2179" s="11"/>
      <c r="M2179" s="13"/>
      <c r="N2179" s="11"/>
      <c r="O2179" s="13"/>
      <c r="P2179" s="11"/>
      <c r="Q2179" s="13"/>
      <c r="R2179" s="10"/>
      <c r="S2179" s="10"/>
      <c r="AA2179" s="131" t="s">
        <v>421</v>
      </c>
      <c r="AB2179" s="130">
        <v>0</v>
      </c>
      <c r="AC2179" s="130">
        <v>0</v>
      </c>
    </row>
    <row r="2180" spans="1:29" x14ac:dyDescent="0.25">
      <c r="A2180" t="str">
        <f t="shared" si="34"/>
        <v/>
      </c>
      <c r="B2180" s="10"/>
      <c r="C2180" s="10"/>
      <c r="D2180" s="10"/>
      <c r="E2180" s="10"/>
      <c r="F2180" s="10"/>
      <c r="G2180" s="11"/>
      <c r="H2180" s="12"/>
      <c r="I2180" s="13"/>
      <c r="J2180" s="12"/>
      <c r="K2180" s="13"/>
      <c r="L2180" s="11"/>
      <c r="M2180" s="13"/>
      <c r="N2180" s="11"/>
      <c r="O2180" s="13"/>
      <c r="P2180" s="11"/>
      <c r="Q2180" s="13"/>
      <c r="R2180" s="10"/>
      <c r="S2180" s="10"/>
      <c r="AA2180" s="129">
        <v>1032436</v>
      </c>
      <c r="AB2180" s="130">
        <v>4479548.5287760003</v>
      </c>
      <c r="AC2180" s="130">
        <v>4479548.5287760003</v>
      </c>
    </row>
    <row r="2181" spans="1:29" x14ac:dyDescent="0.25">
      <c r="A2181" t="str">
        <f t="shared" si="34"/>
        <v/>
      </c>
      <c r="B2181" s="10"/>
      <c r="C2181" s="10"/>
      <c r="D2181" s="10"/>
      <c r="E2181" s="10"/>
      <c r="F2181" s="10"/>
      <c r="G2181" s="11"/>
      <c r="H2181" s="12"/>
      <c r="I2181" s="13"/>
      <c r="J2181" s="12"/>
      <c r="K2181" s="13"/>
      <c r="L2181" s="11"/>
      <c r="M2181" s="13"/>
      <c r="N2181" s="11"/>
      <c r="O2181" s="13"/>
      <c r="P2181" s="11"/>
      <c r="Q2181" s="13"/>
      <c r="R2181" s="10"/>
      <c r="S2181" s="10"/>
      <c r="AA2181" s="131" t="s">
        <v>431</v>
      </c>
      <c r="AB2181" s="130">
        <v>4479548.5287760003</v>
      </c>
      <c r="AC2181" s="130">
        <v>4479548.5287760003</v>
      </c>
    </row>
    <row r="2182" spans="1:29" x14ac:dyDescent="0.25">
      <c r="A2182" t="str">
        <f t="shared" si="34"/>
        <v/>
      </c>
      <c r="B2182" s="10"/>
      <c r="C2182" s="10"/>
      <c r="D2182" s="10"/>
      <c r="E2182" s="10"/>
      <c r="F2182" s="10"/>
      <c r="G2182" s="11"/>
      <c r="H2182" s="12"/>
      <c r="I2182" s="13"/>
      <c r="J2182" s="12"/>
      <c r="K2182" s="13"/>
      <c r="L2182" s="11"/>
      <c r="M2182" s="13"/>
      <c r="N2182" s="11"/>
      <c r="O2182" s="13"/>
      <c r="P2182" s="11"/>
      <c r="Q2182" s="13"/>
      <c r="R2182" s="10"/>
      <c r="S2182" s="10"/>
      <c r="AA2182" s="129">
        <v>1032437</v>
      </c>
      <c r="AB2182" s="130">
        <v>3925572.4221359999</v>
      </c>
      <c r="AC2182" s="130">
        <v>3925572.4221359999</v>
      </c>
    </row>
    <row r="2183" spans="1:29" x14ac:dyDescent="0.25">
      <c r="A2183" t="str">
        <f t="shared" ref="A2183:A2246" si="35">B2181&amp;D2181</f>
        <v/>
      </c>
      <c r="B2183" s="10"/>
      <c r="C2183" s="10"/>
      <c r="D2183" s="10"/>
      <c r="E2183" s="10"/>
      <c r="F2183" s="10"/>
      <c r="G2183" s="11"/>
      <c r="H2183" s="12"/>
      <c r="I2183" s="13"/>
      <c r="J2183" s="12"/>
      <c r="K2183" s="13"/>
      <c r="L2183" s="11"/>
      <c r="M2183" s="13"/>
      <c r="N2183" s="11"/>
      <c r="O2183" s="13"/>
      <c r="P2183" s="11"/>
      <c r="Q2183" s="13"/>
      <c r="R2183" s="10"/>
      <c r="S2183" s="10"/>
      <c r="AA2183" s="131" t="s">
        <v>431</v>
      </c>
      <c r="AB2183" s="130">
        <v>3925572.4221359999</v>
      </c>
      <c r="AC2183" s="130">
        <v>3925572.4221359999</v>
      </c>
    </row>
    <row r="2184" spans="1:29" x14ac:dyDescent="0.25">
      <c r="A2184" t="str">
        <f t="shared" si="35"/>
        <v/>
      </c>
      <c r="B2184" s="10"/>
      <c r="C2184" s="10"/>
      <c r="D2184" s="10"/>
      <c r="E2184" s="10"/>
      <c r="F2184" s="10"/>
      <c r="G2184" s="11"/>
      <c r="H2184" s="12"/>
      <c r="I2184" s="13"/>
      <c r="J2184" s="12"/>
      <c r="K2184" s="13"/>
      <c r="L2184" s="11"/>
      <c r="M2184" s="13"/>
      <c r="N2184" s="11"/>
      <c r="O2184" s="13"/>
      <c r="P2184" s="11"/>
      <c r="Q2184" s="13"/>
      <c r="R2184" s="10"/>
      <c r="S2184" s="10"/>
      <c r="AA2184" s="129">
        <v>1032438</v>
      </c>
      <c r="AB2184" s="130">
        <v>15451747.354831999</v>
      </c>
      <c r="AC2184" s="130">
        <v>15451747.354831999</v>
      </c>
    </row>
    <row r="2185" spans="1:29" x14ac:dyDescent="0.25">
      <c r="A2185" t="str">
        <f t="shared" si="35"/>
        <v/>
      </c>
      <c r="B2185" s="10"/>
      <c r="C2185" s="10"/>
      <c r="D2185" s="10"/>
      <c r="E2185" s="10"/>
      <c r="F2185" s="10"/>
      <c r="G2185" s="11"/>
      <c r="H2185" s="12"/>
      <c r="I2185" s="13"/>
      <c r="J2185" s="12"/>
      <c r="K2185" s="13"/>
      <c r="L2185" s="11"/>
      <c r="M2185" s="13"/>
      <c r="N2185" s="11"/>
      <c r="O2185" s="13"/>
      <c r="P2185" s="11"/>
      <c r="Q2185" s="13"/>
      <c r="R2185" s="10"/>
      <c r="S2185" s="10"/>
      <c r="AA2185" s="131" t="s">
        <v>431</v>
      </c>
      <c r="AB2185" s="130">
        <v>15451747.354831999</v>
      </c>
      <c r="AC2185" s="130">
        <v>15451747.354831999</v>
      </c>
    </row>
    <row r="2186" spans="1:29" x14ac:dyDescent="0.25">
      <c r="A2186" t="str">
        <f t="shared" si="35"/>
        <v/>
      </c>
      <c r="B2186" s="10"/>
      <c r="C2186" s="10"/>
      <c r="D2186" s="10"/>
      <c r="E2186" s="10"/>
      <c r="F2186" s="10"/>
      <c r="G2186" s="11"/>
      <c r="H2186" s="12"/>
      <c r="I2186" s="13"/>
      <c r="J2186" s="12"/>
      <c r="K2186" s="13"/>
      <c r="L2186" s="11"/>
      <c r="M2186" s="13"/>
      <c r="N2186" s="11"/>
      <c r="O2186" s="13"/>
      <c r="P2186" s="11"/>
      <c r="Q2186" s="13"/>
      <c r="R2186" s="10"/>
      <c r="S2186" s="10"/>
      <c r="AA2186" s="129">
        <v>1032439</v>
      </c>
      <c r="AB2186" s="130">
        <v>44032599.217880003</v>
      </c>
      <c r="AC2186" s="130">
        <v>44032599.217880003</v>
      </c>
    </row>
    <row r="2187" spans="1:29" x14ac:dyDescent="0.25">
      <c r="A2187" t="str">
        <f t="shared" si="35"/>
        <v/>
      </c>
      <c r="B2187" s="10"/>
      <c r="C2187" s="10"/>
      <c r="D2187" s="10"/>
      <c r="E2187" s="10"/>
      <c r="F2187" s="10"/>
      <c r="G2187" s="11"/>
      <c r="H2187" s="12"/>
      <c r="I2187" s="13"/>
      <c r="J2187" s="12"/>
      <c r="K2187" s="13"/>
      <c r="L2187" s="11"/>
      <c r="M2187" s="13"/>
      <c r="N2187" s="11"/>
      <c r="O2187" s="13"/>
      <c r="P2187" s="11"/>
      <c r="Q2187" s="13"/>
      <c r="R2187" s="10"/>
      <c r="S2187" s="10"/>
      <c r="AA2187" s="131" t="s">
        <v>431</v>
      </c>
      <c r="AB2187" s="130">
        <v>44032599.217880003</v>
      </c>
      <c r="AC2187" s="130">
        <v>44032599.217880003</v>
      </c>
    </row>
    <row r="2188" spans="1:29" x14ac:dyDescent="0.25">
      <c r="A2188" t="str">
        <f t="shared" si="35"/>
        <v/>
      </c>
      <c r="B2188" s="10"/>
      <c r="C2188" s="10"/>
      <c r="D2188" s="10"/>
      <c r="E2188" s="10"/>
      <c r="F2188" s="10"/>
      <c r="G2188" s="11"/>
      <c r="H2188" s="12"/>
      <c r="I2188" s="13"/>
      <c r="J2188" s="12"/>
      <c r="K2188" s="13"/>
      <c r="L2188" s="11"/>
      <c r="M2188" s="13"/>
      <c r="N2188" s="11"/>
      <c r="O2188" s="13"/>
      <c r="P2188" s="11"/>
      <c r="Q2188" s="13"/>
      <c r="R2188" s="10"/>
      <c r="S2188" s="10"/>
      <c r="AA2188" s="129">
        <v>1032440</v>
      </c>
      <c r="AB2188" s="130">
        <v>821847.40873599995</v>
      </c>
      <c r="AC2188" s="130">
        <v>821847.40873599995</v>
      </c>
    </row>
    <row r="2189" spans="1:29" x14ac:dyDescent="0.25">
      <c r="A2189" t="str">
        <f t="shared" si="35"/>
        <v/>
      </c>
      <c r="B2189" s="10"/>
      <c r="C2189" s="10"/>
      <c r="D2189" s="10"/>
      <c r="E2189" s="10"/>
      <c r="F2189" s="10"/>
      <c r="G2189" s="11"/>
      <c r="H2189" s="12"/>
      <c r="I2189" s="13"/>
      <c r="J2189" s="12"/>
      <c r="K2189" s="13"/>
      <c r="L2189" s="11"/>
      <c r="M2189" s="13"/>
      <c r="N2189" s="11"/>
      <c r="O2189" s="13"/>
      <c r="P2189" s="11"/>
      <c r="Q2189" s="13"/>
      <c r="R2189" s="10"/>
      <c r="S2189" s="10"/>
      <c r="AA2189" s="131" t="s">
        <v>431</v>
      </c>
      <c r="AB2189" s="130">
        <v>821847.40873599995</v>
      </c>
      <c r="AC2189" s="130">
        <v>821847.40873599995</v>
      </c>
    </row>
    <row r="2190" spans="1:29" x14ac:dyDescent="0.25">
      <c r="A2190" t="str">
        <f t="shared" si="35"/>
        <v/>
      </c>
      <c r="B2190" s="10"/>
      <c r="C2190" s="10"/>
      <c r="D2190" s="10"/>
      <c r="E2190" s="10"/>
      <c r="F2190" s="10"/>
      <c r="G2190" s="11"/>
      <c r="H2190" s="12"/>
      <c r="I2190" s="13"/>
      <c r="J2190" s="12"/>
      <c r="K2190" s="13"/>
      <c r="L2190" s="11"/>
      <c r="M2190" s="13"/>
      <c r="N2190" s="11"/>
      <c r="O2190" s="13"/>
      <c r="P2190" s="11"/>
      <c r="Q2190" s="13"/>
      <c r="R2190" s="10"/>
      <c r="S2190" s="10"/>
      <c r="AA2190" s="129">
        <v>1032441</v>
      </c>
      <c r="AB2190" s="130">
        <v>2953789.9910320002</v>
      </c>
      <c r="AC2190" s="130">
        <v>2953789.9910320002</v>
      </c>
    </row>
    <row r="2191" spans="1:29" x14ac:dyDescent="0.25">
      <c r="A2191" t="str">
        <f t="shared" si="35"/>
        <v/>
      </c>
      <c r="B2191" s="10"/>
      <c r="C2191" s="10"/>
      <c r="D2191" s="10"/>
      <c r="E2191" s="10"/>
      <c r="F2191" s="10"/>
      <c r="G2191" s="11"/>
      <c r="H2191" s="12"/>
      <c r="I2191" s="13"/>
      <c r="J2191" s="12"/>
      <c r="K2191" s="13"/>
      <c r="L2191" s="11"/>
      <c r="M2191" s="13"/>
      <c r="N2191" s="11"/>
      <c r="O2191" s="13"/>
      <c r="P2191" s="11"/>
      <c r="Q2191" s="13"/>
      <c r="R2191" s="10"/>
      <c r="S2191" s="10"/>
      <c r="AA2191" s="131" t="s">
        <v>431</v>
      </c>
      <c r="AB2191" s="130">
        <v>2953789.9910320002</v>
      </c>
      <c r="AC2191" s="130">
        <v>2953789.9910320002</v>
      </c>
    </row>
    <row r="2192" spans="1:29" x14ac:dyDescent="0.25">
      <c r="A2192" t="str">
        <f t="shared" si="35"/>
        <v/>
      </c>
      <c r="B2192" s="10"/>
      <c r="C2192" s="10"/>
      <c r="D2192" s="10"/>
      <c r="E2192" s="10"/>
      <c r="F2192" s="10"/>
      <c r="G2192" s="11"/>
      <c r="H2192" s="12"/>
      <c r="I2192" s="13"/>
      <c r="J2192" s="12"/>
      <c r="K2192" s="13"/>
      <c r="L2192" s="11"/>
      <c r="M2192" s="13"/>
      <c r="N2192" s="11"/>
      <c r="O2192" s="13"/>
      <c r="P2192" s="11"/>
      <c r="Q2192" s="13"/>
      <c r="R2192" s="10"/>
      <c r="S2192" s="10"/>
      <c r="AA2192" s="129">
        <v>1032442</v>
      </c>
      <c r="AB2192" s="130">
        <v>3468384.8608479998</v>
      </c>
      <c r="AC2192" s="130">
        <v>3468384.8608479998</v>
      </c>
    </row>
    <row r="2193" spans="1:29" x14ac:dyDescent="0.25">
      <c r="A2193" t="str">
        <f t="shared" si="35"/>
        <v/>
      </c>
      <c r="B2193" s="10"/>
      <c r="C2193" s="10"/>
      <c r="D2193" s="10"/>
      <c r="E2193" s="10"/>
      <c r="F2193" s="10"/>
      <c r="G2193" s="11"/>
      <c r="H2193" s="12"/>
      <c r="I2193" s="13"/>
      <c r="J2193" s="12"/>
      <c r="K2193" s="13"/>
      <c r="L2193" s="11"/>
      <c r="M2193" s="13"/>
      <c r="N2193" s="11"/>
      <c r="O2193" s="13"/>
      <c r="P2193" s="11"/>
      <c r="Q2193" s="13"/>
      <c r="R2193" s="10"/>
      <c r="S2193" s="10"/>
      <c r="AA2193" s="131" t="s">
        <v>431</v>
      </c>
      <c r="AB2193" s="130">
        <v>3468384.8608479998</v>
      </c>
      <c r="AC2193" s="130">
        <v>3468384.8608479998</v>
      </c>
    </row>
    <row r="2194" spans="1:29" x14ac:dyDescent="0.25">
      <c r="A2194" t="str">
        <f t="shared" si="35"/>
        <v/>
      </c>
      <c r="B2194" s="10"/>
      <c r="C2194" s="10"/>
      <c r="D2194" s="10"/>
      <c r="E2194" s="10"/>
      <c r="F2194" s="10"/>
      <c r="G2194" s="11"/>
      <c r="H2194" s="12"/>
      <c r="I2194" s="13"/>
      <c r="J2194" s="12"/>
      <c r="K2194" s="13"/>
      <c r="L2194" s="11"/>
      <c r="M2194" s="13"/>
      <c r="N2194" s="11"/>
      <c r="O2194" s="13"/>
      <c r="P2194" s="11"/>
      <c r="Q2194" s="13"/>
      <c r="R2194" s="10"/>
      <c r="S2194" s="10"/>
      <c r="AA2194" s="129">
        <v>1032443</v>
      </c>
      <c r="AB2194" s="130">
        <v>3501016.097232</v>
      </c>
      <c r="AC2194" s="130">
        <v>3501016.097232</v>
      </c>
    </row>
    <row r="2195" spans="1:29" x14ac:dyDescent="0.25">
      <c r="A2195" t="str">
        <f t="shared" si="35"/>
        <v/>
      </c>
      <c r="B2195" s="10"/>
      <c r="C2195" s="10"/>
      <c r="D2195" s="10"/>
      <c r="E2195" s="10"/>
      <c r="F2195" s="10"/>
      <c r="G2195" s="11"/>
      <c r="H2195" s="12"/>
      <c r="I2195" s="13"/>
      <c r="J2195" s="12"/>
      <c r="K2195" s="13"/>
      <c r="L2195" s="11"/>
      <c r="M2195" s="13"/>
      <c r="N2195" s="11"/>
      <c r="O2195" s="13"/>
      <c r="P2195" s="11"/>
      <c r="Q2195" s="13"/>
      <c r="R2195" s="10"/>
      <c r="S2195" s="10"/>
      <c r="AA2195" s="131" t="s">
        <v>431</v>
      </c>
      <c r="AB2195" s="130">
        <v>3501016.097232</v>
      </c>
      <c r="AC2195" s="130">
        <v>3501016.097232</v>
      </c>
    </row>
    <row r="2196" spans="1:29" x14ac:dyDescent="0.25">
      <c r="A2196" t="str">
        <f t="shared" si="35"/>
        <v/>
      </c>
      <c r="B2196" s="10"/>
      <c r="C2196" s="10"/>
      <c r="D2196" s="10"/>
      <c r="E2196" s="10"/>
      <c r="F2196" s="10"/>
      <c r="G2196" s="11"/>
      <c r="H2196" s="12"/>
      <c r="I2196" s="13"/>
      <c r="J2196" s="12"/>
      <c r="K2196" s="13"/>
      <c r="L2196" s="11"/>
      <c r="M2196" s="13"/>
      <c r="N2196" s="11"/>
      <c r="O2196" s="13"/>
      <c r="P2196" s="11"/>
      <c r="Q2196" s="13"/>
      <c r="R2196" s="10"/>
      <c r="S2196" s="10"/>
      <c r="AA2196" s="129">
        <v>1032445</v>
      </c>
      <c r="AB2196" s="130">
        <v>1327862.80696</v>
      </c>
      <c r="AC2196" s="130">
        <v>1327862.80696</v>
      </c>
    </row>
    <row r="2197" spans="1:29" x14ac:dyDescent="0.25">
      <c r="A2197" t="str">
        <f t="shared" si="35"/>
        <v/>
      </c>
      <c r="B2197" s="10"/>
      <c r="C2197" s="10"/>
      <c r="D2197" s="10"/>
      <c r="E2197" s="10"/>
      <c r="F2197" s="10"/>
      <c r="G2197" s="11"/>
      <c r="H2197" s="12"/>
      <c r="I2197" s="13"/>
      <c r="J2197" s="12"/>
      <c r="K2197" s="13"/>
      <c r="L2197" s="11"/>
      <c r="M2197" s="13"/>
      <c r="N2197" s="11"/>
      <c r="O2197" s="13"/>
      <c r="P2197" s="11"/>
      <c r="Q2197" s="13"/>
      <c r="R2197" s="10"/>
      <c r="S2197" s="10"/>
      <c r="AA2197" s="131" t="s">
        <v>431</v>
      </c>
      <c r="AB2197" s="130">
        <v>1327862.80696</v>
      </c>
      <c r="AC2197" s="130">
        <v>1327862.80696</v>
      </c>
    </row>
    <row r="2198" spans="1:29" x14ac:dyDescent="0.25">
      <c r="A2198" t="str">
        <f t="shared" si="35"/>
        <v/>
      </c>
      <c r="B2198" s="10"/>
      <c r="C2198" s="10"/>
      <c r="D2198" s="10"/>
      <c r="E2198" s="10"/>
      <c r="F2198" s="10"/>
      <c r="G2198" s="11"/>
      <c r="H2198" s="12"/>
      <c r="I2198" s="13"/>
      <c r="J2198" s="12"/>
      <c r="K2198" s="13"/>
      <c r="L2198" s="11"/>
      <c r="M2198" s="13"/>
      <c r="N2198" s="11"/>
      <c r="O2198" s="13"/>
      <c r="P2198" s="11"/>
      <c r="Q2198" s="13"/>
      <c r="R2198" s="10"/>
      <c r="S2198" s="10"/>
      <c r="AA2198" s="129">
        <v>1032446</v>
      </c>
      <c r="AB2198" s="130">
        <v>2297101.6610719999</v>
      </c>
      <c r="AC2198" s="130">
        <v>2297101.6610719999</v>
      </c>
    </row>
    <row r="2199" spans="1:29" x14ac:dyDescent="0.25">
      <c r="A2199" t="str">
        <f t="shared" si="35"/>
        <v/>
      </c>
      <c r="B2199" s="10"/>
      <c r="C2199" s="10"/>
      <c r="D2199" s="10"/>
      <c r="E2199" s="10"/>
      <c r="F2199" s="10"/>
      <c r="G2199" s="11"/>
      <c r="H2199" s="12"/>
      <c r="I2199" s="13"/>
      <c r="J2199" s="12"/>
      <c r="K2199" s="13"/>
      <c r="L2199" s="11"/>
      <c r="M2199" s="13"/>
      <c r="N2199" s="11"/>
      <c r="O2199" s="13"/>
      <c r="P2199" s="11"/>
      <c r="Q2199" s="13"/>
      <c r="R2199" s="10"/>
      <c r="S2199" s="10"/>
      <c r="AA2199" s="131" t="s">
        <v>431</v>
      </c>
      <c r="AB2199" s="130">
        <v>2297101.6610719999</v>
      </c>
      <c r="AC2199" s="130">
        <v>2297101.6610719999</v>
      </c>
    </row>
    <row r="2200" spans="1:29" x14ac:dyDescent="0.25">
      <c r="A2200" t="str">
        <f t="shared" si="35"/>
        <v/>
      </c>
      <c r="B2200" s="10"/>
      <c r="C2200" s="10"/>
      <c r="D2200" s="10"/>
      <c r="E2200" s="10"/>
      <c r="F2200" s="10"/>
      <c r="G2200" s="11"/>
      <c r="H2200" s="12"/>
      <c r="I2200" s="13"/>
      <c r="J2200" s="12"/>
      <c r="K2200" s="13"/>
      <c r="L2200" s="11"/>
      <c r="M2200" s="13"/>
      <c r="N2200" s="11"/>
      <c r="O2200" s="13"/>
      <c r="P2200" s="11"/>
      <c r="Q2200" s="13"/>
      <c r="R2200" s="10"/>
      <c r="S2200" s="10"/>
      <c r="AA2200" s="129">
        <v>1036731</v>
      </c>
      <c r="AB2200" s="130">
        <v>613029.25910400006</v>
      </c>
      <c r="AC2200" s="130">
        <v>613029.25910400006</v>
      </c>
    </row>
    <row r="2201" spans="1:29" x14ac:dyDescent="0.25">
      <c r="A2201" t="str">
        <f t="shared" si="35"/>
        <v/>
      </c>
      <c r="B2201" s="10"/>
      <c r="C2201" s="10"/>
      <c r="D2201" s="10"/>
      <c r="E2201" s="10"/>
      <c r="F2201" s="10"/>
      <c r="G2201" s="11"/>
      <c r="H2201" s="12"/>
      <c r="I2201" s="13"/>
      <c r="J2201" s="12"/>
      <c r="K2201" s="13"/>
      <c r="L2201" s="11"/>
      <c r="M2201" s="13"/>
      <c r="N2201" s="11"/>
      <c r="O2201" s="13"/>
      <c r="P2201" s="11"/>
      <c r="Q2201" s="13"/>
      <c r="R2201" s="10"/>
      <c r="S2201" s="10"/>
      <c r="AA2201" s="131" t="s">
        <v>431</v>
      </c>
      <c r="AB2201" s="130">
        <v>613029.25910400006</v>
      </c>
      <c r="AC2201" s="130">
        <v>613029.25910400006</v>
      </c>
    </row>
    <row r="2202" spans="1:29" x14ac:dyDescent="0.25">
      <c r="A2202" t="str">
        <f t="shared" si="35"/>
        <v/>
      </c>
      <c r="B2202" s="10"/>
      <c r="C2202" s="10"/>
      <c r="D2202" s="10"/>
      <c r="E2202" s="10"/>
      <c r="F2202" s="10"/>
      <c r="G2202" s="11"/>
      <c r="H2202" s="12"/>
      <c r="I2202" s="13"/>
      <c r="J2202" s="12"/>
      <c r="K2202" s="13"/>
      <c r="L2202" s="11"/>
      <c r="M2202" s="13"/>
      <c r="N2202" s="11"/>
      <c r="O2202" s="13"/>
      <c r="P2202" s="11"/>
      <c r="Q2202" s="13"/>
      <c r="R2202" s="10"/>
      <c r="S2202" s="10"/>
      <c r="AA2202" s="129">
        <v>1037097</v>
      </c>
      <c r="AB2202" s="130">
        <v>4638287.4560000002</v>
      </c>
      <c r="AC2202" s="130">
        <v>4638287.4560000002</v>
      </c>
    </row>
    <row r="2203" spans="1:29" x14ac:dyDescent="0.25">
      <c r="A2203" t="str">
        <f t="shared" si="35"/>
        <v/>
      </c>
      <c r="B2203" s="10"/>
      <c r="C2203" s="10"/>
      <c r="D2203" s="10"/>
      <c r="E2203" s="10"/>
      <c r="F2203" s="10"/>
      <c r="G2203" s="11"/>
      <c r="H2203" s="12"/>
      <c r="I2203" s="13"/>
      <c r="J2203" s="12"/>
      <c r="K2203" s="13"/>
      <c r="L2203" s="11"/>
      <c r="M2203" s="13"/>
      <c r="N2203" s="11"/>
      <c r="O2203" s="13"/>
      <c r="P2203" s="11"/>
      <c r="Q2203" s="13"/>
      <c r="R2203" s="10"/>
      <c r="S2203" s="10"/>
      <c r="AA2203" s="131" t="s">
        <v>431</v>
      </c>
      <c r="AB2203" s="130">
        <v>4638287.4560000002</v>
      </c>
      <c r="AC2203" s="130">
        <v>4638287.4560000002</v>
      </c>
    </row>
    <row r="2204" spans="1:29" x14ac:dyDescent="0.25">
      <c r="A2204" t="str">
        <f t="shared" si="35"/>
        <v/>
      </c>
      <c r="B2204" s="10"/>
      <c r="C2204" s="10"/>
      <c r="D2204" s="10"/>
      <c r="E2204" s="10"/>
      <c r="F2204" s="10"/>
      <c r="G2204" s="11"/>
      <c r="H2204" s="12"/>
      <c r="I2204" s="13"/>
      <c r="J2204" s="12"/>
      <c r="K2204" s="13"/>
      <c r="L2204" s="11"/>
      <c r="M2204" s="13"/>
      <c r="N2204" s="11"/>
      <c r="O2204" s="13"/>
      <c r="P2204" s="11"/>
      <c r="Q2204" s="13"/>
      <c r="R2204" s="10"/>
      <c r="S2204" s="10"/>
      <c r="AA2204" s="129">
        <v>1037109</v>
      </c>
      <c r="AB2204" s="130">
        <v>6374054.3197760005</v>
      </c>
      <c r="AC2204" s="130">
        <v>6374054.3197760005</v>
      </c>
    </row>
    <row r="2205" spans="1:29" x14ac:dyDescent="0.25">
      <c r="A2205" t="str">
        <f t="shared" si="35"/>
        <v/>
      </c>
      <c r="B2205" s="10"/>
      <c r="C2205" s="10"/>
      <c r="D2205" s="10"/>
      <c r="E2205" s="10"/>
      <c r="F2205" s="10"/>
      <c r="G2205" s="11"/>
      <c r="H2205" s="12"/>
      <c r="I2205" s="13"/>
      <c r="J2205" s="12"/>
      <c r="K2205" s="13"/>
      <c r="L2205" s="11"/>
      <c r="M2205" s="13"/>
      <c r="N2205" s="11"/>
      <c r="O2205" s="13"/>
      <c r="P2205" s="11"/>
      <c r="Q2205" s="13"/>
      <c r="R2205" s="10"/>
      <c r="S2205" s="10"/>
      <c r="AA2205" s="131" t="s">
        <v>431</v>
      </c>
      <c r="AB2205" s="130">
        <v>6374054.3197760005</v>
      </c>
      <c r="AC2205" s="130">
        <v>6374054.3197760005</v>
      </c>
    </row>
    <row r="2206" spans="1:29" x14ac:dyDescent="0.25">
      <c r="A2206" t="str">
        <f t="shared" si="35"/>
        <v/>
      </c>
      <c r="B2206" s="10"/>
      <c r="C2206" s="10"/>
      <c r="D2206" s="10"/>
      <c r="E2206" s="10"/>
      <c r="F2206" s="10"/>
      <c r="G2206" s="11"/>
      <c r="H2206" s="12"/>
      <c r="I2206" s="13"/>
      <c r="J2206" s="12"/>
      <c r="K2206" s="13"/>
      <c r="L2206" s="11"/>
      <c r="M2206" s="13"/>
      <c r="N2206" s="11"/>
      <c r="O2206" s="13"/>
      <c r="P2206" s="11"/>
      <c r="Q2206" s="13"/>
      <c r="R2206" s="10"/>
      <c r="S2206" s="10"/>
      <c r="AA2206" s="129">
        <v>1038853</v>
      </c>
      <c r="AB2206" s="130">
        <v>982585.83231199998</v>
      </c>
      <c r="AC2206" s="130">
        <v>982585.83231199998</v>
      </c>
    </row>
    <row r="2207" spans="1:29" x14ac:dyDescent="0.25">
      <c r="A2207" t="str">
        <f t="shared" si="35"/>
        <v/>
      </c>
      <c r="B2207" s="10"/>
      <c r="C2207" s="10"/>
      <c r="D2207" s="10"/>
      <c r="E2207" s="10"/>
      <c r="F2207" s="10"/>
      <c r="G2207" s="11"/>
      <c r="H2207" s="12"/>
      <c r="I2207" s="13"/>
      <c r="J2207" s="12"/>
      <c r="K2207" s="13"/>
      <c r="L2207" s="11"/>
      <c r="M2207" s="13"/>
      <c r="N2207" s="11"/>
      <c r="O2207" s="13"/>
      <c r="P2207" s="11"/>
      <c r="Q2207" s="13"/>
      <c r="R2207" s="10"/>
      <c r="S2207" s="10"/>
      <c r="AA2207" s="131" t="s">
        <v>431</v>
      </c>
      <c r="AB2207" s="130">
        <v>982585.83231199998</v>
      </c>
      <c r="AC2207" s="130">
        <v>982585.83231199998</v>
      </c>
    </row>
    <row r="2208" spans="1:29" x14ac:dyDescent="0.25">
      <c r="A2208" t="str">
        <f t="shared" si="35"/>
        <v/>
      </c>
      <c r="B2208" s="10"/>
      <c r="C2208" s="10"/>
      <c r="D2208" s="10"/>
      <c r="E2208" s="10"/>
      <c r="F2208" s="10"/>
      <c r="G2208" s="11"/>
      <c r="H2208" s="12"/>
      <c r="I2208" s="13"/>
      <c r="J2208" s="12"/>
      <c r="K2208" s="13"/>
      <c r="L2208" s="11"/>
      <c r="M2208" s="13"/>
      <c r="N2208" s="11"/>
      <c r="O2208" s="13"/>
      <c r="P2208" s="11"/>
      <c r="Q2208" s="13"/>
      <c r="R2208" s="10"/>
      <c r="S2208" s="10"/>
      <c r="AA2208" s="129">
        <v>65509560409</v>
      </c>
      <c r="AB2208" s="130">
        <v>57344512.107092001</v>
      </c>
      <c r="AC2208" s="130">
        <v>57344512.107092001</v>
      </c>
    </row>
    <row r="2209" spans="1:29" x14ac:dyDescent="0.25">
      <c r="A2209" t="str">
        <f t="shared" si="35"/>
        <v/>
      </c>
      <c r="B2209" s="10"/>
      <c r="C2209" s="10"/>
      <c r="D2209" s="10"/>
      <c r="E2209" s="10"/>
      <c r="F2209" s="10"/>
      <c r="G2209" s="11"/>
      <c r="H2209" s="12"/>
      <c r="I2209" s="13"/>
      <c r="J2209" s="12"/>
      <c r="K2209" s="13"/>
      <c r="L2209" s="11"/>
      <c r="M2209" s="13"/>
      <c r="N2209" s="11"/>
      <c r="O2209" s="13"/>
      <c r="P2209" s="11"/>
      <c r="Q2209" s="13"/>
      <c r="R2209" s="10"/>
      <c r="S2209" s="10"/>
      <c r="AA2209" s="131" t="s">
        <v>389</v>
      </c>
      <c r="AB2209" s="130">
        <v>57344512.107092001</v>
      </c>
      <c r="AC2209" s="130">
        <v>57344512.107092001</v>
      </c>
    </row>
    <row r="2210" spans="1:29" x14ac:dyDescent="0.25">
      <c r="A2210" t="str">
        <f t="shared" si="35"/>
        <v/>
      </c>
      <c r="B2210" s="10"/>
      <c r="C2210" s="10"/>
      <c r="D2210" s="10"/>
      <c r="E2210" s="10"/>
      <c r="F2210" s="10"/>
      <c r="G2210" s="11"/>
      <c r="H2210" s="12"/>
      <c r="I2210" s="13"/>
      <c r="J2210" s="12"/>
      <c r="K2210" s="13"/>
      <c r="L2210" s="11"/>
      <c r="M2210" s="13"/>
      <c r="N2210" s="11"/>
      <c r="O2210" s="13"/>
      <c r="P2210" s="11"/>
      <c r="Q2210" s="13"/>
      <c r="R2210" s="10"/>
      <c r="S2210" s="10"/>
      <c r="AA2210" s="129">
        <v>65509560426</v>
      </c>
      <c r="AB2210" s="130">
        <v>217913.11411600001</v>
      </c>
      <c r="AC2210" s="130">
        <v>217913.11411600001</v>
      </c>
    </row>
    <row r="2211" spans="1:29" x14ac:dyDescent="0.25">
      <c r="A2211" t="str">
        <f t="shared" si="35"/>
        <v/>
      </c>
      <c r="B2211" s="10"/>
      <c r="C2211" s="10"/>
      <c r="D2211" s="10"/>
      <c r="E2211" s="10"/>
      <c r="F2211" s="10"/>
      <c r="G2211" s="11"/>
      <c r="H2211" s="12"/>
      <c r="I2211" s="13"/>
      <c r="J2211" s="12"/>
      <c r="K2211" s="13"/>
      <c r="L2211" s="11"/>
      <c r="M2211" s="13"/>
      <c r="N2211" s="11"/>
      <c r="O2211" s="13"/>
      <c r="P2211" s="11"/>
      <c r="Q2211" s="13"/>
      <c r="R2211" s="10"/>
      <c r="S2211" s="10"/>
      <c r="AA2211" s="131" t="s">
        <v>389</v>
      </c>
      <c r="AB2211" s="130">
        <v>217913.11411600001</v>
      </c>
      <c r="AC2211" s="130">
        <v>217913.11411600001</v>
      </c>
    </row>
    <row r="2212" spans="1:29" x14ac:dyDescent="0.25">
      <c r="A2212" t="str">
        <f t="shared" si="35"/>
        <v/>
      </c>
      <c r="B2212" s="10"/>
      <c r="C2212" s="10"/>
      <c r="D2212" s="10"/>
      <c r="E2212" s="10"/>
      <c r="F2212" s="10"/>
      <c r="G2212" s="11"/>
      <c r="H2212" s="12"/>
      <c r="I2212" s="13"/>
      <c r="J2212" s="12"/>
      <c r="K2212" s="13"/>
      <c r="L2212" s="11"/>
      <c r="M2212" s="13"/>
      <c r="N2212" s="11"/>
      <c r="O2212" s="13"/>
      <c r="P2212" s="11"/>
      <c r="Q2212" s="13"/>
      <c r="R2212" s="10"/>
      <c r="S2212" s="10"/>
      <c r="AA2212" s="129">
        <v>65509560443</v>
      </c>
      <c r="AB2212" s="130">
        <v>594835.91909600003</v>
      </c>
      <c r="AC2212" s="130">
        <v>594835.91909600003</v>
      </c>
    </row>
    <row r="2213" spans="1:29" x14ac:dyDescent="0.25">
      <c r="A2213" t="str">
        <f t="shared" si="35"/>
        <v/>
      </c>
      <c r="B2213" s="10"/>
      <c r="C2213" s="10"/>
      <c r="D2213" s="10"/>
      <c r="E2213" s="10"/>
      <c r="F2213" s="10"/>
      <c r="G2213" s="11"/>
      <c r="H2213" s="12"/>
      <c r="I2213" s="13"/>
      <c r="J2213" s="12"/>
      <c r="K2213" s="13"/>
      <c r="L2213" s="11"/>
      <c r="M2213" s="13"/>
      <c r="N2213" s="11"/>
      <c r="O2213" s="13"/>
      <c r="P2213" s="11"/>
      <c r="Q2213" s="13"/>
      <c r="R2213" s="10"/>
      <c r="S2213" s="10"/>
      <c r="AA2213" s="131" t="s">
        <v>389</v>
      </c>
      <c r="AB2213" s="130">
        <v>594835.91909600003</v>
      </c>
      <c r="AC2213" s="130">
        <v>594835.91909600003</v>
      </c>
    </row>
    <row r="2214" spans="1:29" x14ac:dyDescent="0.25">
      <c r="A2214" t="str">
        <f t="shared" si="35"/>
        <v/>
      </c>
      <c r="B2214" s="10"/>
      <c r="C2214" s="10"/>
      <c r="D2214" s="10"/>
      <c r="E2214" s="10"/>
      <c r="F2214" s="10"/>
      <c r="G2214" s="11"/>
      <c r="H2214" s="12"/>
      <c r="I2214" s="13"/>
      <c r="J2214" s="12"/>
      <c r="K2214" s="13"/>
      <c r="L2214" s="11"/>
      <c r="M2214" s="13"/>
      <c r="N2214" s="11"/>
      <c r="O2214" s="13"/>
      <c r="P2214" s="11"/>
      <c r="Q2214" s="13"/>
      <c r="R2214" s="10"/>
      <c r="S2214" s="10"/>
      <c r="AA2214" s="129">
        <v>65509560457</v>
      </c>
      <c r="AB2214" s="130">
        <v>1277403.6654079999</v>
      </c>
      <c r="AC2214" s="130">
        <v>1277403.6654079999</v>
      </c>
    </row>
    <row r="2215" spans="1:29" x14ac:dyDescent="0.25">
      <c r="A2215" t="str">
        <f t="shared" si="35"/>
        <v/>
      </c>
      <c r="B2215" s="10"/>
      <c r="C2215" s="10"/>
      <c r="D2215" s="10"/>
      <c r="E2215" s="10"/>
      <c r="F2215" s="10"/>
      <c r="G2215" s="11"/>
      <c r="H2215" s="12"/>
      <c r="I2215" s="13"/>
      <c r="J2215" s="12"/>
      <c r="K2215" s="13"/>
      <c r="L2215" s="11"/>
      <c r="M2215" s="13"/>
      <c r="N2215" s="11"/>
      <c r="O2215" s="13"/>
      <c r="P2215" s="11"/>
      <c r="Q2215" s="13"/>
      <c r="R2215" s="10"/>
      <c r="S2215" s="10"/>
      <c r="AA2215" s="131" t="s">
        <v>389</v>
      </c>
      <c r="AB2215" s="130">
        <v>1277403.6654079999</v>
      </c>
      <c r="AC2215" s="130">
        <v>1277403.6654079999</v>
      </c>
    </row>
    <row r="2216" spans="1:29" x14ac:dyDescent="0.25">
      <c r="A2216" t="str">
        <f t="shared" si="35"/>
        <v/>
      </c>
      <c r="B2216" s="10"/>
      <c r="C2216" s="10"/>
      <c r="D2216" s="10"/>
      <c r="E2216" s="10"/>
      <c r="F2216" s="10"/>
      <c r="G2216" s="11"/>
      <c r="H2216" s="12"/>
      <c r="I2216" s="13"/>
      <c r="J2216" s="12"/>
      <c r="K2216" s="13"/>
      <c r="L2216" s="11"/>
      <c r="M2216" s="13"/>
      <c r="N2216" s="11"/>
      <c r="O2216" s="13"/>
      <c r="P2216" s="11"/>
      <c r="Q2216" s="13"/>
      <c r="R2216" s="10"/>
      <c r="S2216" s="10"/>
      <c r="AA2216" s="129">
        <v>1000001940</v>
      </c>
      <c r="AB2216" s="130">
        <v>137939612.65438801</v>
      </c>
      <c r="AC2216" s="130">
        <v>137939612.65438801</v>
      </c>
    </row>
    <row r="2217" spans="1:29" x14ac:dyDescent="0.25">
      <c r="A2217" t="str">
        <f t="shared" si="35"/>
        <v/>
      </c>
      <c r="B2217" s="10"/>
      <c r="C2217" s="10"/>
      <c r="D2217" s="10"/>
      <c r="E2217" s="10"/>
      <c r="F2217" s="10"/>
      <c r="G2217" s="11"/>
      <c r="H2217" s="12"/>
      <c r="I2217" s="13"/>
      <c r="J2217" s="12"/>
      <c r="K2217" s="13"/>
      <c r="L2217" s="11"/>
      <c r="M2217" s="13"/>
      <c r="N2217" s="11"/>
      <c r="O2217" s="13"/>
      <c r="P2217" s="11"/>
      <c r="Q2217" s="13"/>
      <c r="R2217" s="10"/>
      <c r="S2217" s="10"/>
      <c r="AA2217" s="131" t="s">
        <v>389</v>
      </c>
      <c r="AB2217" s="130">
        <v>137939612.65438801</v>
      </c>
      <c r="AC2217" s="130">
        <v>137939612.65438801</v>
      </c>
    </row>
    <row r="2218" spans="1:29" x14ac:dyDescent="0.25">
      <c r="A2218" t="str">
        <f t="shared" si="35"/>
        <v/>
      </c>
      <c r="B2218" s="10"/>
      <c r="C2218" s="10"/>
      <c r="D2218" s="10"/>
      <c r="E2218" s="10"/>
      <c r="F2218" s="10"/>
      <c r="G2218" s="11"/>
      <c r="H2218" s="12"/>
      <c r="I2218" s="13"/>
      <c r="J2218" s="12"/>
      <c r="K2218" s="13"/>
      <c r="L2218" s="11"/>
      <c r="M2218" s="13"/>
      <c r="N2218" s="11"/>
      <c r="O2218" s="13"/>
      <c r="P2218" s="11"/>
      <c r="Q2218" s="13"/>
      <c r="R2218" s="10"/>
      <c r="S2218" s="10"/>
      <c r="AA2218" s="129">
        <v>1000002861</v>
      </c>
      <c r="AB2218" s="130">
        <v>13097239.509880001</v>
      </c>
      <c r="AC2218" s="130">
        <v>13097239.509880001</v>
      </c>
    </row>
    <row r="2219" spans="1:29" x14ac:dyDescent="0.25">
      <c r="A2219" t="str">
        <f t="shared" si="35"/>
        <v/>
      </c>
      <c r="B2219" s="10"/>
      <c r="C2219" s="10"/>
      <c r="D2219" s="10"/>
      <c r="E2219" s="10"/>
      <c r="F2219" s="10"/>
      <c r="G2219" s="11"/>
      <c r="H2219" s="12"/>
      <c r="I2219" s="13"/>
      <c r="J2219" s="12"/>
      <c r="K2219" s="13"/>
      <c r="L2219" s="11"/>
      <c r="M2219" s="13"/>
      <c r="N2219" s="11"/>
      <c r="O2219" s="13"/>
      <c r="P2219" s="11"/>
      <c r="Q2219" s="13"/>
      <c r="R2219" s="10"/>
      <c r="S2219" s="10"/>
      <c r="AA2219" s="131" t="s">
        <v>389</v>
      </c>
      <c r="AB2219" s="130">
        <v>13097239.509880001</v>
      </c>
      <c r="AC2219" s="130">
        <v>13097239.509880001</v>
      </c>
    </row>
    <row r="2220" spans="1:29" x14ac:dyDescent="0.25">
      <c r="A2220" t="str">
        <f t="shared" si="35"/>
        <v/>
      </c>
      <c r="B2220" s="10"/>
      <c r="C2220" s="10"/>
      <c r="D2220" s="10"/>
      <c r="E2220" s="10"/>
      <c r="F2220" s="10"/>
      <c r="G2220" s="11"/>
      <c r="H2220" s="12"/>
      <c r="I2220" s="13"/>
      <c r="J2220" s="12"/>
      <c r="K2220" s="13"/>
      <c r="L2220" s="11"/>
      <c r="M2220" s="13"/>
      <c r="N2220" s="11"/>
      <c r="O2220" s="13"/>
      <c r="P2220" s="11"/>
      <c r="Q2220" s="13"/>
      <c r="R2220" s="10"/>
      <c r="S2220" s="10"/>
      <c r="AA2220" s="129">
        <v>1000003291</v>
      </c>
      <c r="AB2220" s="130">
        <v>60779327.953492001</v>
      </c>
      <c r="AC2220" s="130">
        <v>60779327.953492001</v>
      </c>
    </row>
    <row r="2221" spans="1:29" x14ac:dyDescent="0.25">
      <c r="A2221" t="str">
        <f t="shared" si="35"/>
        <v/>
      </c>
      <c r="B2221" s="10"/>
      <c r="C2221" s="10"/>
      <c r="D2221" s="10"/>
      <c r="E2221" s="10"/>
      <c r="F2221" s="10"/>
      <c r="G2221" s="11"/>
      <c r="H2221" s="12"/>
      <c r="I2221" s="13"/>
      <c r="J2221" s="12"/>
      <c r="K2221" s="13"/>
      <c r="L2221" s="11"/>
      <c r="M2221" s="13"/>
      <c r="N2221" s="11"/>
      <c r="O2221" s="13"/>
      <c r="P2221" s="11"/>
      <c r="Q2221" s="13"/>
      <c r="R2221" s="10"/>
      <c r="S2221" s="10"/>
      <c r="AA2221" s="131" t="s">
        <v>389</v>
      </c>
      <c r="AB2221" s="130">
        <v>60779327.953492001</v>
      </c>
      <c r="AC2221" s="130">
        <v>60779327.953492001</v>
      </c>
    </row>
    <row r="2222" spans="1:29" x14ac:dyDescent="0.25">
      <c r="A2222" t="str">
        <f t="shared" si="35"/>
        <v/>
      </c>
      <c r="B2222" s="10"/>
      <c r="C2222" s="10"/>
      <c r="D2222" s="10"/>
      <c r="E2222" s="10"/>
      <c r="F2222" s="10"/>
      <c r="G2222" s="11"/>
      <c r="H2222" s="12"/>
      <c r="I2222" s="13"/>
      <c r="J2222" s="12"/>
      <c r="K2222" s="13"/>
      <c r="L2222" s="11"/>
      <c r="M2222" s="13"/>
      <c r="N2222" s="11"/>
      <c r="O2222" s="13"/>
      <c r="P2222" s="11"/>
      <c r="Q2222" s="13"/>
      <c r="R2222" s="10"/>
      <c r="S2222" s="10"/>
      <c r="AA2222" s="129">
        <v>1000003292</v>
      </c>
      <c r="AB2222" s="130">
        <v>8581992.0128080007</v>
      </c>
      <c r="AC2222" s="130">
        <v>8581992.0128080007</v>
      </c>
    </row>
    <row r="2223" spans="1:29" x14ac:dyDescent="0.25">
      <c r="A2223" t="str">
        <f t="shared" si="35"/>
        <v/>
      </c>
      <c r="B2223" s="10"/>
      <c r="C2223" s="10"/>
      <c r="D2223" s="10"/>
      <c r="E2223" s="10"/>
      <c r="F2223" s="10"/>
      <c r="G2223" s="11"/>
      <c r="H2223" s="12"/>
      <c r="I2223" s="13"/>
      <c r="J2223" s="12"/>
      <c r="K2223" s="13"/>
      <c r="L2223" s="11"/>
      <c r="M2223" s="13"/>
      <c r="N2223" s="11"/>
      <c r="O2223" s="13"/>
      <c r="P2223" s="11"/>
      <c r="Q2223" s="13"/>
      <c r="R2223" s="10"/>
      <c r="S2223" s="10"/>
      <c r="AA2223" s="131" t="s">
        <v>389</v>
      </c>
      <c r="AB2223" s="130">
        <v>8581992.0128080007</v>
      </c>
      <c r="AC2223" s="130">
        <v>8581992.0128080007</v>
      </c>
    </row>
    <row r="2224" spans="1:29" x14ac:dyDescent="0.25">
      <c r="A2224" t="str">
        <f t="shared" si="35"/>
        <v/>
      </c>
      <c r="B2224" s="10"/>
      <c r="C2224" s="10"/>
      <c r="D2224" s="10"/>
      <c r="E2224" s="10"/>
      <c r="F2224" s="10"/>
      <c r="G2224" s="11"/>
      <c r="H2224" s="12"/>
      <c r="I2224" s="13"/>
      <c r="J2224" s="12"/>
      <c r="K2224" s="13"/>
      <c r="L2224" s="11"/>
      <c r="M2224" s="13"/>
      <c r="N2224" s="11"/>
      <c r="O2224" s="13"/>
      <c r="P2224" s="11"/>
      <c r="Q2224" s="13"/>
      <c r="R2224" s="10"/>
      <c r="S2224" s="10"/>
      <c r="AA2224" s="129">
        <v>1000003293</v>
      </c>
      <c r="AB2224" s="130">
        <v>31340123.241996001</v>
      </c>
      <c r="AC2224" s="130">
        <v>31340123.241996001</v>
      </c>
    </row>
    <row r="2225" spans="1:29" x14ac:dyDescent="0.25">
      <c r="A2225" t="str">
        <f t="shared" si="35"/>
        <v/>
      </c>
      <c r="B2225" s="10"/>
      <c r="C2225" s="10"/>
      <c r="D2225" s="10"/>
      <c r="E2225" s="10"/>
      <c r="F2225" s="10"/>
      <c r="G2225" s="11"/>
      <c r="H2225" s="12"/>
      <c r="I2225" s="13"/>
      <c r="J2225" s="12"/>
      <c r="K2225" s="13"/>
      <c r="L2225" s="11"/>
      <c r="M2225" s="13"/>
      <c r="N2225" s="11"/>
      <c r="O2225" s="13"/>
      <c r="P2225" s="11"/>
      <c r="Q2225" s="13"/>
      <c r="R2225" s="10"/>
      <c r="S2225" s="10"/>
      <c r="AA2225" s="131" t="s">
        <v>389</v>
      </c>
      <c r="AB2225" s="130">
        <v>31340123.241996001</v>
      </c>
      <c r="AC2225" s="130">
        <v>31340123.241996001</v>
      </c>
    </row>
    <row r="2226" spans="1:29" x14ac:dyDescent="0.25">
      <c r="A2226" t="str">
        <f t="shared" si="35"/>
        <v/>
      </c>
      <c r="B2226" s="10"/>
      <c r="C2226" s="10"/>
      <c r="D2226" s="10"/>
      <c r="E2226" s="10"/>
      <c r="F2226" s="10"/>
      <c r="G2226" s="11"/>
      <c r="H2226" s="12"/>
      <c r="I2226" s="13"/>
      <c r="J2226" s="12"/>
      <c r="K2226" s="13"/>
      <c r="L2226" s="11"/>
      <c r="M2226" s="13"/>
      <c r="N2226" s="11"/>
      <c r="O2226" s="13"/>
      <c r="P2226" s="11"/>
      <c r="Q2226" s="13"/>
      <c r="R2226" s="10"/>
      <c r="S2226" s="10"/>
      <c r="AA2226" s="129">
        <v>1000003294</v>
      </c>
      <c r="AB2226" s="130">
        <v>2752363.5903360001</v>
      </c>
      <c r="AC2226" s="130">
        <v>2752363.5903360001</v>
      </c>
    </row>
    <row r="2227" spans="1:29" x14ac:dyDescent="0.25">
      <c r="A2227" t="str">
        <f t="shared" si="35"/>
        <v/>
      </c>
      <c r="B2227" s="10"/>
      <c r="C2227" s="10"/>
      <c r="D2227" s="10"/>
      <c r="E2227" s="10"/>
      <c r="F2227" s="10"/>
      <c r="G2227" s="11"/>
      <c r="H2227" s="12"/>
      <c r="I2227" s="13"/>
      <c r="J2227" s="12"/>
      <c r="K2227" s="13"/>
      <c r="L2227" s="11"/>
      <c r="M2227" s="13"/>
      <c r="N2227" s="11"/>
      <c r="O2227" s="13"/>
      <c r="P2227" s="11"/>
      <c r="Q2227" s="13"/>
      <c r="R2227" s="10"/>
      <c r="S2227" s="10"/>
      <c r="AA2227" s="131" t="s">
        <v>389</v>
      </c>
      <c r="AB2227" s="130">
        <v>2752363.5903360001</v>
      </c>
      <c r="AC2227" s="130">
        <v>2752363.5903360001</v>
      </c>
    </row>
    <row r="2228" spans="1:29" x14ac:dyDescent="0.25">
      <c r="A2228" t="str">
        <f t="shared" si="35"/>
        <v/>
      </c>
      <c r="B2228" s="10"/>
      <c r="C2228" s="10"/>
      <c r="D2228" s="10"/>
      <c r="E2228" s="10"/>
      <c r="F2228" s="10"/>
      <c r="G2228" s="11"/>
      <c r="H2228" s="12"/>
      <c r="I2228" s="13"/>
      <c r="J2228" s="12"/>
      <c r="K2228" s="13"/>
      <c r="L2228" s="11"/>
      <c r="M2228" s="13"/>
      <c r="N2228" s="11"/>
      <c r="O2228" s="13"/>
      <c r="P2228" s="11"/>
      <c r="Q2228" s="13"/>
      <c r="R2228" s="10"/>
      <c r="S2228" s="10"/>
      <c r="AA2228" s="129">
        <v>1000003295</v>
      </c>
      <c r="AB2228" s="130">
        <v>82669240.862708002</v>
      </c>
      <c r="AC2228" s="130">
        <v>82669240.862708002</v>
      </c>
    </row>
    <row r="2229" spans="1:29" x14ac:dyDescent="0.25">
      <c r="A2229" t="str">
        <f t="shared" si="35"/>
        <v/>
      </c>
      <c r="B2229" s="10"/>
      <c r="C2229" s="10"/>
      <c r="D2229" s="10"/>
      <c r="E2229" s="10"/>
      <c r="F2229" s="10"/>
      <c r="G2229" s="11"/>
      <c r="H2229" s="12"/>
      <c r="I2229" s="13"/>
      <c r="J2229" s="12"/>
      <c r="K2229" s="13"/>
      <c r="L2229" s="11"/>
      <c r="M2229" s="13"/>
      <c r="N2229" s="11"/>
      <c r="O2229" s="13"/>
      <c r="P2229" s="11"/>
      <c r="Q2229" s="13"/>
      <c r="R2229" s="10"/>
      <c r="S2229" s="10"/>
      <c r="T2229" s="23"/>
      <c r="AA2229" s="131" t="s">
        <v>389</v>
      </c>
      <c r="AB2229" s="130">
        <v>82669240.862708002</v>
      </c>
      <c r="AC2229" s="130">
        <v>82669240.862708002</v>
      </c>
    </row>
    <row r="2230" spans="1:29" x14ac:dyDescent="0.25">
      <c r="A2230" t="str">
        <f t="shared" si="35"/>
        <v/>
      </c>
      <c r="B2230" s="10"/>
      <c r="C2230" s="10"/>
      <c r="D2230" s="10"/>
      <c r="E2230" s="10"/>
      <c r="F2230" s="10"/>
      <c r="G2230" s="11"/>
      <c r="H2230" s="12"/>
      <c r="I2230" s="13"/>
      <c r="J2230" s="12"/>
      <c r="K2230" s="13"/>
      <c r="L2230" s="11"/>
      <c r="M2230" s="13"/>
      <c r="N2230" s="11"/>
      <c r="O2230" s="13"/>
      <c r="P2230" s="11"/>
      <c r="Q2230" s="13"/>
      <c r="R2230" s="10"/>
      <c r="S2230" s="10"/>
      <c r="T2230" s="23"/>
      <c r="AA2230" s="129">
        <v>1000003296</v>
      </c>
      <c r="AB2230" s="130">
        <v>29963625.547031999</v>
      </c>
      <c r="AC2230" s="130">
        <v>29963625.547031999</v>
      </c>
    </row>
    <row r="2231" spans="1:29" x14ac:dyDescent="0.25">
      <c r="A2231" t="str">
        <f t="shared" si="35"/>
        <v/>
      </c>
      <c r="B2231" s="10"/>
      <c r="C2231" s="10"/>
      <c r="D2231" s="10"/>
      <c r="E2231" s="10"/>
      <c r="F2231" s="10"/>
      <c r="G2231" s="11"/>
      <c r="H2231" s="12"/>
      <c r="I2231" s="13"/>
      <c r="J2231" s="12"/>
      <c r="K2231" s="13"/>
      <c r="L2231" s="11"/>
      <c r="M2231" s="13"/>
      <c r="N2231" s="11"/>
      <c r="O2231" s="13"/>
      <c r="P2231" s="11"/>
      <c r="Q2231" s="13"/>
      <c r="R2231" s="10"/>
      <c r="S2231" s="10"/>
      <c r="T2231" s="23"/>
      <c r="AA2231" s="131" t="s">
        <v>389</v>
      </c>
      <c r="AB2231" s="130">
        <v>29963625.547031999</v>
      </c>
      <c r="AC2231" s="130">
        <v>29963625.547031999</v>
      </c>
    </row>
    <row r="2232" spans="1:29" x14ac:dyDescent="0.25">
      <c r="A2232" t="str">
        <f t="shared" si="35"/>
        <v/>
      </c>
      <c r="B2232" s="10"/>
      <c r="C2232" s="10"/>
      <c r="D2232" s="10"/>
      <c r="E2232" s="10"/>
      <c r="F2232" s="10"/>
      <c r="G2232" s="11"/>
      <c r="H2232" s="12"/>
      <c r="I2232" s="13"/>
      <c r="J2232" s="12"/>
      <c r="K2232" s="13"/>
      <c r="L2232" s="11"/>
      <c r="M2232" s="13"/>
      <c r="N2232" s="11"/>
      <c r="O2232" s="13"/>
      <c r="P2232" s="11"/>
      <c r="Q2232" s="13"/>
      <c r="R2232" s="10"/>
      <c r="S2232" s="10"/>
      <c r="AA2232" s="129">
        <v>1000003297</v>
      </c>
      <c r="AB2232" s="130">
        <v>10801619.469752001</v>
      </c>
      <c r="AC2232" s="130">
        <v>10801619.469752001</v>
      </c>
    </row>
    <row r="2233" spans="1:29" x14ac:dyDescent="0.25">
      <c r="A2233" t="str">
        <f t="shared" si="35"/>
        <v/>
      </c>
      <c r="B2233" s="10"/>
      <c r="C2233" s="10"/>
      <c r="D2233" s="10"/>
      <c r="E2233" s="10"/>
      <c r="F2233" s="10"/>
      <c r="G2233" s="11"/>
      <c r="H2233" s="12"/>
      <c r="I2233" s="13"/>
      <c r="J2233" s="12"/>
      <c r="K2233" s="13"/>
      <c r="L2233" s="11"/>
      <c r="M2233" s="13"/>
      <c r="N2233" s="11"/>
      <c r="O2233" s="13"/>
      <c r="P2233" s="11"/>
      <c r="Q2233" s="13"/>
      <c r="R2233" s="10"/>
      <c r="S2233" s="10"/>
      <c r="AA2233" s="131" t="s">
        <v>389</v>
      </c>
      <c r="AB2233" s="130">
        <v>10801619.469752001</v>
      </c>
      <c r="AC2233" s="130">
        <v>10801619.469752001</v>
      </c>
    </row>
    <row r="2234" spans="1:29" x14ac:dyDescent="0.25">
      <c r="A2234" t="str">
        <f t="shared" si="35"/>
        <v/>
      </c>
      <c r="B2234" s="10"/>
      <c r="C2234" s="10"/>
      <c r="D2234" s="10"/>
      <c r="E2234" s="10"/>
      <c r="F2234" s="10"/>
      <c r="G2234" s="11"/>
      <c r="H2234" s="12"/>
      <c r="I2234" s="13"/>
      <c r="J2234" s="12"/>
      <c r="K2234" s="13"/>
      <c r="L2234" s="11"/>
      <c r="M2234" s="13"/>
      <c r="N2234" s="11"/>
      <c r="O2234" s="13"/>
      <c r="P2234" s="11"/>
      <c r="Q2234" s="13"/>
      <c r="R2234" s="10"/>
      <c r="S2234" s="10"/>
      <c r="T2234" s="23"/>
      <c r="AA2234" s="129">
        <v>1000003298</v>
      </c>
      <c r="AB2234" s="130">
        <v>26481530.031164002</v>
      </c>
      <c r="AC2234" s="130">
        <v>26481530.031164002</v>
      </c>
    </row>
    <row r="2235" spans="1:29" x14ac:dyDescent="0.25">
      <c r="A2235" t="str">
        <f t="shared" si="35"/>
        <v/>
      </c>
      <c r="B2235" s="10"/>
      <c r="C2235" s="10"/>
      <c r="D2235" s="10"/>
      <c r="E2235" s="10"/>
      <c r="F2235" s="10"/>
      <c r="G2235" s="11"/>
      <c r="H2235" s="12"/>
      <c r="I2235" s="13"/>
      <c r="J2235" s="12"/>
      <c r="K2235" s="13"/>
      <c r="L2235" s="11"/>
      <c r="M2235" s="13"/>
      <c r="N2235" s="11"/>
      <c r="O2235" s="13"/>
      <c r="P2235" s="11"/>
      <c r="Q2235" s="13"/>
      <c r="R2235" s="10"/>
      <c r="S2235" s="10"/>
      <c r="AA2235" s="131" t="s">
        <v>389</v>
      </c>
      <c r="AB2235" s="130">
        <v>26481530.031164002</v>
      </c>
      <c r="AC2235" s="130">
        <v>26481530.031164002</v>
      </c>
    </row>
    <row r="2236" spans="1:29" x14ac:dyDescent="0.25">
      <c r="A2236" t="str">
        <f t="shared" si="35"/>
        <v/>
      </c>
      <c r="B2236" s="10"/>
      <c r="C2236" s="10"/>
      <c r="D2236" s="10"/>
      <c r="E2236" s="10"/>
      <c r="F2236" s="10"/>
      <c r="G2236" s="11"/>
      <c r="H2236" s="12"/>
      <c r="I2236" s="13"/>
      <c r="J2236" s="12"/>
      <c r="K2236" s="13"/>
      <c r="L2236" s="11"/>
      <c r="M2236" s="13"/>
      <c r="N2236" s="11"/>
      <c r="O2236" s="13"/>
      <c r="P2236" s="11"/>
      <c r="Q2236" s="13"/>
      <c r="R2236" s="10"/>
      <c r="S2236" s="10"/>
      <c r="AA2236" s="129">
        <v>1000003299</v>
      </c>
      <c r="AB2236" s="130">
        <v>96704930.350431994</v>
      </c>
      <c r="AC2236" s="130">
        <v>96704930.350431994</v>
      </c>
    </row>
    <row r="2237" spans="1:29" x14ac:dyDescent="0.25">
      <c r="A2237" t="str">
        <f t="shared" si="35"/>
        <v/>
      </c>
      <c r="B2237" s="10"/>
      <c r="C2237" s="10"/>
      <c r="D2237" s="10"/>
      <c r="E2237" s="10"/>
      <c r="F2237" s="10"/>
      <c r="G2237" s="11"/>
      <c r="H2237" s="12"/>
      <c r="I2237" s="13"/>
      <c r="J2237" s="12"/>
      <c r="K2237" s="13"/>
      <c r="L2237" s="11"/>
      <c r="M2237" s="13"/>
      <c r="N2237" s="11"/>
      <c r="O2237" s="13"/>
      <c r="P2237" s="11"/>
      <c r="Q2237" s="13"/>
      <c r="R2237" s="10"/>
      <c r="S2237" s="10"/>
      <c r="T2237" s="23"/>
      <c r="AA2237" s="131" t="s">
        <v>389</v>
      </c>
      <c r="AB2237" s="130">
        <v>96704930.350431994</v>
      </c>
      <c r="AC2237" s="130">
        <v>96704930.350431994</v>
      </c>
    </row>
    <row r="2238" spans="1:29" x14ac:dyDescent="0.25">
      <c r="A2238" t="str">
        <f t="shared" si="35"/>
        <v/>
      </c>
      <c r="B2238" s="10"/>
      <c r="C2238" s="10"/>
      <c r="D2238" s="10"/>
      <c r="E2238" s="10"/>
      <c r="F2238" s="10"/>
      <c r="G2238" s="11"/>
      <c r="H2238" s="12"/>
      <c r="I2238" s="13"/>
      <c r="J2238" s="12"/>
      <c r="K2238" s="13"/>
      <c r="L2238" s="11"/>
      <c r="M2238" s="13"/>
      <c r="N2238" s="11"/>
      <c r="O2238" s="13"/>
      <c r="P2238" s="11"/>
      <c r="Q2238" s="13"/>
      <c r="R2238" s="10"/>
      <c r="S2238" s="10"/>
      <c r="AA2238" s="129">
        <v>1000003300</v>
      </c>
      <c r="AB2238" s="130">
        <v>10765009.061136</v>
      </c>
      <c r="AC2238" s="130">
        <v>10765009.061136</v>
      </c>
    </row>
    <row r="2239" spans="1:29" x14ac:dyDescent="0.25">
      <c r="A2239" t="str">
        <f t="shared" si="35"/>
        <v/>
      </c>
      <c r="B2239" s="10"/>
      <c r="C2239" s="10"/>
      <c r="D2239" s="10"/>
      <c r="E2239" s="10"/>
      <c r="F2239" s="10"/>
      <c r="G2239" s="11"/>
      <c r="H2239" s="12"/>
      <c r="I2239" s="13"/>
      <c r="J2239" s="12"/>
      <c r="K2239" s="13"/>
      <c r="L2239" s="11"/>
      <c r="M2239" s="13"/>
      <c r="N2239" s="11"/>
      <c r="O2239" s="13"/>
      <c r="P2239" s="11"/>
      <c r="Q2239" s="13"/>
      <c r="R2239" s="10"/>
      <c r="S2239" s="10"/>
      <c r="T2239" s="23"/>
      <c r="AA2239" s="131" t="s">
        <v>389</v>
      </c>
      <c r="AB2239" s="130">
        <v>10765009.061136</v>
      </c>
      <c r="AC2239" s="130">
        <v>10765009.061136</v>
      </c>
    </row>
    <row r="2240" spans="1:29" x14ac:dyDescent="0.25">
      <c r="A2240" t="str">
        <f t="shared" si="35"/>
        <v/>
      </c>
      <c r="B2240" s="10"/>
      <c r="C2240" s="10"/>
      <c r="D2240" s="10"/>
      <c r="E2240" s="10"/>
      <c r="F2240" s="10"/>
      <c r="G2240" s="11"/>
      <c r="H2240" s="12"/>
      <c r="I2240" s="13"/>
      <c r="J2240" s="12"/>
      <c r="K2240" s="13"/>
      <c r="L2240" s="11"/>
      <c r="M2240" s="13"/>
      <c r="N2240" s="11"/>
      <c r="O2240" s="13"/>
      <c r="P2240" s="11"/>
      <c r="Q2240" s="13"/>
      <c r="R2240" s="10"/>
      <c r="S2240" s="10"/>
      <c r="T2240" s="23"/>
      <c r="AA2240" s="129">
        <v>1000003301</v>
      </c>
      <c r="AB2240" s="130">
        <v>21470183.983491998</v>
      </c>
      <c r="AC2240" s="130">
        <v>21470183.983491998</v>
      </c>
    </row>
    <row r="2241" spans="1:29" x14ac:dyDescent="0.25">
      <c r="A2241" t="str">
        <f t="shared" si="35"/>
        <v/>
      </c>
      <c r="B2241" s="10"/>
      <c r="C2241" s="10"/>
      <c r="D2241" s="10"/>
      <c r="E2241" s="10"/>
      <c r="F2241" s="10"/>
      <c r="G2241" s="11"/>
      <c r="H2241" s="12"/>
      <c r="I2241" s="13"/>
      <c r="J2241" s="12"/>
      <c r="K2241" s="13"/>
      <c r="L2241" s="11"/>
      <c r="M2241" s="13"/>
      <c r="N2241" s="11"/>
      <c r="O2241" s="13"/>
      <c r="P2241" s="11"/>
      <c r="Q2241" s="13"/>
      <c r="R2241" s="10"/>
      <c r="S2241" s="10"/>
      <c r="T2241" s="23"/>
      <c r="AA2241" s="131" t="s">
        <v>389</v>
      </c>
      <c r="AB2241" s="130">
        <v>21470183.983491998</v>
      </c>
      <c r="AC2241" s="130">
        <v>21470183.983491998</v>
      </c>
    </row>
    <row r="2242" spans="1:29" x14ac:dyDescent="0.25">
      <c r="A2242" t="str">
        <f t="shared" si="35"/>
        <v/>
      </c>
      <c r="B2242" s="10"/>
      <c r="C2242" s="10"/>
      <c r="D2242" s="10"/>
      <c r="E2242" s="10"/>
      <c r="F2242" s="10"/>
      <c r="G2242" s="11"/>
      <c r="H2242" s="12"/>
      <c r="I2242" s="13"/>
      <c r="J2242" s="12"/>
      <c r="K2242" s="13"/>
      <c r="L2242" s="11"/>
      <c r="M2242" s="13"/>
      <c r="N2242" s="11"/>
      <c r="O2242" s="13"/>
      <c r="P2242" s="11"/>
      <c r="Q2242" s="13"/>
      <c r="R2242" s="10"/>
      <c r="S2242" s="10"/>
      <c r="T2242" s="23"/>
      <c r="AA2242" s="129">
        <v>1000003302</v>
      </c>
      <c r="AB2242" s="130">
        <v>13975865.53926</v>
      </c>
      <c r="AC2242" s="130">
        <v>13975865.53926</v>
      </c>
    </row>
    <row r="2243" spans="1:29" x14ac:dyDescent="0.25">
      <c r="A2243" t="str">
        <f t="shared" si="35"/>
        <v/>
      </c>
      <c r="B2243" s="10"/>
      <c r="C2243" s="10"/>
      <c r="D2243" s="10"/>
      <c r="E2243" s="10"/>
      <c r="F2243" s="10"/>
      <c r="G2243" s="11"/>
      <c r="H2243" s="12"/>
      <c r="I2243" s="13"/>
      <c r="J2243" s="12"/>
      <c r="K2243" s="13"/>
      <c r="L2243" s="11"/>
      <c r="M2243" s="13"/>
      <c r="N2243" s="11"/>
      <c r="O2243" s="13"/>
      <c r="P2243" s="11"/>
      <c r="Q2243" s="13"/>
      <c r="R2243" s="10"/>
      <c r="S2243" s="10"/>
      <c r="AA2243" s="131" t="s">
        <v>389</v>
      </c>
      <c r="AB2243" s="130">
        <v>13975865.53926</v>
      </c>
      <c r="AC2243" s="130">
        <v>13975865.53926</v>
      </c>
    </row>
    <row r="2244" spans="1:29" x14ac:dyDescent="0.25">
      <c r="A2244" t="str">
        <f t="shared" si="35"/>
        <v/>
      </c>
      <c r="B2244" s="10"/>
      <c r="C2244" s="10"/>
      <c r="D2244" s="10"/>
      <c r="E2244" s="10"/>
      <c r="F2244" s="10"/>
      <c r="G2244" s="11"/>
      <c r="H2244" s="12"/>
      <c r="I2244" s="13"/>
      <c r="J2244" s="12"/>
      <c r="K2244" s="13"/>
      <c r="L2244" s="11"/>
      <c r="M2244" s="13"/>
      <c r="N2244" s="11"/>
      <c r="O2244" s="13"/>
      <c r="P2244" s="11"/>
      <c r="Q2244" s="13"/>
      <c r="R2244" s="10"/>
      <c r="S2244" s="10"/>
      <c r="AA2244" s="129">
        <v>1000003305</v>
      </c>
      <c r="AB2244" s="130">
        <v>10526385.828136001</v>
      </c>
      <c r="AC2244" s="130">
        <v>10526385.828136001</v>
      </c>
    </row>
    <row r="2245" spans="1:29" x14ac:dyDescent="0.25">
      <c r="A2245" t="str">
        <f t="shared" si="35"/>
        <v/>
      </c>
      <c r="B2245" s="10"/>
      <c r="C2245" s="10"/>
      <c r="D2245" s="10"/>
      <c r="E2245" s="10"/>
      <c r="F2245" s="10"/>
      <c r="G2245" s="11"/>
      <c r="H2245" s="12"/>
      <c r="I2245" s="13"/>
      <c r="J2245" s="12"/>
      <c r="K2245" s="13"/>
      <c r="L2245" s="11"/>
      <c r="M2245" s="13"/>
      <c r="N2245" s="11"/>
      <c r="O2245" s="13"/>
      <c r="P2245" s="11"/>
      <c r="Q2245" s="13"/>
      <c r="R2245" s="10"/>
      <c r="S2245" s="10"/>
      <c r="AA2245" s="131" t="s">
        <v>389</v>
      </c>
      <c r="AB2245" s="130">
        <v>10526385.828136001</v>
      </c>
      <c r="AC2245" s="130">
        <v>10526385.828136001</v>
      </c>
    </row>
    <row r="2246" spans="1:29" x14ac:dyDescent="0.25">
      <c r="A2246" t="str">
        <f t="shared" si="35"/>
        <v/>
      </c>
      <c r="B2246" s="10"/>
      <c r="C2246" s="10"/>
      <c r="D2246" s="10"/>
      <c r="E2246" s="10"/>
      <c r="F2246" s="10"/>
      <c r="G2246" s="11"/>
      <c r="H2246" s="12"/>
      <c r="I2246" s="13"/>
      <c r="J2246" s="12"/>
      <c r="K2246" s="13"/>
      <c r="L2246" s="11"/>
      <c r="M2246" s="13"/>
      <c r="N2246" s="11"/>
      <c r="O2246" s="13"/>
      <c r="P2246" s="11"/>
      <c r="Q2246" s="13"/>
      <c r="R2246" s="10"/>
      <c r="S2246" s="10"/>
      <c r="AA2246" s="129">
        <v>65508881201</v>
      </c>
      <c r="AB2246" s="130">
        <v>1529145.231872</v>
      </c>
      <c r="AC2246" s="130">
        <v>1529145.231872</v>
      </c>
    </row>
    <row r="2247" spans="1:29" x14ac:dyDescent="0.25">
      <c r="A2247" t="str">
        <f t="shared" ref="A2247:A2310" si="36">B2245&amp;D2245</f>
        <v/>
      </c>
      <c r="B2247" s="10"/>
      <c r="C2247" s="10"/>
      <c r="D2247" s="10"/>
      <c r="E2247" s="10"/>
      <c r="F2247" s="10"/>
      <c r="G2247" s="11"/>
      <c r="H2247" s="12"/>
      <c r="I2247" s="13"/>
      <c r="J2247" s="12"/>
      <c r="K2247" s="13"/>
      <c r="L2247" s="11"/>
      <c r="M2247" s="13"/>
      <c r="N2247" s="11"/>
      <c r="O2247" s="13"/>
      <c r="P2247" s="11"/>
      <c r="Q2247" s="13"/>
      <c r="R2247" s="10"/>
      <c r="S2247" s="10"/>
      <c r="AA2247" s="131" t="s">
        <v>389</v>
      </c>
      <c r="AB2247" s="130">
        <v>1529145.231872</v>
      </c>
      <c r="AC2247" s="130">
        <v>1529145.231872</v>
      </c>
    </row>
    <row r="2248" spans="1:29" x14ac:dyDescent="0.25">
      <c r="A2248" t="str">
        <f t="shared" si="36"/>
        <v/>
      </c>
      <c r="B2248" s="10"/>
      <c r="C2248" s="10"/>
      <c r="D2248" s="10"/>
      <c r="E2248" s="10"/>
      <c r="F2248" s="10"/>
      <c r="G2248" s="11"/>
      <c r="H2248" s="12"/>
      <c r="I2248" s="13"/>
      <c r="J2248" s="12"/>
      <c r="K2248" s="13"/>
      <c r="L2248" s="11"/>
      <c r="M2248" s="13"/>
      <c r="N2248" s="11"/>
      <c r="O2248" s="13"/>
      <c r="P2248" s="11"/>
      <c r="Q2248" s="13"/>
      <c r="R2248" s="10"/>
      <c r="S2248" s="10"/>
      <c r="T2248" s="23"/>
      <c r="AA2248" s="129">
        <v>65508886089</v>
      </c>
      <c r="AB2248" s="130">
        <v>96488725.812631994</v>
      </c>
      <c r="AC2248" s="130">
        <v>96488725.812631994</v>
      </c>
    </row>
    <row r="2249" spans="1:29" x14ac:dyDescent="0.25">
      <c r="A2249" t="str">
        <f t="shared" si="36"/>
        <v/>
      </c>
      <c r="B2249" s="10"/>
      <c r="C2249" s="10"/>
      <c r="D2249" s="10"/>
      <c r="E2249" s="10"/>
      <c r="F2249" s="10"/>
      <c r="G2249" s="11"/>
      <c r="H2249" s="12"/>
      <c r="I2249" s="13"/>
      <c r="J2249" s="12"/>
      <c r="K2249" s="13"/>
      <c r="L2249" s="11"/>
      <c r="M2249" s="13"/>
      <c r="N2249" s="11"/>
      <c r="O2249" s="13"/>
      <c r="P2249" s="11"/>
      <c r="Q2249" s="13"/>
      <c r="R2249" s="10"/>
      <c r="S2249" s="10"/>
      <c r="AA2249" s="131" t="s">
        <v>389</v>
      </c>
      <c r="AB2249" s="130">
        <v>96488725.812631994</v>
      </c>
      <c r="AC2249" s="130">
        <v>96488725.812631994</v>
      </c>
    </row>
    <row r="2250" spans="1:29" x14ac:dyDescent="0.25">
      <c r="A2250" t="str">
        <f t="shared" si="36"/>
        <v/>
      </c>
      <c r="B2250" s="10"/>
      <c r="C2250" s="10"/>
      <c r="D2250" s="10"/>
      <c r="E2250" s="10"/>
      <c r="F2250" s="10"/>
      <c r="G2250" s="11"/>
      <c r="H2250" s="12"/>
      <c r="I2250" s="13"/>
      <c r="J2250" s="12"/>
      <c r="K2250" s="13"/>
      <c r="L2250" s="11"/>
      <c r="M2250" s="13"/>
      <c r="N2250" s="11"/>
      <c r="O2250" s="13"/>
      <c r="P2250" s="11"/>
      <c r="Q2250" s="13"/>
      <c r="R2250" s="10"/>
      <c r="S2250" s="10"/>
      <c r="AA2250" s="129">
        <v>65508888184</v>
      </c>
      <c r="AB2250" s="130">
        <v>1513312.8775800001</v>
      </c>
      <c r="AC2250" s="130">
        <v>1513312.8775800001</v>
      </c>
    </row>
    <row r="2251" spans="1:29" x14ac:dyDescent="0.25">
      <c r="A2251" t="str">
        <f t="shared" si="36"/>
        <v/>
      </c>
      <c r="B2251" s="10"/>
      <c r="C2251" s="10"/>
      <c r="D2251" s="10"/>
      <c r="E2251" s="10"/>
      <c r="F2251" s="10"/>
      <c r="G2251" s="11"/>
      <c r="H2251" s="12"/>
      <c r="I2251" s="13"/>
      <c r="J2251" s="12"/>
      <c r="K2251" s="13"/>
      <c r="L2251" s="11"/>
      <c r="M2251" s="13"/>
      <c r="N2251" s="11"/>
      <c r="O2251" s="13"/>
      <c r="P2251" s="11"/>
      <c r="Q2251" s="13"/>
      <c r="R2251" s="10"/>
      <c r="S2251" s="10"/>
      <c r="AA2251" s="131" t="s">
        <v>389</v>
      </c>
      <c r="AB2251" s="130">
        <v>1513312.8775800001</v>
      </c>
      <c r="AC2251" s="130">
        <v>1513312.8775800001</v>
      </c>
    </row>
    <row r="2252" spans="1:29" x14ac:dyDescent="0.25">
      <c r="A2252" t="str">
        <f t="shared" si="36"/>
        <v/>
      </c>
      <c r="B2252" s="10"/>
      <c r="C2252" s="10"/>
      <c r="D2252" s="10"/>
      <c r="E2252" s="10"/>
      <c r="F2252" s="10"/>
      <c r="G2252" s="11"/>
      <c r="H2252" s="12"/>
      <c r="I2252" s="13"/>
      <c r="J2252" s="12"/>
      <c r="K2252" s="13"/>
      <c r="L2252" s="11"/>
      <c r="M2252" s="13"/>
      <c r="N2252" s="11"/>
      <c r="O2252" s="13"/>
      <c r="P2252" s="11"/>
      <c r="Q2252" s="13"/>
      <c r="R2252" s="10"/>
      <c r="S2252" s="10"/>
      <c r="AA2252" s="129">
        <v>65509889998</v>
      </c>
      <c r="AB2252" s="130">
        <v>8487768.9542999994</v>
      </c>
      <c r="AC2252" s="130">
        <v>8487768.9542999994</v>
      </c>
    </row>
    <row r="2253" spans="1:29" x14ac:dyDescent="0.25">
      <c r="A2253" t="str">
        <f t="shared" si="36"/>
        <v/>
      </c>
      <c r="B2253" s="10"/>
      <c r="C2253" s="10"/>
      <c r="D2253" s="10"/>
      <c r="E2253" s="10"/>
      <c r="F2253" s="10"/>
      <c r="G2253" s="11"/>
      <c r="H2253" s="12"/>
      <c r="I2253" s="13"/>
      <c r="J2253" s="12"/>
      <c r="K2253" s="13"/>
      <c r="L2253" s="11"/>
      <c r="M2253" s="13"/>
      <c r="N2253" s="11"/>
      <c r="O2253" s="13"/>
      <c r="P2253" s="11"/>
      <c r="Q2253" s="13"/>
      <c r="R2253" s="10"/>
      <c r="S2253" s="10"/>
      <c r="AA2253" s="131" t="s">
        <v>389</v>
      </c>
      <c r="AB2253" s="130">
        <v>8487768.9542999994</v>
      </c>
      <c r="AC2253" s="130">
        <v>8487768.9542999994</v>
      </c>
    </row>
    <row r="2254" spans="1:29" x14ac:dyDescent="0.25">
      <c r="A2254" t="str">
        <f t="shared" si="36"/>
        <v/>
      </c>
      <c r="B2254" s="10"/>
      <c r="C2254" s="10"/>
      <c r="D2254" s="10"/>
      <c r="E2254" s="10"/>
      <c r="F2254" s="10"/>
      <c r="G2254" s="11"/>
      <c r="H2254" s="12"/>
      <c r="I2254" s="13"/>
      <c r="J2254" s="12"/>
      <c r="K2254" s="13"/>
      <c r="L2254" s="11"/>
      <c r="M2254" s="13"/>
      <c r="N2254" s="11"/>
      <c r="O2254" s="13"/>
      <c r="P2254" s="11"/>
      <c r="Q2254" s="13"/>
      <c r="R2254" s="10"/>
      <c r="S2254" s="10"/>
      <c r="AA2254" s="129">
        <v>65509890080</v>
      </c>
      <c r="AB2254" s="130">
        <v>164613488.29682401</v>
      </c>
      <c r="AC2254" s="130">
        <v>164613488.29682401</v>
      </c>
    </row>
    <row r="2255" spans="1:29" x14ac:dyDescent="0.25">
      <c r="A2255" t="str">
        <f t="shared" si="36"/>
        <v/>
      </c>
      <c r="B2255" s="10"/>
      <c r="C2255" s="10"/>
      <c r="D2255" s="10"/>
      <c r="E2255" s="10"/>
      <c r="F2255" s="10"/>
      <c r="G2255" s="11"/>
      <c r="H2255" s="12"/>
      <c r="I2255" s="13"/>
      <c r="J2255" s="12"/>
      <c r="K2255" s="13"/>
      <c r="L2255" s="11"/>
      <c r="M2255" s="13"/>
      <c r="N2255" s="11"/>
      <c r="O2255" s="13"/>
      <c r="P2255" s="11"/>
      <c r="Q2255" s="13"/>
      <c r="R2255" s="10"/>
      <c r="S2255" s="10"/>
      <c r="AA2255" s="131" t="s">
        <v>389</v>
      </c>
      <c r="AB2255" s="130">
        <v>164613488.29682401</v>
      </c>
      <c r="AC2255" s="130">
        <v>164613488.29682401</v>
      </c>
    </row>
    <row r="2256" spans="1:29" x14ac:dyDescent="0.25">
      <c r="A2256" t="str">
        <f t="shared" si="36"/>
        <v/>
      </c>
      <c r="B2256" s="10"/>
      <c r="C2256" s="10"/>
      <c r="D2256" s="10"/>
      <c r="E2256" s="10"/>
      <c r="F2256" s="10"/>
      <c r="G2256" s="11"/>
      <c r="H2256" s="12"/>
      <c r="I2256" s="13"/>
      <c r="J2256" s="12"/>
      <c r="K2256" s="13"/>
      <c r="L2256" s="11"/>
      <c r="M2256" s="13"/>
      <c r="N2256" s="11"/>
      <c r="O2256" s="13"/>
      <c r="P2256" s="11"/>
      <c r="Q2256" s="13"/>
      <c r="R2256" s="10"/>
      <c r="S2256" s="10"/>
      <c r="AA2256" s="129">
        <v>65509890154</v>
      </c>
      <c r="AB2256" s="130">
        <v>6151374.0630839998</v>
      </c>
      <c r="AC2256" s="130">
        <v>6151374.0630839998</v>
      </c>
    </row>
    <row r="2257" spans="1:29" x14ac:dyDescent="0.25">
      <c r="A2257" t="str">
        <f t="shared" si="36"/>
        <v/>
      </c>
      <c r="B2257" s="10"/>
      <c r="C2257" s="10"/>
      <c r="D2257" s="10"/>
      <c r="E2257" s="10"/>
      <c r="F2257" s="10"/>
      <c r="G2257" s="11"/>
      <c r="H2257" s="12"/>
      <c r="I2257" s="13"/>
      <c r="J2257" s="12"/>
      <c r="K2257" s="13"/>
      <c r="L2257" s="11"/>
      <c r="M2257" s="13"/>
      <c r="N2257" s="11"/>
      <c r="O2257" s="13"/>
      <c r="P2257" s="11"/>
      <c r="Q2257" s="13"/>
      <c r="R2257" s="10"/>
      <c r="S2257" s="10"/>
      <c r="AA2257" s="131" t="s">
        <v>389</v>
      </c>
      <c r="AB2257" s="130">
        <v>6151374.0630839998</v>
      </c>
      <c r="AC2257" s="130">
        <v>6151374.0630839998</v>
      </c>
    </row>
    <row r="2258" spans="1:29" x14ac:dyDescent="0.25">
      <c r="A2258" t="str">
        <f t="shared" si="36"/>
        <v/>
      </c>
      <c r="B2258" s="10"/>
      <c r="C2258" s="10"/>
      <c r="D2258" s="10"/>
      <c r="E2258" s="10"/>
      <c r="F2258" s="10"/>
      <c r="G2258" s="11"/>
      <c r="H2258" s="12"/>
      <c r="I2258" s="13"/>
      <c r="J2258" s="12"/>
      <c r="K2258" s="13"/>
      <c r="L2258" s="11"/>
      <c r="M2258" s="13"/>
      <c r="N2258" s="11"/>
      <c r="O2258" s="13"/>
      <c r="P2258" s="11"/>
      <c r="Q2258" s="13"/>
      <c r="R2258" s="10"/>
      <c r="S2258" s="10"/>
      <c r="AA2258" s="129">
        <v>65509890276</v>
      </c>
      <c r="AB2258" s="130">
        <v>6706960.2817200003</v>
      </c>
      <c r="AC2258" s="130">
        <v>6706960.2817200003</v>
      </c>
    </row>
    <row r="2259" spans="1:29" x14ac:dyDescent="0.25">
      <c r="A2259" t="str">
        <f t="shared" si="36"/>
        <v/>
      </c>
      <c r="B2259" s="10"/>
      <c r="C2259" s="10"/>
      <c r="D2259" s="10"/>
      <c r="E2259" s="10"/>
      <c r="F2259" s="10"/>
      <c r="G2259" s="11"/>
      <c r="H2259" s="12"/>
      <c r="I2259" s="13"/>
      <c r="J2259" s="12"/>
      <c r="K2259" s="13"/>
      <c r="L2259" s="11"/>
      <c r="M2259" s="13"/>
      <c r="N2259" s="11"/>
      <c r="O2259" s="13"/>
      <c r="P2259" s="11"/>
      <c r="Q2259" s="13"/>
      <c r="R2259" s="10"/>
      <c r="S2259" s="10"/>
      <c r="AA2259" s="131" t="s">
        <v>389</v>
      </c>
      <c r="AB2259" s="130">
        <v>6706960.2817200003</v>
      </c>
      <c r="AC2259" s="130">
        <v>6706960.2817200003</v>
      </c>
    </row>
    <row r="2260" spans="1:29" x14ac:dyDescent="0.25">
      <c r="A2260" t="str">
        <f t="shared" si="36"/>
        <v/>
      </c>
      <c r="B2260" s="10"/>
      <c r="C2260" s="10"/>
      <c r="D2260" s="10"/>
      <c r="E2260" s="10"/>
      <c r="F2260" s="10"/>
      <c r="G2260" s="11"/>
      <c r="H2260" s="12"/>
      <c r="I2260" s="13"/>
      <c r="J2260" s="12"/>
      <c r="K2260" s="13"/>
      <c r="L2260" s="11"/>
      <c r="M2260" s="13"/>
      <c r="N2260" s="11"/>
      <c r="O2260" s="13"/>
      <c r="P2260" s="11"/>
      <c r="Q2260" s="13"/>
      <c r="R2260" s="10"/>
      <c r="S2260" s="10"/>
      <c r="AA2260" s="129">
        <v>1000001249</v>
      </c>
      <c r="AB2260" s="130">
        <v>4424422.0716279997</v>
      </c>
      <c r="AC2260" s="130">
        <v>4424422.0716279997</v>
      </c>
    </row>
    <row r="2261" spans="1:29" x14ac:dyDescent="0.25">
      <c r="A2261" t="str">
        <f t="shared" si="36"/>
        <v/>
      </c>
      <c r="B2261" s="10"/>
      <c r="C2261" s="10"/>
      <c r="D2261" s="10"/>
      <c r="E2261" s="10"/>
      <c r="F2261" s="10"/>
      <c r="G2261" s="11"/>
      <c r="H2261" s="12"/>
      <c r="I2261" s="13"/>
      <c r="J2261" s="12"/>
      <c r="K2261" s="13"/>
      <c r="L2261" s="11"/>
      <c r="M2261" s="13"/>
      <c r="N2261" s="11"/>
      <c r="O2261" s="13"/>
      <c r="P2261" s="11"/>
      <c r="Q2261" s="13"/>
      <c r="R2261" s="10"/>
      <c r="S2261" s="10"/>
      <c r="AA2261" s="131" t="s">
        <v>389</v>
      </c>
      <c r="AB2261" s="130">
        <v>3925455.7843960002</v>
      </c>
      <c r="AC2261" s="130">
        <v>3925455.7843960002</v>
      </c>
    </row>
    <row r="2262" spans="1:29" x14ac:dyDescent="0.25">
      <c r="A2262" t="str">
        <f t="shared" si="36"/>
        <v/>
      </c>
      <c r="B2262" s="10"/>
      <c r="C2262" s="10"/>
      <c r="D2262" s="10"/>
      <c r="E2262" s="10"/>
      <c r="F2262" s="10"/>
      <c r="G2262" s="11"/>
      <c r="H2262" s="12"/>
      <c r="I2262" s="13"/>
      <c r="J2262" s="12"/>
      <c r="K2262" s="13"/>
      <c r="L2262" s="11"/>
      <c r="M2262" s="13"/>
      <c r="N2262" s="11"/>
      <c r="O2262" s="13"/>
      <c r="P2262" s="11"/>
      <c r="Q2262" s="13"/>
      <c r="R2262" s="10"/>
      <c r="S2262" s="10"/>
      <c r="AA2262" s="131" t="s">
        <v>406</v>
      </c>
      <c r="AB2262" s="130">
        <v>72491.072992000001</v>
      </c>
      <c r="AC2262" s="130">
        <v>72491.072992000001</v>
      </c>
    </row>
    <row r="2263" spans="1:29" x14ac:dyDescent="0.25">
      <c r="A2263" t="str">
        <f t="shared" si="36"/>
        <v/>
      </c>
      <c r="B2263" s="10"/>
      <c r="C2263" s="10"/>
      <c r="D2263" s="10"/>
      <c r="E2263" s="10"/>
      <c r="F2263" s="10"/>
      <c r="G2263" s="11"/>
      <c r="H2263" s="12"/>
      <c r="I2263" s="13"/>
      <c r="J2263" s="12"/>
      <c r="K2263" s="13"/>
      <c r="L2263" s="11"/>
      <c r="M2263" s="13"/>
      <c r="N2263" s="11"/>
      <c r="O2263" s="13"/>
      <c r="P2263" s="11"/>
      <c r="Q2263" s="13"/>
      <c r="R2263" s="10"/>
      <c r="S2263" s="10"/>
      <c r="AA2263" s="131" t="s">
        <v>404</v>
      </c>
      <c r="AB2263" s="130">
        <v>63456.535400000001</v>
      </c>
      <c r="AC2263" s="130">
        <v>63456.535400000001</v>
      </c>
    </row>
    <row r="2264" spans="1:29" x14ac:dyDescent="0.25">
      <c r="A2264" t="str">
        <f t="shared" si="36"/>
        <v/>
      </c>
      <c r="B2264" s="10"/>
      <c r="C2264" s="10"/>
      <c r="D2264" s="10"/>
      <c r="E2264" s="10"/>
      <c r="F2264" s="10"/>
      <c r="G2264" s="11"/>
      <c r="H2264" s="12"/>
      <c r="I2264" s="13"/>
      <c r="J2264" s="12"/>
      <c r="K2264" s="13"/>
      <c r="L2264" s="11"/>
      <c r="M2264" s="13"/>
      <c r="N2264" s="11"/>
      <c r="O2264" s="13"/>
      <c r="P2264" s="11"/>
      <c r="Q2264" s="13"/>
      <c r="R2264" s="10"/>
      <c r="S2264" s="10"/>
      <c r="AA2264" s="131" t="s">
        <v>405</v>
      </c>
      <c r="AB2264" s="130">
        <v>363018.67884000001</v>
      </c>
      <c r="AC2264" s="130">
        <v>363018.67884000001</v>
      </c>
    </row>
    <row r="2265" spans="1:29" x14ac:dyDescent="0.25">
      <c r="A2265" t="str">
        <f t="shared" si="36"/>
        <v/>
      </c>
      <c r="B2265" s="10"/>
      <c r="C2265" s="10"/>
      <c r="D2265" s="10"/>
      <c r="E2265" s="10"/>
      <c r="F2265" s="10"/>
      <c r="G2265" s="11"/>
      <c r="H2265" s="12"/>
      <c r="I2265" s="13"/>
      <c r="J2265" s="12"/>
      <c r="K2265" s="13"/>
      <c r="L2265" s="11"/>
      <c r="M2265" s="13"/>
      <c r="N2265" s="11"/>
      <c r="O2265" s="13"/>
      <c r="P2265" s="11"/>
      <c r="Q2265" s="13"/>
      <c r="R2265" s="10"/>
      <c r="S2265" s="10"/>
      <c r="AA2265" s="129">
        <v>1000002677</v>
      </c>
      <c r="AB2265" s="130">
        <v>1037139.253318</v>
      </c>
      <c r="AC2265" s="130">
        <v>1037139.253318</v>
      </c>
    </row>
    <row r="2266" spans="1:29" x14ac:dyDescent="0.25">
      <c r="A2266" t="str">
        <f t="shared" si="36"/>
        <v/>
      </c>
      <c r="B2266" s="10"/>
      <c r="C2266" s="10"/>
      <c r="D2266" s="10"/>
      <c r="E2266" s="10"/>
      <c r="F2266" s="10"/>
      <c r="G2266" s="11"/>
      <c r="H2266" s="12"/>
      <c r="I2266" s="13"/>
      <c r="J2266" s="12"/>
      <c r="K2266" s="13"/>
      <c r="L2266" s="11"/>
      <c r="M2266" s="13"/>
      <c r="N2266" s="11"/>
      <c r="O2266" s="13"/>
      <c r="P2266" s="11"/>
      <c r="Q2266" s="13"/>
      <c r="R2266" s="10"/>
      <c r="S2266" s="10"/>
      <c r="AA2266" s="131" t="s">
        <v>389</v>
      </c>
      <c r="AB2266" s="130">
        <v>1511.5635400000001</v>
      </c>
      <c r="AC2266" s="130">
        <v>1511.5635400000001</v>
      </c>
    </row>
    <row r="2267" spans="1:29" x14ac:dyDescent="0.25">
      <c r="A2267" t="str">
        <f t="shared" si="36"/>
        <v/>
      </c>
      <c r="B2267" s="10"/>
      <c r="C2267" s="10"/>
      <c r="D2267" s="10"/>
      <c r="E2267" s="10"/>
      <c r="F2267" s="10"/>
      <c r="G2267" s="11"/>
      <c r="H2267" s="12"/>
      <c r="I2267" s="13"/>
      <c r="J2267" s="12"/>
      <c r="K2267" s="13"/>
      <c r="L2267" s="11"/>
      <c r="M2267" s="13"/>
      <c r="N2267" s="11"/>
      <c r="O2267" s="13"/>
      <c r="P2267" s="11"/>
      <c r="Q2267" s="13"/>
      <c r="R2267" s="10"/>
      <c r="S2267" s="10"/>
      <c r="AA2267" s="131" t="s">
        <v>406</v>
      </c>
      <c r="AB2267" s="130">
        <v>699922.94494199997</v>
      </c>
      <c r="AC2267" s="130">
        <v>699922.94494199997</v>
      </c>
    </row>
    <row r="2268" spans="1:29" x14ac:dyDescent="0.25">
      <c r="A2268" t="str">
        <f t="shared" si="36"/>
        <v/>
      </c>
      <c r="B2268" s="10"/>
      <c r="C2268" s="10"/>
      <c r="D2268" s="10"/>
      <c r="E2268" s="10"/>
      <c r="F2268" s="10"/>
      <c r="G2268" s="11"/>
      <c r="H2268" s="12"/>
      <c r="I2268" s="13"/>
      <c r="J2268" s="12"/>
      <c r="K2268" s="13"/>
      <c r="L2268" s="11"/>
      <c r="M2268" s="13"/>
      <c r="N2268" s="11"/>
      <c r="O2268" s="13"/>
      <c r="P2268" s="11"/>
      <c r="Q2268" s="13"/>
      <c r="R2268" s="10"/>
      <c r="S2268" s="10"/>
      <c r="AA2268" s="131" t="s">
        <v>405</v>
      </c>
      <c r="AB2268" s="130">
        <v>335704.74483600003</v>
      </c>
      <c r="AC2268" s="130">
        <v>335704.74483600003</v>
      </c>
    </row>
    <row r="2269" spans="1:29" x14ac:dyDescent="0.25">
      <c r="A2269" t="str">
        <f t="shared" si="36"/>
        <v/>
      </c>
      <c r="B2269" s="10"/>
      <c r="C2269" s="10"/>
      <c r="D2269" s="10"/>
      <c r="E2269" s="10"/>
      <c r="F2269" s="10"/>
      <c r="G2269" s="11"/>
      <c r="H2269" s="12"/>
      <c r="I2269" s="13"/>
      <c r="J2269" s="12"/>
      <c r="K2269" s="13"/>
      <c r="L2269" s="11"/>
      <c r="M2269" s="13"/>
      <c r="N2269" s="11"/>
      <c r="O2269" s="13"/>
      <c r="P2269" s="11"/>
      <c r="Q2269" s="13"/>
      <c r="R2269" s="10"/>
      <c r="S2269" s="10"/>
      <c r="AA2269" s="129">
        <v>1000003307</v>
      </c>
      <c r="AB2269" s="130">
        <v>7177.3792359999998</v>
      </c>
      <c r="AC2269" s="130">
        <v>7177.3792359999998</v>
      </c>
    </row>
    <row r="2270" spans="1:29" x14ac:dyDescent="0.25">
      <c r="A2270" t="str">
        <f t="shared" si="36"/>
        <v/>
      </c>
      <c r="B2270" s="10"/>
      <c r="C2270" s="10"/>
      <c r="D2270" s="10"/>
      <c r="E2270" s="10"/>
      <c r="F2270" s="10"/>
      <c r="G2270" s="11"/>
      <c r="H2270" s="12"/>
      <c r="I2270" s="13"/>
      <c r="J2270" s="12"/>
      <c r="K2270" s="13"/>
      <c r="L2270" s="11"/>
      <c r="M2270" s="13"/>
      <c r="N2270" s="11"/>
      <c r="O2270" s="13"/>
      <c r="P2270" s="11"/>
      <c r="Q2270" s="13"/>
      <c r="R2270" s="10"/>
      <c r="S2270" s="10"/>
      <c r="AA2270" s="131" t="s">
        <v>389</v>
      </c>
      <c r="AB2270" s="130">
        <v>7177.3792359999998</v>
      </c>
      <c r="AC2270" s="130">
        <v>7177.3792359999998</v>
      </c>
    </row>
    <row r="2271" spans="1:29" x14ac:dyDescent="0.25">
      <c r="A2271" t="str">
        <f t="shared" si="36"/>
        <v/>
      </c>
      <c r="B2271" s="10"/>
      <c r="C2271" s="10"/>
      <c r="D2271" s="10"/>
      <c r="E2271" s="10"/>
      <c r="F2271" s="10"/>
      <c r="G2271" s="11"/>
      <c r="H2271" s="12"/>
      <c r="I2271" s="13"/>
      <c r="J2271" s="12"/>
      <c r="K2271" s="13"/>
      <c r="L2271" s="11"/>
      <c r="M2271" s="13"/>
      <c r="N2271" s="11"/>
      <c r="O2271" s="13"/>
      <c r="P2271" s="11"/>
      <c r="Q2271" s="13"/>
      <c r="R2271" s="10"/>
      <c r="S2271" s="10"/>
      <c r="AA2271" s="129">
        <v>1000003633</v>
      </c>
      <c r="AB2271" s="130">
        <v>420158362.37492204</v>
      </c>
      <c r="AC2271" s="130">
        <v>417343521.534922</v>
      </c>
    </row>
    <row r="2272" spans="1:29" x14ac:dyDescent="0.25">
      <c r="A2272" t="str">
        <f t="shared" si="36"/>
        <v/>
      </c>
      <c r="B2272" s="10"/>
      <c r="C2272" s="10"/>
      <c r="D2272" s="10"/>
      <c r="E2272" s="10"/>
      <c r="F2272" s="10"/>
      <c r="G2272" s="11"/>
      <c r="H2272" s="12"/>
      <c r="I2272" s="13"/>
      <c r="J2272" s="12"/>
      <c r="K2272" s="13"/>
      <c r="L2272" s="11"/>
      <c r="M2272" s="13"/>
      <c r="N2272" s="11"/>
      <c r="O2272" s="13"/>
      <c r="P2272" s="11"/>
      <c r="Q2272" s="13"/>
      <c r="R2272" s="10"/>
      <c r="S2272" s="10"/>
      <c r="AA2272" s="131" t="s">
        <v>389</v>
      </c>
      <c r="AB2272" s="130">
        <v>22704027.444772001</v>
      </c>
      <c r="AC2272" s="130">
        <v>22704027.444772001</v>
      </c>
    </row>
    <row r="2273" spans="1:29" x14ac:dyDescent="0.25">
      <c r="A2273" t="str">
        <f t="shared" si="36"/>
        <v/>
      </c>
      <c r="B2273" s="10"/>
      <c r="C2273" s="10"/>
      <c r="D2273" s="10"/>
      <c r="E2273" s="10"/>
      <c r="F2273" s="10"/>
      <c r="G2273" s="11"/>
      <c r="H2273" s="12"/>
      <c r="I2273" s="13"/>
      <c r="J2273" s="12"/>
      <c r="K2273" s="13"/>
      <c r="L2273" s="11"/>
      <c r="M2273" s="13"/>
      <c r="N2273" s="11"/>
      <c r="O2273" s="13"/>
      <c r="P2273" s="11"/>
      <c r="Q2273" s="13"/>
      <c r="R2273" s="10"/>
      <c r="S2273" s="10"/>
      <c r="AA2273" s="131" t="s">
        <v>407</v>
      </c>
      <c r="AB2273" s="130">
        <v>4564929.2024539998</v>
      </c>
      <c r="AC2273" s="130">
        <v>4550267.4924539998</v>
      </c>
    </row>
    <row r="2274" spans="1:29" x14ac:dyDescent="0.25">
      <c r="A2274" t="str">
        <f t="shared" si="36"/>
        <v/>
      </c>
      <c r="B2274" s="10"/>
      <c r="C2274" s="10"/>
      <c r="D2274" s="10"/>
      <c r="E2274" s="10"/>
      <c r="F2274" s="10"/>
      <c r="G2274" s="11"/>
      <c r="H2274" s="12"/>
      <c r="I2274" s="13"/>
      <c r="J2274" s="12"/>
      <c r="K2274" s="13"/>
      <c r="L2274" s="11"/>
      <c r="M2274" s="13"/>
      <c r="N2274" s="11"/>
      <c r="O2274" s="13"/>
      <c r="P2274" s="11"/>
      <c r="Q2274" s="13"/>
      <c r="R2274" s="10"/>
      <c r="S2274" s="10"/>
      <c r="AA2274" s="131" t="s">
        <v>406</v>
      </c>
      <c r="AB2274" s="130">
        <v>69580417.575608</v>
      </c>
      <c r="AC2274" s="130">
        <v>69181403.535607994</v>
      </c>
    </row>
    <row r="2275" spans="1:29" x14ac:dyDescent="0.25">
      <c r="A2275" t="str">
        <f t="shared" si="36"/>
        <v/>
      </c>
      <c r="B2275" s="10"/>
      <c r="C2275" s="10"/>
      <c r="D2275" s="10"/>
      <c r="E2275" s="10"/>
      <c r="F2275" s="10"/>
      <c r="G2275" s="11"/>
      <c r="H2275" s="12"/>
      <c r="I2275" s="13"/>
      <c r="J2275" s="12"/>
      <c r="K2275" s="13"/>
      <c r="L2275" s="11"/>
      <c r="M2275" s="13"/>
      <c r="N2275" s="11"/>
      <c r="O2275" s="13"/>
      <c r="P2275" s="11"/>
      <c r="Q2275" s="13"/>
      <c r="R2275" s="10"/>
      <c r="S2275" s="10"/>
      <c r="AA2275" s="131" t="s">
        <v>404</v>
      </c>
      <c r="AB2275" s="130">
        <v>77937454.728479996</v>
      </c>
      <c r="AC2275" s="130">
        <v>77244812.848480001</v>
      </c>
    </row>
    <row r="2276" spans="1:29" x14ac:dyDescent="0.25">
      <c r="A2276" t="str">
        <f t="shared" si="36"/>
        <v/>
      </c>
      <c r="B2276" s="10"/>
      <c r="C2276" s="10"/>
      <c r="D2276" s="10"/>
      <c r="E2276" s="10"/>
      <c r="F2276" s="10"/>
      <c r="G2276" s="11"/>
      <c r="H2276" s="12"/>
      <c r="I2276" s="13"/>
      <c r="J2276" s="12"/>
      <c r="K2276" s="13"/>
      <c r="L2276" s="11"/>
      <c r="M2276" s="13"/>
      <c r="N2276" s="11"/>
      <c r="O2276" s="13"/>
      <c r="P2276" s="11"/>
      <c r="Q2276" s="13"/>
      <c r="R2276" s="10"/>
      <c r="S2276" s="10"/>
      <c r="AA2276" s="131" t="s">
        <v>405</v>
      </c>
      <c r="AB2276" s="130">
        <v>245371533.42360801</v>
      </c>
      <c r="AC2276" s="130">
        <v>243663010.213608</v>
      </c>
    </row>
    <row r="2277" spans="1:29" x14ac:dyDescent="0.25">
      <c r="A2277" t="str">
        <f t="shared" si="36"/>
        <v/>
      </c>
      <c r="B2277" s="10"/>
      <c r="C2277" s="10"/>
      <c r="D2277" s="10"/>
      <c r="E2277" s="10"/>
      <c r="F2277" s="10"/>
      <c r="G2277" s="11"/>
      <c r="H2277" s="12"/>
      <c r="I2277" s="13"/>
      <c r="J2277" s="12"/>
      <c r="K2277" s="13"/>
      <c r="L2277" s="11"/>
      <c r="M2277" s="13"/>
      <c r="N2277" s="11"/>
      <c r="O2277" s="13"/>
      <c r="P2277" s="11"/>
      <c r="Q2277" s="13"/>
      <c r="R2277" s="10"/>
      <c r="S2277" s="10"/>
      <c r="AA2277" s="129">
        <v>1000003315</v>
      </c>
      <c r="AB2277" s="130">
        <v>22289085.259999998</v>
      </c>
      <c r="AC2277" s="130">
        <v>22289085.259999998</v>
      </c>
    </row>
    <row r="2278" spans="1:29" x14ac:dyDescent="0.25">
      <c r="A2278" t="str">
        <f t="shared" si="36"/>
        <v/>
      </c>
      <c r="B2278" s="10"/>
      <c r="C2278" s="10"/>
      <c r="D2278" s="10"/>
      <c r="E2278" s="10"/>
      <c r="F2278" s="10"/>
      <c r="G2278" s="11"/>
      <c r="H2278" s="12"/>
      <c r="I2278" s="13"/>
      <c r="J2278" s="12"/>
      <c r="K2278" s="13"/>
      <c r="L2278" s="11"/>
      <c r="M2278" s="13"/>
      <c r="N2278" s="11"/>
      <c r="O2278" s="13"/>
      <c r="P2278" s="11"/>
      <c r="Q2278" s="13"/>
      <c r="R2278" s="10"/>
      <c r="S2278" s="10"/>
      <c r="AA2278" s="131" t="s">
        <v>366</v>
      </c>
      <c r="AB2278" s="130">
        <v>13205115.26</v>
      </c>
      <c r="AC2278" s="130">
        <v>13205115.26</v>
      </c>
    </row>
    <row r="2279" spans="1:29" x14ac:dyDescent="0.25">
      <c r="A2279" t="str">
        <f t="shared" si="36"/>
        <v/>
      </c>
      <c r="B2279" s="10"/>
      <c r="C2279" s="10"/>
      <c r="D2279" s="10"/>
      <c r="E2279" s="10"/>
      <c r="F2279" s="10"/>
      <c r="G2279" s="11"/>
      <c r="H2279" s="12"/>
      <c r="I2279" s="13"/>
      <c r="J2279" s="12"/>
      <c r="K2279" s="13"/>
      <c r="L2279" s="11"/>
      <c r="M2279" s="13"/>
      <c r="N2279" s="11"/>
      <c r="O2279" s="13"/>
      <c r="P2279" s="11"/>
      <c r="Q2279" s="13"/>
      <c r="R2279" s="10"/>
      <c r="S2279" s="10"/>
      <c r="AA2279" s="131" t="s">
        <v>615</v>
      </c>
      <c r="AB2279" s="130">
        <v>9083970</v>
      </c>
      <c r="AC2279" s="130">
        <v>9083970</v>
      </c>
    </row>
    <row r="2280" spans="1:29" x14ac:dyDescent="0.25">
      <c r="A2280" t="str">
        <f t="shared" si="36"/>
        <v/>
      </c>
      <c r="B2280" s="10"/>
      <c r="C2280" s="10"/>
      <c r="D2280" s="10"/>
      <c r="E2280" s="10"/>
      <c r="F2280" s="10"/>
      <c r="G2280" s="11"/>
      <c r="H2280" s="12"/>
      <c r="I2280" s="13"/>
      <c r="J2280" s="12"/>
      <c r="K2280" s="13"/>
      <c r="L2280" s="11"/>
      <c r="M2280" s="13"/>
      <c r="N2280" s="11"/>
      <c r="O2280" s="13"/>
      <c r="P2280" s="11"/>
      <c r="Q2280" s="13"/>
      <c r="R2280" s="10"/>
      <c r="S2280" s="10"/>
      <c r="AA2280" s="129" t="s">
        <v>21</v>
      </c>
      <c r="AB2280" s="130">
        <v>33891747027.959</v>
      </c>
      <c r="AC2280" s="130">
        <v>33777800309.779018</v>
      </c>
    </row>
    <row r="2281" spans="1:29" x14ac:dyDescent="0.25">
      <c r="A2281" t="str">
        <f t="shared" si="36"/>
        <v/>
      </c>
      <c r="B2281" s="10"/>
      <c r="C2281" s="10"/>
      <c r="D2281" s="10"/>
      <c r="E2281" s="10"/>
      <c r="F2281" s="10"/>
      <c r="G2281" s="11"/>
      <c r="H2281" s="12"/>
      <c r="I2281" s="13"/>
      <c r="J2281" s="12"/>
      <c r="K2281" s="13"/>
      <c r="L2281" s="11"/>
      <c r="M2281" s="13"/>
      <c r="N2281" s="11"/>
      <c r="O2281" s="13"/>
      <c r="P2281" s="11"/>
      <c r="Q2281" s="13"/>
      <c r="R2281" s="10"/>
      <c r="S2281" s="10"/>
      <c r="AB2281"/>
      <c r="AC2281"/>
    </row>
    <row r="2282" spans="1:29" x14ac:dyDescent="0.25">
      <c r="A2282" t="str">
        <f t="shared" si="36"/>
        <v/>
      </c>
      <c r="B2282" s="10"/>
      <c r="C2282" s="10"/>
      <c r="D2282" s="10"/>
      <c r="E2282" s="10"/>
      <c r="F2282" s="10"/>
      <c r="G2282" s="11"/>
      <c r="H2282" s="12"/>
      <c r="I2282" s="13"/>
      <c r="J2282" s="12"/>
      <c r="K2282" s="13"/>
      <c r="L2282" s="11"/>
      <c r="M2282" s="13"/>
      <c r="N2282" s="11"/>
      <c r="O2282" s="13"/>
      <c r="P2282" s="11"/>
      <c r="Q2282" s="13"/>
      <c r="R2282" s="10"/>
      <c r="S2282" s="10"/>
      <c r="AB2282"/>
      <c r="AC2282"/>
    </row>
    <row r="2283" spans="1:29" x14ac:dyDescent="0.25">
      <c r="A2283" t="str">
        <f t="shared" si="36"/>
        <v/>
      </c>
      <c r="B2283" s="10"/>
      <c r="C2283" s="10"/>
      <c r="D2283" s="10"/>
      <c r="E2283" s="10"/>
      <c r="F2283" s="10"/>
      <c r="G2283" s="11"/>
      <c r="H2283" s="12"/>
      <c r="I2283" s="13"/>
      <c r="J2283" s="12"/>
      <c r="K2283" s="13"/>
      <c r="L2283" s="11"/>
      <c r="M2283" s="13"/>
      <c r="N2283" s="11"/>
      <c r="O2283" s="13"/>
      <c r="P2283" s="11"/>
      <c r="Q2283" s="13"/>
      <c r="R2283" s="10"/>
      <c r="S2283" s="10"/>
      <c r="AB2283"/>
      <c r="AC2283"/>
    </row>
    <row r="2284" spans="1:29" x14ac:dyDescent="0.25">
      <c r="A2284" t="str">
        <f t="shared" si="36"/>
        <v/>
      </c>
      <c r="B2284" s="10"/>
      <c r="C2284" s="10"/>
      <c r="D2284" s="10"/>
      <c r="E2284" s="10"/>
      <c r="F2284" s="10"/>
      <c r="G2284" s="11"/>
      <c r="H2284" s="12"/>
      <c r="I2284" s="13"/>
      <c r="J2284" s="12"/>
      <c r="K2284" s="13"/>
      <c r="L2284" s="11"/>
      <c r="M2284" s="13"/>
      <c r="N2284" s="11"/>
      <c r="O2284" s="13"/>
      <c r="P2284" s="11"/>
      <c r="Q2284" s="13"/>
      <c r="R2284" s="10"/>
      <c r="S2284" s="10"/>
      <c r="AB2284"/>
      <c r="AC2284"/>
    </row>
    <row r="2285" spans="1:29" x14ac:dyDescent="0.25">
      <c r="A2285" t="str">
        <f t="shared" si="36"/>
        <v/>
      </c>
      <c r="B2285" s="10"/>
      <c r="C2285" s="10"/>
      <c r="D2285" s="10"/>
      <c r="E2285" s="10"/>
      <c r="F2285" s="10"/>
      <c r="G2285" s="11"/>
      <c r="H2285" s="12"/>
      <c r="I2285" s="13"/>
      <c r="J2285" s="12"/>
      <c r="K2285" s="13"/>
      <c r="L2285" s="11"/>
      <c r="M2285" s="13"/>
      <c r="N2285" s="11"/>
      <c r="O2285" s="13"/>
      <c r="P2285" s="11"/>
      <c r="Q2285" s="13"/>
      <c r="R2285" s="10"/>
      <c r="S2285" s="10"/>
      <c r="AB2285"/>
      <c r="AC2285"/>
    </row>
    <row r="2286" spans="1:29" x14ac:dyDescent="0.25">
      <c r="A2286" t="str">
        <f t="shared" si="36"/>
        <v/>
      </c>
      <c r="B2286" s="10"/>
      <c r="C2286" s="10"/>
      <c r="D2286" s="10"/>
      <c r="E2286" s="10"/>
      <c r="F2286" s="10"/>
      <c r="G2286" s="11"/>
      <c r="H2286" s="12"/>
      <c r="I2286" s="13"/>
      <c r="J2286" s="12"/>
      <c r="K2286" s="13"/>
      <c r="L2286" s="11"/>
      <c r="M2286" s="13"/>
      <c r="N2286" s="11"/>
      <c r="O2286" s="13"/>
      <c r="P2286" s="11"/>
      <c r="Q2286" s="13"/>
      <c r="R2286" s="10"/>
      <c r="S2286" s="10"/>
      <c r="AB2286"/>
      <c r="AC2286"/>
    </row>
    <row r="2287" spans="1:29" x14ac:dyDescent="0.25">
      <c r="A2287" t="str">
        <f t="shared" si="36"/>
        <v/>
      </c>
      <c r="B2287" s="10"/>
      <c r="C2287" s="10"/>
      <c r="D2287" s="10"/>
      <c r="E2287" s="10"/>
      <c r="F2287" s="10"/>
      <c r="G2287" s="11"/>
      <c r="H2287" s="12"/>
      <c r="I2287" s="13"/>
      <c r="J2287" s="12"/>
      <c r="K2287" s="13"/>
      <c r="L2287" s="11"/>
      <c r="M2287" s="13"/>
      <c r="N2287" s="11"/>
      <c r="O2287" s="13"/>
      <c r="P2287" s="11"/>
      <c r="Q2287" s="13"/>
      <c r="R2287" s="10"/>
      <c r="S2287" s="10"/>
      <c r="AB2287"/>
      <c r="AC2287"/>
    </row>
    <row r="2288" spans="1:29" x14ac:dyDescent="0.25">
      <c r="A2288" t="str">
        <f t="shared" si="36"/>
        <v/>
      </c>
      <c r="B2288" s="10"/>
      <c r="C2288" s="10"/>
      <c r="D2288" s="10"/>
      <c r="E2288" s="10"/>
      <c r="F2288" s="10"/>
      <c r="G2288" s="11"/>
      <c r="H2288" s="12"/>
      <c r="I2288" s="13"/>
      <c r="J2288" s="12"/>
      <c r="K2288" s="13"/>
      <c r="L2288" s="11"/>
      <c r="M2288" s="13"/>
      <c r="N2288" s="11"/>
      <c r="O2288" s="13"/>
      <c r="P2288" s="11"/>
      <c r="Q2288" s="13"/>
      <c r="R2288" s="10"/>
      <c r="S2288" s="10"/>
      <c r="AB2288"/>
      <c r="AC2288"/>
    </row>
    <row r="2289" spans="1:29" x14ac:dyDescent="0.25">
      <c r="A2289" t="str">
        <f t="shared" si="36"/>
        <v/>
      </c>
      <c r="B2289" s="10"/>
      <c r="C2289" s="10"/>
      <c r="D2289" s="10"/>
      <c r="E2289" s="10"/>
      <c r="F2289" s="10"/>
      <c r="G2289" s="11"/>
      <c r="H2289" s="12"/>
      <c r="I2289" s="13"/>
      <c r="J2289" s="12"/>
      <c r="K2289" s="13"/>
      <c r="L2289" s="11"/>
      <c r="M2289" s="13"/>
      <c r="N2289" s="11"/>
      <c r="O2289" s="13"/>
      <c r="P2289" s="11"/>
      <c r="Q2289" s="13"/>
      <c r="R2289" s="10"/>
      <c r="S2289" s="10"/>
      <c r="AB2289"/>
      <c r="AC2289"/>
    </row>
    <row r="2290" spans="1:29" x14ac:dyDescent="0.25">
      <c r="A2290" t="str">
        <f t="shared" si="36"/>
        <v/>
      </c>
      <c r="B2290" s="10"/>
      <c r="C2290" s="10"/>
      <c r="D2290" s="10"/>
      <c r="E2290" s="10"/>
      <c r="F2290" s="10"/>
      <c r="G2290" s="11"/>
      <c r="H2290" s="12"/>
      <c r="I2290" s="13"/>
      <c r="J2290" s="12"/>
      <c r="K2290" s="13"/>
      <c r="L2290" s="11"/>
      <c r="M2290" s="13"/>
      <c r="N2290" s="11"/>
      <c r="O2290" s="13"/>
      <c r="P2290" s="11"/>
      <c r="Q2290" s="13"/>
      <c r="R2290" s="10"/>
      <c r="S2290" s="10"/>
      <c r="AB2290"/>
      <c r="AC2290"/>
    </row>
    <row r="2291" spans="1:29" x14ac:dyDescent="0.25">
      <c r="A2291" t="str">
        <f t="shared" si="36"/>
        <v/>
      </c>
      <c r="B2291" s="10"/>
      <c r="C2291" s="10"/>
      <c r="D2291" s="10"/>
      <c r="E2291" s="10"/>
      <c r="F2291" s="10"/>
      <c r="G2291" s="11"/>
      <c r="H2291" s="12"/>
      <c r="I2291" s="13"/>
      <c r="J2291" s="12"/>
      <c r="K2291" s="13"/>
      <c r="L2291" s="11"/>
      <c r="M2291" s="13"/>
      <c r="N2291" s="11"/>
      <c r="O2291" s="13"/>
      <c r="P2291" s="11"/>
      <c r="Q2291" s="13"/>
      <c r="R2291" s="10"/>
      <c r="S2291" s="10"/>
      <c r="AB2291"/>
      <c r="AC2291"/>
    </row>
    <row r="2292" spans="1:29" x14ac:dyDescent="0.25">
      <c r="A2292" t="str">
        <f t="shared" si="36"/>
        <v/>
      </c>
      <c r="B2292" s="10"/>
      <c r="C2292" s="10"/>
      <c r="D2292" s="10"/>
      <c r="E2292" s="10"/>
      <c r="F2292" s="10"/>
      <c r="G2292" s="11"/>
      <c r="H2292" s="12"/>
      <c r="I2292" s="13"/>
      <c r="J2292" s="12"/>
      <c r="K2292" s="13"/>
      <c r="L2292" s="11"/>
      <c r="M2292" s="13"/>
      <c r="N2292" s="11"/>
      <c r="O2292" s="13"/>
      <c r="P2292" s="11"/>
      <c r="Q2292" s="13"/>
      <c r="R2292" s="10"/>
      <c r="S2292" s="10"/>
      <c r="AB2292"/>
      <c r="AC2292"/>
    </row>
    <row r="2293" spans="1:29" x14ac:dyDescent="0.25">
      <c r="A2293" t="str">
        <f t="shared" si="36"/>
        <v/>
      </c>
      <c r="B2293" s="10"/>
      <c r="C2293" s="10"/>
      <c r="D2293" s="10"/>
      <c r="E2293" s="10"/>
      <c r="F2293" s="10"/>
      <c r="G2293" s="11"/>
      <c r="H2293" s="12"/>
      <c r="I2293" s="13"/>
      <c r="J2293" s="12"/>
      <c r="K2293" s="13"/>
      <c r="L2293" s="11"/>
      <c r="M2293" s="13"/>
      <c r="N2293" s="11"/>
      <c r="O2293" s="13"/>
      <c r="P2293" s="11"/>
      <c r="Q2293" s="13"/>
      <c r="R2293" s="10"/>
      <c r="S2293" s="10"/>
      <c r="AB2293"/>
      <c r="AC2293"/>
    </row>
    <row r="2294" spans="1:29" x14ac:dyDescent="0.25">
      <c r="A2294" t="str">
        <f t="shared" si="36"/>
        <v/>
      </c>
      <c r="B2294" s="10"/>
      <c r="C2294" s="10"/>
      <c r="D2294" s="10"/>
      <c r="E2294" s="10"/>
      <c r="F2294" s="10"/>
      <c r="G2294" s="11"/>
      <c r="H2294" s="12"/>
      <c r="I2294" s="13"/>
      <c r="J2294" s="12"/>
      <c r="K2294" s="13"/>
      <c r="L2294" s="11"/>
      <c r="M2294" s="13"/>
      <c r="N2294" s="11"/>
      <c r="O2294" s="13"/>
      <c r="P2294" s="11"/>
      <c r="Q2294" s="13"/>
      <c r="R2294" s="10"/>
      <c r="S2294" s="10"/>
      <c r="AB2294"/>
      <c r="AC2294"/>
    </row>
    <row r="2295" spans="1:29" x14ac:dyDescent="0.25">
      <c r="A2295" t="str">
        <f t="shared" si="36"/>
        <v/>
      </c>
      <c r="B2295" s="10"/>
      <c r="C2295" s="10"/>
      <c r="D2295" s="10"/>
      <c r="E2295" s="10"/>
      <c r="F2295" s="10"/>
      <c r="G2295" s="11"/>
      <c r="H2295" s="12"/>
      <c r="I2295" s="13"/>
      <c r="J2295" s="12"/>
      <c r="K2295" s="13"/>
      <c r="L2295" s="11"/>
      <c r="M2295" s="13"/>
      <c r="N2295" s="11"/>
      <c r="O2295" s="13"/>
      <c r="P2295" s="11"/>
      <c r="Q2295" s="13"/>
      <c r="R2295" s="10"/>
      <c r="S2295" s="10"/>
      <c r="AB2295"/>
      <c r="AC2295"/>
    </row>
    <row r="2296" spans="1:29" x14ac:dyDescent="0.25">
      <c r="A2296" t="str">
        <f t="shared" si="36"/>
        <v/>
      </c>
      <c r="B2296" s="10"/>
      <c r="C2296" s="10"/>
      <c r="D2296" s="10"/>
      <c r="E2296" s="10"/>
      <c r="F2296" s="10"/>
      <c r="G2296" s="11"/>
      <c r="H2296" s="12"/>
      <c r="I2296" s="13"/>
      <c r="J2296" s="12"/>
      <c r="K2296" s="13"/>
      <c r="L2296" s="11"/>
      <c r="M2296" s="13"/>
      <c r="N2296" s="11"/>
      <c r="O2296" s="13"/>
      <c r="P2296" s="11"/>
      <c r="Q2296" s="13"/>
      <c r="R2296" s="10"/>
      <c r="S2296" s="10"/>
      <c r="AB2296"/>
      <c r="AC2296"/>
    </row>
    <row r="2297" spans="1:29" x14ac:dyDescent="0.25">
      <c r="A2297" t="str">
        <f t="shared" si="36"/>
        <v/>
      </c>
      <c r="B2297" s="10"/>
      <c r="C2297" s="10"/>
      <c r="D2297" s="10"/>
      <c r="E2297" s="10"/>
      <c r="F2297" s="10"/>
      <c r="G2297" s="11"/>
      <c r="H2297" s="12"/>
      <c r="I2297" s="13"/>
      <c r="J2297" s="12"/>
      <c r="K2297" s="13"/>
      <c r="L2297" s="11"/>
      <c r="M2297" s="13"/>
      <c r="N2297" s="11"/>
      <c r="O2297" s="13"/>
      <c r="P2297" s="11"/>
      <c r="Q2297" s="13"/>
      <c r="R2297" s="10"/>
      <c r="S2297" s="10"/>
      <c r="AB2297"/>
      <c r="AC2297"/>
    </row>
    <row r="2298" spans="1:29" x14ac:dyDescent="0.25">
      <c r="A2298" t="str">
        <f t="shared" si="36"/>
        <v/>
      </c>
      <c r="B2298" s="10"/>
      <c r="C2298" s="10"/>
      <c r="D2298" s="10"/>
      <c r="E2298" s="10"/>
      <c r="F2298" s="10"/>
      <c r="G2298" s="11"/>
      <c r="H2298" s="12"/>
      <c r="I2298" s="13"/>
      <c r="J2298" s="12"/>
      <c r="K2298" s="13"/>
      <c r="L2298" s="11"/>
      <c r="M2298" s="13"/>
      <c r="N2298" s="11"/>
      <c r="O2298" s="13"/>
      <c r="P2298" s="11"/>
      <c r="Q2298" s="13"/>
      <c r="R2298" s="10"/>
      <c r="S2298" s="10"/>
      <c r="AB2298"/>
      <c r="AC2298"/>
    </row>
    <row r="2299" spans="1:29" x14ac:dyDescent="0.25">
      <c r="A2299" t="str">
        <f t="shared" si="36"/>
        <v/>
      </c>
      <c r="B2299" s="10"/>
      <c r="C2299" s="10"/>
      <c r="D2299" s="10"/>
      <c r="E2299" s="10"/>
      <c r="F2299" s="10"/>
      <c r="G2299" s="11"/>
      <c r="H2299" s="12"/>
      <c r="I2299" s="13"/>
      <c r="J2299" s="12"/>
      <c r="K2299" s="13"/>
      <c r="L2299" s="11"/>
      <c r="M2299" s="13"/>
      <c r="N2299" s="11"/>
      <c r="O2299" s="13"/>
      <c r="P2299" s="11"/>
      <c r="Q2299" s="13"/>
      <c r="R2299" s="10"/>
      <c r="S2299" s="10"/>
      <c r="AB2299"/>
      <c r="AC2299"/>
    </row>
    <row r="2300" spans="1:29" x14ac:dyDescent="0.25">
      <c r="A2300" t="str">
        <f t="shared" si="36"/>
        <v/>
      </c>
      <c r="B2300" s="10"/>
      <c r="C2300" s="10"/>
      <c r="D2300" s="10"/>
      <c r="E2300" s="10"/>
      <c r="F2300" s="10"/>
      <c r="G2300" s="11"/>
      <c r="H2300" s="12"/>
      <c r="I2300" s="13"/>
      <c r="J2300" s="12"/>
      <c r="K2300" s="13"/>
      <c r="L2300" s="11"/>
      <c r="M2300" s="13"/>
      <c r="N2300" s="11"/>
      <c r="O2300" s="13"/>
      <c r="P2300" s="11"/>
      <c r="Q2300" s="13"/>
      <c r="R2300" s="10"/>
      <c r="S2300" s="10"/>
      <c r="AB2300"/>
      <c r="AC2300"/>
    </row>
    <row r="2301" spans="1:29" x14ac:dyDescent="0.25">
      <c r="A2301" t="str">
        <f t="shared" si="36"/>
        <v/>
      </c>
      <c r="B2301" s="10"/>
      <c r="C2301" s="10"/>
      <c r="D2301" s="10"/>
      <c r="E2301" s="10"/>
      <c r="F2301" s="10"/>
      <c r="G2301" s="11"/>
      <c r="H2301" s="12"/>
      <c r="I2301" s="13"/>
      <c r="J2301" s="12"/>
      <c r="K2301" s="13"/>
      <c r="L2301" s="11"/>
      <c r="M2301" s="13"/>
      <c r="N2301" s="11"/>
      <c r="O2301" s="13"/>
      <c r="P2301" s="11"/>
      <c r="Q2301" s="13"/>
      <c r="R2301" s="10"/>
      <c r="S2301" s="10"/>
      <c r="AB2301"/>
      <c r="AC2301"/>
    </row>
    <row r="2302" spans="1:29" x14ac:dyDescent="0.25">
      <c r="A2302" t="str">
        <f t="shared" si="36"/>
        <v/>
      </c>
      <c r="B2302" s="10"/>
      <c r="C2302" s="10"/>
      <c r="D2302" s="10"/>
      <c r="E2302" s="10"/>
      <c r="F2302" s="10"/>
      <c r="G2302" s="11"/>
      <c r="H2302" s="12"/>
      <c r="I2302" s="13"/>
      <c r="J2302" s="12"/>
      <c r="K2302" s="13"/>
      <c r="L2302" s="11"/>
      <c r="M2302" s="13"/>
      <c r="N2302" s="11"/>
      <c r="O2302" s="13"/>
      <c r="P2302" s="11"/>
      <c r="Q2302" s="13"/>
      <c r="R2302" s="10"/>
      <c r="S2302" s="10"/>
      <c r="AB2302"/>
      <c r="AC2302"/>
    </row>
    <row r="2303" spans="1:29" x14ac:dyDescent="0.25">
      <c r="A2303" t="str">
        <f t="shared" si="36"/>
        <v/>
      </c>
      <c r="B2303" s="10"/>
      <c r="C2303" s="10"/>
      <c r="D2303" s="10"/>
      <c r="E2303" s="10"/>
      <c r="F2303" s="10"/>
      <c r="G2303" s="11"/>
      <c r="H2303" s="12"/>
      <c r="I2303" s="13"/>
      <c r="J2303" s="12"/>
      <c r="K2303" s="13"/>
      <c r="L2303" s="11"/>
      <c r="M2303" s="13"/>
      <c r="N2303" s="11"/>
      <c r="O2303" s="13"/>
      <c r="P2303" s="11"/>
      <c r="Q2303" s="13"/>
      <c r="R2303" s="10"/>
      <c r="S2303" s="10"/>
      <c r="AB2303"/>
      <c r="AC2303"/>
    </row>
    <row r="2304" spans="1:29" x14ac:dyDescent="0.25">
      <c r="A2304" t="str">
        <f t="shared" si="36"/>
        <v/>
      </c>
      <c r="B2304" s="10"/>
      <c r="C2304" s="10"/>
      <c r="D2304" s="10"/>
      <c r="E2304" s="10"/>
      <c r="F2304" s="10"/>
      <c r="G2304" s="11"/>
      <c r="H2304" s="12"/>
      <c r="I2304" s="13"/>
      <c r="J2304" s="12"/>
      <c r="K2304" s="13"/>
      <c r="L2304" s="11"/>
      <c r="M2304" s="13"/>
      <c r="N2304" s="11"/>
      <c r="O2304" s="13"/>
      <c r="P2304" s="11"/>
      <c r="Q2304" s="13"/>
      <c r="R2304" s="10"/>
      <c r="S2304" s="10"/>
      <c r="AB2304"/>
      <c r="AC2304"/>
    </row>
    <row r="2305" spans="1:29" x14ac:dyDescent="0.25">
      <c r="A2305" t="str">
        <f t="shared" si="36"/>
        <v/>
      </c>
      <c r="B2305" s="10"/>
      <c r="C2305" s="10"/>
      <c r="D2305" s="10"/>
      <c r="E2305" s="10"/>
      <c r="F2305" s="10"/>
      <c r="G2305" s="11"/>
      <c r="H2305" s="12"/>
      <c r="I2305" s="13"/>
      <c r="J2305" s="12"/>
      <c r="K2305" s="13"/>
      <c r="L2305" s="11"/>
      <c r="M2305" s="13"/>
      <c r="N2305" s="11"/>
      <c r="O2305" s="13"/>
      <c r="P2305" s="11"/>
      <c r="Q2305" s="13"/>
      <c r="R2305" s="10"/>
      <c r="S2305" s="10"/>
      <c r="AB2305"/>
      <c r="AC2305"/>
    </row>
    <row r="2306" spans="1:29" x14ac:dyDescent="0.25">
      <c r="A2306" t="str">
        <f t="shared" si="36"/>
        <v/>
      </c>
      <c r="B2306" s="10"/>
      <c r="C2306" s="10"/>
      <c r="D2306" s="10"/>
      <c r="E2306" s="10"/>
      <c r="F2306" s="10"/>
      <c r="G2306" s="11"/>
      <c r="H2306" s="12"/>
      <c r="I2306" s="13"/>
      <c r="J2306" s="12"/>
      <c r="K2306" s="13"/>
      <c r="L2306" s="11"/>
      <c r="M2306" s="13"/>
      <c r="N2306" s="11"/>
      <c r="O2306" s="13"/>
      <c r="P2306" s="11"/>
      <c r="Q2306" s="13"/>
      <c r="R2306" s="10"/>
      <c r="S2306" s="10"/>
      <c r="AB2306"/>
      <c r="AC2306"/>
    </row>
    <row r="2307" spans="1:29" x14ac:dyDescent="0.25">
      <c r="A2307" t="str">
        <f t="shared" si="36"/>
        <v/>
      </c>
      <c r="B2307" s="10"/>
      <c r="C2307" s="10"/>
      <c r="D2307" s="10"/>
      <c r="E2307" s="10"/>
      <c r="F2307" s="10"/>
      <c r="G2307" s="11"/>
      <c r="H2307" s="12"/>
      <c r="I2307" s="13"/>
      <c r="J2307" s="12"/>
      <c r="K2307" s="13"/>
      <c r="L2307" s="11"/>
      <c r="M2307" s="13"/>
      <c r="N2307" s="11"/>
      <c r="O2307" s="13"/>
      <c r="P2307" s="11"/>
      <c r="Q2307" s="13"/>
      <c r="R2307" s="10"/>
      <c r="S2307" s="10"/>
      <c r="AB2307"/>
      <c r="AC2307"/>
    </row>
    <row r="2308" spans="1:29" x14ac:dyDescent="0.25">
      <c r="A2308" t="str">
        <f t="shared" si="36"/>
        <v/>
      </c>
      <c r="B2308" s="10"/>
      <c r="C2308" s="10"/>
      <c r="D2308" s="10"/>
      <c r="E2308" s="10"/>
      <c r="F2308" s="10"/>
      <c r="G2308" s="11"/>
      <c r="H2308" s="12"/>
      <c r="I2308" s="13"/>
      <c r="J2308" s="12"/>
      <c r="K2308" s="13"/>
      <c r="L2308" s="11"/>
      <c r="M2308" s="13"/>
      <c r="N2308" s="11"/>
      <c r="O2308" s="13"/>
      <c r="P2308" s="11"/>
      <c r="Q2308" s="13"/>
      <c r="R2308" s="10"/>
      <c r="S2308" s="10"/>
      <c r="AB2308"/>
      <c r="AC2308"/>
    </row>
    <row r="2309" spans="1:29" x14ac:dyDescent="0.25">
      <c r="A2309" t="str">
        <f t="shared" si="36"/>
        <v/>
      </c>
      <c r="B2309" s="10"/>
      <c r="C2309" s="10"/>
      <c r="D2309" s="10"/>
      <c r="E2309" s="10"/>
      <c r="F2309" s="10"/>
      <c r="G2309" s="11"/>
      <c r="H2309" s="12"/>
      <c r="I2309" s="13"/>
      <c r="J2309" s="12"/>
      <c r="K2309" s="13"/>
      <c r="L2309" s="11"/>
      <c r="M2309" s="13"/>
      <c r="N2309" s="11"/>
      <c r="O2309" s="13"/>
      <c r="P2309" s="11"/>
      <c r="Q2309" s="13"/>
      <c r="R2309" s="10"/>
      <c r="S2309" s="10"/>
      <c r="AB2309"/>
      <c r="AC2309"/>
    </row>
    <row r="2310" spans="1:29" x14ac:dyDescent="0.25">
      <c r="A2310" t="str">
        <f t="shared" si="36"/>
        <v/>
      </c>
      <c r="B2310" s="10"/>
      <c r="C2310" s="10"/>
      <c r="D2310" s="10"/>
      <c r="E2310" s="10"/>
      <c r="F2310" s="10"/>
      <c r="G2310" s="11"/>
      <c r="H2310" s="12"/>
      <c r="I2310" s="13"/>
      <c r="J2310" s="12"/>
      <c r="K2310" s="13"/>
      <c r="L2310" s="11"/>
      <c r="M2310" s="13"/>
      <c r="N2310" s="11"/>
      <c r="O2310" s="13"/>
      <c r="P2310" s="11"/>
      <c r="Q2310" s="13"/>
      <c r="R2310" s="10"/>
      <c r="S2310" s="10"/>
      <c r="AB2310"/>
      <c r="AC2310"/>
    </row>
    <row r="2311" spans="1:29" x14ac:dyDescent="0.25">
      <c r="A2311" t="str">
        <f t="shared" ref="A2311:A2374" si="37">B2309&amp;D2309</f>
        <v/>
      </c>
      <c r="B2311" s="10"/>
      <c r="C2311" s="10"/>
      <c r="D2311" s="10"/>
      <c r="E2311" s="10"/>
      <c r="F2311" s="10"/>
      <c r="G2311" s="11"/>
      <c r="H2311" s="12"/>
      <c r="I2311" s="13"/>
      <c r="J2311" s="12"/>
      <c r="K2311" s="13"/>
      <c r="L2311" s="11"/>
      <c r="M2311" s="13"/>
      <c r="N2311" s="11"/>
      <c r="O2311" s="13"/>
      <c r="P2311" s="11"/>
      <c r="Q2311" s="13"/>
      <c r="R2311" s="10"/>
      <c r="S2311" s="10"/>
      <c r="AB2311"/>
      <c r="AC2311"/>
    </row>
    <row r="2312" spans="1:29" x14ac:dyDescent="0.25">
      <c r="A2312" t="str">
        <f t="shared" si="37"/>
        <v/>
      </c>
      <c r="B2312" s="10"/>
      <c r="C2312" s="10"/>
      <c r="D2312" s="10"/>
      <c r="E2312" s="10"/>
      <c r="F2312" s="10"/>
      <c r="G2312" s="11"/>
      <c r="H2312" s="12"/>
      <c r="I2312" s="13"/>
      <c r="J2312" s="12"/>
      <c r="K2312" s="13"/>
      <c r="L2312" s="11"/>
      <c r="M2312" s="13"/>
      <c r="N2312" s="11"/>
      <c r="O2312" s="13"/>
      <c r="P2312" s="11"/>
      <c r="Q2312" s="13"/>
      <c r="R2312" s="10"/>
      <c r="S2312" s="10"/>
      <c r="AB2312"/>
      <c r="AC2312"/>
    </row>
    <row r="2313" spans="1:29" x14ac:dyDescent="0.25">
      <c r="A2313" t="str">
        <f t="shared" si="37"/>
        <v/>
      </c>
      <c r="B2313" s="10"/>
      <c r="C2313" s="10"/>
      <c r="D2313" s="10"/>
      <c r="E2313" s="10"/>
      <c r="F2313" s="10"/>
      <c r="G2313" s="11"/>
      <c r="H2313" s="12"/>
      <c r="I2313" s="13"/>
      <c r="J2313" s="12"/>
      <c r="K2313" s="13"/>
      <c r="L2313" s="11"/>
      <c r="M2313" s="13"/>
      <c r="N2313" s="11"/>
      <c r="O2313" s="13"/>
      <c r="P2313" s="11"/>
      <c r="Q2313" s="13"/>
      <c r="R2313" s="10"/>
      <c r="S2313" s="10"/>
      <c r="AB2313"/>
      <c r="AC2313"/>
    </row>
    <row r="2314" spans="1:29" x14ac:dyDescent="0.25">
      <c r="A2314" t="str">
        <f t="shared" si="37"/>
        <v/>
      </c>
      <c r="B2314" s="10"/>
      <c r="C2314" s="10"/>
      <c r="D2314" s="10"/>
      <c r="E2314" s="10"/>
      <c r="F2314" s="10"/>
      <c r="G2314" s="11"/>
      <c r="H2314" s="12"/>
      <c r="I2314" s="13"/>
      <c r="J2314" s="12"/>
      <c r="K2314" s="13"/>
      <c r="L2314" s="11"/>
      <c r="M2314" s="13"/>
      <c r="N2314" s="11"/>
      <c r="O2314" s="13"/>
      <c r="P2314" s="11"/>
      <c r="Q2314" s="13"/>
      <c r="R2314" s="10"/>
      <c r="S2314" s="10"/>
      <c r="AB2314"/>
      <c r="AC2314"/>
    </row>
    <row r="2315" spans="1:29" x14ac:dyDescent="0.25">
      <c r="A2315" t="str">
        <f t="shared" si="37"/>
        <v/>
      </c>
      <c r="B2315" s="10"/>
      <c r="C2315" s="10"/>
      <c r="D2315" s="10"/>
      <c r="E2315" s="10"/>
      <c r="F2315" s="10"/>
      <c r="G2315" s="11"/>
      <c r="H2315" s="12"/>
      <c r="I2315" s="13"/>
      <c r="J2315" s="12"/>
      <c r="K2315" s="13"/>
      <c r="L2315" s="11"/>
      <c r="M2315" s="13"/>
      <c r="N2315" s="11"/>
      <c r="O2315" s="13"/>
      <c r="P2315" s="11"/>
      <c r="Q2315" s="13"/>
      <c r="R2315" s="10"/>
      <c r="S2315" s="10"/>
      <c r="AB2315"/>
      <c r="AC2315"/>
    </row>
    <row r="2316" spans="1:29" x14ac:dyDescent="0.25">
      <c r="A2316" t="str">
        <f t="shared" si="37"/>
        <v/>
      </c>
      <c r="B2316" s="10"/>
      <c r="C2316" s="10"/>
      <c r="D2316" s="10"/>
      <c r="E2316" s="10"/>
      <c r="F2316" s="10"/>
      <c r="G2316" s="11"/>
      <c r="H2316" s="12"/>
      <c r="I2316" s="13"/>
      <c r="J2316" s="12"/>
      <c r="K2316" s="13"/>
      <c r="L2316" s="11"/>
      <c r="M2316" s="13"/>
      <c r="N2316" s="11"/>
      <c r="O2316" s="13"/>
      <c r="P2316" s="11"/>
      <c r="Q2316" s="13"/>
      <c r="R2316" s="10"/>
      <c r="S2316" s="10"/>
      <c r="AB2316"/>
      <c r="AC2316"/>
    </row>
    <row r="2317" spans="1:29" x14ac:dyDescent="0.25">
      <c r="A2317" t="str">
        <f t="shared" si="37"/>
        <v/>
      </c>
      <c r="B2317" s="10"/>
      <c r="C2317" s="10"/>
      <c r="D2317" s="10"/>
      <c r="E2317" s="10"/>
      <c r="F2317" s="10"/>
      <c r="G2317" s="11"/>
      <c r="H2317" s="12"/>
      <c r="I2317" s="13"/>
      <c r="J2317" s="12"/>
      <c r="K2317" s="13"/>
      <c r="L2317" s="11"/>
      <c r="M2317" s="13"/>
      <c r="N2317" s="11"/>
      <c r="O2317" s="13"/>
      <c r="P2317" s="11"/>
      <c r="Q2317" s="13"/>
      <c r="R2317" s="10"/>
      <c r="S2317" s="10"/>
      <c r="AB2317"/>
      <c r="AC2317"/>
    </row>
    <row r="2318" spans="1:29" x14ac:dyDescent="0.25">
      <c r="A2318" t="str">
        <f t="shared" si="37"/>
        <v/>
      </c>
      <c r="B2318" s="10"/>
      <c r="C2318" s="10"/>
      <c r="D2318" s="10"/>
      <c r="E2318" s="10"/>
      <c r="F2318" s="10"/>
      <c r="G2318" s="11"/>
      <c r="H2318" s="12"/>
      <c r="I2318" s="13"/>
      <c r="J2318" s="12"/>
      <c r="K2318" s="13"/>
      <c r="L2318" s="11"/>
      <c r="M2318" s="13"/>
      <c r="N2318" s="11"/>
      <c r="O2318" s="13"/>
      <c r="P2318" s="11"/>
      <c r="Q2318" s="13"/>
      <c r="R2318" s="10"/>
      <c r="S2318" s="10"/>
      <c r="AB2318"/>
      <c r="AC2318"/>
    </row>
    <row r="2319" spans="1:29" x14ac:dyDescent="0.25">
      <c r="A2319" t="str">
        <f t="shared" si="37"/>
        <v/>
      </c>
      <c r="B2319" s="10"/>
      <c r="C2319" s="10"/>
      <c r="D2319" s="10"/>
      <c r="E2319" s="10"/>
      <c r="F2319" s="10"/>
      <c r="G2319" s="11"/>
      <c r="H2319" s="12"/>
      <c r="I2319" s="13"/>
      <c r="J2319" s="12"/>
      <c r="K2319" s="13"/>
      <c r="L2319" s="11"/>
      <c r="M2319" s="13"/>
      <c r="N2319" s="11"/>
      <c r="O2319" s="13"/>
      <c r="P2319" s="11"/>
      <c r="Q2319" s="13"/>
      <c r="R2319" s="10"/>
      <c r="S2319" s="10"/>
      <c r="AB2319"/>
      <c r="AC2319"/>
    </row>
    <row r="2320" spans="1:29" x14ac:dyDescent="0.25">
      <c r="A2320" t="str">
        <f t="shared" si="37"/>
        <v/>
      </c>
      <c r="B2320" s="10"/>
      <c r="C2320" s="10"/>
      <c r="D2320" s="10"/>
      <c r="E2320" s="10"/>
      <c r="F2320" s="10"/>
      <c r="G2320" s="11"/>
      <c r="H2320" s="12"/>
      <c r="I2320" s="13"/>
      <c r="J2320" s="12"/>
      <c r="K2320" s="13"/>
      <c r="L2320" s="11"/>
      <c r="M2320" s="13"/>
      <c r="N2320" s="11"/>
      <c r="O2320" s="13"/>
      <c r="P2320" s="11"/>
      <c r="Q2320" s="13"/>
      <c r="R2320" s="10"/>
      <c r="S2320" s="10"/>
      <c r="AB2320"/>
      <c r="AC2320"/>
    </row>
    <row r="2321" spans="1:29" x14ac:dyDescent="0.25">
      <c r="A2321" t="str">
        <f t="shared" si="37"/>
        <v/>
      </c>
      <c r="B2321" s="10"/>
      <c r="C2321" s="10"/>
      <c r="D2321" s="10"/>
      <c r="E2321" s="10"/>
      <c r="F2321" s="10"/>
      <c r="G2321" s="11"/>
      <c r="H2321" s="12"/>
      <c r="I2321" s="13"/>
      <c r="J2321" s="12"/>
      <c r="K2321" s="13"/>
      <c r="L2321" s="11"/>
      <c r="M2321" s="13"/>
      <c r="N2321" s="11"/>
      <c r="O2321" s="13"/>
      <c r="P2321" s="11"/>
      <c r="Q2321" s="13"/>
      <c r="R2321" s="10"/>
      <c r="S2321" s="10"/>
      <c r="AB2321"/>
      <c r="AC2321"/>
    </row>
    <row r="2322" spans="1:29" x14ac:dyDescent="0.25">
      <c r="A2322" t="str">
        <f t="shared" si="37"/>
        <v/>
      </c>
      <c r="B2322" s="10"/>
      <c r="C2322" s="10"/>
      <c r="D2322" s="10"/>
      <c r="E2322" s="10"/>
      <c r="F2322" s="10"/>
      <c r="G2322" s="11"/>
      <c r="H2322" s="12"/>
      <c r="I2322" s="13"/>
      <c r="J2322" s="12"/>
      <c r="K2322" s="13"/>
      <c r="L2322" s="11"/>
      <c r="M2322" s="13"/>
      <c r="N2322" s="11"/>
      <c r="O2322" s="13"/>
      <c r="P2322" s="11"/>
      <c r="Q2322" s="13"/>
      <c r="R2322" s="10"/>
      <c r="S2322" s="10"/>
      <c r="AB2322"/>
      <c r="AC2322"/>
    </row>
    <row r="2323" spans="1:29" x14ac:dyDescent="0.25">
      <c r="A2323" t="str">
        <f t="shared" si="37"/>
        <v/>
      </c>
      <c r="B2323" s="10"/>
      <c r="C2323" s="10"/>
      <c r="D2323" s="10"/>
      <c r="E2323" s="10"/>
      <c r="F2323" s="10"/>
      <c r="G2323" s="11"/>
      <c r="H2323" s="12"/>
      <c r="I2323" s="13"/>
      <c r="J2323" s="12"/>
      <c r="K2323" s="13"/>
      <c r="L2323" s="11"/>
      <c r="M2323" s="13"/>
      <c r="N2323" s="11"/>
      <c r="O2323" s="13"/>
      <c r="P2323" s="11"/>
      <c r="Q2323" s="13"/>
      <c r="R2323" s="10"/>
      <c r="S2323" s="10"/>
      <c r="AB2323"/>
      <c r="AC2323"/>
    </row>
    <row r="2324" spans="1:29" x14ac:dyDescent="0.25">
      <c r="A2324" t="str">
        <f t="shared" si="37"/>
        <v/>
      </c>
      <c r="B2324" s="10"/>
      <c r="C2324" s="10"/>
      <c r="D2324" s="10"/>
      <c r="E2324" s="10"/>
      <c r="F2324" s="10"/>
      <c r="G2324" s="11"/>
      <c r="H2324" s="12"/>
      <c r="I2324" s="13"/>
      <c r="J2324" s="12"/>
      <c r="K2324" s="13"/>
      <c r="L2324" s="11"/>
      <c r="M2324" s="13"/>
      <c r="N2324" s="11"/>
      <c r="O2324" s="13"/>
      <c r="P2324" s="11"/>
      <c r="Q2324" s="13"/>
      <c r="R2324" s="10"/>
      <c r="S2324" s="10"/>
      <c r="AB2324"/>
      <c r="AC2324"/>
    </row>
    <row r="2325" spans="1:29" x14ac:dyDescent="0.25">
      <c r="A2325" t="str">
        <f t="shared" si="37"/>
        <v/>
      </c>
      <c r="B2325" s="10"/>
      <c r="C2325" s="10"/>
      <c r="D2325" s="10"/>
      <c r="E2325" s="10"/>
      <c r="F2325" s="10"/>
      <c r="G2325" s="11"/>
      <c r="H2325" s="12"/>
      <c r="I2325" s="13"/>
      <c r="J2325" s="12"/>
      <c r="K2325" s="13"/>
      <c r="L2325" s="11"/>
      <c r="M2325" s="13"/>
      <c r="N2325" s="11"/>
      <c r="O2325" s="13"/>
      <c r="P2325" s="11"/>
      <c r="Q2325" s="13"/>
      <c r="R2325" s="10"/>
      <c r="S2325" s="10"/>
      <c r="AB2325"/>
      <c r="AC2325"/>
    </row>
    <row r="2326" spans="1:29" x14ac:dyDescent="0.25">
      <c r="A2326" t="str">
        <f t="shared" si="37"/>
        <v/>
      </c>
      <c r="B2326" s="10"/>
      <c r="C2326" s="10"/>
      <c r="D2326" s="10"/>
      <c r="E2326" s="10"/>
      <c r="F2326" s="10"/>
      <c r="G2326" s="11"/>
      <c r="H2326" s="12"/>
      <c r="I2326" s="13"/>
      <c r="J2326" s="12"/>
      <c r="K2326" s="13"/>
      <c r="L2326" s="11"/>
      <c r="M2326" s="13"/>
      <c r="N2326" s="11"/>
      <c r="O2326" s="13"/>
      <c r="P2326" s="11"/>
      <c r="Q2326" s="13"/>
      <c r="R2326" s="10"/>
      <c r="S2326" s="10"/>
      <c r="AB2326"/>
      <c r="AC2326"/>
    </row>
    <row r="2327" spans="1:29" x14ac:dyDescent="0.25">
      <c r="A2327" t="str">
        <f t="shared" si="37"/>
        <v/>
      </c>
      <c r="B2327" s="10"/>
      <c r="C2327" s="10"/>
      <c r="D2327" s="10"/>
      <c r="E2327" s="10"/>
      <c r="F2327" s="10"/>
      <c r="G2327" s="11"/>
      <c r="H2327" s="12"/>
      <c r="I2327" s="13"/>
      <c r="J2327" s="12"/>
      <c r="K2327" s="13"/>
      <c r="L2327" s="11"/>
      <c r="M2327" s="13"/>
      <c r="N2327" s="11"/>
      <c r="O2327" s="13"/>
      <c r="P2327" s="11"/>
      <c r="Q2327" s="13"/>
      <c r="R2327" s="10"/>
      <c r="S2327" s="10"/>
      <c r="AB2327"/>
      <c r="AC2327"/>
    </row>
    <row r="2328" spans="1:29" x14ac:dyDescent="0.25">
      <c r="A2328" t="str">
        <f t="shared" si="37"/>
        <v/>
      </c>
      <c r="B2328" s="10"/>
      <c r="C2328" s="10"/>
      <c r="D2328" s="10"/>
      <c r="E2328" s="10"/>
      <c r="F2328" s="10"/>
      <c r="G2328" s="11"/>
      <c r="H2328" s="12"/>
      <c r="I2328" s="13"/>
      <c r="J2328" s="12"/>
      <c r="K2328" s="13"/>
      <c r="L2328" s="11"/>
      <c r="M2328" s="13"/>
      <c r="N2328" s="11"/>
      <c r="O2328" s="13"/>
      <c r="P2328" s="11"/>
      <c r="Q2328" s="13"/>
      <c r="R2328" s="10"/>
      <c r="S2328" s="10"/>
      <c r="AB2328"/>
      <c r="AC2328"/>
    </row>
    <row r="2329" spans="1:29" x14ac:dyDescent="0.25">
      <c r="A2329" t="str">
        <f t="shared" si="37"/>
        <v/>
      </c>
      <c r="B2329" s="10"/>
      <c r="C2329" s="10"/>
      <c r="D2329" s="10"/>
      <c r="E2329" s="10"/>
      <c r="F2329" s="10"/>
      <c r="G2329" s="11"/>
      <c r="H2329" s="12"/>
      <c r="I2329" s="13"/>
      <c r="J2329" s="12"/>
      <c r="K2329" s="13"/>
      <c r="L2329" s="11"/>
      <c r="M2329" s="13"/>
      <c r="N2329" s="11"/>
      <c r="O2329" s="13"/>
      <c r="P2329" s="11"/>
      <c r="Q2329" s="13"/>
      <c r="R2329" s="10"/>
      <c r="S2329" s="10"/>
      <c r="AB2329"/>
      <c r="AC2329"/>
    </row>
    <row r="2330" spans="1:29" x14ac:dyDescent="0.25">
      <c r="A2330" t="str">
        <f t="shared" si="37"/>
        <v/>
      </c>
      <c r="B2330" s="10"/>
      <c r="C2330" s="10"/>
      <c r="D2330" s="10"/>
      <c r="E2330" s="10"/>
      <c r="F2330" s="10"/>
      <c r="G2330" s="11"/>
      <c r="H2330" s="12"/>
      <c r="I2330" s="13"/>
      <c r="J2330" s="12"/>
      <c r="K2330" s="13"/>
      <c r="L2330" s="11"/>
      <c r="M2330" s="13"/>
      <c r="N2330" s="11"/>
      <c r="O2330" s="13"/>
      <c r="P2330" s="11"/>
      <c r="Q2330" s="13"/>
      <c r="R2330" s="10"/>
      <c r="S2330" s="10"/>
      <c r="AB2330"/>
      <c r="AC2330"/>
    </row>
    <row r="2331" spans="1:29" x14ac:dyDescent="0.25">
      <c r="A2331" t="str">
        <f t="shared" si="37"/>
        <v/>
      </c>
      <c r="B2331" s="10"/>
      <c r="C2331" s="10"/>
      <c r="D2331" s="10"/>
      <c r="E2331" s="10"/>
      <c r="F2331" s="10"/>
      <c r="G2331" s="11"/>
      <c r="H2331" s="12"/>
      <c r="I2331" s="13"/>
      <c r="J2331" s="12"/>
      <c r="K2331" s="13"/>
      <c r="L2331" s="11"/>
      <c r="M2331" s="13"/>
      <c r="N2331" s="11"/>
      <c r="O2331" s="13"/>
      <c r="P2331" s="11"/>
      <c r="Q2331" s="13"/>
      <c r="R2331" s="10"/>
      <c r="S2331" s="10"/>
      <c r="AB2331"/>
      <c r="AC2331"/>
    </row>
    <row r="2332" spans="1:29" x14ac:dyDescent="0.25">
      <c r="A2332" t="str">
        <f t="shared" si="37"/>
        <v/>
      </c>
      <c r="B2332" s="10"/>
      <c r="C2332" s="10"/>
      <c r="D2332" s="10"/>
      <c r="E2332" s="10"/>
      <c r="F2332" s="10"/>
      <c r="G2332" s="11"/>
      <c r="H2332" s="12"/>
      <c r="I2332" s="13"/>
      <c r="J2332" s="12"/>
      <c r="K2332" s="13"/>
      <c r="L2332" s="11"/>
      <c r="M2332" s="13"/>
      <c r="N2332" s="11"/>
      <c r="O2332" s="13"/>
      <c r="P2332" s="11"/>
      <c r="Q2332" s="13"/>
      <c r="R2332" s="10"/>
      <c r="S2332" s="10"/>
      <c r="AB2332"/>
      <c r="AC2332"/>
    </row>
    <row r="2333" spans="1:29" x14ac:dyDescent="0.25">
      <c r="A2333" t="str">
        <f t="shared" si="37"/>
        <v/>
      </c>
      <c r="B2333" s="10"/>
      <c r="C2333" s="10"/>
      <c r="D2333" s="10"/>
      <c r="E2333" s="10"/>
      <c r="F2333" s="10"/>
      <c r="G2333" s="11"/>
      <c r="H2333" s="12"/>
      <c r="I2333" s="13"/>
      <c r="J2333" s="12"/>
      <c r="K2333" s="13"/>
      <c r="L2333" s="11"/>
      <c r="M2333" s="13"/>
      <c r="N2333" s="11"/>
      <c r="O2333" s="13"/>
      <c r="P2333" s="11"/>
      <c r="Q2333" s="13"/>
      <c r="R2333" s="10"/>
      <c r="S2333" s="10"/>
      <c r="AB2333"/>
      <c r="AC2333"/>
    </row>
    <row r="2334" spans="1:29" x14ac:dyDescent="0.25">
      <c r="A2334" t="str">
        <f t="shared" si="37"/>
        <v/>
      </c>
      <c r="B2334" s="10"/>
      <c r="C2334" s="10"/>
      <c r="D2334" s="10"/>
      <c r="E2334" s="10"/>
      <c r="F2334" s="10"/>
      <c r="G2334" s="11"/>
      <c r="H2334" s="12"/>
      <c r="I2334" s="13"/>
      <c r="J2334" s="12"/>
      <c r="K2334" s="13"/>
      <c r="L2334" s="11"/>
      <c r="M2334" s="13"/>
      <c r="N2334" s="11"/>
      <c r="O2334" s="13"/>
      <c r="P2334" s="11"/>
      <c r="Q2334" s="13"/>
      <c r="R2334" s="10"/>
      <c r="S2334" s="10"/>
      <c r="AB2334"/>
      <c r="AC2334"/>
    </row>
    <row r="2335" spans="1:29" x14ac:dyDescent="0.25">
      <c r="A2335" t="str">
        <f t="shared" si="37"/>
        <v/>
      </c>
      <c r="B2335" s="10"/>
      <c r="C2335" s="10"/>
      <c r="D2335" s="10"/>
      <c r="E2335" s="10"/>
      <c r="F2335" s="10"/>
      <c r="G2335" s="11"/>
      <c r="H2335" s="12"/>
      <c r="I2335" s="13"/>
      <c r="J2335" s="12"/>
      <c r="K2335" s="13"/>
      <c r="L2335" s="11"/>
      <c r="M2335" s="13"/>
      <c r="N2335" s="11"/>
      <c r="O2335" s="13"/>
      <c r="P2335" s="11"/>
      <c r="Q2335" s="13"/>
      <c r="R2335" s="10"/>
      <c r="S2335" s="10"/>
      <c r="AB2335"/>
      <c r="AC2335"/>
    </row>
    <row r="2336" spans="1:29" x14ac:dyDescent="0.25">
      <c r="A2336" t="str">
        <f t="shared" si="37"/>
        <v/>
      </c>
      <c r="B2336" s="10"/>
      <c r="C2336" s="10"/>
      <c r="D2336" s="10"/>
      <c r="E2336" s="10"/>
      <c r="F2336" s="10"/>
      <c r="G2336" s="11"/>
      <c r="H2336" s="12"/>
      <c r="I2336" s="13"/>
      <c r="J2336" s="12"/>
      <c r="K2336" s="13"/>
      <c r="L2336" s="11"/>
      <c r="M2336" s="13"/>
      <c r="N2336" s="11"/>
      <c r="O2336" s="13"/>
      <c r="P2336" s="11"/>
      <c r="Q2336" s="13"/>
      <c r="R2336" s="10"/>
      <c r="S2336" s="10"/>
      <c r="AB2336"/>
      <c r="AC2336"/>
    </row>
    <row r="2337" spans="1:29" x14ac:dyDescent="0.25">
      <c r="A2337" t="str">
        <f t="shared" si="37"/>
        <v/>
      </c>
      <c r="B2337" s="10"/>
      <c r="C2337" s="10"/>
      <c r="D2337" s="10"/>
      <c r="E2337" s="10"/>
      <c r="F2337" s="10"/>
      <c r="G2337" s="11"/>
      <c r="H2337" s="12"/>
      <c r="I2337" s="13"/>
      <c r="J2337" s="12"/>
      <c r="K2337" s="13"/>
      <c r="L2337" s="11"/>
      <c r="M2337" s="13"/>
      <c r="N2337" s="11"/>
      <c r="O2337" s="13"/>
      <c r="P2337" s="11"/>
      <c r="Q2337" s="13"/>
      <c r="R2337" s="10"/>
      <c r="S2337" s="10"/>
      <c r="AB2337"/>
      <c r="AC2337"/>
    </row>
    <row r="2338" spans="1:29" x14ac:dyDescent="0.25">
      <c r="A2338" t="str">
        <f t="shared" si="37"/>
        <v/>
      </c>
      <c r="B2338" s="10"/>
      <c r="C2338" s="10"/>
      <c r="D2338" s="10"/>
      <c r="E2338" s="10"/>
      <c r="F2338" s="10"/>
      <c r="G2338" s="11"/>
      <c r="H2338" s="12"/>
      <c r="I2338" s="13"/>
      <c r="J2338" s="12"/>
      <c r="K2338" s="13"/>
      <c r="L2338" s="11"/>
      <c r="M2338" s="13"/>
      <c r="N2338" s="11"/>
      <c r="O2338" s="13"/>
      <c r="P2338" s="11"/>
      <c r="Q2338" s="13"/>
      <c r="R2338" s="10"/>
      <c r="S2338" s="10"/>
      <c r="AB2338"/>
      <c r="AC2338"/>
    </row>
    <row r="2339" spans="1:29" x14ac:dyDescent="0.25">
      <c r="A2339" t="str">
        <f t="shared" si="37"/>
        <v/>
      </c>
      <c r="B2339" s="10"/>
      <c r="C2339" s="10"/>
      <c r="D2339" s="10"/>
      <c r="E2339" s="10"/>
      <c r="F2339" s="10"/>
      <c r="G2339" s="11"/>
      <c r="H2339" s="12"/>
      <c r="I2339" s="13"/>
      <c r="J2339" s="12"/>
      <c r="K2339" s="13"/>
      <c r="L2339" s="11"/>
      <c r="M2339" s="13"/>
      <c r="N2339" s="11"/>
      <c r="O2339" s="13"/>
      <c r="P2339" s="11"/>
      <c r="Q2339" s="13"/>
      <c r="R2339" s="10"/>
      <c r="S2339" s="10"/>
      <c r="AB2339"/>
      <c r="AC2339"/>
    </row>
    <row r="2340" spans="1:29" x14ac:dyDescent="0.25">
      <c r="A2340" t="str">
        <f t="shared" si="37"/>
        <v/>
      </c>
      <c r="B2340" s="10"/>
      <c r="C2340" s="10"/>
      <c r="D2340" s="10"/>
      <c r="E2340" s="10"/>
      <c r="F2340" s="10"/>
      <c r="G2340" s="11"/>
      <c r="H2340" s="12"/>
      <c r="I2340" s="13"/>
      <c r="J2340" s="12"/>
      <c r="K2340" s="13"/>
      <c r="L2340" s="11"/>
      <c r="M2340" s="13"/>
      <c r="N2340" s="11"/>
      <c r="O2340" s="13"/>
      <c r="P2340" s="11"/>
      <c r="Q2340" s="13"/>
      <c r="R2340" s="10"/>
      <c r="S2340" s="10"/>
      <c r="AB2340"/>
      <c r="AC2340"/>
    </row>
    <row r="2341" spans="1:29" x14ac:dyDescent="0.25">
      <c r="A2341" t="str">
        <f t="shared" si="37"/>
        <v/>
      </c>
      <c r="B2341" s="10"/>
      <c r="C2341" s="10"/>
      <c r="D2341" s="10"/>
      <c r="E2341" s="10"/>
      <c r="F2341" s="10"/>
      <c r="G2341" s="11"/>
      <c r="H2341" s="12"/>
      <c r="I2341" s="13"/>
      <c r="J2341" s="12"/>
      <c r="K2341" s="13"/>
      <c r="L2341" s="11"/>
      <c r="M2341" s="13"/>
      <c r="N2341" s="11"/>
      <c r="O2341" s="13"/>
      <c r="P2341" s="11"/>
      <c r="Q2341" s="13"/>
      <c r="R2341" s="10"/>
      <c r="S2341" s="10"/>
      <c r="AB2341"/>
      <c r="AC2341"/>
    </row>
    <row r="2342" spans="1:29" x14ac:dyDescent="0.25">
      <c r="A2342" t="str">
        <f t="shared" si="37"/>
        <v/>
      </c>
      <c r="B2342" s="10"/>
      <c r="C2342" s="10"/>
      <c r="D2342" s="10"/>
      <c r="E2342" s="10"/>
      <c r="F2342" s="10"/>
      <c r="G2342" s="11"/>
      <c r="H2342" s="12"/>
      <c r="I2342" s="13"/>
      <c r="J2342" s="12"/>
      <c r="K2342" s="13"/>
      <c r="L2342" s="11"/>
      <c r="M2342" s="13"/>
      <c r="N2342" s="11"/>
      <c r="O2342" s="13"/>
      <c r="P2342" s="11"/>
      <c r="Q2342" s="13"/>
      <c r="R2342" s="10"/>
      <c r="S2342" s="10"/>
      <c r="AB2342"/>
      <c r="AC2342"/>
    </row>
    <row r="2343" spans="1:29" x14ac:dyDescent="0.25">
      <c r="A2343" t="str">
        <f t="shared" si="37"/>
        <v/>
      </c>
      <c r="B2343" s="10"/>
      <c r="C2343" s="10"/>
      <c r="D2343" s="10"/>
      <c r="E2343" s="10"/>
      <c r="F2343" s="10"/>
      <c r="G2343" s="11"/>
      <c r="H2343" s="12"/>
      <c r="I2343" s="13"/>
      <c r="J2343" s="12"/>
      <c r="K2343" s="13"/>
      <c r="L2343" s="11"/>
      <c r="M2343" s="13"/>
      <c r="N2343" s="11"/>
      <c r="O2343" s="13"/>
      <c r="P2343" s="11"/>
      <c r="Q2343" s="13"/>
      <c r="R2343" s="10"/>
      <c r="S2343" s="10"/>
      <c r="AB2343"/>
      <c r="AC2343"/>
    </row>
    <row r="2344" spans="1:29" x14ac:dyDescent="0.25">
      <c r="A2344" t="str">
        <f t="shared" si="37"/>
        <v/>
      </c>
      <c r="B2344" s="10"/>
      <c r="C2344" s="10"/>
      <c r="D2344" s="10"/>
      <c r="E2344" s="10"/>
      <c r="F2344" s="10"/>
      <c r="G2344" s="11"/>
      <c r="H2344" s="12"/>
      <c r="I2344" s="13"/>
      <c r="J2344" s="12"/>
      <c r="K2344" s="13"/>
      <c r="L2344" s="11"/>
      <c r="M2344" s="13"/>
      <c r="N2344" s="11"/>
      <c r="O2344" s="13"/>
      <c r="P2344" s="11"/>
      <c r="Q2344" s="13"/>
      <c r="R2344" s="10"/>
      <c r="S2344" s="10"/>
      <c r="AB2344"/>
      <c r="AC2344"/>
    </row>
    <row r="2345" spans="1:29" x14ac:dyDescent="0.25">
      <c r="A2345" t="str">
        <f t="shared" si="37"/>
        <v/>
      </c>
      <c r="B2345" s="10"/>
      <c r="C2345" s="10"/>
      <c r="D2345" s="10"/>
      <c r="E2345" s="10"/>
      <c r="F2345" s="10"/>
      <c r="G2345" s="11"/>
      <c r="H2345" s="12"/>
      <c r="I2345" s="13"/>
      <c r="J2345" s="12"/>
      <c r="K2345" s="13"/>
      <c r="L2345" s="11"/>
      <c r="M2345" s="13"/>
      <c r="N2345" s="11"/>
      <c r="O2345" s="13"/>
      <c r="P2345" s="11"/>
      <c r="Q2345" s="13"/>
      <c r="R2345" s="10"/>
      <c r="S2345" s="10"/>
      <c r="AB2345"/>
      <c r="AC2345"/>
    </row>
    <row r="2346" spans="1:29" x14ac:dyDescent="0.25">
      <c r="A2346" t="str">
        <f t="shared" si="37"/>
        <v/>
      </c>
      <c r="B2346" s="10"/>
      <c r="C2346" s="10"/>
      <c r="D2346" s="10"/>
      <c r="E2346" s="10"/>
      <c r="F2346" s="10"/>
      <c r="G2346" s="11"/>
      <c r="H2346" s="12"/>
      <c r="I2346" s="13"/>
      <c r="J2346" s="12"/>
      <c r="K2346" s="13"/>
      <c r="L2346" s="11"/>
      <c r="M2346" s="13"/>
      <c r="N2346" s="11"/>
      <c r="O2346" s="13"/>
      <c r="P2346" s="11"/>
      <c r="Q2346" s="13"/>
      <c r="R2346" s="10"/>
      <c r="S2346" s="10"/>
      <c r="AB2346"/>
      <c r="AC2346"/>
    </row>
    <row r="2347" spans="1:29" x14ac:dyDescent="0.25">
      <c r="A2347" t="str">
        <f t="shared" si="37"/>
        <v/>
      </c>
      <c r="B2347" s="10"/>
      <c r="C2347" s="10"/>
      <c r="D2347" s="10"/>
      <c r="E2347" s="10"/>
      <c r="F2347" s="10"/>
      <c r="G2347" s="11"/>
      <c r="H2347" s="12"/>
      <c r="I2347" s="13"/>
      <c r="J2347" s="12"/>
      <c r="K2347" s="13"/>
      <c r="L2347" s="11"/>
      <c r="M2347" s="13"/>
      <c r="N2347" s="11"/>
      <c r="O2347" s="13"/>
      <c r="P2347" s="11"/>
      <c r="Q2347" s="13"/>
      <c r="R2347" s="10"/>
      <c r="S2347" s="10"/>
      <c r="AB2347"/>
      <c r="AC2347"/>
    </row>
    <row r="2348" spans="1:29" x14ac:dyDescent="0.25">
      <c r="A2348" t="str">
        <f t="shared" si="37"/>
        <v/>
      </c>
      <c r="B2348" s="10"/>
      <c r="C2348" s="10"/>
      <c r="D2348" s="10"/>
      <c r="E2348" s="10"/>
      <c r="F2348" s="10"/>
      <c r="G2348" s="11"/>
      <c r="H2348" s="12"/>
      <c r="I2348" s="13"/>
      <c r="J2348" s="12"/>
      <c r="K2348" s="13"/>
      <c r="L2348" s="11"/>
      <c r="M2348" s="13"/>
      <c r="N2348" s="11"/>
      <c r="O2348" s="13"/>
      <c r="P2348" s="11"/>
      <c r="Q2348" s="13"/>
      <c r="R2348" s="10"/>
      <c r="S2348" s="10"/>
      <c r="AB2348"/>
      <c r="AC2348"/>
    </row>
    <row r="2349" spans="1:29" x14ac:dyDescent="0.25">
      <c r="A2349" t="str">
        <f t="shared" si="37"/>
        <v/>
      </c>
      <c r="B2349" s="10"/>
      <c r="C2349" s="10"/>
      <c r="D2349" s="10"/>
      <c r="E2349" s="10"/>
      <c r="F2349" s="10"/>
      <c r="G2349" s="11"/>
      <c r="H2349" s="12"/>
      <c r="I2349" s="13"/>
      <c r="J2349" s="12"/>
      <c r="K2349" s="13"/>
      <c r="L2349" s="11"/>
      <c r="M2349" s="13"/>
      <c r="N2349" s="11"/>
      <c r="O2349" s="13"/>
      <c r="P2349" s="11"/>
      <c r="Q2349" s="13"/>
      <c r="R2349" s="10"/>
      <c r="S2349" s="10"/>
      <c r="AB2349"/>
      <c r="AC2349"/>
    </row>
    <row r="2350" spans="1:29" x14ac:dyDescent="0.25">
      <c r="A2350" t="str">
        <f t="shared" si="37"/>
        <v/>
      </c>
      <c r="B2350" s="10"/>
      <c r="C2350" s="10"/>
      <c r="D2350" s="10"/>
      <c r="E2350" s="10"/>
      <c r="F2350" s="10"/>
      <c r="G2350" s="11"/>
      <c r="H2350" s="12"/>
      <c r="I2350" s="13"/>
      <c r="J2350" s="12"/>
      <c r="K2350" s="13"/>
      <c r="L2350" s="11"/>
      <c r="M2350" s="13"/>
      <c r="N2350" s="11"/>
      <c r="O2350" s="13"/>
      <c r="P2350" s="11"/>
      <c r="Q2350" s="13"/>
      <c r="R2350" s="10"/>
      <c r="S2350" s="10"/>
      <c r="AB2350"/>
      <c r="AC2350"/>
    </row>
    <row r="2351" spans="1:29" x14ac:dyDescent="0.25">
      <c r="A2351" t="str">
        <f t="shared" si="37"/>
        <v/>
      </c>
      <c r="B2351" s="10"/>
      <c r="C2351" s="10"/>
      <c r="D2351" s="10"/>
      <c r="E2351" s="10"/>
      <c r="F2351" s="10"/>
      <c r="G2351" s="11"/>
      <c r="H2351" s="12"/>
      <c r="I2351" s="13"/>
      <c r="J2351" s="12"/>
      <c r="K2351" s="13"/>
      <c r="L2351" s="11"/>
      <c r="M2351" s="13"/>
      <c r="N2351" s="11"/>
      <c r="O2351" s="13"/>
      <c r="P2351" s="11"/>
      <c r="Q2351" s="13"/>
      <c r="R2351" s="10"/>
      <c r="S2351" s="10"/>
      <c r="AB2351"/>
      <c r="AC2351"/>
    </row>
    <row r="2352" spans="1:29" x14ac:dyDescent="0.25">
      <c r="A2352" t="str">
        <f t="shared" si="37"/>
        <v/>
      </c>
      <c r="B2352" s="10"/>
      <c r="C2352" s="10"/>
      <c r="D2352" s="10"/>
      <c r="E2352" s="10"/>
      <c r="F2352" s="10"/>
      <c r="G2352" s="11"/>
      <c r="H2352" s="12"/>
      <c r="I2352" s="13"/>
      <c r="J2352" s="12"/>
      <c r="K2352" s="13"/>
      <c r="L2352" s="11"/>
      <c r="M2352" s="13"/>
      <c r="N2352" s="11"/>
      <c r="O2352" s="13"/>
      <c r="P2352" s="11"/>
      <c r="Q2352" s="13"/>
      <c r="R2352" s="10"/>
      <c r="S2352" s="10"/>
      <c r="AB2352"/>
      <c r="AC2352"/>
    </row>
    <row r="2353" spans="1:29" x14ac:dyDescent="0.25">
      <c r="A2353" t="str">
        <f t="shared" si="37"/>
        <v/>
      </c>
      <c r="B2353" s="10"/>
      <c r="C2353" s="10"/>
      <c r="D2353" s="10"/>
      <c r="E2353" s="10"/>
      <c r="F2353" s="10"/>
      <c r="G2353" s="11"/>
      <c r="H2353" s="12"/>
      <c r="I2353" s="13"/>
      <c r="J2353" s="12"/>
      <c r="K2353" s="13"/>
      <c r="L2353" s="11"/>
      <c r="M2353" s="13"/>
      <c r="N2353" s="11"/>
      <c r="O2353" s="13"/>
      <c r="P2353" s="11"/>
      <c r="Q2353" s="13"/>
      <c r="R2353" s="10"/>
      <c r="S2353" s="10"/>
      <c r="AB2353"/>
      <c r="AC2353"/>
    </row>
    <row r="2354" spans="1:29" x14ac:dyDescent="0.25">
      <c r="A2354" t="str">
        <f t="shared" si="37"/>
        <v/>
      </c>
      <c r="B2354" s="10"/>
      <c r="C2354" s="10"/>
      <c r="D2354" s="10"/>
      <c r="E2354" s="10"/>
      <c r="F2354" s="10"/>
      <c r="G2354" s="11"/>
      <c r="H2354" s="12"/>
      <c r="I2354" s="13"/>
      <c r="J2354" s="12"/>
      <c r="K2354" s="13"/>
      <c r="L2354" s="11"/>
      <c r="M2354" s="13"/>
      <c r="N2354" s="11"/>
      <c r="O2354" s="13"/>
      <c r="P2354" s="11"/>
      <c r="Q2354" s="13"/>
      <c r="R2354" s="10"/>
      <c r="S2354" s="10"/>
      <c r="AB2354"/>
      <c r="AC2354"/>
    </row>
    <row r="2355" spans="1:29" x14ac:dyDescent="0.25">
      <c r="A2355" t="str">
        <f t="shared" si="37"/>
        <v/>
      </c>
      <c r="B2355" s="10"/>
      <c r="C2355" s="10"/>
      <c r="D2355" s="10"/>
      <c r="E2355" s="10"/>
      <c r="F2355" s="10"/>
      <c r="G2355" s="11"/>
      <c r="H2355" s="12"/>
      <c r="I2355" s="13"/>
      <c r="J2355" s="12"/>
      <c r="K2355" s="13"/>
      <c r="L2355" s="11"/>
      <c r="M2355" s="13"/>
      <c r="N2355" s="11"/>
      <c r="O2355" s="13"/>
      <c r="P2355" s="11"/>
      <c r="Q2355" s="13"/>
      <c r="R2355" s="10"/>
      <c r="S2355" s="10"/>
      <c r="AB2355"/>
      <c r="AC2355"/>
    </row>
    <row r="2356" spans="1:29" x14ac:dyDescent="0.25">
      <c r="A2356" t="str">
        <f t="shared" si="37"/>
        <v/>
      </c>
      <c r="B2356" s="10"/>
      <c r="C2356" s="10"/>
      <c r="D2356" s="10"/>
      <c r="E2356" s="10"/>
      <c r="F2356" s="10"/>
      <c r="G2356" s="11"/>
      <c r="H2356" s="12"/>
      <c r="I2356" s="13"/>
      <c r="J2356" s="12"/>
      <c r="K2356" s="13"/>
      <c r="L2356" s="11"/>
      <c r="M2356" s="13"/>
      <c r="N2356" s="11"/>
      <c r="O2356" s="13"/>
      <c r="P2356" s="11"/>
      <c r="Q2356" s="13"/>
      <c r="R2356" s="10"/>
      <c r="S2356" s="10"/>
      <c r="AB2356"/>
      <c r="AC2356"/>
    </row>
    <row r="2357" spans="1:29" x14ac:dyDescent="0.25">
      <c r="A2357" t="str">
        <f t="shared" si="37"/>
        <v/>
      </c>
      <c r="B2357" s="10"/>
      <c r="C2357" s="10"/>
      <c r="D2357" s="10"/>
      <c r="E2357" s="10"/>
      <c r="F2357" s="10"/>
      <c r="G2357" s="11"/>
      <c r="H2357" s="12"/>
      <c r="I2357" s="13"/>
      <c r="J2357" s="12"/>
      <c r="K2357" s="13"/>
      <c r="L2357" s="11"/>
      <c r="M2357" s="13"/>
      <c r="N2357" s="11"/>
      <c r="O2357" s="13"/>
      <c r="P2357" s="11"/>
      <c r="Q2357" s="13"/>
      <c r="R2357" s="10"/>
      <c r="S2357" s="10"/>
      <c r="AB2357"/>
      <c r="AC2357"/>
    </row>
    <row r="2358" spans="1:29" x14ac:dyDescent="0.25">
      <c r="A2358" t="str">
        <f t="shared" si="37"/>
        <v/>
      </c>
      <c r="B2358" s="10"/>
      <c r="C2358" s="10"/>
      <c r="D2358" s="10"/>
      <c r="E2358" s="10"/>
      <c r="F2358" s="10"/>
      <c r="G2358" s="11"/>
      <c r="H2358" s="12"/>
      <c r="I2358" s="13"/>
      <c r="J2358" s="12"/>
      <c r="K2358" s="13"/>
      <c r="L2358" s="11"/>
      <c r="M2358" s="13"/>
      <c r="N2358" s="11"/>
      <c r="O2358" s="13"/>
      <c r="P2358" s="11"/>
      <c r="Q2358" s="13"/>
      <c r="R2358" s="10"/>
      <c r="S2358" s="10"/>
      <c r="AB2358"/>
      <c r="AC2358"/>
    </row>
    <row r="2359" spans="1:29" x14ac:dyDescent="0.25">
      <c r="A2359" t="str">
        <f t="shared" si="37"/>
        <v/>
      </c>
      <c r="B2359" s="10"/>
      <c r="C2359" s="10"/>
      <c r="D2359" s="10"/>
      <c r="E2359" s="10"/>
      <c r="F2359" s="10"/>
      <c r="G2359" s="11"/>
      <c r="H2359" s="12"/>
      <c r="I2359" s="13"/>
      <c r="J2359" s="12"/>
      <c r="K2359" s="13"/>
      <c r="L2359" s="11"/>
      <c r="M2359" s="13"/>
      <c r="N2359" s="11"/>
      <c r="O2359" s="13"/>
      <c r="P2359" s="11"/>
      <c r="Q2359" s="13"/>
      <c r="R2359" s="10"/>
      <c r="S2359" s="10"/>
      <c r="AB2359"/>
      <c r="AC2359"/>
    </row>
    <row r="2360" spans="1:29" x14ac:dyDescent="0.25">
      <c r="A2360" t="str">
        <f t="shared" si="37"/>
        <v/>
      </c>
      <c r="B2360" s="10"/>
      <c r="C2360" s="10"/>
      <c r="D2360" s="10"/>
      <c r="E2360" s="10"/>
      <c r="F2360" s="10"/>
      <c r="G2360" s="11"/>
      <c r="H2360" s="12"/>
      <c r="I2360" s="13"/>
      <c r="J2360" s="12"/>
      <c r="K2360" s="13"/>
      <c r="L2360" s="11"/>
      <c r="M2360" s="13"/>
      <c r="N2360" s="11"/>
      <c r="O2360" s="13"/>
      <c r="P2360" s="11"/>
      <c r="Q2360" s="13"/>
      <c r="R2360" s="10"/>
      <c r="S2360" s="10"/>
      <c r="AB2360"/>
      <c r="AC2360"/>
    </row>
    <row r="2361" spans="1:29" x14ac:dyDescent="0.25">
      <c r="A2361" t="str">
        <f t="shared" si="37"/>
        <v/>
      </c>
      <c r="B2361" s="10"/>
      <c r="C2361" s="10"/>
      <c r="D2361" s="10"/>
      <c r="E2361" s="10"/>
      <c r="F2361" s="10"/>
      <c r="G2361" s="11"/>
      <c r="H2361" s="12"/>
      <c r="I2361" s="13"/>
      <c r="J2361" s="12"/>
      <c r="K2361" s="13"/>
      <c r="L2361" s="11"/>
      <c r="M2361" s="13"/>
      <c r="N2361" s="11"/>
      <c r="O2361" s="13"/>
      <c r="P2361" s="11"/>
      <c r="Q2361" s="13"/>
      <c r="R2361" s="10"/>
      <c r="S2361" s="10"/>
      <c r="AB2361"/>
      <c r="AC2361"/>
    </row>
    <row r="2362" spans="1:29" x14ac:dyDescent="0.25">
      <c r="A2362" t="str">
        <f t="shared" si="37"/>
        <v/>
      </c>
      <c r="B2362" s="10"/>
      <c r="C2362" s="10"/>
      <c r="D2362" s="10"/>
      <c r="E2362" s="10"/>
      <c r="F2362" s="10"/>
      <c r="G2362" s="11"/>
      <c r="H2362" s="12"/>
      <c r="I2362" s="13"/>
      <c r="J2362" s="12"/>
      <c r="K2362" s="13"/>
      <c r="L2362" s="11"/>
      <c r="M2362" s="13"/>
      <c r="N2362" s="11"/>
      <c r="O2362" s="13"/>
      <c r="P2362" s="11"/>
      <c r="Q2362" s="13"/>
      <c r="R2362" s="10"/>
      <c r="S2362" s="10"/>
      <c r="AB2362"/>
      <c r="AC2362"/>
    </row>
    <row r="2363" spans="1:29" x14ac:dyDescent="0.25">
      <c r="A2363" t="str">
        <f t="shared" si="37"/>
        <v/>
      </c>
      <c r="B2363" s="10"/>
      <c r="C2363" s="10"/>
      <c r="D2363" s="10"/>
      <c r="E2363" s="10"/>
      <c r="F2363" s="10"/>
      <c r="G2363" s="11"/>
      <c r="H2363" s="12"/>
      <c r="I2363" s="13"/>
      <c r="J2363" s="12"/>
      <c r="K2363" s="13"/>
      <c r="L2363" s="11"/>
      <c r="M2363" s="13"/>
      <c r="N2363" s="11"/>
      <c r="O2363" s="13"/>
      <c r="P2363" s="11"/>
      <c r="Q2363" s="13"/>
      <c r="R2363" s="10"/>
      <c r="S2363" s="10"/>
      <c r="AB2363"/>
      <c r="AC2363"/>
    </row>
    <row r="2364" spans="1:29" x14ac:dyDescent="0.25">
      <c r="A2364" t="str">
        <f t="shared" si="37"/>
        <v/>
      </c>
      <c r="B2364" s="10"/>
      <c r="C2364" s="10"/>
      <c r="D2364" s="10"/>
      <c r="E2364" s="10"/>
      <c r="F2364" s="10"/>
      <c r="G2364" s="11"/>
      <c r="H2364" s="12"/>
      <c r="I2364" s="13"/>
      <c r="J2364" s="12"/>
      <c r="K2364" s="13"/>
      <c r="L2364" s="11"/>
      <c r="M2364" s="13"/>
      <c r="N2364" s="11"/>
      <c r="O2364" s="13"/>
      <c r="P2364" s="11"/>
      <c r="Q2364" s="13"/>
      <c r="R2364" s="10"/>
      <c r="S2364" s="10"/>
      <c r="AB2364"/>
      <c r="AC2364"/>
    </row>
    <row r="2365" spans="1:29" x14ac:dyDescent="0.25">
      <c r="A2365" t="str">
        <f t="shared" si="37"/>
        <v/>
      </c>
      <c r="B2365" s="10"/>
      <c r="C2365" s="10"/>
      <c r="D2365" s="10"/>
      <c r="E2365" s="10"/>
      <c r="F2365" s="10"/>
      <c r="G2365" s="11"/>
      <c r="H2365" s="12"/>
      <c r="I2365" s="13"/>
      <c r="J2365" s="12"/>
      <c r="K2365" s="13"/>
      <c r="L2365" s="11"/>
      <c r="M2365" s="13"/>
      <c r="N2365" s="11"/>
      <c r="O2365" s="13"/>
      <c r="P2365" s="11"/>
      <c r="Q2365" s="13"/>
      <c r="R2365" s="10"/>
      <c r="S2365" s="10"/>
      <c r="AB2365"/>
      <c r="AC2365"/>
    </row>
    <row r="2366" spans="1:29" x14ac:dyDescent="0.25">
      <c r="A2366" t="str">
        <f t="shared" si="37"/>
        <v/>
      </c>
      <c r="B2366" s="10"/>
      <c r="C2366" s="10"/>
      <c r="D2366" s="10"/>
      <c r="E2366" s="10"/>
      <c r="F2366" s="10"/>
      <c r="G2366" s="11"/>
      <c r="H2366" s="12"/>
      <c r="I2366" s="13"/>
      <c r="J2366" s="12"/>
      <c r="K2366" s="13"/>
      <c r="L2366" s="11"/>
      <c r="M2366" s="13"/>
      <c r="N2366" s="11"/>
      <c r="O2366" s="13"/>
      <c r="P2366" s="11"/>
      <c r="Q2366" s="13"/>
      <c r="R2366" s="10"/>
      <c r="S2366" s="10"/>
      <c r="AB2366"/>
      <c r="AC2366"/>
    </row>
    <row r="2367" spans="1:29" x14ac:dyDescent="0.25">
      <c r="A2367" t="str">
        <f t="shared" si="37"/>
        <v/>
      </c>
      <c r="B2367" s="10"/>
      <c r="C2367" s="10"/>
      <c r="D2367" s="10"/>
      <c r="E2367" s="10"/>
      <c r="F2367" s="10"/>
      <c r="G2367" s="11"/>
      <c r="H2367" s="12"/>
      <c r="I2367" s="13"/>
      <c r="J2367" s="12"/>
      <c r="K2367" s="13"/>
      <c r="L2367" s="11"/>
      <c r="M2367" s="13"/>
      <c r="N2367" s="11"/>
      <c r="O2367" s="13"/>
      <c r="P2367" s="11"/>
      <c r="Q2367" s="13"/>
      <c r="R2367" s="10"/>
      <c r="S2367" s="10"/>
      <c r="AB2367"/>
      <c r="AC2367"/>
    </row>
    <row r="2368" spans="1:29" x14ac:dyDescent="0.25">
      <c r="A2368" t="str">
        <f t="shared" si="37"/>
        <v/>
      </c>
      <c r="B2368" s="10"/>
      <c r="C2368" s="10"/>
      <c r="D2368" s="10"/>
      <c r="E2368" s="10"/>
      <c r="F2368" s="10"/>
      <c r="G2368" s="11"/>
      <c r="H2368" s="12"/>
      <c r="I2368" s="13"/>
      <c r="J2368" s="12"/>
      <c r="K2368" s="13"/>
      <c r="L2368" s="11"/>
      <c r="M2368" s="13"/>
      <c r="N2368" s="11"/>
      <c r="O2368" s="13"/>
      <c r="P2368" s="11"/>
      <c r="Q2368" s="13"/>
      <c r="R2368" s="10"/>
      <c r="S2368" s="10"/>
      <c r="AB2368"/>
      <c r="AC2368"/>
    </row>
    <row r="2369" spans="1:29" x14ac:dyDescent="0.25">
      <c r="A2369" t="str">
        <f t="shared" si="37"/>
        <v/>
      </c>
      <c r="B2369" s="10"/>
      <c r="C2369" s="10"/>
      <c r="D2369" s="10"/>
      <c r="E2369" s="10"/>
      <c r="F2369" s="10"/>
      <c r="G2369" s="11"/>
      <c r="H2369" s="12"/>
      <c r="I2369" s="13"/>
      <c r="J2369" s="12"/>
      <c r="K2369" s="13"/>
      <c r="L2369" s="11"/>
      <c r="M2369" s="13"/>
      <c r="N2369" s="11"/>
      <c r="O2369" s="13"/>
      <c r="P2369" s="11"/>
      <c r="Q2369" s="13"/>
      <c r="R2369" s="10"/>
      <c r="S2369" s="10"/>
      <c r="AB2369"/>
      <c r="AC2369"/>
    </row>
    <row r="2370" spans="1:29" x14ac:dyDescent="0.25">
      <c r="A2370" t="str">
        <f t="shared" si="37"/>
        <v/>
      </c>
      <c r="B2370" s="10"/>
      <c r="C2370" s="10"/>
      <c r="D2370" s="10"/>
      <c r="E2370" s="10"/>
      <c r="F2370" s="10"/>
      <c r="G2370" s="11"/>
      <c r="H2370" s="12"/>
      <c r="I2370" s="13"/>
      <c r="J2370" s="12"/>
      <c r="K2370" s="13"/>
      <c r="L2370" s="11"/>
      <c r="M2370" s="13"/>
      <c r="N2370" s="11"/>
      <c r="O2370" s="13"/>
      <c r="P2370" s="11"/>
      <c r="Q2370" s="13"/>
      <c r="R2370" s="10"/>
      <c r="S2370" s="10"/>
      <c r="AB2370"/>
      <c r="AC2370"/>
    </row>
    <row r="2371" spans="1:29" x14ac:dyDescent="0.25">
      <c r="A2371" t="str">
        <f t="shared" si="37"/>
        <v/>
      </c>
      <c r="B2371" s="10"/>
      <c r="C2371" s="10"/>
      <c r="D2371" s="10"/>
      <c r="E2371" s="10"/>
      <c r="F2371" s="10"/>
      <c r="G2371" s="11"/>
      <c r="H2371" s="12"/>
      <c r="I2371" s="13"/>
      <c r="J2371" s="12"/>
      <c r="K2371" s="13"/>
      <c r="L2371" s="11"/>
      <c r="M2371" s="13"/>
      <c r="N2371" s="11"/>
      <c r="O2371" s="13"/>
      <c r="P2371" s="11"/>
      <c r="Q2371" s="13"/>
      <c r="R2371" s="10"/>
      <c r="S2371" s="10"/>
      <c r="AB2371"/>
      <c r="AC2371"/>
    </row>
    <row r="2372" spans="1:29" x14ac:dyDescent="0.25">
      <c r="A2372" t="str">
        <f t="shared" si="37"/>
        <v/>
      </c>
      <c r="B2372" s="10"/>
      <c r="C2372" s="10"/>
      <c r="D2372" s="10"/>
      <c r="E2372" s="10"/>
      <c r="F2372" s="10"/>
      <c r="G2372" s="11"/>
      <c r="H2372" s="12"/>
      <c r="I2372" s="13"/>
      <c r="J2372" s="12"/>
      <c r="K2372" s="13"/>
      <c r="L2372" s="11"/>
      <c r="M2372" s="13"/>
      <c r="N2372" s="11"/>
      <c r="O2372" s="13"/>
      <c r="P2372" s="11"/>
      <c r="Q2372" s="13"/>
      <c r="R2372" s="10"/>
      <c r="S2372" s="10"/>
      <c r="AB2372"/>
      <c r="AC2372"/>
    </row>
    <row r="2373" spans="1:29" x14ac:dyDescent="0.25">
      <c r="A2373" t="str">
        <f t="shared" si="37"/>
        <v/>
      </c>
      <c r="B2373" s="10"/>
      <c r="C2373" s="10"/>
      <c r="D2373" s="10"/>
      <c r="E2373" s="10"/>
      <c r="F2373" s="10"/>
      <c r="G2373" s="11"/>
      <c r="H2373" s="12"/>
      <c r="I2373" s="13"/>
      <c r="J2373" s="12"/>
      <c r="K2373" s="13"/>
      <c r="L2373" s="11"/>
      <c r="M2373" s="13"/>
      <c r="N2373" s="11"/>
      <c r="O2373" s="13"/>
      <c r="P2373" s="11"/>
      <c r="Q2373" s="13"/>
      <c r="R2373" s="10"/>
      <c r="S2373" s="10"/>
      <c r="AB2373"/>
      <c r="AC2373"/>
    </row>
    <row r="2374" spans="1:29" x14ac:dyDescent="0.25">
      <c r="A2374" t="str">
        <f t="shared" si="37"/>
        <v/>
      </c>
      <c r="B2374" s="10"/>
      <c r="C2374" s="10"/>
      <c r="D2374" s="10"/>
      <c r="E2374" s="10"/>
      <c r="F2374" s="10"/>
      <c r="G2374" s="11"/>
      <c r="H2374" s="12"/>
      <c r="I2374" s="13"/>
      <c r="J2374" s="12"/>
      <c r="K2374" s="13"/>
      <c r="L2374" s="11"/>
      <c r="M2374" s="13"/>
      <c r="N2374" s="11"/>
      <c r="O2374" s="13"/>
      <c r="P2374" s="11"/>
      <c r="Q2374" s="13"/>
      <c r="R2374" s="10"/>
      <c r="S2374" s="10"/>
      <c r="AB2374"/>
      <c r="AC2374"/>
    </row>
    <row r="2375" spans="1:29" x14ac:dyDescent="0.25">
      <c r="A2375" t="str">
        <f t="shared" ref="A2375:A2438" si="38">B2373&amp;D2373</f>
        <v/>
      </c>
      <c r="B2375" s="10"/>
      <c r="C2375" s="10"/>
      <c r="D2375" s="10"/>
      <c r="E2375" s="10"/>
      <c r="F2375" s="10"/>
      <c r="G2375" s="11"/>
      <c r="H2375" s="12"/>
      <c r="I2375" s="13"/>
      <c r="J2375" s="12"/>
      <c r="K2375" s="13"/>
      <c r="L2375" s="11"/>
      <c r="M2375" s="13"/>
      <c r="N2375" s="11"/>
      <c r="O2375" s="13"/>
      <c r="P2375" s="11"/>
      <c r="Q2375" s="13"/>
      <c r="R2375" s="10"/>
      <c r="S2375" s="10"/>
      <c r="AB2375"/>
      <c r="AC2375"/>
    </row>
    <row r="2376" spans="1:29" x14ac:dyDescent="0.25">
      <c r="A2376" t="str">
        <f t="shared" si="38"/>
        <v/>
      </c>
      <c r="B2376" s="10"/>
      <c r="C2376" s="10"/>
      <c r="D2376" s="10"/>
      <c r="E2376" s="10"/>
      <c r="F2376" s="10"/>
      <c r="G2376" s="11"/>
      <c r="H2376" s="12"/>
      <c r="I2376" s="13"/>
      <c r="J2376" s="12"/>
      <c r="K2376" s="13"/>
      <c r="L2376" s="11"/>
      <c r="M2376" s="13"/>
      <c r="N2376" s="11"/>
      <c r="O2376" s="13"/>
      <c r="P2376" s="11"/>
      <c r="Q2376" s="13"/>
      <c r="R2376" s="10"/>
      <c r="S2376" s="10"/>
      <c r="AB2376"/>
      <c r="AC2376"/>
    </row>
    <row r="2377" spans="1:29" x14ac:dyDescent="0.25">
      <c r="A2377" t="str">
        <f t="shared" si="38"/>
        <v/>
      </c>
      <c r="B2377" s="10"/>
      <c r="C2377" s="10"/>
      <c r="D2377" s="10"/>
      <c r="E2377" s="10"/>
      <c r="F2377" s="10"/>
      <c r="G2377" s="11"/>
      <c r="H2377" s="12"/>
      <c r="I2377" s="13"/>
      <c r="J2377" s="12"/>
      <c r="K2377" s="13"/>
      <c r="L2377" s="11"/>
      <c r="M2377" s="13"/>
      <c r="N2377" s="11"/>
      <c r="O2377" s="13"/>
      <c r="P2377" s="11"/>
      <c r="Q2377" s="13"/>
      <c r="R2377" s="10"/>
      <c r="S2377" s="10"/>
      <c r="AB2377"/>
      <c r="AC2377"/>
    </row>
    <row r="2378" spans="1:29" x14ac:dyDescent="0.25">
      <c r="A2378" t="str">
        <f t="shared" si="38"/>
        <v/>
      </c>
      <c r="B2378" s="10"/>
      <c r="C2378" s="10"/>
      <c r="D2378" s="10"/>
      <c r="E2378" s="10"/>
      <c r="F2378" s="10"/>
      <c r="G2378" s="11"/>
      <c r="H2378" s="12"/>
      <c r="I2378" s="13"/>
      <c r="J2378" s="12"/>
      <c r="K2378" s="13"/>
      <c r="L2378" s="11"/>
      <c r="M2378" s="13"/>
      <c r="N2378" s="11"/>
      <c r="O2378" s="13"/>
      <c r="P2378" s="11"/>
      <c r="Q2378" s="13"/>
      <c r="R2378" s="10"/>
      <c r="S2378" s="10"/>
      <c r="AB2378"/>
      <c r="AC2378"/>
    </row>
    <row r="2379" spans="1:29" x14ac:dyDescent="0.25">
      <c r="A2379" t="str">
        <f t="shared" si="38"/>
        <v/>
      </c>
      <c r="B2379" s="10"/>
      <c r="C2379" s="10"/>
      <c r="D2379" s="10"/>
      <c r="E2379" s="10"/>
      <c r="F2379" s="10"/>
      <c r="G2379" s="11"/>
      <c r="H2379" s="12"/>
      <c r="I2379" s="13"/>
      <c r="J2379" s="12"/>
      <c r="K2379" s="13"/>
      <c r="L2379" s="11"/>
      <c r="M2379" s="13"/>
      <c r="N2379" s="11"/>
      <c r="O2379" s="13"/>
      <c r="P2379" s="11"/>
      <c r="Q2379" s="13"/>
      <c r="R2379" s="10"/>
      <c r="S2379" s="10"/>
      <c r="AB2379"/>
      <c r="AC2379"/>
    </row>
    <row r="2380" spans="1:29" x14ac:dyDescent="0.25">
      <c r="A2380" t="str">
        <f t="shared" si="38"/>
        <v/>
      </c>
      <c r="B2380" s="10"/>
      <c r="C2380" s="10"/>
      <c r="D2380" s="10"/>
      <c r="E2380" s="10"/>
      <c r="F2380" s="10"/>
      <c r="G2380" s="11"/>
      <c r="H2380" s="12"/>
      <c r="I2380" s="13"/>
      <c r="J2380" s="12"/>
      <c r="K2380" s="13"/>
      <c r="L2380" s="11"/>
      <c r="M2380" s="13"/>
      <c r="N2380" s="11"/>
      <c r="O2380" s="13"/>
      <c r="P2380" s="11"/>
      <c r="Q2380" s="13"/>
      <c r="R2380" s="10"/>
      <c r="S2380" s="10"/>
      <c r="AB2380"/>
      <c r="AC2380"/>
    </row>
    <row r="2381" spans="1:29" x14ac:dyDescent="0.25">
      <c r="A2381" t="str">
        <f t="shared" si="38"/>
        <v/>
      </c>
      <c r="B2381" s="10"/>
      <c r="C2381" s="10"/>
      <c r="D2381" s="10"/>
      <c r="E2381" s="10"/>
      <c r="F2381" s="10"/>
      <c r="G2381" s="11"/>
      <c r="H2381" s="12"/>
      <c r="I2381" s="13"/>
      <c r="J2381" s="12"/>
      <c r="K2381" s="13"/>
      <c r="L2381" s="11"/>
      <c r="M2381" s="13"/>
      <c r="N2381" s="11"/>
      <c r="O2381" s="13"/>
      <c r="P2381" s="11"/>
      <c r="Q2381" s="13"/>
      <c r="R2381" s="10"/>
      <c r="S2381" s="10"/>
      <c r="AB2381"/>
      <c r="AC2381"/>
    </row>
    <row r="2382" spans="1:29" x14ac:dyDescent="0.25">
      <c r="A2382" t="str">
        <f t="shared" si="38"/>
        <v/>
      </c>
      <c r="B2382" s="10"/>
      <c r="C2382" s="10"/>
      <c r="D2382" s="10"/>
      <c r="E2382" s="10"/>
      <c r="F2382" s="10"/>
      <c r="G2382" s="11"/>
      <c r="H2382" s="12"/>
      <c r="I2382" s="13"/>
      <c r="J2382" s="12"/>
      <c r="K2382" s="13"/>
      <c r="L2382" s="11"/>
      <c r="M2382" s="13"/>
      <c r="N2382" s="11"/>
      <c r="O2382" s="13"/>
      <c r="P2382" s="11"/>
      <c r="Q2382" s="13"/>
      <c r="R2382" s="10"/>
      <c r="S2382" s="10"/>
      <c r="AB2382"/>
      <c r="AC2382"/>
    </row>
    <row r="2383" spans="1:29" x14ac:dyDescent="0.25">
      <c r="A2383" t="str">
        <f t="shared" si="38"/>
        <v/>
      </c>
      <c r="B2383" s="10"/>
      <c r="C2383" s="10"/>
      <c r="D2383" s="10"/>
      <c r="E2383" s="10"/>
      <c r="F2383" s="10"/>
      <c r="G2383" s="11"/>
      <c r="H2383" s="12"/>
      <c r="I2383" s="13"/>
      <c r="J2383" s="12"/>
      <c r="K2383" s="13"/>
      <c r="L2383" s="11"/>
      <c r="M2383" s="13"/>
      <c r="N2383" s="11"/>
      <c r="O2383" s="13"/>
      <c r="P2383" s="11"/>
      <c r="Q2383" s="13"/>
      <c r="R2383" s="10"/>
      <c r="S2383" s="10"/>
      <c r="AB2383"/>
      <c r="AC2383"/>
    </row>
    <row r="2384" spans="1:29" x14ac:dyDescent="0.25">
      <c r="A2384" t="str">
        <f t="shared" si="38"/>
        <v/>
      </c>
      <c r="B2384" s="10"/>
      <c r="C2384" s="10"/>
      <c r="D2384" s="10"/>
      <c r="E2384" s="10"/>
      <c r="F2384" s="10"/>
      <c r="G2384" s="11"/>
      <c r="H2384" s="12"/>
      <c r="I2384" s="13"/>
      <c r="J2384" s="12"/>
      <c r="K2384" s="13"/>
      <c r="L2384" s="11"/>
      <c r="M2384" s="13"/>
      <c r="N2384" s="11"/>
      <c r="O2384" s="13"/>
      <c r="P2384" s="11"/>
      <c r="Q2384" s="13"/>
      <c r="R2384" s="10"/>
      <c r="S2384" s="10"/>
      <c r="AB2384"/>
      <c r="AC2384"/>
    </row>
    <row r="2385" spans="1:29" x14ac:dyDescent="0.25">
      <c r="A2385" t="str">
        <f t="shared" si="38"/>
        <v/>
      </c>
      <c r="B2385" s="10"/>
      <c r="C2385" s="10"/>
      <c r="D2385" s="10"/>
      <c r="E2385" s="10"/>
      <c r="F2385" s="10"/>
      <c r="G2385" s="11"/>
      <c r="H2385" s="12"/>
      <c r="I2385" s="13"/>
      <c r="J2385" s="12"/>
      <c r="K2385" s="13"/>
      <c r="L2385" s="11"/>
      <c r="M2385" s="13"/>
      <c r="N2385" s="11"/>
      <c r="O2385" s="13"/>
      <c r="P2385" s="11"/>
      <c r="Q2385" s="13"/>
      <c r="R2385" s="10"/>
      <c r="S2385" s="10"/>
      <c r="AB2385"/>
      <c r="AC2385"/>
    </row>
    <row r="2386" spans="1:29" x14ac:dyDescent="0.25">
      <c r="A2386" t="str">
        <f t="shared" si="38"/>
        <v/>
      </c>
      <c r="B2386" s="10"/>
      <c r="C2386" s="10"/>
      <c r="D2386" s="10"/>
      <c r="E2386" s="10"/>
      <c r="F2386" s="10"/>
      <c r="G2386" s="11"/>
      <c r="H2386" s="12"/>
      <c r="I2386" s="13"/>
      <c r="J2386" s="12"/>
      <c r="K2386" s="13"/>
      <c r="L2386" s="11"/>
      <c r="M2386" s="13"/>
      <c r="N2386" s="11"/>
      <c r="O2386" s="13"/>
      <c r="P2386" s="11"/>
      <c r="Q2386" s="13"/>
      <c r="R2386" s="10"/>
      <c r="S2386" s="10"/>
      <c r="AB2386"/>
      <c r="AC2386"/>
    </row>
    <row r="2387" spans="1:29" x14ac:dyDescent="0.25">
      <c r="A2387" t="str">
        <f t="shared" si="38"/>
        <v/>
      </c>
      <c r="B2387" s="10"/>
      <c r="C2387" s="10"/>
      <c r="D2387" s="10"/>
      <c r="E2387" s="10"/>
      <c r="F2387" s="10"/>
      <c r="G2387" s="11"/>
      <c r="H2387" s="12"/>
      <c r="I2387" s="13"/>
      <c r="J2387" s="12"/>
      <c r="K2387" s="13"/>
      <c r="L2387" s="11"/>
      <c r="M2387" s="13"/>
      <c r="N2387" s="11"/>
      <c r="O2387" s="13"/>
      <c r="P2387" s="11"/>
      <c r="Q2387" s="13"/>
      <c r="R2387" s="10"/>
      <c r="S2387" s="10"/>
      <c r="AB2387"/>
      <c r="AC2387"/>
    </row>
    <row r="2388" spans="1:29" x14ac:dyDescent="0.25">
      <c r="A2388" t="str">
        <f t="shared" si="38"/>
        <v/>
      </c>
      <c r="B2388" s="10"/>
      <c r="C2388" s="10"/>
      <c r="D2388" s="10"/>
      <c r="E2388" s="10"/>
      <c r="F2388" s="10"/>
      <c r="G2388" s="11"/>
      <c r="H2388" s="12"/>
      <c r="I2388" s="13"/>
      <c r="J2388" s="12"/>
      <c r="K2388" s="13"/>
      <c r="L2388" s="11"/>
      <c r="M2388" s="13"/>
      <c r="N2388" s="11"/>
      <c r="O2388" s="13"/>
      <c r="P2388" s="11"/>
      <c r="Q2388" s="13"/>
      <c r="R2388" s="10"/>
      <c r="S2388" s="10"/>
      <c r="AB2388"/>
      <c r="AC2388"/>
    </row>
    <row r="2389" spans="1:29" x14ac:dyDescent="0.25">
      <c r="A2389" t="str">
        <f t="shared" si="38"/>
        <v/>
      </c>
      <c r="B2389" s="10"/>
      <c r="C2389" s="10"/>
      <c r="D2389" s="10"/>
      <c r="E2389" s="10"/>
      <c r="F2389" s="10"/>
      <c r="G2389" s="11"/>
      <c r="H2389" s="12"/>
      <c r="I2389" s="13"/>
      <c r="J2389" s="12"/>
      <c r="K2389" s="13"/>
      <c r="L2389" s="11"/>
      <c r="M2389" s="13"/>
      <c r="N2389" s="11"/>
      <c r="O2389" s="13"/>
      <c r="P2389" s="11"/>
      <c r="Q2389" s="13"/>
      <c r="R2389" s="10"/>
      <c r="S2389" s="10"/>
      <c r="AB2389"/>
      <c r="AC2389"/>
    </row>
    <row r="2390" spans="1:29" x14ac:dyDescent="0.25">
      <c r="A2390" t="str">
        <f t="shared" si="38"/>
        <v/>
      </c>
      <c r="B2390" s="10"/>
      <c r="C2390" s="10"/>
      <c r="D2390" s="10"/>
      <c r="E2390" s="10"/>
      <c r="F2390" s="10"/>
      <c r="G2390" s="11"/>
      <c r="H2390" s="12"/>
      <c r="I2390" s="13"/>
      <c r="J2390" s="12"/>
      <c r="K2390" s="13"/>
      <c r="L2390" s="11"/>
      <c r="M2390" s="13"/>
      <c r="N2390" s="11"/>
      <c r="O2390" s="13"/>
      <c r="P2390" s="11"/>
      <c r="Q2390" s="13"/>
      <c r="R2390" s="10"/>
      <c r="S2390" s="10"/>
      <c r="AB2390"/>
      <c r="AC2390"/>
    </row>
    <row r="2391" spans="1:29" x14ac:dyDescent="0.25">
      <c r="A2391" t="str">
        <f t="shared" si="38"/>
        <v/>
      </c>
      <c r="B2391" s="10"/>
      <c r="C2391" s="10"/>
      <c r="D2391" s="10"/>
      <c r="E2391" s="10"/>
      <c r="F2391" s="10"/>
      <c r="G2391" s="11"/>
      <c r="H2391" s="12"/>
      <c r="I2391" s="13"/>
      <c r="J2391" s="12"/>
      <c r="K2391" s="13"/>
      <c r="L2391" s="11"/>
      <c r="M2391" s="13"/>
      <c r="N2391" s="11"/>
      <c r="O2391" s="13"/>
      <c r="P2391" s="11"/>
      <c r="Q2391" s="13"/>
      <c r="R2391" s="10"/>
      <c r="S2391" s="10"/>
      <c r="AB2391"/>
      <c r="AC2391"/>
    </row>
    <row r="2392" spans="1:29" x14ac:dyDescent="0.25">
      <c r="A2392" t="str">
        <f t="shared" si="38"/>
        <v/>
      </c>
      <c r="B2392" s="10"/>
      <c r="C2392" s="10"/>
      <c r="D2392" s="10"/>
      <c r="E2392" s="10"/>
      <c r="F2392" s="10"/>
      <c r="G2392" s="11"/>
      <c r="H2392" s="12"/>
      <c r="I2392" s="13"/>
      <c r="J2392" s="12"/>
      <c r="K2392" s="13"/>
      <c r="L2392" s="11"/>
      <c r="M2392" s="13"/>
      <c r="N2392" s="11"/>
      <c r="O2392" s="13"/>
      <c r="P2392" s="11"/>
      <c r="Q2392" s="13"/>
      <c r="R2392" s="10"/>
      <c r="S2392" s="10"/>
      <c r="AB2392"/>
      <c r="AC2392"/>
    </row>
    <row r="2393" spans="1:29" x14ac:dyDescent="0.25">
      <c r="A2393" t="str">
        <f t="shared" si="38"/>
        <v/>
      </c>
      <c r="B2393" s="10"/>
      <c r="C2393" s="10"/>
      <c r="D2393" s="10"/>
      <c r="E2393" s="10"/>
      <c r="F2393" s="10"/>
      <c r="G2393" s="11"/>
      <c r="H2393" s="12"/>
      <c r="I2393" s="13"/>
      <c r="J2393" s="12"/>
      <c r="K2393" s="13"/>
      <c r="L2393" s="11"/>
      <c r="M2393" s="13"/>
      <c r="N2393" s="11"/>
      <c r="O2393" s="13"/>
      <c r="P2393" s="11"/>
      <c r="Q2393" s="13"/>
      <c r="R2393" s="10"/>
      <c r="S2393" s="10"/>
      <c r="AB2393"/>
      <c r="AC2393"/>
    </row>
    <row r="2394" spans="1:29" x14ac:dyDescent="0.25">
      <c r="A2394" t="str">
        <f t="shared" si="38"/>
        <v/>
      </c>
      <c r="B2394" s="10"/>
      <c r="C2394" s="10"/>
      <c r="D2394" s="10"/>
      <c r="E2394" s="10"/>
      <c r="F2394" s="10"/>
      <c r="G2394" s="11"/>
      <c r="H2394" s="12"/>
      <c r="I2394" s="13"/>
      <c r="J2394" s="12"/>
      <c r="K2394" s="13"/>
      <c r="L2394" s="11"/>
      <c r="M2394" s="13"/>
      <c r="N2394" s="11"/>
      <c r="O2394" s="13"/>
      <c r="P2394" s="11"/>
      <c r="Q2394" s="13"/>
      <c r="R2394" s="10"/>
      <c r="S2394" s="10"/>
      <c r="AB2394"/>
      <c r="AC2394"/>
    </row>
    <row r="2395" spans="1:29" x14ac:dyDescent="0.25">
      <c r="A2395" t="str">
        <f t="shared" si="38"/>
        <v/>
      </c>
      <c r="B2395" s="10"/>
      <c r="C2395" s="10"/>
      <c r="D2395" s="10"/>
      <c r="E2395" s="10"/>
      <c r="F2395" s="10"/>
      <c r="G2395" s="11"/>
      <c r="H2395" s="12"/>
      <c r="I2395" s="13"/>
      <c r="J2395" s="12"/>
      <c r="K2395" s="13"/>
      <c r="L2395" s="11"/>
      <c r="M2395" s="13"/>
      <c r="N2395" s="11"/>
      <c r="O2395" s="13"/>
      <c r="P2395" s="11"/>
      <c r="Q2395" s="13"/>
      <c r="R2395" s="10"/>
      <c r="S2395" s="10"/>
      <c r="AB2395"/>
      <c r="AC2395"/>
    </row>
    <row r="2396" spans="1:29" x14ac:dyDescent="0.25">
      <c r="A2396" t="str">
        <f t="shared" si="38"/>
        <v/>
      </c>
      <c r="B2396" s="10"/>
      <c r="C2396" s="10"/>
      <c r="D2396" s="10"/>
      <c r="E2396" s="10"/>
      <c r="F2396" s="10"/>
      <c r="G2396" s="11"/>
      <c r="H2396" s="12"/>
      <c r="I2396" s="13"/>
      <c r="J2396" s="12"/>
      <c r="K2396" s="13"/>
      <c r="L2396" s="11"/>
      <c r="M2396" s="13"/>
      <c r="N2396" s="11"/>
      <c r="O2396" s="13"/>
      <c r="P2396" s="11"/>
      <c r="Q2396" s="13"/>
      <c r="R2396" s="10"/>
      <c r="S2396" s="10"/>
      <c r="AB2396"/>
      <c r="AC2396"/>
    </row>
    <row r="2397" spans="1:29" x14ac:dyDescent="0.25">
      <c r="A2397" t="str">
        <f t="shared" si="38"/>
        <v/>
      </c>
      <c r="B2397" s="10"/>
      <c r="C2397" s="10"/>
      <c r="D2397" s="10"/>
      <c r="E2397" s="10"/>
      <c r="F2397" s="10"/>
      <c r="G2397" s="11"/>
      <c r="H2397" s="12"/>
      <c r="I2397" s="13"/>
      <c r="J2397" s="12"/>
      <c r="K2397" s="13"/>
      <c r="L2397" s="11"/>
      <c r="M2397" s="13"/>
      <c r="N2397" s="11"/>
      <c r="O2397" s="13"/>
      <c r="P2397" s="11"/>
      <c r="Q2397" s="13"/>
      <c r="R2397" s="10"/>
      <c r="S2397" s="10"/>
      <c r="AB2397"/>
      <c r="AC2397"/>
    </row>
    <row r="2398" spans="1:29" x14ac:dyDescent="0.25">
      <c r="A2398" t="str">
        <f t="shared" si="38"/>
        <v/>
      </c>
      <c r="B2398" s="10"/>
      <c r="C2398" s="10"/>
      <c r="D2398" s="10"/>
      <c r="E2398" s="10"/>
      <c r="F2398" s="10"/>
      <c r="G2398" s="11"/>
      <c r="H2398" s="12"/>
      <c r="I2398" s="13"/>
      <c r="J2398" s="12"/>
      <c r="K2398" s="13"/>
      <c r="L2398" s="11"/>
      <c r="M2398" s="13"/>
      <c r="N2398" s="11"/>
      <c r="O2398" s="13"/>
      <c r="P2398" s="11"/>
      <c r="Q2398" s="13"/>
      <c r="R2398" s="10"/>
      <c r="S2398" s="10"/>
      <c r="AB2398"/>
      <c r="AC2398"/>
    </row>
    <row r="2399" spans="1:29" x14ac:dyDescent="0.25">
      <c r="A2399" t="str">
        <f t="shared" si="38"/>
        <v/>
      </c>
      <c r="B2399" s="10"/>
      <c r="C2399" s="10"/>
      <c r="D2399" s="10"/>
      <c r="E2399" s="10"/>
      <c r="F2399" s="10"/>
      <c r="G2399" s="11"/>
      <c r="H2399" s="12"/>
      <c r="I2399" s="13"/>
      <c r="J2399" s="12"/>
      <c r="K2399" s="13"/>
      <c r="L2399" s="11"/>
      <c r="M2399" s="13"/>
      <c r="N2399" s="11"/>
      <c r="O2399" s="13"/>
      <c r="P2399" s="11"/>
      <c r="Q2399" s="13"/>
      <c r="R2399" s="10"/>
      <c r="S2399" s="10"/>
      <c r="AB2399"/>
      <c r="AC2399"/>
    </row>
    <row r="2400" spans="1:29" x14ac:dyDescent="0.25">
      <c r="A2400" t="str">
        <f t="shared" si="38"/>
        <v/>
      </c>
      <c r="B2400" s="10"/>
      <c r="C2400" s="10"/>
      <c r="D2400" s="10"/>
      <c r="E2400" s="10"/>
      <c r="F2400" s="10"/>
      <c r="G2400" s="11"/>
      <c r="H2400" s="12"/>
      <c r="I2400" s="13"/>
      <c r="J2400" s="12"/>
      <c r="K2400" s="13"/>
      <c r="L2400" s="11"/>
      <c r="M2400" s="13"/>
      <c r="N2400" s="11"/>
      <c r="O2400" s="13"/>
      <c r="P2400" s="11"/>
      <c r="Q2400" s="13"/>
      <c r="R2400" s="10"/>
      <c r="S2400" s="10"/>
      <c r="AB2400"/>
      <c r="AC2400"/>
    </row>
    <row r="2401" spans="1:29" x14ac:dyDescent="0.25">
      <c r="A2401" t="str">
        <f t="shared" si="38"/>
        <v/>
      </c>
      <c r="B2401" s="10"/>
      <c r="C2401" s="10"/>
      <c r="D2401" s="10"/>
      <c r="E2401" s="10"/>
      <c r="F2401" s="10"/>
      <c r="G2401" s="11"/>
      <c r="H2401" s="12"/>
      <c r="I2401" s="13"/>
      <c r="J2401" s="12"/>
      <c r="K2401" s="13"/>
      <c r="L2401" s="11"/>
      <c r="M2401" s="13"/>
      <c r="N2401" s="11"/>
      <c r="O2401" s="13"/>
      <c r="P2401" s="11"/>
      <c r="Q2401" s="13"/>
      <c r="R2401" s="10"/>
      <c r="S2401" s="10"/>
      <c r="AB2401"/>
      <c r="AC2401"/>
    </row>
    <row r="2402" spans="1:29" x14ac:dyDescent="0.25">
      <c r="A2402" t="str">
        <f t="shared" si="38"/>
        <v/>
      </c>
      <c r="B2402" s="10"/>
      <c r="C2402" s="10"/>
      <c r="D2402" s="10"/>
      <c r="E2402" s="10"/>
      <c r="F2402" s="10"/>
      <c r="G2402" s="11"/>
      <c r="H2402" s="12"/>
      <c r="I2402" s="13"/>
      <c r="J2402" s="12"/>
      <c r="K2402" s="13"/>
      <c r="L2402" s="11"/>
      <c r="M2402" s="13"/>
      <c r="N2402" s="11"/>
      <c r="O2402" s="13"/>
      <c r="P2402" s="11"/>
      <c r="Q2402" s="13"/>
      <c r="R2402" s="10"/>
      <c r="S2402" s="10"/>
      <c r="AB2402"/>
      <c r="AC2402"/>
    </row>
    <row r="2403" spans="1:29" x14ac:dyDescent="0.25">
      <c r="A2403" t="str">
        <f t="shared" si="38"/>
        <v/>
      </c>
      <c r="B2403" s="10"/>
      <c r="C2403" s="10"/>
      <c r="D2403" s="10"/>
      <c r="E2403" s="10"/>
      <c r="F2403" s="10"/>
      <c r="G2403" s="11"/>
      <c r="H2403" s="12"/>
      <c r="I2403" s="13"/>
      <c r="J2403" s="12"/>
      <c r="K2403" s="13"/>
      <c r="L2403" s="11"/>
      <c r="M2403" s="13"/>
      <c r="N2403" s="11"/>
      <c r="O2403" s="13"/>
      <c r="P2403" s="11"/>
      <c r="Q2403" s="13"/>
      <c r="R2403" s="10"/>
      <c r="S2403" s="10"/>
      <c r="AB2403"/>
      <c r="AC2403"/>
    </row>
    <row r="2404" spans="1:29" x14ac:dyDescent="0.25">
      <c r="A2404" t="str">
        <f t="shared" si="38"/>
        <v/>
      </c>
      <c r="B2404" s="10"/>
      <c r="C2404" s="10"/>
      <c r="D2404" s="10"/>
      <c r="E2404" s="10"/>
      <c r="F2404" s="10"/>
      <c r="G2404" s="11"/>
      <c r="H2404" s="12"/>
      <c r="I2404" s="13"/>
      <c r="J2404" s="12"/>
      <c r="K2404" s="13"/>
      <c r="L2404" s="11"/>
      <c r="M2404" s="13"/>
      <c r="N2404" s="11"/>
      <c r="O2404" s="13"/>
      <c r="P2404" s="11"/>
      <c r="Q2404" s="13"/>
      <c r="R2404" s="10"/>
      <c r="S2404" s="10"/>
      <c r="AB2404"/>
      <c r="AC2404"/>
    </row>
    <row r="2405" spans="1:29" x14ac:dyDescent="0.25">
      <c r="A2405" t="str">
        <f t="shared" si="38"/>
        <v/>
      </c>
      <c r="B2405" s="10"/>
      <c r="C2405" s="10"/>
      <c r="D2405" s="10"/>
      <c r="E2405" s="10"/>
      <c r="F2405" s="10"/>
      <c r="G2405" s="11"/>
      <c r="H2405" s="12"/>
      <c r="I2405" s="13"/>
      <c r="J2405" s="12"/>
      <c r="K2405" s="13"/>
      <c r="L2405" s="11"/>
      <c r="M2405" s="13"/>
      <c r="N2405" s="11"/>
      <c r="O2405" s="13"/>
      <c r="P2405" s="11"/>
      <c r="Q2405" s="13"/>
      <c r="R2405" s="10"/>
      <c r="S2405" s="10"/>
      <c r="AB2405"/>
      <c r="AC2405"/>
    </row>
    <row r="2406" spans="1:29" x14ac:dyDescent="0.25">
      <c r="A2406" t="str">
        <f t="shared" si="38"/>
        <v/>
      </c>
      <c r="B2406" s="10"/>
      <c r="C2406" s="10"/>
      <c r="D2406" s="10"/>
      <c r="E2406" s="10"/>
      <c r="F2406" s="10"/>
      <c r="G2406" s="11"/>
      <c r="H2406" s="12"/>
      <c r="I2406" s="13"/>
      <c r="J2406" s="12"/>
      <c r="K2406" s="13"/>
      <c r="L2406" s="11"/>
      <c r="M2406" s="13"/>
      <c r="N2406" s="11"/>
      <c r="O2406" s="13"/>
      <c r="P2406" s="11"/>
      <c r="Q2406" s="13"/>
      <c r="R2406" s="10"/>
      <c r="S2406" s="10"/>
      <c r="AB2406"/>
      <c r="AC2406"/>
    </row>
    <row r="2407" spans="1:29" x14ac:dyDescent="0.25">
      <c r="A2407" t="str">
        <f t="shared" si="38"/>
        <v/>
      </c>
      <c r="B2407" s="10"/>
      <c r="C2407" s="10"/>
      <c r="D2407" s="10"/>
      <c r="E2407" s="10"/>
      <c r="F2407" s="10"/>
      <c r="G2407" s="11"/>
      <c r="H2407" s="12"/>
      <c r="I2407" s="13"/>
      <c r="J2407" s="12"/>
      <c r="K2407" s="13"/>
      <c r="L2407" s="11"/>
      <c r="M2407" s="13"/>
      <c r="N2407" s="11"/>
      <c r="O2407" s="13"/>
      <c r="P2407" s="11"/>
      <c r="Q2407" s="13"/>
      <c r="R2407" s="10"/>
      <c r="S2407" s="10"/>
      <c r="AB2407"/>
      <c r="AC2407"/>
    </row>
    <row r="2408" spans="1:29" x14ac:dyDescent="0.25">
      <c r="A2408" t="str">
        <f t="shared" si="38"/>
        <v/>
      </c>
      <c r="B2408" s="10"/>
      <c r="C2408" s="10"/>
      <c r="D2408" s="10"/>
      <c r="E2408" s="10"/>
      <c r="F2408" s="10"/>
      <c r="G2408" s="11"/>
      <c r="H2408" s="12"/>
      <c r="I2408" s="13"/>
      <c r="J2408" s="12"/>
      <c r="K2408" s="13"/>
      <c r="L2408" s="11"/>
      <c r="M2408" s="13"/>
      <c r="N2408" s="11"/>
      <c r="O2408" s="13"/>
      <c r="P2408" s="11"/>
      <c r="Q2408" s="13"/>
      <c r="R2408" s="10"/>
      <c r="S2408" s="10"/>
      <c r="AB2408"/>
      <c r="AC2408"/>
    </row>
    <row r="2409" spans="1:29" x14ac:dyDescent="0.25">
      <c r="A2409" t="str">
        <f t="shared" si="38"/>
        <v/>
      </c>
      <c r="B2409" s="10"/>
      <c r="C2409" s="10"/>
      <c r="D2409" s="10"/>
      <c r="E2409" s="10"/>
      <c r="F2409" s="10"/>
      <c r="G2409" s="11"/>
      <c r="H2409" s="12"/>
      <c r="I2409" s="13"/>
      <c r="J2409" s="12"/>
      <c r="K2409" s="13"/>
      <c r="L2409" s="11"/>
      <c r="M2409" s="13"/>
      <c r="N2409" s="11"/>
      <c r="O2409" s="13"/>
      <c r="P2409" s="11"/>
      <c r="Q2409" s="13"/>
      <c r="R2409" s="10"/>
      <c r="S2409" s="10"/>
      <c r="AB2409"/>
      <c r="AC2409"/>
    </row>
    <row r="2410" spans="1:29" x14ac:dyDescent="0.25">
      <c r="A2410" t="str">
        <f t="shared" si="38"/>
        <v/>
      </c>
      <c r="B2410" s="10"/>
      <c r="C2410" s="10"/>
      <c r="D2410" s="10"/>
      <c r="E2410" s="10"/>
      <c r="F2410" s="10"/>
      <c r="G2410" s="11"/>
      <c r="H2410" s="12"/>
      <c r="I2410" s="13"/>
      <c r="J2410" s="12"/>
      <c r="K2410" s="13"/>
      <c r="L2410" s="11"/>
      <c r="M2410" s="13"/>
      <c r="N2410" s="11"/>
      <c r="O2410" s="13"/>
      <c r="P2410" s="11"/>
      <c r="Q2410" s="13"/>
      <c r="R2410" s="10"/>
      <c r="S2410" s="10"/>
      <c r="AB2410"/>
      <c r="AC2410"/>
    </row>
    <row r="2411" spans="1:29" x14ac:dyDescent="0.25">
      <c r="A2411" t="str">
        <f t="shared" si="38"/>
        <v/>
      </c>
      <c r="B2411" s="10"/>
      <c r="C2411" s="10"/>
      <c r="D2411" s="10"/>
      <c r="E2411" s="10"/>
      <c r="F2411" s="10"/>
      <c r="G2411" s="11"/>
      <c r="H2411" s="12"/>
      <c r="I2411" s="13"/>
      <c r="J2411" s="12"/>
      <c r="K2411" s="13"/>
      <c r="L2411" s="11"/>
      <c r="M2411" s="13"/>
      <c r="N2411" s="11"/>
      <c r="O2411" s="13"/>
      <c r="P2411" s="11"/>
      <c r="Q2411" s="13"/>
      <c r="R2411" s="10"/>
      <c r="S2411" s="10"/>
      <c r="AB2411"/>
      <c r="AC2411"/>
    </row>
    <row r="2412" spans="1:29" x14ac:dyDescent="0.25">
      <c r="A2412" t="str">
        <f t="shared" si="38"/>
        <v/>
      </c>
      <c r="B2412" s="10"/>
      <c r="C2412" s="10"/>
      <c r="D2412" s="10"/>
      <c r="E2412" s="10"/>
      <c r="F2412" s="10"/>
      <c r="G2412" s="11"/>
      <c r="H2412" s="12"/>
      <c r="I2412" s="13"/>
      <c r="J2412" s="12"/>
      <c r="K2412" s="13"/>
      <c r="L2412" s="11"/>
      <c r="M2412" s="13"/>
      <c r="N2412" s="11"/>
      <c r="O2412" s="13"/>
      <c r="P2412" s="11"/>
      <c r="Q2412" s="13"/>
      <c r="R2412" s="10"/>
      <c r="S2412" s="10"/>
      <c r="AB2412"/>
      <c r="AC2412"/>
    </row>
    <row r="2413" spans="1:29" x14ac:dyDescent="0.25">
      <c r="A2413" t="str">
        <f t="shared" si="38"/>
        <v/>
      </c>
      <c r="B2413" s="10"/>
      <c r="C2413" s="10"/>
      <c r="D2413" s="10"/>
      <c r="E2413" s="10"/>
      <c r="F2413" s="10"/>
      <c r="G2413" s="11"/>
      <c r="H2413" s="12"/>
      <c r="I2413" s="13"/>
      <c r="J2413" s="12"/>
      <c r="K2413" s="13"/>
      <c r="L2413" s="11"/>
      <c r="M2413" s="13"/>
      <c r="N2413" s="11"/>
      <c r="O2413" s="13"/>
      <c r="P2413" s="11"/>
      <c r="Q2413" s="13"/>
      <c r="R2413" s="10"/>
      <c r="S2413" s="10"/>
      <c r="AB2413"/>
      <c r="AC2413"/>
    </row>
    <row r="2414" spans="1:29" x14ac:dyDescent="0.25">
      <c r="A2414" t="str">
        <f t="shared" si="38"/>
        <v/>
      </c>
      <c r="B2414" s="10"/>
      <c r="C2414" s="10"/>
      <c r="D2414" s="10"/>
      <c r="E2414" s="10"/>
      <c r="F2414" s="10"/>
      <c r="G2414" s="11"/>
      <c r="H2414" s="12"/>
      <c r="I2414" s="13"/>
      <c r="J2414" s="12"/>
      <c r="K2414" s="13"/>
      <c r="L2414" s="11"/>
      <c r="M2414" s="13"/>
      <c r="N2414" s="11"/>
      <c r="O2414" s="13"/>
      <c r="P2414" s="11"/>
      <c r="Q2414" s="13"/>
      <c r="R2414" s="10"/>
      <c r="S2414" s="10"/>
      <c r="AB2414"/>
      <c r="AC2414"/>
    </row>
    <row r="2415" spans="1:29" x14ac:dyDescent="0.25">
      <c r="A2415" t="str">
        <f t="shared" si="38"/>
        <v/>
      </c>
      <c r="B2415" s="10"/>
      <c r="C2415" s="10"/>
      <c r="D2415" s="10"/>
      <c r="E2415" s="10"/>
      <c r="F2415" s="10"/>
      <c r="G2415" s="11"/>
      <c r="H2415" s="12"/>
      <c r="I2415" s="13"/>
      <c r="J2415" s="12"/>
      <c r="K2415" s="13"/>
      <c r="L2415" s="11"/>
      <c r="M2415" s="13"/>
      <c r="N2415" s="11"/>
      <c r="O2415" s="13"/>
      <c r="P2415" s="11"/>
      <c r="Q2415" s="13"/>
      <c r="R2415" s="10"/>
      <c r="S2415" s="10"/>
      <c r="AB2415"/>
      <c r="AC2415"/>
    </row>
    <row r="2416" spans="1:29" x14ac:dyDescent="0.25">
      <c r="A2416" t="str">
        <f t="shared" si="38"/>
        <v/>
      </c>
      <c r="B2416" s="10"/>
      <c r="C2416" s="10"/>
      <c r="D2416" s="10"/>
      <c r="E2416" s="10"/>
      <c r="F2416" s="10"/>
      <c r="G2416" s="11"/>
      <c r="H2416" s="12"/>
      <c r="I2416" s="13"/>
      <c r="J2416" s="12"/>
      <c r="K2416" s="13"/>
      <c r="L2416" s="11"/>
      <c r="M2416" s="13"/>
      <c r="N2416" s="11"/>
      <c r="O2416" s="13"/>
      <c r="P2416" s="11"/>
      <c r="Q2416" s="13"/>
      <c r="R2416" s="10"/>
      <c r="S2416" s="10"/>
      <c r="AB2416"/>
      <c r="AC2416"/>
    </row>
    <row r="2417" spans="1:29" x14ac:dyDescent="0.25">
      <c r="A2417" t="str">
        <f t="shared" si="38"/>
        <v/>
      </c>
      <c r="B2417" s="10"/>
      <c r="C2417" s="10"/>
      <c r="D2417" s="10"/>
      <c r="E2417" s="10"/>
      <c r="F2417" s="10"/>
      <c r="G2417" s="11"/>
      <c r="H2417" s="12"/>
      <c r="I2417" s="13"/>
      <c r="J2417" s="12"/>
      <c r="K2417" s="13"/>
      <c r="L2417" s="11"/>
      <c r="M2417" s="13"/>
      <c r="N2417" s="11"/>
      <c r="O2417" s="13"/>
      <c r="P2417" s="11"/>
      <c r="Q2417" s="13"/>
      <c r="R2417" s="10"/>
      <c r="S2417" s="10"/>
      <c r="AB2417"/>
      <c r="AC2417"/>
    </row>
    <row r="2418" spans="1:29" x14ac:dyDescent="0.25">
      <c r="A2418" t="str">
        <f t="shared" si="38"/>
        <v/>
      </c>
      <c r="B2418" s="10"/>
      <c r="C2418" s="10"/>
      <c r="D2418" s="10"/>
      <c r="E2418" s="10"/>
      <c r="F2418" s="10"/>
      <c r="G2418" s="11"/>
      <c r="H2418" s="12"/>
      <c r="I2418" s="13"/>
      <c r="J2418" s="12"/>
      <c r="K2418" s="13"/>
      <c r="L2418" s="11"/>
      <c r="M2418" s="13"/>
      <c r="N2418" s="11"/>
      <c r="O2418" s="13"/>
      <c r="P2418" s="11"/>
      <c r="Q2418" s="13"/>
      <c r="R2418" s="10"/>
      <c r="S2418" s="10"/>
      <c r="AB2418"/>
      <c r="AC2418"/>
    </row>
    <row r="2419" spans="1:29" x14ac:dyDescent="0.25">
      <c r="A2419" t="str">
        <f t="shared" si="38"/>
        <v/>
      </c>
      <c r="B2419" s="10"/>
      <c r="C2419" s="10"/>
      <c r="D2419" s="10"/>
      <c r="E2419" s="10"/>
      <c r="F2419" s="10"/>
      <c r="G2419" s="11"/>
      <c r="H2419" s="12"/>
      <c r="I2419" s="13"/>
      <c r="J2419" s="12"/>
      <c r="K2419" s="13"/>
      <c r="L2419" s="11"/>
      <c r="M2419" s="13"/>
      <c r="N2419" s="11"/>
      <c r="O2419" s="13"/>
      <c r="P2419" s="11"/>
      <c r="Q2419" s="13"/>
      <c r="R2419" s="10"/>
      <c r="S2419" s="10"/>
      <c r="AB2419"/>
      <c r="AC2419"/>
    </row>
    <row r="2420" spans="1:29" x14ac:dyDescent="0.25">
      <c r="A2420" t="str">
        <f t="shared" si="38"/>
        <v/>
      </c>
      <c r="B2420" s="10"/>
      <c r="C2420" s="10"/>
      <c r="D2420" s="10"/>
      <c r="E2420" s="10"/>
      <c r="F2420" s="10"/>
      <c r="G2420" s="11"/>
      <c r="H2420" s="12"/>
      <c r="I2420" s="13"/>
      <c r="J2420" s="12"/>
      <c r="K2420" s="13"/>
      <c r="L2420" s="11"/>
      <c r="M2420" s="13"/>
      <c r="N2420" s="11"/>
      <c r="O2420" s="13"/>
      <c r="P2420" s="11"/>
      <c r="Q2420" s="13"/>
      <c r="R2420" s="10"/>
      <c r="S2420" s="10"/>
      <c r="AB2420"/>
      <c r="AC2420"/>
    </row>
    <row r="2421" spans="1:29" x14ac:dyDescent="0.25">
      <c r="A2421" t="str">
        <f t="shared" si="38"/>
        <v/>
      </c>
      <c r="B2421" s="10"/>
      <c r="C2421" s="10"/>
      <c r="D2421" s="10"/>
      <c r="E2421" s="10"/>
      <c r="F2421" s="10"/>
      <c r="G2421" s="11"/>
      <c r="H2421" s="12"/>
      <c r="I2421" s="13"/>
      <c r="J2421" s="12"/>
      <c r="K2421" s="13"/>
      <c r="L2421" s="11"/>
      <c r="M2421" s="13"/>
      <c r="N2421" s="11"/>
      <c r="O2421" s="13"/>
      <c r="P2421" s="11"/>
      <c r="Q2421" s="13"/>
      <c r="R2421" s="10"/>
      <c r="S2421" s="10"/>
      <c r="AB2421"/>
      <c r="AC2421"/>
    </row>
    <row r="2422" spans="1:29" x14ac:dyDescent="0.25">
      <c r="A2422" t="str">
        <f t="shared" si="38"/>
        <v/>
      </c>
      <c r="B2422" s="10"/>
      <c r="C2422" s="10"/>
      <c r="D2422" s="10"/>
      <c r="E2422" s="10"/>
      <c r="F2422" s="10"/>
      <c r="G2422" s="11"/>
      <c r="H2422" s="12"/>
      <c r="I2422" s="13"/>
      <c r="J2422" s="12"/>
      <c r="K2422" s="13"/>
      <c r="L2422" s="11"/>
      <c r="M2422" s="13"/>
      <c r="N2422" s="11"/>
      <c r="O2422" s="13"/>
      <c r="P2422" s="11"/>
      <c r="Q2422" s="13"/>
      <c r="R2422" s="10"/>
      <c r="S2422" s="10"/>
      <c r="AB2422"/>
      <c r="AC2422"/>
    </row>
    <row r="2423" spans="1:29" x14ac:dyDescent="0.25">
      <c r="A2423" t="str">
        <f t="shared" si="38"/>
        <v/>
      </c>
      <c r="B2423" s="10"/>
      <c r="C2423" s="10"/>
      <c r="D2423" s="10"/>
      <c r="E2423" s="10"/>
      <c r="F2423" s="10"/>
      <c r="G2423" s="11"/>
      <c r="H2423" s="12"/>
      <c r="I2423" s="13"/>
      <c r="J2423" s="12"/>
      <c r="K2423" s="13"/>
      <c r="L2423" s="11"/>
      <c r="M2423" s="13"/>
      <c r="N2423" s="11"/>
      <c r="O2423" s="13"/>
      <c r="P2423" s="11"/>
      <c r="Q2423" s="13"/>
      <c r="R2423" s="10"/>
      <c r="S2423" s="10"/>
      <c r="AB2423"/>
      <c r="AC2423"/>
    </row>
    <row r="2424" spans="1:29" x14ac:dyDescent="0.25">
      <c r="A2424" t="str">
        <f t="shared" si="38"/>
        <v/>
      </c>
      <c r="B2424" s="10"/>
      <c r="C2424" s="10"/>
      <c r="D2424" s="10"/>
      <c r="E2424" s="10"/>
      <c r="F2424" s="10"/>
      <c r="G2424" s="11"/>
      <c r="H2424" s="12"/>
      <c r="I2424" s="13"/>
      <c r="J2424" s="12"/>
      <c r="K2424" s="13"/>
      <c r="L2424" s="11"/>
      <c r="M2424" s="13"/>
      <c r="N2424" s="11"/>
      <c r="O2424" s="13"/>
      <c r="P2424" s="11"/>
      <c r="Q2424" s="13"/>
      <c r="R2424" s="10"/>
      <c r="S2424" s="10"/>
      <c r="AB2424"/>
      <c r="AC2424"/>
    </row>
    <row r="2425" spans="1:29" x14ac:dyDescent="0.25">
      <c r="A2425" t="str">
        <f t="shared" si="38"/>
        <v/>
      </c>
      <c r="B2425" s="10"/>
      <c r="C2425" s="10"/>
      <c r="D2425" s="10"/>
      <c r="E2425" s="10"/>
      <c r="F2425" s="10"/>
      <c r="G2425" s="11"/>
      <c r="H2425" s="12"/>
      <c r="I2425" s="13"/>
      <c r="J2425" s="12"/>
      <c r="K2425" s="13"/>
      <c r="L2425" s="11"/>
      <c r="M2425" s="13"/>
      <c r="N2425" s="11"/>
      <c r="O2425" s="13"/>
      <c r="P2425" s="11"/>
      <c r="Q2425" s="13"/>
      <c r="R2425" s="10"/>
      <c r="S2425" s="10"/>
      <c r="AB2425"/>
      <c r="AC2425"/>
    </row>
    <row r="2426" spans="1:29" x14ac:dyDescent="0.25">
      <c r="A2426" t="str">
        <f t="shared" si="38"/>
        <v/>
      </c>
      <c r="B2426" s="10"/>
      <c r="C2426" s="10"/>
      <c r="D2426" s="10"/>
      <c r="E2426" s="10"/>
      <c r="F2426" s="10"/>
      <c r="G2426" s="11"/>
      <c r="H2426" s="12"/>
      <c r="I2426" s="13"/>
      <c r="J2426" s="12"/>
      <c r="K2426" s="13"/>
      <c r="L2426" s="11"/>
      <c r="M2426" s="13"/>
      <c r="N2426" s="11"/>
      <c r="O2426" s="13"/>
      <c r="P2426" s="11"/>
      <c r="Q2426" s="13"/>
      <c r="R2426" s="10"/>
      <c r="S2426" s="10"/>
      <c r="AB2426"/>
      <c r="AC2426"/>
    </row>
    <row r="2427" spans="1:29" x14ac:dyDescent="0.25">
      <c r="A2427" t="str">
        <f t="shared" si="38"/>
        <v/>
      </c>
      <c r="B2427" s="10"/>
      <c r="C2427" s="10"/>
      <c r="D2427" s="10"/>
      <c r="E2427" s="10"/>
      <c r="F2427" s="10"/>
      <c r="G2427" s="11"/>
      <c r="H2427" s="12"/>
      <c r="I2427" s="13"/>
      <c r="J2427" s="12"/>
      <c r="K2427" s="13"/>
      <c r="L2427" s="11"/>
      <c r="M2427" s="13"/>
      <c r="N2427" s="11"/>
      <c r="O2427" s="13"/>
      <c r="P2427" s="11"/>
      <c r="Q2427" s="13"/>
      <c r="R2427" s="10"/>
      <c r="S2427" s="10"/>
      <c r="AB2427"/>
      <c r="AC2427"/>
    </row>
    <row r="2428" spans="1:29" x14ac:dyDescent="0.25">
      <c r="A2428" t="str">
        <f t="shared" si="38"/>
        <v/>
      </c>
      <c r="B2428" s="10"/>
      <c r="C2428" s="10"/>
      <c r="D2428" s="10"/>
      <c r="E2428" s="10"/>
      <c r="F2428" s="10"/>
      <c r="G2428" s="11"/>
      <c r="H2428" s="12"/>
      <c r="I2428" s="13"/>
      <c r="J2428" s="12"/>
      <c r="K2428" s="13"/>
      <c r="L2428" s="11"/>
      <c r="M2428" s="13"/>
      <c r="N2428" s="11"/>
      <c r="O2428" s="13"/>
      <c r="P2428" s="11"/>
      <c r="Q2428" s="13"/>
      <c r="R2428" s="10"/>
      <c r="S2428" s="10"/>
      <c r="AB2428"/>
      <c r="AC2428"/>
    </row>
    <row r="2429" spans="1:29" x14ac:dyDescent="0.25">
      <c r="A2429" t="str">
        <f t="shared" si="38"/>
        <v/>
      </c>
      <c r="B2429" s="10"/>
      <c r="C2429" s="10"/>
      <c r="D2429" s="10"/>
      <c r="E2429" s="10"/>
      <c r="F2429" s="10"/>
      <c r="G2429" s="11"/>
      <c r="H2429" s="12"/>
      <c r="I2429" s="13"/>
      <c r="J2429" s="12"/>
      <c r="K2429" s="13"/>
      <c r="L2429" s="11"/>
      <c r="M2429" s="13"/>
      <c r="N2429" s="11"/>
      <c r="O2429" s="13"/>
      <c r="P2429" s="11"/>
      <c r="Q2429" s="13"/>
      <c r="R2429" s="10"/>
      <c r="S2429" s="10"/>
      <c r="AB2429"/>
      <c r="AC2429"/>
    </row>
    <row r="2430" spans="1:29" x14ac:dyDescent="0.25">
      <c r="A2430" t="str">
        <f t="shared" si="38"/>
        <v/>
      </c>
      <c r="B2430" s="10"/>
      <c r="C2430" s="10"/>
      <c r="D2430" s="10"/>
      <c r="E2430" s="10"/>
      <c r="F2430" s="10"/>
      <c r="G2430" s="11"/>
      <c r="H2430" s="12"/>
      <c r="I2430" s="13"/>
      <c r="J2430" s="12"/>
      <c r="K2430" s="13"/>
      <c r="L2430" s="11"/>
      <c r="M2430" s="13"/>
      <c r="N2430" s="11"/>
      <c r="O2430" s="13"/>
      <c r="P2430" s="11"/>
      <c r="Q2430" s="13"/>
      <c r="R2430" s="10"/>
      <c r="S2430" s="10"/>
      <c r="AB2430"/>
      <c r="AC2430"/>
    </row>
    <row r="2431" spans="1:29" x14ac:dyDescent="0.25">
      <c r="A2431" t="str">
        <f t="shared" si="38"/>
        <v/>
      </c>
      <c r="B2431" s="10"/>
      <c r="C2431" s="10"/>
      <c r="D2431" s="10"/>
      <c r="E2431" s="10"/>
      <c r="F2431" s="10"/>
      <c r="G2431" s="11"/>
      <c r="H2431" s="12"/>
      <c r="I2431" s="13"/>
      <c r="J2431" s="12"/>
      <c r="K2431" s="13"/>
      <c r="L2431" s="11"/>
      <c r="M2431" s="13"/>
      <c r="N2431" s="11"/>
      <c r="O2431" s="13"/>
      <c r="P2431" s="11"/>
      <c r="Q2431" s="13"/>
      <c r="R2431" s="10"/>
      <c r="S2431" s="10"/>
      <c r="AB2431"/>
      <c r="AC2431"/>
    </row>
    <row r="2432" spans="1:29" x14ac:dyDescent="0.25">
      <c r="A2432" t="str">
        <f t="shared" si="38"/>
        <v/>
      </c>
      <c r="B2432" s="10"/>
      <c r="C2432" s="10"/>
      <c r="D2432" s="10"/>
      <c r="E2432" s="10"/>
      <c r="F2432" s="10"/>
      <c r="G2432" s="11"/>
      <c r="H2432" s="12"/>
      <c r="I2432" s="13"/>
      <c r="J2432" s="12"/>
      <c r="K2432" s="13"/>
      <c r="L2432" s="11"/>
      <c r="M2432" s="13"/>
      <c r="N2432" s="11"/>
      <c r="O2432" s="13"/>
      <c r="P2432" s="11"/>
      <c r="Q2432" s="13"/>
      <c r="R2432" s="10"/>
      <c r="S2432" s="10"/>
      <c r="AB2432"/>
      <c r="AC2432"/>
    </row>
    <row r="2433" spans="1:29" x14ac:dyDescent="0.25">
      <c r="A2433" t="str">
        <f t="shared" si="38"/>
        <v/>
      </c>
      <c r="B2433" s="10"/>
      <c r="C2433" s="10"/>
      <c r="D2433" s="10"/>
      <c r="E2433" s="10"/>
      <c r="F2433" s="10"/>
      <c r="G2433" s="11"/>
      <c r="H2433" s="12"/>
      <c r="I2433" s="13"/>
      <c r="J2433" s="12"/>
      <c r="K2433" s="13"/>
      <c r="L2433" s="11"/>
      <c r="M2433" s="13"/>
      <c r="N2433" s="11"/>
      <c r="O2433" s="13"/>
      <c r="P2433" s="11"/>
      <c r="Q2433" s="13"/>
      <c r="R2433" s="10"/>
      <c r="S2433" s="10"/>
      <c r="AB2433"/>
      <c r="AC2433"/>
    </row>
    <row r="2434" spans="1:29" x14ac:dyDescent="0.25">
      <c r="A2434" t="str">
        <f t="shared" si="38"/>
        <v/>
      </c>
      <c r="B2434" s="10"/>
      <c r="C2434" s="10"/>
      <c r="D2434" s="10"/>
      <c r="E2434" s="10"/>
      <c r="F2434" s="10"/>
      <c r="G2434" s="11"/>
      <c r="H2434" s="12"/>
      <c r="I2434" s="13"/>
      <c r="J2434" s="12"/>
      <c r="K2434" s="13"/>
      <c r="L2434" s="11"/>
      <c r="M2434" s="13"/>
      <c r="N2434" s="11"/>
      <c r="O2434" s="13"/>
      <c r="P2434" s="11"/>
      <c r="Q2434" s="13"/>
      <c r="R2434" s="10"/>
      <c r="S2434" s="10"/>
      <c r="AB2434"/>
      <c r="AC2434"/>
    </row>
    <row r="2435" spans="1:29" x14ac:dyDescent="0.25">
      <c r="A2435" t="str">
        <f t="shared" si="38"/>
        <v/>
      </c>
      <c r="B2435" s="10"/>
      <c r="C2435" s="10"/>
      <c r="D2435" s="10"/>
      <c r="E2435" s="10"/>
      <c r="F2435" s="10"/>
      <c r="G2435" s="11"/>
      <c r="H2435" s="12"/>
      <c r="I2435" s="13"/>
      <c r="J2435" s="12"/>
      <c r="K2435" s="13"/>
      <c r="L2435" s="11"/>
      <c r="M2435" s="13"/>
      <c r="N2435" s="11"/>
      <c r="O2435" s="13"/>
      <c r="P2435" s="11"/>
      <c r="Q2435" s="13"/>
      <c r="R2435" s="10"/>
      <c r="S2435" s="10"/>
      <c r="AB2435"/>
      <c r="AC2435"/>
    </row>
    <row r="2436" spans="1:29" x14ac:dyDescent="0.25">
      <c r="A2436" t="str">
        <f t="shared" si="38"/>
        <v/>
      </c>
      <c r="B2436" s="10"/>
      <c r="C2436" s="10"/>
      <c r="D2436" s="10"/>
      <c r="E2436" s="10"/>
      <c r="F2436" s="10"/>
      <c r="G2436" s="11"/>
      <c r="H2436" s="12"/>
      <c r="I2436" s="13"/>
      <c r="J2436" s="12"/>
      <c r="K2436" s="13"/>
      <c r="L2436" s="11"/>
      <c r="M2436" s="13"/>
      <c r="N2436" s="11"/>
      <c r="O2436" s="13"/>
      <c r="P2436" s="11"/>
      <c r="Q2436" s="13"/>
      <c r="R2436" s="10"/>
      <c r="S2436" s="10"/>
      <c r="AB2436"/>
      <c r="AC2436"/>
    </row>
    <row r="2437" spans="1:29" x14ac:dyDescent="0.25">
      <c r="A2437" t="str">
        <f t="shared" si="38"/>
        <v/>
      </c>
      <c r="B2437" s="10"/>
      <c r="C2437" s="10"/>
      <c r="D2437" s="10"/>
      <c r="E2437" s="10"/>
      <c r="F2437" s="10"/>
      <c r="G2437" s="11"/>
      <c r="H2437" s="12"/>
      <c r="I2437" s="13"/>
      <c r="J2437" s="12"/>
      <c r="K2437" s="13"/>
      <c r="L2437" s="11"/>
      <c r="M2437" s="13"/>
      <c r="N2437" s="11"/>
      <c r="O2437" s="13"/>
      <c r="P2437" s="11"/>
      <c r="Q2437" s="13"/>
      <c r="R2437" s="10"/>
      <c r="S2437" s="10"/>
      <c r="AB2437"/>
      <c r="AC2437"/>
    </row>
    <row r="2438" spans="1:29" x14ac:dyDescent="0.25">
      <c r="A2438" t="str">
        <f t="shared" si="38"/>
        <v/>
      </c>
      <c r="B2438" s="10"/>
      <c r="C2438" s="10"/>
      <c r="D2438" s="10"/>
      <c r="E2438" s="10"/>
      <c r="F2438" s="10"/>
      <c r="G2438" s="11"/>
      <c r="H2438" s="12"/>
      <c r="I2438" s="13"/>
      <c r="J2438" s="12"/>
      <c r="K2438" s="13"/>
      <c r="L2438" s="11"/>
      <c r="M2438" s="13"/>
      <c r="N2438" s="11"/>
      <c r="O2438" s="13"/>
      <c r="P2438" s="11"/>
      <c r="Q2438" s="13"/>
      <c r="R2438" s="10"/>
      <c r="S2438" s="10"/>
      <c r="AB2438"/>
      <c r="AC2438"/>
    </row>
    <row r="2439" spans="1:29" x14ac:dyDescent="0.25">
      <c r="A2439" t="str">
        <f t="shared" ref="A2439:A2502" si="39">B2437&amp;D2437</f>
        <v/>
      </c>
      <c r="B2439" s="10"/>
      <c r="C2439" s="10"/>
      <c r="D2439" s="10"/>
      <c r="E2439" s="10"/>
      <c r="F2439" s="10"/>
      <c r="G2439" s="11"/>
      <c r="H2439" s="12"/>
      <c r="I2439" s="13"/>
      <c r="J2439" s="12"/>
      <c r="K2439" s="13"/>
      <c r="L2439" s="11"/>
      <c r="M2439" s="13"/>
      <c r="N2439" s="11"/>
      <c r="O2439" s="13"/>
      <c r="P2439" s="11"/>
      <c r="Q2439" s="13"/>
      <c r="R2439" s="10"/>
      <c r="S2439" s="10"/>
      <c r="AB2439"/>
      <c r="AC2439"/>
    </row>
    <row r="2440" spans="1:29" x14ac:dyDescent="0.25">
      <c r="A2440" t="str">
        <f t="shared" si="39"/>
        <v/>
      </c>
      <c r="B2440" s="10"/>
      <c r="C2440" s="10"/>
      <c r="D2440" s="10"/>
      <c r="E2440" s="10"/>
      <c r="F2440" s="10"/>
      <c r="G2440" s="11"/>
      <c r="H2440" s="12"/>
      <c r="I2440" s="13"/>
      <c r="J2440" s="12"/>
      <c r="K2440" s="13"/>
      <c r="L2440" s="11"/>
      <c r="M2440" s="13"/>
      <c r="N2440" s="11"/>
      <c r="O2440" s="13"/>
      <c r="P2440" s="11"/>
      <c r="Q2440" s="13"/>
      <c r="R2440" s="10"/>
      <c r="S2440" s="10"/>
      <c r="AB2440"/>
      <c r="AC2440"/>
    </row>
    <row r="2441" spans="1:29" x14ac:dyDescent="0.25">
      <c r="A2441" t="str">
        <f t="shared" si="39"/>
        <v/>
      </c>
      <c r="B2441" s="10"/>
      <c r="C2441" s="10"/>
      <c r="D2441" s="10"/>
      <c r="E2441" s="10"/>
      <c r="F2441" s="10"/>
      <c r="G2441" s="11"/>
      <c r="H2441" s="12"/>
      <c r="I2441" s="13"/>
      <c r="J2441" s="12"/>
      <c r="K2441" s="13"/>
      <c r="L2441" s="11"/>
      <c r="M2441" s="13"/>
      <c r="N2441" s="11"/>
      <c r="O2441" s="13"/>
      <c r="P2441" s="11"/>
      <c r="Q2441" s="13"/>
      <c r="R2441" s="10"/>
      <c r="S2441" s="10"/>
      <c r="AB2441"/>
      <c r="AC2441"/>
    </row>
    <row r="2442" spans="1:29" x14ac:dyDescent="0.25">
      <c r="A2442" t="str">
        <f t="shared" si="39"/>
        <v/>
      </c>
      <c r="B2442" s="10"/>
      <c r="C2442" s="10"/>
      <c r="D2442" s="10"/>
      <c r="E2442" s="10"/>
      <c r="F2442" s="10"/>
      <c r="G2442" s="11"/>
      <c r="H2442" s="12"/>
      <c r="I2442" s="13"/>
      <c r="J2442" s="12"/>
      <c r="K2442" s="13"/>
      <c r="L2442" s="11"/>
      <c r="M2442" s="13"/>
      <c r="N2442" s="11"/>
      <c r="O2442" s="13"/>
      <c r="P2442" s="11"/>
      <c r="Q2442" s="13"/>
      <c r="R2442" s="10"/>
      <c r="S2442" s="10"/>
      <c r="AB2442"/>
      <c r="AC2442"/>
    </row>
    <row r="2443" spans="1:29" x14ac:dyDescent="0.25">
      <c r="A2443" t="str">
        <f t="shared" si="39"/>
        <v/>
      </c>
      <c r="B2443" s="10"/>
      <c r="C2443" s="10"/>
      <c r="D2443" s="10"/>
      <c r="E2443" s="10"/>
      <c r="F2443" s="10"/>
      <c r="G2443" s="11"/>
      <c r="H2443" s="12"/>
      <c r="I2443" s="13"/>
      <c r="J2443" s="12"/>
      <c r="K2443" s="13"/>
      <c r="L2443" s="11"/>
      <c r="M2443" s="13"/>
      <c r="N2443" s="11"/>
      <c r="O2443" s="13"/>
      <c r="P2443" s="11"/>
      <c r="Q2443" s="13"/>
      <c r="R2443" s="10"/>
      <c r="S2443" s="10"/>
      <c r="AB2443"/>
      <c r="AC2443"/>
    </row>
    <row r="2444" spans="1:29" x14ac:dyDescent="0.25">
      <c r="A2444" t="str">
        <f t="shared" si="39"/>
        <v/>
      </c>
      <c r="B2444" s="10"/>
      <c r="C2444" s="10"/>
      <c r="D2444" s="10"/>
      <c r="E2444" s="10"/>
      <c r="F2444" s="10"/>
      <c r="G2444" s="11"/>
      <c r="H2444" s="12"/>
      <c r="I2444" s="13"/>
      <c r="J2444" s="12"/>
      <c r="K2444" s="13"/>
      <c r="L2444" s="11"/>
      <c r="M2444" s="13"/>
      <c r="N2444" s="11"/>
      <c r="O2444" s="13"/>
      <c r="P2444" s="11"/>
      <c r="Q2444" s="13"/>
      <c r="R2444" s="10"/>
      <c r="S2444" s="10"/>
      <c r="AB2444"/>
      <c r="AC2444"/>
    </row>
    <row r="2445" spans="1:29" x14ac:dyDescent="0.25">
      <c r="A2445" t="str">
        <f t="shared" si="39"/>
        <v/>
      </c>
      <c r="B2445" s="10"/>
      <c r="C2445" s="10"/>
      <c r="D2445" s="10"/>
      <c r="E2445" s="10"/>
      <c r="F2445" s="10"/>
      <c r="G2445" s="11"/>
      <c r="H2445" s="12"/>
      <c r="I2445" s="13"/>
      <c r="J2445" s="12"/>
      <c r="K2445" s="13"/>
      <c r="L2445" s="11"/>
      <c r="M2445" s="13"/>
      <c r="N2445" s="11"/>
      <c r="O2445" s="13"/>
      <c r="P2445" s="11"/>
      <c r="Q2445" s="13"/>
      <c r="R2445" s="10"/>
      <c r="S2445" s="10"/>
      <c r="AB2445"/>
      <c r="AC2445"/>
    </row>
    <row r="2446" spans="1:29" x14ac:dyDescent="0.25">
      <c r="A2446" t="str">
        <f t="shared" si="39"/>
        <v/>
      </c>
      <c r="B2446" s="10"/>
      <c r="C2446" s="10"/>
      <c r="D2446" s="10"/>
      <c r="E2446" s="10"/>
      <c r="F2446" s="10"/>
      <c r="G2446" s="11"/>
      <c r="H2446" s="12"/>
      <c r="I2446" s="13"/>
      <c r="J2446" s="12"/>
      <c r="K2446" s="13"/>
      <c r="L2446" s="11"/>
      <c r="M2446" s="13"/>
      <c r="N2446" s="11"/>
      <c r="O2446" s="13"/>
      <c r="P2446" s="11"/>
      <c r="Q2446" s="13"/>
      <c r="R2446" s="10"/>
      <c r="S2446" s="10"/>
      <c r="AB2446"/>
      <c r="AC2446"/>
    </row>
    <row r="2447" spans="1:29" x14ac:dyDescent="0.25">
      <c r="A2447" t="str">
        <f t="shared" si="39"/>
        <v/>
      </c>
      <c r="B2447" s="10"/>
      <c r="C2447" s="10"/>
      <c r="D2447" s="10"/>
      <c r="E2447" s="10"/>
      <c r="F2447" s="10"/>
      <c r="G2447" s="11"/>
      <c r="H2447" s="12"/>
      <c r="I2447" s="13"/>
      <c r="J2447" s="12"/>
      <c r="K2447" s="13"/>
      <c r="L2447" s="11"/>
      <c r="M2447" s="13"/>
      <c r="N2447" s="11"/>
      <c r="O2447" s="13"/>
      <c r="P2447" s="11"/>
      <c r="Q2447" s="13"/>
      <c r="R2447" s="10"/>
      <c r="S2447" s="10"/>
      <c r="AB2447"/>
      <c r="AC2447"/>
    </row>
    <row r="2448" spans="1:29" x14ac:dyDescent="0.25">
      <c r="A2448" t="str">
        <f t="shared" si="39"/>
        <v/>
      </c>
      <c r="B2448" s="10"/>
      <c r="C2448" s="10"/>
      <c r="D2448" s="10"/>
      <c r="E2448" s="10"/>
      <c r="F2448" s="10"/>
      <c r="G2448" s="11"/>
      <c r="H2448" s="12"/>
      <c r="I2448" s="13"/>
      <c r="J2448" s="12"/>
      <c r="K2448" s="13"/>
      <c r="L2448" s="11"/>
      <c r="M2448" s="13"/>
      <c r="N2448" s="11"/>
      <c r="O2448" s="13"/>
      <c r="P2448" s="11"/>
      <c r="Q2448" s="13"/>
      <c r="R2448" s="10"/>
      <c r="S2448" s="10"/>
      <c r="AB2448"/>
      <c r="AC2448"/>
    </row>
    <row r="2449" spans="1:29" x14ac:dyDescent="0.25">
      <c r="A2449" t="str">
        <f t="shared" si="39"/>
        <v/>
      </c>
      <c r="B2449" s="10"/>
      <c r="C2449" s="10"/>
      <c r="D2449" s="10"/>
      <c r="E2449" s="10"/>
      <c r="F2449" s="10"/>
      <c r="G2449" s="11"/>
      <c r="H2449" s="12"/>
      <c r="I2449" s="13"/>
      <c r="J2449" s="12"/>
      <c r="K2449" s="13"/>
      <c r="L2449" s="11"/>
      <c r="M2449" s="13"/>
      <c r="N2449" s="11"/>
      <c r="O2449" s="13"/>
      <c r="P2449" s="11"/>
      <c r="Q2449" s="13"/>
      <c r="R2449" s="10"/>
      <c r="S2449" s="10"/>
      <c r="AB2449"/>
      <c r="AC2449"/>
    </row>
    <row r="2450" spans="1:29" x14ac:dyDescent="0.25">
      <c r="A2450" t="str">
        <f t="shared" si="39"/>
        <v/>
      </c>
      <c r="B2450" s="10"/>
      <c r="C2450" s="10"/>
      <c r="D2450" s="10"/>
      <c r="E2450" s="10"/>
      <c r="F2450" s="10"/>
      <c r="G2450" s="11"/>
      <c r="H2450" s="12"/>
      <c r="I2450" s="13"/>
      <c r="J2450" s="12"/>
      <c r="K2450" s="13"/>
      <c r="L2450" s="11"/>
      <c r="M2450" s="13"/>
      <c r="N2450" s="11"/>
      <c r="O2450" s="13"/>
      <c r="P2450" s="11"/>
      <c r="Q2450" s="13"/>
      <c r="R2450" s="10"/>
      <c r="S2450" s="10"/>
      <c r="AB2450"/>
      <c r="AC2450"/>
    </row>
    <row r="2451" spans="1:29" x14ac:dyDescent="0.25">
      <c r="A2451" t="str">
        <f t="shared" si="39"/>
        <v/>
      </c>
      <c r="B2451" s="10"/>
      <c r="C2451" s="10"/>
      <c r="D2451" s="10"/>
      <c r="E2451" s="10"/>
      <c r="F2451" s="10"/>
      <c r="G2451" s="11"/>
      <c r="H2451" s="12"/>
      <c r="I2451" s="13"/>
      <c r="J2451" s="12"/>
      <c r="K2451" s="13"/>
      <c r="L2451" s="11"/>
      <c r="M2451" s="13"/>
      <c r="N2451" s="11"/>
      <c r="O2451" s="13"/>
      <c r="P2451" s="11"/>
      <c r="Q2451" s="13"/>
      <c r="R2451" s="10"/>
      <c r="S2451" s="10"/>
      <c r="AB2451"/>
      <c r="AC2451"/>
    </row>
    <row r="2452" spans="1:29" x14ac:dyDescent="0.25">
      <c r="A2452" t="str">
        <f t="shared" si="39"/>
        <v/>
      </c>
      <c r="B2452" s="10"/>
      <c r="C2452" s="10"/>
      <c r="D2452" s="10"/>
      <c r="E2452" s="10"/>
      <c r="F2452" s="10"/>
      <c r="G2452" s="11"/>
      <c r="H2452" s="12"/>
      <c r="I2452" s="13"/>
      <c r="J2452" s="12"/>
      <c r="K2452" s="13"/>
      <c r="L2452" s="11"/>
      <c r="M2452" s="13"/>
      <c r="N2452" s="11"/>
      <c r="O2452" s="13"/>
      <c r="P2452" s="11"/>
      <c r="Q2452" s="13"/>
      <c r="R2452" s="10"/>
      <c r="S2452" s="10"/>
      <c r="AB2452"/>
      <c r="AC2452"/>
    </row>
    <row r="2453" spans="1:29" x14ac:dyDescent="0.25">
      <c r="A2453" t="str">
        <f t="shared" si="39"/>
        <v/>
      </c>
      <c r="B2453" s="10"/>
      <c r="C2453" s="10"/>
      <c r="D2453" s="10"/>
      <c r="E2453" s="10"/>
      <c r="F2453" s="10"/>
      <c r="G2453" s="11"/>
      <c r="H2453" s="12"/>
      <c r="I2453" s="13"/>
      <c r="J2453" s="12"/>
      <c r="K2453" s="13"/>
      <c r="L2453" s="11"/>
      <c r="M2453" s="13"/>
      <c r="N2453" s="11"/>
      <c r="O2453" s="13"/>
      <c r="P2453" s="11"/>
      <c r="Q2453" s="13"/>
      <c r="R2453" s="10"/>
      <c r="S2453" s="10"/>
      <c r="AB2453"/>
      <c r="AC2453"/>
    </row>
    <row r="2454" spans="1:29" x14ac:dyDescent="0.25">
      <c r="A2454" t="str">
        <f t="shared" si="39"/>
        <v/>
      </c>
      <c r="B2454" s="10"/>
      <c r="C2454" s="10"/>
      <c r="D2454" s="10"/>
      <c r="E2454" s="10"/>
      <c r="F2454" s="10"/>
      <c r="G2454" s="11"/>
      <c r="H2454" s="12"/>
      <c r="I2454" s="13"/>
      <c r="J2454" s="12"/>
      <c r="K2454" s="13"/>
      <c r="L2454" s="11"/>
      <c r="M2454" s="13"/>
      <c r="N2454" s="11"/>
      <c r="O2454" s="13"/>
      <c r="P2454" s="11"/>
      <c r="Q2454" s="13"/>
      <c r="R2454" s="10"/>
      <c r="S2454" s="10"/>
      <c r="AB2454"/>
      <c r="AC2454"/>
    </row>
    <row r="2455" spans="1:29" x14ac:dyDescent="0.25">
      <c r="A2455" t="str">
        <f t="shared" si="39"/>
        <v/>
      </c>
      <c r="B2455" s="10"/>
      <c r="C2455" s="10"/>
      <c r="D2455" s="10"/>
      <c r="E2455" s="10"/>
      <c r="F2455" s="10"/>
      <c r="G2455" s="11"/>
      <c r="H2455" s="12"/>
      <c r="I2455" s="13"/>
      <c r="J2455" s="12"/>
      <c r="K2455" s="13"/>
      <c r="L2455" s="11"/>
      <c r="M2455" s="13"/>
      <c r="N2455" s="11"/>
      <c r="O2455" s="13"/>
      <c r="P2455" s="11"/>
      <c r="Q2455" s="13"/>
      <c r="R2455" s="10"/>
      <c r="S2455" s="10"/>
      <c r="AB2455"/>
      <c r="AC2455"/>
    </row>
    <row r="2456" spans="1:29" x14ac:dyDescent="0.25">
      <c r="A2456" t="str">
        <f t="shared" si="39"/>
        <v/>
      </c>
      <c r="B2456" s="10"/>
      <c r="C2456" s="10"/>
      <c r="D2456" s="10"/>
      <c r="E2456" s="10"/>
      <c r="F2456" s="10"/>
      <c r="G2456" s="11"/>
      <c r="H2456" s="12"/>
      <c r="I2456" s="13"/>
      <c r="J2456" s="12"/>
      <c r="K2456" s="13"/>
      <c r="L2456" s="11"/>
      <c r="M2456" s="13"/>
      <c r="N2456" s="11"/>
      <c r="O2456" s="13"/>
      <c r="P2456" s="11"/>
      <c r="Q2456" s="13"/>
      <c r="R2456" s="10"/>
      <c r="S2456" s="10"/>
      <c r="AB2456"/>
      <c r="AC2456"/>
    </row>
    <row r="2457" spans="1:29" x14ac:dyDescent="0.25">
      <c r="A2457" t="str">
        <f t="shared" si="39"/>
        <v/>
      </c>
      <c r="B2457" s="10"/>
      <c r="C2457" s="10"/>
      <c r="D2457" s="10"/>
      <c r="E2457" s="10"/>
      <c r="F2457" s="10"/>
      <c r="G2457" s="11"/>
      <c r="H2457" s="12"/>
      <c r="I2457" s="13"/>
      <c r="J2457" s="12"/>
      <c r="K2457" s="13"/>
      <c r="L2457" s="11"/>
      <c r="M2457" s="13"/>
      <c r="N2457" s="11"/>
      <c r="O2457" s="13"/>
      <c r="P2457" s="11"/>
      <c r="Q2457" s="13"/>
      <c r="R2457" s="10"/>
      <c r="S2457" s="10"/>
      <c r="AB2457"/>
      <c r="AC2457"/>
    </row>
    <row r="2458" spans="1:29" x14ac:dyDescent="0.25">
      <c r="A2458" t="str">
        <f t="shared" si="39"/>
        <v/>
      </c>
      <c r="B2458" s="10"/>
      <c r="C2458" s="10"/>
      <c r="D2458" s="10"/>
      <c r="E2458" s="10"/>
      <c r="F2458" s="10"/>
      <c r="G2458" s="11"/>
      <c r="H2458" s="12"/>
      <c r="I2458" s="13"/>
      <c r="J2458" s="12"/>
      <c r="K2458" s="13"/>
      <c r="L2458" s="11"/>
      <c r="M2458" s="13"/>
      <c r="N2458" s="11"/>
      <c r="O2458" s="13"/>
      <c r="P2458" s="11"/>
      <c r="Q2458" s="13"/>
      <c r="R2458" s="10"/>
      <c r="S2458" s="10"/>
      <c r="AB2458"/>
      <c r="AC2458"/>
    </row>
    <row r="2459" spans="1:29" x14ac:dyDescent="0.25">
      <c r="A2459" t="str">
        <f t="shared" si="39"/>
        <v/>
      </c>
      <c r="B2459" s="10"/>
      <c r="C2459" s="10"/>
      <c r="D2459" s="10"/>
      <c r="E2459" s="10"/>
      <c r="F2459" s="10"/>
      <c r="G2459" s="11"/>
      <c r="H2459" s="12"/>
      <c r="I2459" s="13"/>
      <c r="J2459" s="12"/>
      <c r="K2459" s="13"/>
      <c r="L2459" s="11"/>
      <c r="M2459" s="13"/>
      <c r="N2459" s="11"/>
      <c r="O2459" s="13"/>
      <c r="P2459" s="11"/>
      <c r="Q2459" s="13"/>
      <c r="R2459" s="10"/>
      <c r="S2459" s="10"/>
      <c r="AB2459"/>
      <c r="AC2459"/>
    </row>
    <row r="2460" spans="1:29" x14ac:dyDescent="0.25">
      <c r="A2460" t="str">
        <f t="shared" si="39"/>
        <v/>
      </c>
      <c r="B2460" s="10"/>
      <c r="C2460" s="10"/>
      <c r="D2460" s="10"/>
      <c r="E2460" s="10"/>
      <c r="F2460" s="10"/>
      <c r="G2460" s="11"/>
      <c r="H2460" s="12"/>
      <c r="I2460" s="13"/>
      <c r="J2460" s="12"/>
      <c r="K2460" s="13"/>
      <c r="L2460" s="11"/>
      <c r="M2460" s="13"/>
      <c r="N2460" s="11"/>
      <c r="O2460" s="13"/>
      <c r="P2460" s="11"/>
      <c r="Q2460" s="13"/>
      <c r="R2460" s="10"/>
      <c r="S2460" s="10"/>
      <c r="AB2460"/>
      <c r="AC2460"/>
    </row>
    <row r="2461" spans="1:29" x14ac:dyDescent="0.25">
      <c r="A2461" t="str">
        <f t="shared" si="39"/>
        <v/>
      </c>
      <c r="B2461" s="10"/>
      <c r="C2461" s="10"/>
      <c r="D2461" s="10"/>
      <c r="E2461" s="10"/>
      <c r="F2461" s="10"/>
      <c r="G2461" s="11"/>
      <c r="H2461" s="12"/>
      <c r="I2461" s="13"/>
      <c r="J2461" s="12"/>
      <c r="K2461" s="13"/>
      <c r="L2461" s="11"/>
      <c r="M2461" s="13"/>
      <c r="N2461" s="11"/>
      <c r="O2461" s="13"/>
      <c r="P2461" s="11"/>
      <c r="Q2461" s="13"/>
      <c r="R2461" s="10"/>
      <c r="S2461" s="10"/>
      <c r="AB2461"/>
      <c r="AC2461"/>
    </row>
    <row r="2462" spans="1:29" x14ac:dyDescent="0.25">
      <c r="A2462" t="str">
        <f t="shared" si="39"/>
        <v/>
      </c>
      <c r="B2462" s="10"/>
      <c r="C2462" s="10"/>
      <c r="D2462" s="10"/>
      <c r="E2462" s="10"/>
      <c r="F2462" s="10"/>
      <c r="G2462" s="11"/>
      <c r="H2462" s="12"/>
      <c r="I2462" s="13"/>
      <c r="J2462" s="12"/>
      <c r="K2462" s="13"/>
      <c r="L2462" s="11"/>
      <c r="M2462" s="13"/>
      <c r="N2462" s="11"/>
      <c r="O2462" s="13"/>
      <c r="P2462" s="11"/>
      <c r="Q2462" s="13"/>
      <c r="R2462" s="10"/>
      <c r="S2462" s="10"/>
      <c r="AB2462"/>
      <c r="AC2462"/>
    </row>
    <row r="2463" spans="1:29" x14ac:dyDescent="0.25">
      <c r="A2463" t="str">
        <f t="shared" si="39"/>
        <v/>
      </c>
      <c r="B2463" s="10"/>
      <c r="C2463" s="10"/>
      <c r="D2463" s="10"/>
      <c r="E2463" s="10"/>
      <c r="F2463" s="10"/>
      <c r="G2463" s="11"/>
      <c r="H2463" s="12"/>
      <c r="I2463" s="13"/>
      <c r="J2463" s="12"/>
      <c r="K2463" s="13"/>
      <c r="L2463" s="11"/>
      <c r="M2463" s="13"/>
      <c r="N2463" s="11"/>
      <c r="O2463" s="13"/>
      <c r="P2463" s="11"/>
      <c r="Q2463" s="13"/>
      <c r="R2463" s="10"/>
      <c r="S2463" s="10"/>
      <c r="AB2463"/>
      <c r="AC2463"/>
    </row>
    <row r="2464" spans="1:29" x14ac:dyDescent="0.25">
      <c r="A2464" t="str">
        <f t="shared" si="39"/>
        <v/>
      </c>
      <c r="B2464" s="10"/>
      <c r="C2464" s="10"/>
      <c r="D2464" s="10"/>
      <c r="E2464" s="10"/>
      <c r="F2464" s="10"/>
      <c r="G2464" s="11"/>
      <c r="H2464" s="12"/>
      <c r="I2464" s="13"/>
      <c r="J2464" s="12"/>
      <c r="K2464" s="13"/>
      <c r="L2464" s="11"/>
      <c r="M2464" s="13"/>
      <c r="N2464" s="11"/>
      <c r="O2464" s="13"/>
      <c r="P2464" s="11"/>
      <c r="Q2464" s="13"/>
      <c r="R2464" s="10"/>
      <c r="S2464" s="10"/>
      <c r="AB2464"/>
      <c r="AC2464"/>
    </row>
    <row r="2465" spans="1:29" x14ac:dyDescent="0.25">
      <c r="A2465" t="str">
        <f t="shared" si="39"/>
        <v/>
      </c>
      <c r="B2465" s="10"/>
      <c r="C2465" s="10"/>
      <c r="D2465" s="10"/>
      <c r="E2465" s="10"/>
      <c r="F2465" s="10"/>
      <c r="G2465" s="11"/>
      <c r="H2465" s="12"/>
      <c r="I2465" s="13"/>
      <c r="J2465" s="12"/>
      <c r="K2465" s="13"/>
      <c r="L2465" s="11"/>
      <c r="M2465" s="13"/>
      <c r="N2465" s="11"/>
      <c r="O2465" s="13"/>
      <c r="P2465" s="11"/>
      <c r="Q2465" s="13"/>
      <c r="R2465" s="10"/>
      <c r="S2465" s="10"/>
      <c r="AB2465"/>
      <c r="AC2465"/>
    </row>
    <row r="2466" spans="1:29" x14ac:dyDescent="0.25">
      <c r="A2466" t="str">
        <f t="shared" si="39"/>
        <v/>
      </c>
      <c r="B2466" s="10"/>
      <c r="C2466" s="10"/>
      <c r="D2466" s="10"/>
      <c r="E2466" s="10"/>
      <c r="F2466" s="10"/>
      <c r="G2466" s="11"/>
      <c r="H2466" s="12"/>
      <c r="I2466" s="13"/>
      <c r="J2466" s="12"/>
      <c r="K2466" s="13"/>
      <c r="L2466" s="11"/>
      <c r="M2466" s="13"/>
      <c r="N2466" s="11"/>
      <c r="O2466" s="13"/>
      <c r="P2466" s="11"/>
      <c r="Q2466" s="13"/>
      <c r="R2466" s="10"/>
      <c r="S2466" s="10"/>
      <c r="AB2466"/>
      <c r="AC2466"/>
    </row>
    <row r="2467" spans="1:29" x14ac:dyDescent="0.25">
      <c r="A2467" t="str">
        <f t="shared" si="39"/>
        <v/>
      </c>
      <c r="B2467" s="10"/>
      <c r="C2467" s="10"/>
      <c r="D2467" s="10"/>
      <c r="E2467" s="10"/>
      <c r="F2467" s="10"/>
      <c r="G2467" s="11"/>
      <c r="H2467" s="12"/>
      <c r="I2467" s="13"/>
      <c r="J2467" s="12"/>
      <c r="K2467" s="13"/>
      <c r="L2467" s="11"/>
      <c r="M2467" s="13"/>
      <c r="N2467" s="11"/>
      <c r="O2467" s="13"/>
      <c r="P2467" s="11"/>
      <c r="Q2467" s="13"/>
      <c r="R2467" s="10"/>
      <c r="S2467" s="10"/>
      <c r="AB2467"/>
      <c r="AC2467"/>
    </row>
    <row r="2468" spans="1:29" x14ac:dyDescent="0.25">
      <c r="A2468" t="str">
        <f t="shared" si="39"/>
        <v/>
      </c>
      <c r="B2468" s="10"/>
      <c r="C2468" s="10"/>
      <c r="D2468" s="10"/>
      <c r="E2468" s="10"/>
      <c r="F2468" s="10"/>
      <c r="G2468" s="11"/>
      <c r="H2468" s="12"/>
      <c r="I2468" s="13"/>
      <c r="J2468" s="12"/>
      <c r="K2468" s="13"/>
      <c r="L2468" s="11"/>
      <c r="M2468" s="13"/>
      <c r="N2468" s="11"/>
      <c r="O2468" s="13"/>
      <c r="P2468" s="11"/>
      <c r="Q2468" s="13"/>
      <c r="R2468" s="10"/>
      <c r="S2468" s="10"/>
      <c r="AB2468"/>
      <c r="AC2468"/>
    </row>
    <row r="2469" spans="1:29" x14ac:dyDescent="0.25">
      <c r="A2469" t="str">
        <f t="shared" si="39"/>
        <v/>
      </c>
      <c r="B2469" s="10"/>
      <c r="C2469" s="10"/>
      <c r="D2469" s="10"/>
      <c r="E2469" s="10"/>
      <c r="F2469" s="10"/>
      <c r="G2469" s="11"/>
      <c r="H2469" s="12"/>
      <c r="I2469" s="13"/>
      <c r="J2469" s="12"/>
      <c r="K2469" s="13"/>
      <c r="L2469" s="11"/>
      <c r="M2469" s="13"/>
      <c r="N2469" s="11"/>
      <c r="O2469" s="13"/>
      <c r="P2469" s="11"/>
      <c r="Q2469" s="13"/>
      <c r="R2469" s="10"/>
      <c r="S2469" s="10"/>
      <c r="AB2469"/>
      <c r="AC2469"/>
    </row>
    <row r="2470" spans="1:29" x14ac:dyDescent="0.25">
      <c r="A2470" t="str">
        <f t="shared" si="39"/>
        <v/>
      </c>
      <c r="B2470" s="10"/>
      <c r="C2470" s="10"/>
      <c r="D2470" s="10"/>
      <c r="E2470" s="10"/>
      <c r="F2470" s="10"/>
      <c r="G2470" s="11"/>
      <c r="H2470" s="12"/>
      <c r="I2470" s="13"/>
      <c r="J2470" s="12"/>
      <c r="K2470" s="13"/>
      <c r="L2470" s="11"/>
      <c r="M2470" s="13"/>
      <c r="N2470" s="11"/>
      <c r="O2470" s="13"/>
      <c r="P2470" s="11"/>
      <c r="Q2470" s="13"/>
      <c r="R2470" s="10"/>
      <c r="S2470" s="10"/>
      <c r="AB2470"/>
      <c r="AC2470"/>
    </row>
    <row r="2471" spans="1:29" x14ac:dyDescent="0.25">
      <c r="A2471" t="str">
        <f t="shared" si="39"/>
        <v/>
      </c>
      <c r="B2471" s="10"/>
      <c r="C2471" s="10"/>
      <c r="D2471" s="10"/>
      <c r="E2471" s="10"/>
      <c r="F2471" s="10"/>
      <c r="G2471" s="11"/>
      <c r="H2471" s="12"/>
      <c r="I2471" s="13"/>
      <c r="J2471" s="12"/>
      <c r="K2471" s="13"/>
      <c r="L2471" s="11"/>
      <c r="M2471" s="13"/>
      <c r="N2471" s="11"/>
      <c r="O2471" s="13"/>
      <c r="P2471" s="11"/>
      <c r="Q2471" s="13"/>
      <c r="R2471" s="10"/>
      <c r="S2471" s="10"/>
      <c r="AB2471"/>
      <c r="AC2471"/>
    </row>
    <row r="2472" spans="1:29" x14ac:dyDescent="0.25">
      <c r="A2472" t="str">
        <f t="shared" si="39"/>
        <v/>
      </c>
      <c r="B2472" s="10"/>
      <c r="C2472" s="10"/>
      <c r="D2472" s="10"/>
      <c r="E2472" s="10"/>
      <c r="F2472" s="10"/>
      <c r="G2472" s="11"/>
      <c r="H2472" s="12"/>
      <c r="I2472" s="13"/>
      <c r="J2472" s="12"/>
      <c r="K2472" s="13"/>
      <c r="L2472" s="11"/>
      <c r="M2472" s="13"/>
      <c r="N2472" s="11"/>
      <c r="O2472" s="13"/>
      <c r="P2472" s="11"/>
      <c r="Q2472" s="13"/>
      <c r="R2472" s="10"/>
      <c r="S2472" s="10"/>
      <c r="AB2472"/>
      <c r="AC2472"/>
    </row>
    <row r="2473" spans="1:29" x14ac:dyDescent="0.25">
      <c r="A2473" t="str">
        <f t="shared" si="39"/>
        <v/>
      </c>
      <c r="B2473" s="10"/>
      <c r="C2473" s="10"/>
      <c r="D2473" s="10"/>
      <c r="E2473" s="10"/>
      <c r="F2473" s="10"/>
      <c r="G2473" s="11"/>
      <c r="H2473" s="12"/>
      <c r="I2473" s="13"/>
      <c r="J2473" s="12"/>
      <c r="K2473" s="13"/>
      <c r="L2473" s="11"/>
      <c r="M2473" s="13"/>
      <c r="N2473" s="11"/>
      <c r="O2473" s="13"/>
      <c r="P2473" s="11"/>
      <c r="Q2473" s="13"/>
      <c r="R2473" s="10"/>
      <c r="S2473" s="10"/>
      <c r="AB2473"/>
      <c r="AC2473"/>
    </row>
    <row r="2474" spans="1:29" x14ac:dyDescent="0.25">
      <c r="A2474" t="str">
        <f t="shared" si="39"/>
        <v/>
      </c>
      <c r="B2474" s="10"/>
      <c r="C2474" s="10"/>
      <c r="D2474" s="10"/>
      <c r="E2474" s="10"/>
      <c r="F2474" s="10"/>
      <c r="G2474" s="11"/>
      <c r="H2474" s="12"/>
      <c r="I2474" s="13"/>
      <c r="J2474" s="12"/>
      <c r="K2474" s="13"/>
      <c r="L2474" s="11"/>
      <c r="M2474" s="13"/>
      <c r="N2474" s="11"/>
      <c r="O2474" s="13"/>
      <c r="P2474" s="11"/>
      <c r="Q2474" s="13"/>
      <c r="R2474" s="10"/>
      <c r="S2474" s="10"/>
      <c r="AB2474"/>
      <c r="AC2474"/>
    </row>
    <row r="2475" spans="1:29" x14ac:dyDescent="0.25">
      <c r="A2475" t="str">
        <f t="shared" si="39"/>
        <v/>
      </c>
      <c r="B2475" s="10"/>
      <c r="C2475" s="10"/>
      <c r="D2475" s="10"/>
      <c r="E2475" s="10"/>
      <c r="F2475" s="10"/>
      <c r="G2475" s="11"/>
      <c r="H2475" s="12"/>
      <c r="I2475" s="13"/>
      <c r="J2475" s="12"/>
      <c r="K2475" s="13"/>
      <c r="L2475" s="11"/>
      <c r="M2475" s="13"/>
      <c r="N2475" s="11"/>
      <c r="O2475" s="13"/>
      <c r="P2475" s="11"/>
      <c r="Q2475" s="13"/>
      <c r="R2475" s="10"/>
      <c r="S2475" s="10"/>
      <c r="AB2475"/>
      <c r="AC2475"/>
    </row>
    <row r="2476" spans="1:29" x14ac:dyDescent="0.25">
      <c r="A2476" t="str">
        <f t="shared" si="39"/>
        <v/>
      </c>
      <c r="B2476" s="10"/>
      <c r="C2476" s="10"/>
      <c r="D2476" s="10"/>
      <c r="E2476" s="10"/>
      <c r="F2476" s="10"/>
      <c r="G2476" s="11"/>
      <c r="H2476" s="12"/>
      <c r="I2476" s="13"/>
      <c r="J2476" s="12"/>
      <c r="K2476" s="13"/>
      <c r="L2476" s="11"/>
      <c r="M2476" s="13"/>
      <c r="N2476" s="11"/>
      <c r="O2476" s="13"/>
      <c r="P2476" s="11"/>
      <c r="Q2476" s="13"/>
      <c r="R2476" s="10"/>
      <c r="S2476" s="10"/>
      <c r="AB2476"/>
      <c r="AC2476"/>
    </row>
    <row r="2477" spans="1:29" x14ac:dyDescent="0.25">
      <c r="A2477" t="str">
        <f t="shared" si="39"/>
        <v/>
      </c>
      <c r="B2477" s="10"/>
      <c r="C2477" s="10"/>
      <c r="D2477" s="10"/>
      <c r="E2477" s="10"/>
      <c r="F2477" s="10"/>
      <c r="G2477" s="11"/>
      <c r="H2477" s="12"/>
      <c r="I2477" s="13"/>
      <c r="J2477" s="12"/>
      <c r="K2477" s="13"/>
      <c r="L2477" s="11"/>
      <c r="M2477" s="13"/>
      <c r="N2477" s="11"/>
      <c r="O2477" s="13"/>
      <c r="P2477" s="11"/>
      <c r="Q2477" s="13"/>
      <c r="R2477" s="10"/>
      <c r="S2477" s="10"/>
      <c r="AB2477"/>
      <c r="AC2477"/>
    </row>
    <row r="2478" spans="1:29" x14ac:dyDescent="0.25">
      <c r="A2478" t="str">
        <f t="shared" si="39"/>
        <v/>
      </c>
      <c r="B2478" s="10"/>
      <c r="C2478" s="10"/>
      <c r="D2478" s="10"/>
      <c r="E2478" s="10"/>
      <c r="F2478" s="10"/>
      <c r="G2478" s="11"/>
      <c r="H2478" s="12"/>
      <c r="I2478" s="13"/>
      <c r="J2478" s="12"/>
      <c r="K2478" s="13"/>
      <c r="L2478" s="11"/>
      <c r="M2478" s="13"/>
      <c r="N2478" s="11"/>
      <c r="O2478" s="13"/>
      <c r="P2478" s="11"/>
      <c r="Q2478" s="13"/>
      <c r="R2478" s="10"/>
      <c r="S2478" s="10"/>
      <c r="AB2478"/>
      <c r="AC2478"/>
    </row>
    <row r="2479" spans="1:29" x14ac:dyDescent="0.25">
      <c r="A2479" t="str">
        <f t="shared" si="39"/>
        <v/>
      </c>
      <c r="B2479" s="10"/>
      <c r="C2479" s="10"/>
      <c r="D2479" s="10"/>
      <c r="E2479" s="10"/>
      <c r="F2479" s="10"/>
      <c r="G2479" s="11"/>
      <c r="H2479" s="12"/>
      <c r="I2479" s="13"/>
      <c r="J2479" s="12"/>
      <c r="K2479" s="13"/>
      <c r="L2479" s="11"/>
      <c r="M2479" s="13"/>
      <c r="N2479" s="11"/>
      <c r="O2479" s="13"/>
      <c r="P2479" s="11"/>
      <c r="Q2479" s="13"/>
      <c r="R2479" s="10"/>
      <c r="S2479" s="10"/>
      <c r="AB2479"/>
      <c r="AC2479"/>
    </row>
    <row r="2480" spans="1:29" x14ac:dyDescent="0.25">
      <c r="A2480" t="str">
        <f t="shared" si="39"/>
        <v/>
      </c>
      <c r="B2480" s="10"/>
      <c r="C2480" s="10"/>
      <c r="D2480" s="10"/>
      <c r="E2480" s="10"/>
      <c r="F2480" s="10"/>
      <c r="G2480" s="11"/>
      <c r="H2480" s="12"/>
      <c r="I2480" s="13"/>
      <c r="J2480" s="12"/>
      <c r="K2480" s="13"/>
      <c r="L2480" s="11"/>
      <c r="M2480" s="13"/>
      <c r="N2480" s="11"/>
      <c r="O2480" s="13"/>
      <c r="P2480" s="11"/>
      <c r="Q2480" s="13"/>
      <c r="R2480" s="10"/>
      <c r="S2480" s="10"/>
      <c r="AB2480"/>
      <c r="AC2480"/>
    </row>
    <row r="2481" spans="1:29" x14ac:dyDescent="0.25">
      <c r="A2481" t="str">
        <f t="shared" si="39"/>
        <v/>
      </c>
      <c r="B2481" s="10"/>
      <c r="C2481" s="10"/>
      <c r="D2481" s="10"/>
      <c r="E2481" s="10"/>
      <c r="F2481" s="10"/>
      <c r="G2481" s="11"/>
      <c r="H2481" s="12"/>
      <c r="I2481" s="13"/>
      <c r="J2481" s="12"/>
      <c r="K2481" s="13"/>
      <c r="L2481" s="11"/>
      <c r="M2481" s="13"/>
      <c r="N2481" s="11"/>
      <c r="O2481" s="13"/>
      <c r="P2481" s="11"/>
      <c r="Q2481" s="13"/>
      <c r="R2481" s="10"/>
      <c r="S2481" s="10"/>
      <c r="AB2481"/>
      <c r="AC2481"/>
    </row>
    <row r="2482" spans="1:29" x14ac:dyDescent="0.25">
      <c r="A2482" t="str">
        <f t="shared" si="39"/>
        <v/>
      </c>
      <c r="B2482" s="10"/>
      <c r="C2482" s="10"/>
      <c r="D2482" s="10"/>
      <c r="E2482" s="10"/>
      <c r="F2482" s="10"/>
      <c r="G2482" s="11"/>
      <c r="H2482" s="12"/>
      <c r="I2482" s="13"/>
      <c r="J2482" s="12"/>
      <c r="K2482" s="13"/>
      <c r="L2482" s="11"/>
      <c r="M2482" s="13"/>
      <c r="N2482" s="11"/>
      <c r="O2482" s="13"/>
      <c r="P2482" s="11"/>
      <c r="Q2482" s="13"/>
      <c r="R2482" s="10"/>
      <c r="S2482" s="10"/>
      <c r="AB2482"/>
      <c r="AC2482"/>
    </row>
    <row r="2483" spans="1:29" x14ac:dyDescent="0.25">
      <c r="A2483" t="str">
        <f t="shared" si="39"/>
        <v/>
      </c>
      <c r="B2483" s="10"/>
      <c r="C2483" s="10"/>
      <c r="D2483" s="10"/>
      <c r="E2483" s="10"/>
      <c r="F2483" s="10"/>
      <c r="G2483" s="11"/>
      <c r="H2483" s="12"/>
      <c r="I2483" s="13"/>
      <c r="J2483" s="12"/>
      <c r="K2483" s="13"/>
      <c r="L2483" s="11"/>
      <c r="M2483" s="13"/>
      <c r="N2483" s="11"/>
      <c r="O2483" s="13"/>
      <c r="P2483" s="11"/>
      <c r="Q2483" s="13"/>
      <c r="R2483" s="10"/>
      <c r="S2483" s="10"/>
      <c r="AB2483"/>
      <c r="AC2483"/>
    </row>
    <row r="2484" spans="1:29" x14ac:dyDescent="0.25">
      <c r="A2484" t="str">
        <f t="shared" si="39"/>
        <v/>
      </c>
      <c r="B2484" s="10"/>
      <c r="C2484" s="10"/>
      <c r="D2484" s="10"/>
      <c r="E2484" s="10"/>
      <c r="F2484" s="10"/>
      <c r="G2484" s="11"/>
      <c r="H2484" s="12"/>
      <c r="I2484" s="13"/>
      <c r="J2484" s="12"/>
      <c r="K2484" s="13"/>
      <c r="L2484" s="11"/>
      <c r="M2484" s="13"/>
      <c r="N2484" s="11"/>
      <c r="O2484" s="13"/>
      <c r="P2484" s="11"/>
      <c r="Q2484" s="13"/>
      <c r="R2484" s="10"/>
      <c r="S2484" s="10"/>
      <c r="AB2484"/>
      <c r="AC2484"/>
    </row>
    <row r="2485" spans="1:29" x14ac:dyDescent="0.25">
      <c r="A2485" t="str">
        <f t="shared" si="39"/>
        <v/>
      </c>
      <c r="B2485" s="10"/>
      <c r="C2485" s="10"/>
      <c r="D2485" s="10"/>
      <c r="E2485" s="10"/>
      <c r="F2485" s="10"/>
      <c r="G2485" s="11"/>
      <c r="H2485" s="12"/>
      <c r="I2485" s="13"/>
      <c r="J2485" s="12"/>
      <c r="K2485" s="13"/>
      <c r="L2485" s="11"/>
      <c r="M2485" s="13"/>
      <c r="N2485" s="11"/>
      <c r="O2485" s="13"/>
      <c r="P2485" s="11"/>
      <c r="Q2485" s="13"/>
      <c r="R2485" s="10"/>
      <c r="S2485" s="10"/>
      <c r="AB2485"/>
      <c r="AC2485"/>
    </row>
    <row r="2486" spans="1:29" x14ac:dyDescent="0.25">
      <c r="A2486" t="str">
        <f t="shared" si="39"/>
        <v/>
      </c>
      <c r="B2486" s="10"/>
      <c r="C2486" s="10"/>
      <c r="D2486" s="10"/>
      <c r="E2486" s="10"/>
      <c r="F2486" s="10"/>
      <c r="G2486" s="11"/>
      <c r="H2486" s="12"/>
      <c r="I2486" s="13"/>
      <c r="J2486" s="12"/>
      <c r="K2486" s="13"/>
      <c r="L2486" s="11"/>
      <c r="M2486" s="13"/>
      <c r="N2486" s="11"/>
      <c r="O2486" s="13"/>
      <c r="P2486" s="11"/>
      <c r="Q2486" s="13"/>
      <c r="R2486" s="10"/>
      <c r="S2486" s="10"/>
      <c r="AB2486"/>
      <c r="AC2486"/>
    </row>
    <row r="2487" spans="1:29" x14ac:dyDescent="0.25">
      <c r="A2487" t="str">
        <f t="shared" si="39"/>
        <v/>
      </c>
      <c r="B2487" s="10"/>
      <c r="C2487" s="10"/>
      <c r="D2487" s="10"/>
      <c r="E2487" s="10"/>
      <c r="F2487" s="10"/>
      <c r="G2487" s="11"/>
      <c r="H2487" s="12"/>
      <c r="I2487" s="13"/>
      <c r="J2487" s="12"/>
      <c r="K2487" s="13"/>
      <c r="L2487" s="11"/>
      <c r="M2487" s="13"/>
      <c r="N2487" s="11"/>
      <c r="O2487" s="13"/>
      <c r="P2487" s="11"/>
      <c r="Q2487" s="13"/>
      <c r="R2487" s="10"/>
      <c r="S2487" s="10"/>
      <c r="AB2487"/>
      <c r="AC2487"/>
    </row>
    <row r="2488" spans="1:29" x14ac:dyDescent="0.25">
      <c r="A2488" t="str">
        <f t="shared" si="39"/>
        <v/>
      </c>
      <c r="B2488" s="10"/>
      <c r="C2488" s="10"/>
      <c r="D2488" s="10"/>
      <c r="E2488" s="10"/>
      <c r="F2488" s="10"/>
      <c r="G2488" s="11"/>
      <c r="H2488" s="12"/>
      <c r="I2488" s="13"/>
      <c r="J2488" s="12"/>
      <c r="K2488" s="13"/>
      <c r="L2488" s="11"/>
      <c r="M2488" s="13"/>
      <c r="N2488" s="11"/>
      <c r="O2488" s="13"/>
      <c r="P2488" s="11"/>
      <c r="Q2488" s="13"/>
      <c r="R2488" s="10"/>
      <c r="S2488" s="10"/>
      <c r="AB2488"/>
      <c r="AC2488"/>
    </row>
    <row r="2489" spans="1:29" x14ac:dyDescent="0.25">
      <c r="A2489" t="str">
        <f t="shared" si="39"/>
        <v/>
      </c>
      <c r="B2489" s="10"/>
      <c r="C2489" s="10"/>
      <c r="D2489" s="10"/>
      <c r="E2489" s="10"/>
      <c r="F2489" s="10"/>
      <c r="G2489" s="11"/>
      <c r="H2489" s="12"/>
      <c r="I2489" s="13"/>
      <c r="J2489" s="12"/>
      <c r="K2489" s="13"/>
      <c r="L2489" s="11"/>
      <c r="M2489" s="13"/>
      <c r="N2489" s="11"/>
      <c r="O2489" s="13"/>
      <c r="P2489" s="11"/>
      <c r="Q2489" s="13"/>
      <c r="R2489" s="10"/>
      <c r="S2489" s="10"/>
      <c r="AB2489"/>
      <c r="AC2489"/>
    </row>
    <row r="2490" spans="1:29" x14ac:dyDescent="0.25">
      <c r="A2490" t="str">
        <f t="shared" si="39"/>
        <v/>
      </c>
      <c r="B2490" s="10"/>
      <c r="C2490" s="10"/>
      <c r="D2490" s="10"/>
      <c r="E2490" s="10"/>
      <c r="F2490" s="10"/>
      <c r="G2490" s="11"/>
      <c r="H2490" s="12"/>
      <c r="I2490" s="13"/>
      <c r="J2490" s="12"/>
      <c r="K2490" s="13"/>
      <c r="L2490" s="11"/>
      <c r="M2490" s="13"/>
      <c r="N2490" s="11"/>
      <c r="O2490" s="13"/>
      <c r="P2490" s="11"/>
      <c r="Q2490" s="13"/>
      <c r="R2490" s="10"/>
      <c r="S2490" s="10"/>
      <c r="AB2490"/>
      <c r="AC2490"/>
    </row>
    <row r="2491" spans="1:29" x14ac:dyDescent="0.25">
      <c r="A2491" t="str">
        <f t="shared" si="39"/>
        <v/>
      </c>
      <c r="B2491" s="10"/>
      <c r="C2491" s="10"/>
      <c r="D2491" s="10"/>
      <c r="E2491" s="10"/>
      <c r="F2491" s="10"/>
      <c r="G2491" s="11"/>
      <c r="H2491" s="12"/>
      <c r="I2491" s="13"/>
      <c r="J2491" s="12"/>
      <c r="K2491" s="13"/>
      <c r="L2491" s="11"/>
      <c r="M2491" s="13"/>
      <c r="N2491" s="11"/>
      <c r="O2491" s="13"/>
      <c r="P2491" s="11"/>
      <c r="Q2491" s="13"/>
      <c r="R2491" s="10"/>
      <c r="S2491" s="10"/>
      <c r="AB2491"/>
      <c r="AC2491"/>
    </row>
    <row r="2492" spans="1:29" x14ac:dyDescent="0.25">
      <c r="A2492" t="str">
        <f t="shared" si="39"/>
        <v/>
      </c>
      <c r="B2492" s="10"/>
      <c r="C2492" s="10"/>
      <c r="D2492" s="10"/>
      <c r="E2492" s="10"/>
      <c r="F2492" s="10"/>
      <c r="G2492" s="11"/>
      <c r="H2492" s="12"/>
      <c r="I2492" s="13"/>
      <c r="J2492" s="12"/>
      <c r="K2492" s="13"/>
      <c r="L2492" s="11"/>
      <c r="M2492" s="13"/>
      <c r="N2492" s="11"/>
      <c r="O2492" s="13"/>
      <c r="P2492" s="11"/>
      <c r="Q2492" s="13"/>
      <c r="R2492" s="10"/>
      <c r="S2492" s="10"/>
      <c r="AB2492"/>
      <c r="AC2492"/>
    </row>
    <row r="2493" spans="1:29" x14ac:dyDescent="0.25">
      <c r="A2493" t="str">
        <f t="shared" si="39"/>
        <v/>
      </c>
      <c r="B2493" s="10"/>
      <c r="C2493" s="10"/>
      <c r="D2493" s="10"/>
      <c r="E2493" s="10"/>
      <c r="F2493" s="10"/>
      <c r="G2493" s="11"/>
      <c r="H2493" s="12"/>
      <c r="I2493" s="13"/>
      <c r="J2493" s="12"/>
      <c r="K2493" s="13"/>
      <c r="L2493" s="11"/>
      <c r="M2493" s="13"/>
      <c r="N2493" s="11"/>
      <c r="O2493" s="13"/>
      <c r="P2493" s="11"/>
      <c r="Q2493" s="13"/>
      <c r="R2493" s="10"/>
      <c r="S2493" s="10"/>
      <c r="AB2493"/>
      <c r="AC2493"/>
    </row>
    <row r="2494" spans="1:29" x14ac:dyDescent="0.25">
      <c r="A2494" t="str">
        <f t="shared" si="39"/>
        <v/>
      </c>
      <c r="B2494" s="10"/>
      <c r="C2494" s="10"/>
      <c r="D2494" s="10"/>
      <c r="E2494" s="10"/>
      <c r="F2494" s="10"/>
      <c r="G2494" s="11"/>
      <c r="H2494" s="12"/>
      <c r="I2494" s="13"/>
      <c r="J2494" s="12"/>
      <c r="K2494" s="13"/>
      <c r="L2494" s="11"/>
      <c r="M2494" s="13"/>
      <c r="N2494" s="11"/>
      <c r="O2494" s="13"/>
      <c r="P2494" s="11"/>
      <c r="Q2494" s="13"/>
      <c r="R2494" s="10"/>
      <c r="S2494" s="10"/>
      <c r="AB2494"/>
      <c r="AC2494"/>
    </row>
    <row r="2495" spans="1:29" x14ac:dyDescent="0.25">
      <c r="A2495" t="str">
        <f t="shared" si="39"/>
        <v/>
      </c>
      <c r="B2495" s="10"/>
      <c r="C2495" s="10"/>
      <c r="D2495" s="10"/>
      <c r="E2495" s="10"/>
      <c r="F2495" s="10"/>
      <c r="G2495" s="11"/>
      <c r="H2495" s="12"/>
      <c r="I2495" s="13"/>
      <c r="J2495" s="12"/>
      <c r="K2495" s="13"/>
      <c r="L2495" s="11"/>
      <c r="M2495" s="13"/>
      <c r="N2495" s="11"/>
      <c r="O2495" s="13"/>
      <c r="P2495" s="11"/>
      <c r="Q2495" s="13"/>
      <c r="R2495" s="10"/>
      <c r="S2495" s="10"/>
      <c r="AB2495"/>
      <c r="AC2495"/>
    </row>
    <row r="2496" spans="1:29" x14ac:dyDescent="0.25">
      <c r="A2496" t="str">
        <f t="shared" si="39"/>
        <v/>
      </c>
      <c r="B2496" s="10"/>
      <c r="C2496" s="10"/>
      <c r="D2496" s="10"/>
      <c r="E2496" s="10"/>
      <c r="F2496" s="10"/>
      <c r="G2496" s="11"/>
      <c r="H2496" s="12"/>
      <c r="I2496" s="13"/>
      <c r="J2496" s="12"/>
      <c r="K2496" s="13"/>
      <c r="L2496" s="11"/>
      <c r="M2496" s="13"/>
      <c r="N2496" s="11"/>
      <c r="O2496" s="13"/>
      <c r="P2496" s="11"/>
      <c r="Q2496" s="13"/>
      <c r="R2496" s="10"/>
      <c r="S2496" s="10"/>
      <c r="AB2496"/>
      <c r="AC2496"/>
    </row>
    <row r="2497" spans="1:29" x14ac:dyDescent="0.25">
      <c r="A2497" t="str">
        <f t="shared" si="39"/>
        <v/>
      </c>
      <c r="B2497" s="10"/>
      <c r="C2497" s="10"/>
      <c r="D2497" s="10"/>
      <c r="E2497" s="10"/>
      <c r="F2497" s="10"/>
      <c r="G2497" s="11"/>
      <c r="H2497" s="12"/>
      <c r="I2497" s="13"/>
      <c r="J2497" s="12"/>
      <c r="K2497" s="13"/>
      <c r="L2497" s="11"/>
      <c r="M2497" s="13"/>
      <c r="N2497" s="11"/>
      <c r="O2497" s="13"/>
      <c r="P2497" s="11"/>
      <c r="Q2497" s="13"/>
      <c r="R2497" s="10"/>
      <c r="S2497" s="10"/>
      <c r="AB2497"/>
      <c r="AC2497"/>
    </row>
    <row r="2498" spans="1:29" x14ac:dyDescent="0.25">
      <c r="A2498" t="str">
        <f t="shared" si="39"/>
        <v/>
      </c>
      <c r="B2498" s="10"/>
      <c r="C2498" s="10"/>
      <c r="D2498" s="10"/>
      <c r="E2498" s="10"/>
      <c r="F2498" s="10"/>
      <c r="G2498" s="11"/>
      <c r="H2498" s="12"/>
      <c r="I2498" s="13"/>
      <c r="J2498" s="12"/>
      <c r="K2498" s="13"/>
      <c r="L2498" s="11"/>
      <c r="M2498" s="13"/>
      <c r="N2498" s="11"/>
      <c r="O2498" s="13"/>
      <c r="P2498" s="11"/>
      <c r="Q2498" s="13"/>
      <c r="R2498" s="10"/>
      <c r="S2498" s="10"/>
      <c r="AB2498"/>
      <c r="AC2498"/>
    </row>
    <row r="2499" spans="1:29" x14ac:dyDescent="0.25">
      <c r="A2499" t="str">
        <f t="shared" si="39"/>
        <v/>
      </c>
      <c r="B2499" s="10"/>
      <c r="C2499" s="10"/>
      <c r="D2499" s="10"/>
      <c r="E2499" s="10"/>
      <c r="F2499" s="10"/>
      <c r="G2499" s="11"/>
      <c r="H2499" s="12"/>
      <c r="I2499" s="13"/>
      <c r="J2499" s="12"/>
      <c r="K2499" s="13"/>
      <c r="L2499" s="11"/>
      <c r="M2499" s="13"/>
      <c r="N2499" s="11"/>
      <c r="O2499" s="13"/>
      <c r="P2499" s="11"/>
      <c r="Q2499" s="13"/>
      <c r="R2499" s="10"/>
      <c r="S2499" s="10"/>
      <c r="AB2499"/>
      <c r="AC2499"/>
    </row>
    <row r="2500" spans="1:29" x14ac:dyDescent="0.25">
      <c r="A2500" t="str">
        <f t="shared" si="39"/>
        <v/>
      </c>
      <c r="B2500" s="10"/>
      <c r="C2500" s="10"/>
      <c r="D2500" s="10"/>
      <c r="E2500" s="10"/>
      <c r="F2500" s="10"/>
      <c r="G2500" s="11"/>
      <c r="H2500" s="12"/>
      <c r="I2500" s="13"/>
      <c r="J2500" s="12"/>
      <c r="K2500" s="13"/>
      <c r="L2500" s="11"/>
      <c r="M2500" s="13"/>
      <c r="N2500" s="11"/>
      <c r="O2500" s="13"/>
      <c r="P2500" s="11"/>
      <c r="Q2500" s="13"/>
      <c r="R2500" s="10"/>
      <c r="S2500" s="10"/>
      <c r="AB2500"/>
      <c r="AC2500"/>
    </row>
    <row r="2501" spans="1:29" x14ac:dyDescent="0.25">
      <c r="A2501" t="str">
        <f t="shared" si="39"/>
        <v/>
      </c>
      <c r="B2501" s="10"/>
      <c r="C2501" s="10"/>
      <c r="D2501" s="10"/>
      <c r="E2501" s="10"/>
      <c r="F2501" s="10"/>
      <c r="G2501" s="11"/>
      <c r="H2501" s="12"/>
      <c r="I2501" s="13"/>
      <c r="J2501" s="12"/>
      <c r="K2501" s="13"/>
      <c r="L2501" s="11"/>
      <c r="M2501" s="13"/>
      <c r="N2501" s="11"/>
      <c r="O2501" s="13"/>
      <c r="P2501" s="11"/>
      <c r="Q2501" s="13"/>
      <c r="R2501" s="10"/>
      <c r="S2501" s="10"/>
      <c r="AB2501"/>
      <c r="AC2501"/>
    </row>
    <row r="2502" spans="1:29" x14ac:dyDescent="0.25">
      <c r="A2502" t="str">
        <f t="shared" si="39"/>
        <v/>
      </c>
      <c r="B2502" s="10"/>
      <c r="C2502" s="10"/>
      <c r="D2502" s="10"/>
      <c r="E2502" s="10"/>
      <c r="F2502" s="10"/>
      <c r="G2502" s="11"/>
      <c r="H2502" s="12"/>
      <c r="I2502" s="13"/>
      <c r="J2502" s="12"/>
      <c r="K2502" s="13"/>
      <c r="L2502" s="11"/>
      <c r="M2502" s="13"/>
      <c r="N2502" s="11"/>
      <c r="O2502" s="13"/>
      <c r="P2502" s="11"/>
      <c r="Q2502" s="13"/>
      <c r="R2502" s="10"/>
      <c r="S2502" s="10"/>
      <c r="AB2502"/>
      <c r="AC2502"/>
    </row>
    <row r="2503" spans="1:29" x14ac:dyDescent="0.25">
      <c r="A2503" t="str">
        <f t="shared" ref="A2503:A2566" si="40">B2501&amp;D2501</f>
        <v/>
      </c>
      <c r="B2503" s="10"/>
      <c r="C2503" s="10"/>
      <c r="D2503" s="10"/>
      <c r="E2503" s="10"/>
      <c r="F2503" s="10"/>
      <c r="G2503" s="11"/>
      <c r="H2503" s="12"/>
      <c r="I2503" s="13"/>
      <c r="J2503" s="12"/>
      <c r="K2503" s="13"/>
      <c r="L2503" s="11"/>
      <c r="M2503" s="13"/>
      <c r="N2503" s="11"/>
      <c r="O2503" s="13"/>
      <c r="P2503" s="11"/>
      <c r="Q2503" s="13"/>
      <c r="R2503" s="10"/>
      <c r="S2503" s="10"/>
      <c r="AB2503"/>
      <c r="AC2503"/>
    </row>
    <row r="2504" spans="1:29" x14ac:dyDescent="0.25">
      <c r="A2504" t="str">
        <f t="shared" si="40"/>
        <v/>
      </c>
      <c r="B2504" s="10"/>
      <c r="C2504" s="10"/>
      <c r="D2504" s="10"/>
      <c r="E2504" s="10"/>
      <c r="F2504" s="10"/>
      <c r="G2504" s="11"/>
      <c r="H2504" s="12"/>
      <c r="I2504" s="13"/>
      <c r="J2504" s="12"/>
      <c r="K2504" s="13"/>
      <c r="L2504" s="11"/>
      <c r="M2504" s="13"/>
      <c r="N2504" s="11"/>
      <c r="O2504" s="13"/>
      <c r="P2504" s="11"/>
      <c r="Q2504" s="13"/>
      <c r="R2504" s="10"/>
      <c r="S2504" s="10"/>
      <c r="AB2504"/>
      <c r="AC2504"/>
    </row>
    <row r="2505" spans="1:29" x14ac:dyDescent="0.25">
      <c r="A2505" t="str">
        <f t="shared" si="40"/>
        <v/>
      </c>
      <c r="B2505" s="10"/>
      <c r="C2505" s="10"/>
      <c r="D2505" s="10"/>
      <c r="E2505" s="10"/>
      <c r="F2505" s="10"/>
      <c r="G2505" s="11"/>
      <c r="H2505" s="12"/>
      <c r="I2505" s="13"/>
      <c r="J2505" s="12"/>
      <c r="K2505" s="13"/>
      <c r="L2505" s="11"/>
      <c r="M2505" s="13"/>
      <c r="N2505" s="11"/>
      <c r="O2505" s="13"/>
      <c r="P2505" s="11"/>
      <c r="Q2505" s="13"/>
      <c r="R2505" s="10"/>
      <c r="S2505" s="10"/>
      <c r="AB2505"/>
      <c r="AC2505"/>
    </row>
    <row r="2506" spans="1:29" x14ac:dyDescent="0.25">
      <c r="A2506" t="str">
        <f t="shared" si="40"/>
        <v/>
      </c>
      <c r="B2506" s="10"/>
      <c r="C2506" s="10"/>
      <c r="D2506" s="10"/>
      <c r="E2506" s="10"/>
      <c r="F2506" s="10"/>
      <c r="G2506" s="11"/>
      <c r="H2506" s="12"/>
      <c r="I2506" s="13"/>
      <c r="J2506" s="12"/>
      <c r="K2506" s="13"/>
      <c r="L2506" s="11"/>
      <c r="M2506" s="13"/>
      <c r="N2506" s="11"/>
      <c r="O2506" s="13"/>
      <c r="P2506" s="11"/>
      <c r="Q2506" s="13"/>
      <c r="R2506" s="10"/>
      <c r="S2506" s="10"/>
      <c r="AB2506"/>
      <c r="AC2506"/>
    </row>
    <row r="2507" spans="1:29" x14ac:dyDescent="0.25">
      <c r="A2507" t="str">
        <f t="shared" si="40"/>
        <v/>
      </c>
      <c r="B2507" s="10"/>
      <c r="C2507" s="10"/>
      <c r="D2507" s="10"/>
      <c r="E2507" s="10"/>
      <c r="F2507" s="10"/>
      <c r="G2507" s="11"/>
      <c r="H2507" s="12"/>
      <c r="I2507" s="13"/>
      <c r="J2507" s="12"/>
      <c r="K2507" s="13"/>
      <c r="L2507" s="11"/>
      <c r="M2507" s="13"/>
      <c r="N2507" s="11"/>
      <c r="O2507" s="13"/>
      <c r="P2507" s="11"/>
      <c r="Q2507" s="13"/>
      <c r="R2507" s="10"/>
      <c r="S2507" s="10"/>
      <c r="AB2507"/>
      <c r="AC2507"/>
    </row>
    <row r="2508" spans="1:29" x14ac:dyDescent="0.25">
      <c r="A2508" t="str">
        <f t="shared" si="40"/>
        <v/>
      </c>
      <c r="B2508" s="10"/>
      <c r="C2508" s="10"/>
      <c r="D2508" s="10"/>
      <c r="E2508" s="10"/>
      <c r="F2508" s="10"/>
      <c r="G2508" s="11"/>
      <c r="H2508" s="12"/>
      <c r="I2508" s="13"/>
      <c r="J2508" s="12"/>
      <c r="K2508" s="13"/>
      <c r="L2508" s="11"/>
      <c r="M2508" s="13"/>
      <c r="N2508" s="11"/>
      <c r="O2508" s="13"/>
      <c r="P2508" s="11"/>
      <c r="Q2508" s="13"/>
      <c r="R2508" s="10"/>
      <c r="S2508" s="10"/>
      <c r="AB2508"/>
      <c r="AC2508"/>
    </row>
    <row r="2509" spans="1:29" x14ac:dyDescent="0.25">
      <c r="A2509" t="str">
        <f t="shared" si="40"/>
        <v/>
      </c>
      <c r="B2509" s="10"/>
      <c r="C2509" s="10"/>
      <c r="D2509" s="10"/>
      <c r="E2509" s="10"/>
      <c r="F2509" s="10"/>
      <c r="G2509" s="11"/>
      <c r="H2509" s="12"/>
      <c r="I2509" s="13"/>
      <c r="J2509" s="12"/>
      <c r="K2509" s="13"/>
      <c r="L2509" s="11"/>
      <c r="M2509" s="13"/>
      <c r="N2509" s="11"/>
      <c r="O2509" s="13"/>
      <c r="P2509" s="11"/>
      <c r="Q2509" s="13"/>
      <c r="R2509" s="10"/>
      <c r="S2509" s="10"/>
      <c r="AB2509"/>
      <c r="AC2509"/>
    </row>
    <row r="2510" spans="1:29" x14ac:dyDescent="0.25">
      <c r="A2510" t="str">
        <f t="shared" si="40"/>
        <v/>
      </c>
      <c r="B2510" s="10"/>
      <c r="C2510" s="10"/>
      <c r="D2510" s="10"/>
      <c r="E2510" s="10"/>
      <c r="F2510" s="10"/>
      <c r="G2510" s="11"/>
      <c r="H2510" s="12"/>
      <c r="I2510" s="13"/>
      <c r="J2510" s="12"/>
      <c r="K2510" s="13"/>
      <c r="L2510" s="11"/>
      <c r="M2510" s="13"/>
      <c r="N2510" s="11"/>
      <c r="O2510" s="13"/>
      <c r="P2510" s="11"/>
      <c r="Q2510" s="13"/>
      <c r="R2510" s="10"/>
      <c r="S2510" s="10"/>
      <c r="AB2510"/>
      <c r="AC2510"/>
    </row>
    <row r="2511" spans="1:29" x14ac:dyDescent="0.25">
      <c r="A2511" t="str">
        <f t="shared" si="40"/>
        <v/>
      </c>
      <c r="B2511" s="10"/>
      <c r="C2511" s="10"/>
      <c r="D2511" s="10"/>
      <c r="E2511" s="10"/>
      <c r="F2511" s="10"/>
      <c r="G2511" s="11"/>
      <c r="H2511" s="12"/>
      <c r="I2511" s="13"/>
      <c r="J2511" s="12"/>
      <c r="K2511" s="13"/>
      <c r="L2511" s="11"/>
      <c r="M2511" s="13"/>
      <c r="N2511" s="11"/>
      <c r="O2511" s="13"/>
      <c r="P2511" s="11"/>
      <c r="Q2511" s="13"/>
      <c r="R2511" s="10"/>
      <c r="S2511" s="10"/>
      <c r="AB2511"/>
      <c r="AC2511"/>
    </row>
    <row r="2512" spans="1:29" x14ac:dyDescent="0.25">
      <c r="A2512" t="str">
        <f t="shared" si="40"/>
        <v/>
      </c>
      <c r="B2512" s="10"/>
      <c r="C2512" s="10"/>
      <c r="D2512" s="10"/>
      <c r="E2512" s="10"/>
      <c r="F2512" s="10"/>
      <c r="G2512" s="11"/>
      <c r="H2512" s="12"/>
      <c r="I2512" s="13"/>
      <c r="J2512" s="12"/>
      <c r="K2512" s="13"/>
      <c r="L2512" s="11"/>
      <c r="M2512" s="13"/>
      <c r="N2512" s="11"/>
      <c r="O2512" s="13"/>
      <c r="P2512" s="11"/>
      <c r="Q2512" s="13"/>
      <c r="R2512" s="10"/>
      <c r="S2512" s="10"/>
      <c r="AB2512"/>
      <c r="AC2512"/>
    </row>
    <row r="2513" spans="1:29" x14ac:dyDescent="0.25">
      <c r="A2513" t="str">
        <f t="shared" si="40"/>
        <v/>
      </c>
      <c r="B2513" s="10"/>
      <c r="C2513" s="10"/>
      <c r="D2513" s="10"/>
      <c r="E2513" s="10"/>
      <c r="F2513" s="10"/>
      <c r="G2513" s="11"/>
      <c r="H2513" s="12"/>
      <c r="I2513" s="13"/>
      <c r="J2513" s="12"/>
      <c r="K2513" s="13"/>
      <c r="L2513" s="11"/>
      <c r="M2513" s="13"/>
      <c r="N2513" s="11"/>
      <c r="O2513" s="13"/>
      <c r="P2513" s="11"/>
      <c r="Q2513" s="13"/>
      <c r="R2513" s="10"/>
      <c r="S2513" s="10"/>
      <c r="AB2513"/>
      <c r="AC2513"/>
    </row>
    <row r="2514" spans="1:29" x14ac:dyDescent="0.25">
      <c r="A2514" t="str">
        <f t="shared" si="40"/>
        <v/>
      </c>
      <c r="B2514" s="10"/>
      <c r="C2514" s="10"/>
      <c r="D2514" s="10"/>
      <c r="E2514" s="10"/>
      <c r="F2514" s="10"/>
      <c r="G2514" s="11"/>
      <c r="H2514" s="12"/>
      <c r="I2514" s="13"/>
      <c r="J2514" s="12"/>
      <c r="K2514" s="13"/>
      <c r="L2514" s="11"/>
      <c r="M2514" s="13"/>
      <c r="N2514" s="11"/>
      <c r="O2514" s="13"/>
      <c r="P2514" s="11"/>
      <c r="Q2514" s="13"/>
      <c r="R2514" s="10"/>
      <c r="S2514" s="10"/>
      <c r="AB2514"/>
      <c r="AC2514"/>
    </row>
    <row r="2515" spans="1:29" x14ac:dyDescent="0.25">
      <c r="A2515" t="str">
        <f t="shared" si="40"/>
        <v/>
      </c>
      <c r="B2515" s="10"/>
      <c r="C2515" s="10"/>
      <c r="D2515" s="10"/>
      <c r="E2515" s="10"/>
      <c r="F2515" s="10"/>
      <c r="G2515" s="11"/>
      <c r="H2515" s="12"/>
      <c r="I2515" s="13"/>
      <c r="J2515" s="12"/>
      <c r="K2515" s="13"/>
      <c r="L2515" s="11"/>
      <c r="M2515" s="13"/>
      <c r="N2515" s="11"/>
      <c r="O2515" s="13"/>
      <c r="P2515" s="11"/>
      <c r="Q2515" s="13"/>
      <c r="R2515" s="10"/>
      <c r="S2515" s="10"/>
      <c r="AB2515"/>
      <c r="AC2515"/>
    </row>
    <row r="2516" spans="1:29" x14ac:dyDescent="0.25">
      <c r="A2516" t="str">
        <f t="shared" si="40"/>
        <v/>
      </c>
      <c r="B2516" s="10"/>
      <c r="C2516" s="10"/>
      <c r="D2516" s="10"/>
      <c r="E2516" s="10"/>
      <c r="F2516" s="10"/>
      <c r="G2516" s="11"/>
      <c r="H2516" s="12"/>
      <c r="I2516" s="13"/>
      <c r="J2516" s="12"/>
      <c r="K2516" s="13"/>
      <c r="L2516" s="11"/>
      <c r="M2516" s="13"/>
      <c r="N2516" s="11"/>
      <c r="O2516" s="13"/>
      <c r="P2516" s="11"/>
      <c r="Q2516" s="13"/>
      <c r="R2516" s="10"/>
      <c r="S2516" s="10"/>
      <c r="AB2516"/>
      <c r="AC2516"/>
    </row>
    <row r="2517" spans="1:29" x14ac:dyDescent="0.25">
      <c r="A2517" t="str">
        <f t="shared" si="40"/>
        <v/>
      </c>
      <c r="B2517" s="10"/>
      <c r="C2517" s="10"/>
      <c r="D2517" s="10"/>
      <c r="E2517" s="10"/>
      <c r="F2517" s="10"/>
      <c r="G2517" s="11"/>
      <c r="H2517" s="12"/>
      <c r="I2517" s="13"/>
      <c r="J2517" s="12"/>
      <c r="K2517" s="13"/>
      <c r="L2517" s="11"/>
      <c r="M2517" s="13"/>
      <c r="N2517" s="11"/>
      <c r="O2517" s="13"/>
      <c r="P2517" s="11"/>
      <c r="Q2517" s="13"/>
      <c r="R2517" s="10"/>
      <c r="S2517" s="10"/>
      <c r="AB2517"/>
      <c r="AC2517"/>
    </row>
    <row r="2518" spans="1:29" x14ac:dyDescent="0.25">
      <c r="A2518" t="str">
        <f t="shared" si="40"/>
        <v/>
      </c>
      <c r="B2518" s="10"/>
      <c r="C2518" s="10"/>
      <c r="D2518" s="10"/>
      <c r="E2518" s="10"/>
      <c r="F2518" s="10"/>
      <c r="G2518" s="11"/>
      <c r="H2518" s="12"/>
      <c r="I2518" s="13"/>
      <c r="J2518" s="12"/>
      <c r="K2518" s="13"/>
      <c r="L2518" s="11"/>
      <c r="M2518" s="13"/>
      <c r="N2518" s="11"/>
      <c r="O2518" s="13"/>
      <c r="P2518" s="11"/>
      <c r="Q2518" s="13"/>
      <c r="R2518" s="10"/>
      <c r="S2518" s="10"/>
      <c r="AB2518"/>
      <c r="AC2518"/>
    </row>
    <row r="2519" spans="1:29" x14ac:dyDescent="0.25">
      <c r="A2519" t="str">
        <f t="shared" si="40"/>
        <v/>
      </c>
      <c r="B2519" s="10"/>
      <c r="C2519" s="10"/>
      <c r="D2519" s="10"/>
      <c r="E2519" s="10"/>
      <c r="F2519" s="10"/>
      <c r="G2519" s="11"/>
      <c r="H2519" s="12"/>
      <c r="I2519" s="13"/>
      <c r="J2519" s="12"/>
      <c r="K2519" s="13"/>
      <c r="L2519" s="11"/>
      <c r="M2519" s="13"/>
      <c r="N2519" s="11"/>
      <c r="O2519" s="13"/>
      <c r="P2519" s="11"/>
      <c r="Q2519" s="13"/>
      <c r="R2519" s="10"/>
      <c r="S2519" s="10"/>
      <c r="AB2519"/>
      <c r="AC2519"/>
    </row>
    <row r="2520" spans="1:29" x14ac:dyDescent="0.25">
      <c r="A2520" t="str">
        <f t="shared" si="40"/>
        <v/>
      </c>
      <c r="B2520" s="10"/>
      <c r="C2520" s="10"/>
      <c r="D2520" s="10"/>
      <c r="E2520" s="10"/>
      <c r="F2520" s="10"/>
      <c r="G2520" s="11"/>
      <c r="H2520" s="12"/>
      <c r="I2520" s="13"/>
      <c r="J2520" s="12"/>
      <c r="K2520" s="13"/>
      <c r="L2520" s="11"/>
      <c r="M2520" s="13"/>
      <c r="N2520" s="11"/>
      <c r="O2520" s="13"/>
      <c r="P2520" s="11"/>
      <c r="Q2520" s="13"/>
      <c r="R2520" s="10"/>
      <c r="S2520" s="10"/>
      <c r="AB2520"/>
      <c r="AC2520"/>
    </row>
    <row r="2521" spans="1:29" x14ac:dyDescent="0.25">
      <c r="A2521" t="str">
        <f t="shared" si="40"/>
        <v/>
      </c>
      <c r="B2521" s="10"/>
      <c r="C2521" s="10"/>
      <c r="D2521" s="10"/>
      <c r="E2521" s="10"/>
      <c r="F2521" s="10"/>
      <c r="G2521" s="11"/>
      <c r="H2521" s="12"/>
      <c r="I2521" s="13"/>
      <c r="J2521" s="12"/>
      <c r="K2521" s="13"/>
      <c r="L2521" s="11"/>
      <c r="M2521" s="13"/>
      <c r="N2521" s="11"/>
      <c r="O2521" s="13"/>
      <c r="P2521" s="11"/>
      <c r="Q2521" s="13"/>
      <c r="R2521" s="10"/>
      <c r="S2521" s="10"/>
      <c r="AB2521"/>
      <c r="AC2521"/>
    </row>
    <row r="2522" spans="1:29" x14ac:dyDescent="0.25">
      <c r="A2522" t="str">
        <f t="shared" si="40"/>
        <v/>
      </c>
      <c r="B2522" s="10"/>
      <c r="C2522" s="10"/>
      <c r="D2522" s="10"/>
      <c r="E2522" s="10"/>
      <c r="F2522" s="10"/>
      <c r="G2522" s="11"/>
      <c r="H2522" s="12"/>
      <c r="I2522" s="13"/>
      <c r="J2522" s="12"/>
      <c r="K2522" s="13"/>
      <c r="L2522" s="11"/>
      <c r="M2522" s="13"/>
      <c r="N2522" s="11"/>
      <c r="O2522" s="13"/>
      <c r="P2522" s="11"/>
      <c r="Q2522" s="13"/>
      <c r="R2522" s="10"/>
      <c r="S2522" s="10"/>
      <c r="AB2522"/>
      <c r="AC2522"/>
    </row>
    <row r="2523" spans="1:29" x14ac:dyDescent="0.25">
      <c r="A2523" t="str">
        <f t="shared" si="40"/>
        <v/>
      </c>
      <c r="B2523" s="10"/>
      <c r="C2523" s="10"/>
      <c r="D2523" s="10"/>
      <c r="E2523" s="10"/>
      <c r="F2523" s="10"/>
      <c r="G2523" s="11"/>
      <c r="H2523" s="12"/>
      <c r="I2523" s="13"/>
      <c r="J2523" s="12"/>
      <c r="K2523" s="13"/>
      <c r="L2523" s="11"/>
      <c r="M2523" s="13"/>
      <c r="N2523" s="11"/>
      <c r="O2523" s="13"/>
      <c r="P2523" s="11"/>
      <c r="Q2523" s="13"/>
      <c r="R2523" s="10"/>
      <c r="S2523" s="10"/>
      <c r="AB2523"/>
      <c r="AC2523"/>
    </row>
    <row r="2524" spans="1:29" x14ac:dyDescent="0.25">
      <c r="A2524" t="str">
        <f t="shared" si="40"/>
        <v/>
      </c>
      <c r="B2524" s="10"/>
      <c r="C2524" s="10"/>
      <c r="D2524" s="10"/>
      <c r="E2524" s="10"/>
      <c r="F2524" s="10"/>
      <c r="G2524" s="11"/>
      <c r="H2524" s="12"/>
      <c r="I2524" s="13"/>
      <c r="J2524" s="12"/>
      <c r="K2524" s="13"/>
      <c r="L2524" s="11"/>
      <c r="M2524" s="13"/>
      <c r="N2524" s="11"/>
      <c r="O2524" s="13"/>
      <c r="P2524" s="11"/>
      <c r="Q2524" s="13"/>
      <c r="R2524" s="10"/>
      <c r="S2524" s="10"/>
      <c r="AB2524"/>
      <c r="AC2524"/>
    </row>
    <row r="2525" spans="1:29" x14ac:dyDescent="0.25">
      <c r="A2525" t="str">
        <f t="shared" si="40"/>
        <v/>
      </c>
      <c r="B2525" s="10"/>
      <c r="C2525" s="10"/>
      <c r="D2525" s="10"/>
      <c r="E2525" s="10"/>
      <c r="F2525" s="10"/>
      <c r="G2525" s="11"/>
      <c r="H2525" s="12"/>
      <c r="I2525" s="13"/>
      <c r="J2525" s="12"/>
      <c r="K2525" s="13"/>
      <c r="L2525" s="11"/>
      <c r="M2525" s="13"/>
      <c r="N2525" s="11"/>
      <c r="O2525" s="13"/>
      <c r="P2525" s="11"/>
      <c r="Q2525" s="13"/>
      <c r="R2525" s="10"/>
      <c r="S2525" s="10"/>
      <c r="AB2525"/>
      <c r="AC2525"/>
    </row>
    <row r="2526" spans="1:29" x14ac:dyDescent="0.25">
      <c r="A2526" t="str">
        <f t="shared" si="40"/>
        <v/>
      </c>
      <c r="B2526" s="10"/>
      <c r="C2526" s="10"/>
      <c r="D2526" s="10"/>
      <c r="E2526" s="10"/>
      <c r="F2526" s="10"/>
      <c r="G2526" s="11"/>
      <c r="H2526" s="12"/>
      <c r="I2526" s="13"/>
      <c r="J2526" s="12"/>
      <c r="K2526" s="13"/>
      <c r="L2526" s="11"/>
      <c r="M2526" s="13"/>
      <c r="N2526" s="11"/>
      <c r="O2526" s="13"/>
      <c r="P2526" s="11"/>
      <c r="Q2526" s="13"/>
      <c r="R2526" s="10"/>
      <c r="S2526" s="10"/>
      <c r="AB2526"/>
      <c r="AC2526"/>
    </row>
    <row r="2527" spans="1:29" x14ac:dyDescent="0.25">
      <c r="A2527" t="str">
        <f t="shared" si="40"/>
        <v/>
      </c>
      <c r="B2527" s="10"/>
      <c r="C2527" s="10"/>
      <c r="D2527" s="10"/>
      <c r="E2527" s="10"/>
      <c r="F2527" s="10"/>
      <c r="G2527" s="11"/>
      <c r="H2527" s="12"/>
      <c r="I2527" s="13"/>
      <c r="J2527" s="12"/>
      <c r="K2527" s="13"/>
      <c r="L2527" s="11"/>
      <c r="M2527" s="13"/>
      <c r="N2527" s="11"/>
      <c r="O2527" s="13"/>
      <c r="P2527" s="11"/>
      <c r="Q2527" s="13"/>
      <c r="R2527" s="10"/>
      <c r="S2527" s="10"/>
      <c r="AB2527"/>
      <c r="AC2527"/>
    </row>
    <row r="2528" spans="1:29" x14ac:dyDescent="0.25">
      <c r="A2528" t="str">
        <f t="shared" si="40"/>
        <v/>
      </c>
      <c r="B2528" s="10"/>
      <c r="C2528" s="10"/>
      <c r="D2528" s="10"/>
      <c r="E2528" s="10"/>
      <c r="F2528" s="10"/>
      <c r="G2528" s="11"/>
      <c r="H2528" s="12"/>
      <c r="I2528" s="13"/>
      <c r="J2528" s="12"/>
      <c r="K2528" s="13"/>
      <c r="L2528" s="11"/>
      <c r="M2528" s="13"/>
      <c r="N2528" s="11"/>
      <c r="O2528" s="13"/>
      <c r="P2528" s="11"/>
      <c r="Q2528" s="13"/>
      <c r="R2528" s="10"/>
      <c r="S2528" s="10"/>
      <c r="AB2528"/>
      <c r="AC2528"/>
    </row>
    <row r="2529" spans="1:29" x14ac:dyDescent="0.25">
      <c r="A2529" t="str">
        <f t="shared" si="40"/>
        <v/>
      </c>
      <c r="B2529" s="10"/>
      <c r="C2529" s="10"/>
      <c r="D2529" s="10"/>
      <c r="E2529" s="10"/>
      <c r="F2529" s="10"/>
      <c r="G2529" s="11"/>
      <c r="H2529" s="12"/>
      <c r="I2529" s="13"/>
      <c r="J2529" s="12"/>
      <c r="K2529" s="13"/>
      <c r="L2529" s="11"/>
      <c r="M2529" s="13"/>
      <c r="N2529" s="11"/>
      <c r="O2529" s="13"/>
      <c r="P2529" s="11"/>
      <c r="Q2529" s="13"/>
      <c r="R2529" s="10"/>
      <c r="S2529" s="10"/>
      <c r="AB2529"/>
      <c r="AC2529"/>
    </row>
    <row r="2530" spans="1:29" x14ac:dyDescent="0.25">
      <c r="A2530" t="str">
        <f t="shared" si="40"/>
        <v/>
      </c>
      <c r="B2530" s="10"/>
      <c r="C2530" s="10"/>
      <c r="D2530" s="10"/>
      <c r="E2530" s="10"/>
      <c r="F2530" s="10"/>
      <c r="G2530" s="11"/>
      <c r="H2530" s="12"/>
      <c r="I2530" s="13"/>
      <c r="J2530" s="12"/>
      <c r="K2530" s="13"/>
      <c r="L2530" s="11"/>
      <c r="M2530" s="13"/>
      <c r="N2530" s="11"/>
      <c r="O2530" s="13"/>
      <c r="P2530" s="11"/>
      <c r="Q2530" s="13"/>
      <c r="R2530" s="10"/>
      <c r="S2530" s="10"/>
      <c r="AB2530"/>
      <c r="AC2530"/>
    </row>
    <row r="2531" spans="1:29" x14ac:dyDescent="0.25">
      <c r="A2531" t="str">
        <f t="shared" si="40"/>
        <v/>
      </c>
      <c r="B2531" s="80"/>
      <c r="C2531" s="80"/>
      <c r="D2531" s="80"/>
      <c r="E2531" s="80"/>
      <c r="F2531" s="80"/>
      <c r="G2531" s="81"/>
      <c r="H2531" s="83"/>
      <c r="I2531" s="82"/>
      <c r="J2531" s="83"/>
      <c r="K2531" s="82"/>
      <c r="L2531" s="81"/>
      <c r="M2531" s="82"/>
      <c r="N2531" s="81"/>
      <c r="O2531" s="82"/>
      <c r="P2531" s="81"/>
      <c r="Q2531" s="82"/>
      <c r="R2531" s="80"/>
      <c r="S2531" s="80"/>
      <c r="AB2531"/>
      <c r="AC2531"/>
    </row>
    <row r="2532" spans="1:29" x14ac:dyDescent="0.25">
      <c r="A2532" t="str">
        <f t="shared" si="40"/>
        <v/>
      </c>
      <c r="B2532" s="80"/>
      <c r="C2532" s="80"/>
      <c r="D2532" s="80"/>
      <c r="E2532" s="80"/>
      <c r="F2532" s="80"/>
      <c r="G2532" s="81"/>
      <c r="H2532" s="83"/>
      <c r="I2532" s="82"/>
      <c r="J2532" s="83"/>
      <c r="K2532" s="82"/>
      <c r="L2532" s="81"/>
      <c r="M2532" s="82"/>
      <c r="N2532" s="81"/>
      <c r="O2532" s="82"/>
      <c r="P2532" s="81"/>
      <c r="Q2532" s="82"/>
      <c r="R2532" s="80"/>
      <c r="S2532" s="80"/>
      <c r="AB2532"/>
      <c r="AC2532"/>
    </row>
    <row r="2533" spans="1:29" x14ac:dyDescent="0.25">
      <c r="A2533" t="str">
        <f t="shared" si="40"/>
        <v/>
      </c>
      <c r="B2533" s="80"/>
      <c r="C2533" s="80"/>
      <c r="D2533" s="80"/>
      <c r="E2533" s="80"/>
      <c r="F2533" s="80"/>
      <c r="G2533" s="81"/>
      <c r="H2533" s="83"/>
      <c r="I2533" s="82"/>
      <c r="J2533" s="83"/>
      <c r="K2533" s="82"/>
      <c r="L2533" s="81"/>
      <c r="M2533" s="82"/>
      <c r="N2533" s="81"/>
      <c r="O2533" s="82"/>
      <c r="P2533" s="81"/>
      <c r="Q2533" s="82"/>
      <c r="R2533" s="80"/>
      <c r="S2533" s="80"/>
      <c r="AB2533"/>
      <c r="AC2533"/>
    </row>
    <row r="2534" spans="1:29" x14ac:dyDescent="0.25">
      <c r="A2534" t="str">
        <f t="shared" si="40"/>
        <v/>
      </c>
      <c r="B2534" s="80"/>
      <c r="C2534" s="80"/>
      <c r="D2534" s="80"/>
      <c r="E2534" s="80"/>
      <c r="F2534" s="80"/>
      <c r="G2534" s="81"/>
      <c r="H2534" s="83"/>
      <c r="I2534" s="82"/>
      <c r="J2534" s="83"/>
      <c r="K2534" s="82"/>
      <c r="L2534" s="81"/>
      <c r="M2534" s="82"/>
      <c r="N2534" s="81"/>
      <c r="O2534" s="82"/>
      <c r="P2534" s="81"/>
      <c r="Q2534" s="82"/>
      <c r="R2534" s="80"/>
      <c r="S2534" s="80"/>
      <c r="AB2534"/>
      <c r="AC2534"/>
    </row>
    <row r="2535" spans="1:29" x14ac:dyDescent="0.25">
      <c r="A2535" t="str">
        <f t="shared" si="40"/>
        <v/>
      </c>
      <c r="B2535" s="80"/>
      <c r="C2535" s="80"/>
      <c r="D2535" s="80"/>
      <c r="E2535" s="80"/>
      <c r="F2535" s="80"/>
      <c r="G2535" s="81"/>
      <c r="H2535" s="83"/>
      <c r="I2535" s="82"/>
      <c r="J2535" s="83"/>
      <c r="K2535" s="82"/>
      <c r="L2535" s="81"/>
      <c r="M2535" s="82"/>
      <c r="N2535" s="81"/>
      <c r="O2535" s="82"/>
      <c r="P2535" s="81"/>
      <c r="Q2535" s="82"/>
      <c r="R2535" s="80"/>
      <c r="S2535" s="80"/>
      <c r="AB2535"/>
      <c r="AC2535"/>
    </row>
    <row r="2536" spans="1:29" x14ac:dyDescent="0.25">
      <c r="A2536" t="str">
        <f t="shared" si="40"/>
        <v/>
      </c>
      <c r="B2536" s="80"/>
      <c r="C2536" s="80"/>
      <c r="D2536" s="80"/>
      <c r="E2536" s="80"/>
      <c r="F2536" s="80"/>
      <c r="G2536" s="81"/>
      <c r="H2536" s="83"/>
      <c r="I2536" s="82"/>
      <c r="J2536" s="83"/>
      <c r="K2536" s="82"/>
      <c r="L2536" s="81"/>
      <c r="M2536" s="82"/>
      <c r="N2536" s="81"/>
      <c r="O2536" s="82"/>
      <c r="P2536" s="81"/>
      <c r="Q2536" s="82"/>
      <c r="R2536" s="80"/>
      <c r="S2536" s="80"/>
      <c r="AB2536"/>
      <c r="AC2536"/>
    </row>
    <row r="2537" spans="1:29" x14ac:dyDescent="0.25">
      <c r="A2537" t="str">
        <f t="shared" si="40"/>
        <v/>
      </c>
      <c r="B2537" s="80"/>
      <c r="C2537" s="80"/>
      <c r="D2537" s="80"/>
      <c r="E2537" s="80"/>
      <c r="F2537" s="80"/>
      <c r="G2537" s="81"/>
      <c r="H2537" s="83"/>
      <c r="I2537" s="82"/>
      <c r="J2537" s="83"/>
      <c r="K2537" s="82"/>
      <c r="L2537" s="81"/>
      <c r="M2537" s="82"/>
      <c r="N2537" s="81"/>
      <c r="O2537" s="82"/>
      <c r="P2537" s="81"/>
      <c r="Q2537" s="82"/>
      <c r="R2537" s="80"/>
      <c r="S2537" s="80"/>
      <c r="AB2537"/>
      <c r="AC2537"/>
    </row>
    <row r="2538" spans="1:29" x14ac:dyDescent="0.25">
      <c r="A2538" t="str">
        <f t="shared" si="40"/>
        <v/>
      </c>
      <c r="B2538" s="80"/>
      <c r="C2538" s="80"/>
      <c r="D2538" s="80"/>
      <c r="E2538" s="80"/>
      <c r="F2538" s="80"/>
      <c r="G2538" s="81"/>
      <c r="H2538" s="83"/>
      <c r="I2538" s="82"/>
      <c r="J2538" s="83"/>
      <c r="K2538" s="82"/>
      <c r="L2538" s="81"/>
      <c r="M2538" s="82"/>
      <c r="N2538" s="81"/>
      <c r="O2538" s="82"/>
      <c r="P2538" s="81"/>
      <c r="Q2538" s="82"/>
      <c r="R2538" s="80"/>
      <c r="S2538" s="80"/>
      <c r="AB2538"/>
      <c r="AC2538"/>
    </row>
    <row r="2539" spans="1:29" x14ac:dyDescent="0.25">
      <c r="A2539" t="str">
        <f t="shared" si="40"/>
        <v/>
      </c>
      <c r="B2539" s="80"/>
      <c r="C2539" s="80"/>
      <c r="D2539" s="80"/>
      <c r="E2539" s="80"/>
      <c r="F2539" s="80"/>
      <c r="G2539" s="81"/>
      <c r="H2539" s="83"/>
      <c r="I2539" s="82"/>
      <c r="J2539" s="83"/>
      <c r="K2539" s="82"/>
      <c r="L2539" s="81"/>
      <c r="M2539" s="82"/>
      <c r="N2539" s="81"/>
      <c r="O2539" s="82"/>
      <c r="P2539" s="81"/>
      <c r="Q2539" s="82"/>
      <c r="R2539" s="80"/>
      <c r="S2539" s="80"/>
      <c r="AB2539"/>
      <c r="AC2539"/>
    </row>
    <row r="2540" spans="1:29" x14ac:dyDescent="0.25">
      <c r="A2540" t="str">
        <f t="shared" si="40"/>
        <v/>
      </c>
      <c r="B2540" s="80"/>
      <c r="C2540" s="80"/>
      <c r="D2540" s="80"/>
      <c r="E2540" s="80"/>
      <c r="F2540" s="80"/>
      <c r="G2540" s="81"/>
      <c r="H2540" s="83"/>
      <c r="I2540" s="82"/>
      <c r="J2540" s="83"/>
      <c r="K2540" s="82"/>
      <c r="L2540" s="81"/>
      <c r="M2540" s="82"/>
      <c r="N2540" s="81"/>
      <c r="O2540" s="82"/>
      <c r="P2540" s="81"/>
      <c r="Q2540" s="82"/>
      <c r="R2540" s="80"/>
      <c r="S2540" s="80"/>
      <c r="AB2540"/>
      <c r="AC2540"/>
    </row>
    <row r="2541" spans="1:29" x14ac:dyDescent="0.25">
      <c r="A2541" t="str">
        <f t="shared" si="40"/>
        <v/>
      </c>
      <c r="B2541" s="80"/>
      <c r="C2541" s="80"/>
      <c r="D2541" s="80"/>
      <c r="E2541" s="80"/>
      <c r="F2541" s="80"/>
      <c r="G2541" s="81"/>
      <c r="H2541" s="83"/>
      <c r="I2541" s="82"/>
      <c r="J2541" s="83"/>
      <c r="K2541" s="82"/>
      <c r="L2541" s="81"/>
      <c r="M2541" s="82"/>
      <c r="N2541" s="81"/>
      <c r="O2541" s="82"/>
      <c r="P2541" s="81"/>
      <c r="Q2541" s="82"/>
      <c r="R2541" s="80"/>
      <c r="S2541" s="80"/>
      <c r="AB2541"/>
      <c r="AC2541"/>
    </row>
    <row r="2542" spans="1:29" x14ac:dyDescent="0.25">
      <c r="A2542" t="str">
        <f t="shared" si="40"/>
        <v/>
      </c>
      <c r="B2542" s="80"/>
      <c r="C2542" s="80"/>
      <c r="D2542" s="80"/>
      <c r="E2542" s="80"/>
      <c r="F2542" s="80"/>
      <c r="G2542" s="81"/>
      <c r="H2542" s="83"/>
      <c r="I2542" s="82"/>
      <c r="J2542" s="83"/>
      <c r="K2542" s="82"/>
      <c r="L2542" s="81"/>
      <c r="M2542" s="82"/>
      <c r="N2542" s="81"/>
      <c r="O2542" s="82"/>
      <c r="P2542" s="81"/>
      <c r="Q2542" s="82"/>
      <c r="R2542" s="80"/>
      <c r="S2542" s="80"/>
      <c r="AB2542"/>
      <c r="AC2542"/>
    </row>
    <row r="2543" spans="1:29" x14ac:dyDescent="0.25">
      <c r="A2543" t="str">
        <f t="shared" si="40"/>
        <v/>
      </c>
      <c r="B2543" s="80"/>
      <c r="C2543" s="80"/>
      <c r="D2543" s="80"/>
      <c r="E2543" s="80"/>
      <c r="F2543" s="80"/>
      <c r="G2543" s="81"/>
      <c r="H2543" s="83"/>
      <c r="I2543" s="82"/>
      <c r="J2543" s="83"/>
      <c r="K2543" s="82"/>
      <c r="L2543" s="81"/>
      <c r="M2543" s="82"/>
      <c r="N2543" s="81"/>
      <c r="O2543" s="82"/>
      <c r="P2543" s="81"/>
      <c r="Q2543" s="82"/>
      <c r="R2543" s="80"/>
      <c r="S2543" s="80"/>
      <c r="AB2543"/>
      <c r="AC2543"/>
    </row>
    <row r="2544" spans="1:29" x14ac:dyDescent="0.25">
      <c r="A2544" t="str">
        <f t="shared" si="40"/>
        <v/>
      </c>
      <c r="B2544" s="80"/>
      <c r="C2544" s="80"/>
      <c r="D2544" s="80"/>
      <c r="E2544" s="80"/>
      <c r="F2544" s="80"/>
      <c r="G2544" s="81"/>
      <c r="H2544" s="83"/>
      <c r="I2544" s="82"/>
      <c r="J2544" s="83"/>
      <c r="K2544" s="82"/>
      <c r="L2544" s="81"/>
      <c r="M2544" s="82"/>
      <c r="N2544" s="81"/>
      <c r="O2544" s="82"/>
      <c r="P2544" s="81"/>
      <c r="Q2544" s="82"/>
      <c r="R2544" s="80"/>
      <c r="S2544" s="80"/>
      <c r="AB2544"/>
      <c r="AC2544"/>
    </row>
    <row r="2545" spans="1:29" x14ac:dyDescent="0.25">
      <c r="A2545" t="str">
        <f t="shared" si="40"/>
        <v/>
      </c>
      <c r="B2545" s="80"/>
      <c r="C2545" s="80"/>
      <c r="D2545" s="80"/>
      <c r="E2545" s="80"/>
      <c r="F2545" s="80"/>
      <c r="G2545" s="81"/>
      <c r="H2545" s="83"/>
      <c r="I2545" s="82"/>
      <c r="J2545" s="83"/>
      <c r="K2545" s="82"/>
      <c r="L2545" s="81"/>
      <c r="M2545" s="82"/>
      <c r="N2545" s="81"/>
      <c r="O2545" s="82"/>
      <c r="P2545" s="81"/>
      <c r="Q2545" s="82"/>
      <c r="R2545" s="80"/>
      <c r="S2545" s="80"/>
      <c r="AB2545"/>
      <c r="AC2545"/>
    </row>
    <row r="2546" spans="1:29" x14ac:dyDescent="0.25">
      <c r="A2546" t="str">
        <f t="shared" si="40"/>
        <v/>
      </c>
      <c r="B2546" s="80"/>
      <c r="C2546" s="80"/>
      <c r="D2546" s="80"/>
      <c r="E2546" s="80"/>
      <c r="F2546" s="80"/>
      <c r="G2546" s="81"/>
      <c r="H2546" s="83"/>
      <c r="I2546" s="82"/>
      <c r="J2546" s="83"/>
      <c r="K2546" s="82"/>
      <c r="L2546" s="81"/>
      <c r="M2546" s="82"/>
      <c r="N2546" s="81"/>
      <c r="O2546" s="82"/>
      <c r="P2546" s="81"/>
      <c r="Q2546" s="82"/>
      <c r="R2546" s="80"/>
      <c r="S2546" s="80"/>
      <c r="AB2546"/>
      <c r="AC2546"/>
    </row>
    <row r="2547" spans="1:29" x14ac:dyDescent="0.25">
      <c r="A2547" t="str">
        <f t="shared" si="40"/>
        <v/>
      </c>
      <c r="B2547" s="80"/>
      <c r="C2547" s="80"/>
      <c r="D2547" s="80"/>
      <c r="E2547" s="80"/>
      <c r="F2547" s="80"/>
      <c r="G2547" s="81"/>
      <c r="H2547" s="83"/>
      <c r="I2547" s="82"/>
      <c r="J2547" s="83"/>
      <c r="K2547" s="82"/>
      <c r="L2547" s="81"/>
      <c r="M2547" s="82"/>
      <c r="N2547" s="81"/>
      <c r="O2547" s="82"/>
      <c r="P2547" s="81"/>
      <c r="Q2547" s="82"/>
      <c r="R2547" s="80"/>
      <c r="S2547" s="80"/>
      <c r="AB2547"/>
      <c r="AC2547"/>
    </row>
    <row r="2548" spans="1:29" x14ac:dyDescent="0.25">
      <c r="A2548" t="str">
        <f t="shared" si="40"/>
        <v/>
      </c>
      <c r="B2548" s="80"/>
      <c r="C2548" s="80"/>
      <c r="D2548" s="80"/>
      <c r="E2548" s="80"/>
      <c r="F2548" s="80"/>
      <c r="G2548" s="81"/>
      <c r="H2548" s="83"/>
      <c r="I2548" s="82"/>
      <c r="J2548" s="83"/>
      <c r="K2548" s="82"/>
      <c r="L2548" s="81"/>
      <c r="M2548" s="82"/>
      <c r="N2548" s="81"/>
      <c r="O2548" s="82"/>
      <c r="P2548" s="81"/>
      <c r="Q2548" s="82"/>
      <c r="R2548" s="80"/>
      <c r="S2548" s="80"/>
      <c r="AB2548"/>
      <c r="AC2548"/>
    </row>
    <row r="2549" spans="1:29" x14ac:dyDescent="0.25">
      <c r="A2549" t="str">
        <f t="shared" si="40"/>
        <v/>
      </c>
      <c r="B2549" s="80"/>
      <c r="C2549" s="80"/>
      <c r="D2549" s="80"/>
      <c r="E2549" s="80"/>
      <c r="F2549" s="80"/>
      <c r="G2549" s="81"/>
      <c r="H2549" s="83"/>
      <c r="I2549" s="82"/>
      <c r="J2549" s="83"/>
      <c r="K2549" s="82"/>
      <c r="L2549" s="81"/>
      <c r="M2549" s="82"/>
      <c r="N2549" s="81"/>
      <c r="O2549" s="82"/>
      <c r="P2549" s="81"/>
      <c r="Q2549" s="82"/>
      <c r="R2549" s="80"/>
      <c r="S2549" s="80"/>
      <c r="AB2549"/>
      <c r="AC2549"/>
    </row>
    <row r="2550" spans="1:29" x14ac:dyDescent="0.25">
      <c r="A2550" t="str">
        <f t="shared" si="40"/>
        <v/>
      </c>
      <c r="B2550" s="80"/>
      <c r="C2550" s="80"/>
      <c r="D2550" s="80"/>
      <c r="E2550" s="80"/>
      <c r="F2550" s="80"/>
      <c r="G2550" s="81"/>
      <c r="H2550" s="83"/>
      <c r="I2550" s="82"/>
      <c r="J2550" s="83"/>
      <c r="K2550" s="82"/>
      <c r="L2550" s="81"/>
      <c r="M2550" s="82"/>
      <c r="N2550" s="81"/>
      <c r="O2550" s="82"/>
      <c r="P2550" s="81"/>
      <c r="Q2550" s="82"/>
      <c r="R2550" s="80"/>
      <c r="S2550" s="80"/>
      <c r="AB2550"/>
      <c r="AC2550"/>
    </row>
    <row r="2551" spans="1:29" x14ac:dyDescent="0.25">
      <c r="A2551" t="str">
        <f t="shared" si="40"/>
        <v/>
      </c>
      <c r="B2551" s="80"/>
      <c r="C2551" s="80"/>
      <c r="D2551" s="80"/>
      <c r="E2551" s="80"/>
      <c r="F2551" s="80"/>
      <c r="G2551" s="81"/>
      <c r="H2551" s="83"/>
      <c r="I2551" s="82"/>
      <c r="J2551" s="83"/>
      <c r="K2551" s="82"/>
      <c r="L2551" s="81"/>
      <c r="M2551" s="82"/>
      <c r="N2551" s="81"/>
      <c r="O2551" s="82"/>
      <c r="P2551" s="81"/>
      <c r="Q2551" s="82"/>
      <c r="R2551" s="80"/>
      <c r="S2551" s="80"/>
      <c r="AB2551"/>
      <c r="AC2551"/>
    </row>
    <row r="2552" spans="1:29" x14ac:dyDescent="0.25">
      <c r="A2552" t="str">
        <f t="shared" si="40"/>
        <v/>
      </c>
      <c r="B2552" s="80"/>
      <c r="C2552" s="80"/>
      <c r="D2552" s="80"/>
      <c r="E2552" s="80"/>
      <c r="F2552" s="80"/>
      <c r="G2552" s="81"/>
      <c r="H2552" s="83"/>
      <c r="I2552" s="82"/>
      <c r="J2552" s="83"/>
      <c r="K2552" s="82"/>
      <c r="L2552" s="81"/>
      <c r="M2552" s="82"/>
      <c r="N2552" s="81"/>
      <c r="O2552" s="82"/>
      <c r="P2552" s="81"/>
      <c r="Q2552" s="82"/>
      <c r="R2552" s="80"/>
      <c r="S2552" s="80"/>
      <c r="AB2552"/>
      <c r="AC2552"/>
    </row>
    <row r="2553" spans="1:29" x14ac:dyDescent="0.25">
      <c r="A2553" t="str">
        <f t="shared" si="40"/>
        <v/>
      </c>
      <c r="B2553" s="80"/>
      <c r="C2553" s="80"/>
      <c r="D2553" s="80"/>
      <c r="E2553" s="80"/>
      <c r="F2553" s="80"/>
      <c r="G2553" s="81"/>
      <c r="H2553" s="83"/>
      <c r="I2553" s="82"/>
      <c r="J2553" s="83"/>
      <c r="K2553" s="82"/>
      <c r="L2553" s="81"/>
      <c r="M2553" s="82"/>
      <c r="N2553" s="81"/>
      <c r="O2553" s="82"/>
      <c r="P2553" s="81"/>
      <c r="Q2553" s="82"/>
      <c r="R2553" s="80"/>
      <c r="S2553" s="80"/>
      <c r="AB2553"/>
      <c r="AC2553"/>
    </row>
    <row r="2554" spans="1:29" x14ac:dyDescent="0.25">
      <c r="A2554" t="str">
        <f t="shared" si="40"/>
        <v/>
      </c>
      <c r="B2554" s="80"/>
      <c r="C2554" s="80"/>
      <c r="D2554" s="80"/>
      <c r="E2554" s="80"/>
      <c r="F2554" s="80"/>
      <c r="G2554" s="81"/>
      <c r="H2554" s="83"/>
      <c r="I2554" s="82"/>
      <c r="J2554" s="83"/>
      <c r="K2554" s="82"/>
      <c r="L2554" s="81"/>
      <c r="M2554" s="82"/>
      <c r="N2554" s="81"/>
      <c r="O2554" s="82"/>
      <c r="P2554" s="81"/>
      <c r="Q2554" s="82"/>
      <c r="R2554" s="80"/>
      <c r="S2554" s="80"/>
      <c r="AB2554"/>
      <c r="AC2554"/>
    </row>
    <row r="2555" spans="1:29" x14ac:dyDescent="0.25">
      <c r="A2555" t="str">
        <f t="shared" si="40"/>
        <v/>
      </c>
      <c r="B2555" s="80"/>
      <c r="C2555" s="80"/>
      <c r="D2555" s="80"/>
      <c r="E2555" s="80"/>
      <c r="F2555" s="80"/>
      <c r="G2555" s="81"/>
      <c r="H2555" s="83"/>
      <c r="I2555" s="82"/>
      <c r="J2555" s="83"/>
      <c r="K2555" s="82"/>
      <c r="L2555" s="81"/>
      <c r="M2555" s="82"/>
      <c r="N2555" s="81"/>
      <c r="O2555" s="82"/>
      <c r="P2555" s="81"/>
      <c r="Q2555" s="82"/>
      <c r="R2555" s="80"/>
      <c r="S2555" s="80"/>
      <c r="AB2555"/>
      <c r="AC2555"/>
    </row>
    <row r="2556" spans="1:29" x14ac:dyDescent="0.25">
      <c r="A2556" t="str">
        <f t="shared" si="40"/>
        <v/>
      </c>
      <c r="B2556" s="80"/>
      <c r="C2556" s="80"/>
      <c r="D2556" s="80"/>
      <c r="E2556" s="80"/>
      <c r="F2556" s="80"/>
      <c r="G2556" s="81"/>
      <c r="H2556" s="83"/>
      <c r="I2556" s="82"/>
      <c r="J2556" s="83"/>
      <c r="K2556" s="82"/>
      <c r="L2556" s="81"/>
      <c r="M2556" s="82"/>
      <c r="N2556" s="81"/>
      <c r="O2556" s="82"/>
      <c r="P2556" s="81"/>
      <c r="Q2556" s="82"/>
      <c r="R2556" s="80"/>
      <c r="S2556" s="80"/>
      <c r="AB2556"/>
      <c r="AC2556"/>
    </row>
    <row r="2557" spans="1:29" x14ac:dyDescent="0.25">
      <c r="A2557" t="str">
        <f t="shared" si="40"/>
        <v/>
      </c>
      <c r="B2557" s="80"/>
      <c r="C2557" s="80"/>
      <c r="D2557" s="80"/>
      <c r="E2557" s="80"/>
      <c r="F2557" s="80"/>
      <c r="G2557" s="81"/>
      <c r="H2557" s="83"/>
      <c r="I2557" s="82"/>
      <c r="J2557" s="83"/>
      <c r="K2557" s="82"/>
      <c r="L2557" s="81"/>
      <c r="M2557" s="82"/>
      <c r="N2557" s="81"/>
      <c r="O2557" s="82"/>
      <c r="P2557" s="81"/>
      <c r="Q2557" s="82"/>
      <c r="R2557" s="80"/>
      <c r="S2557" s="80"/>
      <c r="AB2557"/>
      <c r="AC2557"/>
    </row>
    <row r="2558" spans="1:29" x14ac:dyDescent="0.25">
      <c r="A2558" t="str">
        <f t="shared" si="40"/>
        <v/>
      </c>
      <c r="B2558" s="80"/>
      <c r="C2558" s="80"/>
      <c r="D2558" s="80"/>
      <c r="E2558" s="80"/>
      <c r="F2558" s="80"/>
      <c r="G2558" s="81"/>
      <c r="H2558" s="83"/>
      <c r="I2558" s="82"/>
      <c r="J2558" s="83"/>
      <c r="K2558" s="82"/>
      <c r="L2558" s="81"/>
      <c r="M2558" s="82"/>
      <c r="N2558" s="81"/>
      <c r="O2558" s="82"/>
      <c r="P2558" s="81"/>
      <c r="Q2558" s="82"/>
      <c r="R2558" s="80"/>
      <c r="S2558" s="80"/>
      <c r="AB2558"/>
      <c r="AC2558"/>
    </row>
    <row r="2559" spans="1:29" x14ac:dyDescent="0.25">
      <c r="A2559" t="str">
        <f t="shared" si="40"/>
        <v/>
      </c>
      <c r="B2559" s="80"/>
      <c r="C2559" s="80"/>
      <c r="D2559" s="80"/>
      <c r="E2559" s="80"/>
      <c r="F2559" s="80"/>
      <c r="G2559" s="81"/>
      <c r="H2559" s="83"/>
      <c r="I2559" s="82"/>
      <c r="J2559" s="83"/>
      <c r="K2559" s="82"/>
      <c r="L2559" s="81"/>
      <c r="M2559" s="82"/>
      <c r="N2559" s="81"/>
      <c r="O2559" s="82"/>
      <c r="P2559" s="81"/>
      <c r="Q2559" s="82"/>
      <c r="R2559" s="80"/>
      <c r="S2559" s="80"/>
      <c r="AB2559"/>
      <c r="AC2559"/>
    </row>
    <row r="2560" spans="1:29" x14ac:dyDescent="0.25">
      <c r="A2560" t="str">
        <f t="shared" si="40"/>
        <v/>
      </c>
      <c r="B2560" s="80"/>
      <c r="C2560" s="80"/>
      <c r="D2560" s="80"/>
      <c r="E2560" s="80"/>
      <c r="F2560" s="80"/>
      <c r="G2560" s="81"/>
      <c r="H2560" s="83"/>
      <c r="I2560" s="82"/>
      <c r="J2560" s="83"/>
      <c r="K2560" s="82"/>
      <c r="L2560" s="81"/>
      <c r="M2560" s="82"/>
      <c r="N2560" s="81"/>
      <c r="O2560" s="82"/>
      <c r="P2560" s="81"/>
      <c r="Q2560" s="82"/>
      <c r="R2560" s="80"/>
      <c r="S2560" s="80"/>
      <c r="AB2560"/>
      <c r="AC2560"/>
    </row>
    <row r="2561" spans="1:29" x14ac:dyDescent="0.25">
      <c r="A2561" t="str">
        <f t="shared" si="40"/>
        <v/>
      </c>
      <c r="B2561" s="80"/>
      <c r="C2561" s="80"/>
      <c r="D2561" s="80"/>
      <c r="E2561" s="80"/>
      <c r="F2561" s="80"/>
      <c r="G2561" s="81"/>
      <c r="H2561" s="83"/>
      <c r="I2561" s="82"/>
      <c r="J2561" s="83"/>
      <c r="K2561" s="82"/>
      <c r="L2561" s="81"/>
      <c r="M2561" s="82"/>
      <c r="N2561" s="81"/>
      <c r="O2561" s="82"/>
      <c r="P2561" s="81"/>
      <c r="Q2561" s="82"/>
      <c r="R2561" s="80"/>
      <c r="S2561" s="80"/>
      <c r="AB2561"/>
      <c r="AC2561"/>
    </row>
    <row r="2562" spans="1:29" x14ac:dyDescent="0.25">
      <c r="A2562" t="str">
        <f t="shared" si="40"/>
        <v/>
      </c>
      <c r="B2562" s="80"/>
      <c r="C2562" s="80"/>
      <c r="D2562" s="80"/>
      <c r="E2562" s="80"/>
      <c r="F2562" s="80"/>
      <c r="G2562" s="81"/>
      <c r="H2562" s="83"/>
      <c r="I2562" s="82"/>
      <c r="J2562" s="83"/>
      <c r="K2562" s="82"/>
      <c r="L2562" s="81"/>
      <c r="M2562" s="82"/>
      <c r="N2562" s="81"/>
      <c r="O2562" s="82"/>
      <c r="P2562" s="81"/>
      <c r="Q2562" s="82"/>
      <c r="R2562" s="80"/>
      <c r="S2562" s="80"/>
      <c r="AB2562"/>
      <c r="AC2562"/>
    </row>
    <row r="2563" spans="1:29" x14ac:dyDescent="0.25">
      <c r="A2563" t="str">
        <f t="shared" si="40"/>
        <v/>
      </c>
      <c r="B2563" s="80"/>
      <c r="C2563" s="80"/>
      <c r="D2563" s="80"/>
      <c r="E2563" s="80"/>
      <c r="F2563" s="80"/>
      <c r="G2563" s="81"/>
      <c r="H2563" s="83"/>
      <c r="I2563" s="82"/>
      <c r="J2563" s="83"/>
      <c r="K2563" s="82"/>
      <c r="L2563" s="81"/>
      <c r="M2563" s="82"/>
      <c r="N2563" s="81"/>
      <c r="O2563" s="82"/>
      <c r="P2563" s="81"/>
      <c r="Q2563" s="82"/>
      <c r="R2563" s="80"/>
      <c r="S2563" s="80"/>
      <c r="AB2563"/>
      <c r="AC2563"/>
    </row>
    <row r="2564" spans="1:29" x14ac:dyDescent="0.25">
      <c r="A2564" t="str">
        <f t="shared" si="40"/>
        <v/>
      </c>
      <c r="B2564" s="80"/>
      <c r="C2564" s="80"/>
      <c r="D2564" s="80"/>
      <c r="E2564" s="80"/>
      <c r="F2564" s="80"/>
      <c r="G2564" s="81"/>
      <c r="H2564" s="83"/>
      <c r="I2564" s="82"/>
      <c r="J2564" s="83"/>
      <c r="K2564" s="82"/>
      <c r="L2564" s="81"/>
      <c r="M2564" s="82"/>
      <c r="N2564" s="81"/>
      <c r="O2564" s="82"/>
      <c r="P2564" s="81"/>
      <c r="Q2564" s="82"/>
      <c r="R2564" s="80"/>
      <c r="S2564" s="80"/>
      <c r="AB2564"/>
      <c r="AC2564"/>
    </row>
    <row r="2565" spans="1:29" x14ac:dyDescent="0.25">
      <c r="A2565" t="str">
        <f t="shared" si="40"/>
        <v/>
      </c>
      <c r="B2565" s="80"/>
      <c r="C2565" s="80"/>
      <c r="D2565" s="80"/>
      <c r="E2565" s="80"/>
      <c r="F2565" s="80"/>
      <c r="G2565" s="81"/>
      <c r="H2565" s="83"/>
      <c r="I2565" s="82"/>
      <c r="J2565" s="83"/>
      <c r="K2565" s="82"/>
      <c r="L2565" s="81"/>
      <c r="M2565" s="82"/>
      <c r="N2565" s="81"/>
      <c r="O2565" s="82"/>
      <c r="P2565" s="81"/>
      <c r="Q2565" s="82"/>
      <c r="R2565" s="80"/>
      <c r="S2565" s="80"/>
      <c r="AB2565"/>
      <c r="AC2565"/>
    </row>
    <row r="2566" spans="1:29" x14ac:dyDescent="0.25">
      <c r="A2566" t="str">
        <f t="shared" si="40"/>
        <v/>
      </c>
      <c r="B2566" s="80"/>
      <c r="C2566" s="80"/>
      <c r="D2566" s="80"/>
      <c r="E2566" s="80"/>
      <c r="F2566" s="80"/>
      <c r="G2566" s="81"/>
      <c r="H2566" s="83"/>
      <c r="I2566" s="82"/>
      <c r="J2566" s="83"/>
      <c r="K2566" s="82"/>
      <c r="L2566" s="81"/>
      <c r="M2566" s="82"/>
      <c r="N2566" s="81"/>
      <c r="O2566" s="82"/>
      <c r="P2566" s="81"/>
      <c r="Q2566" s="82"/>
      <c r="R2566" s="80"/>
      <c r="S2566" s="80"/>
      <c r="AB2566"/>
      <c r="AC2566"/>
    </row>
    <row r="2567" spans="1:29" x14ac:dyDescent="0.25">
      <c r="A2567" t="str">
        <f t="shared" ref="A2567:A2630" si="41">B2565&amp;D2565</f>
        <v/>
      </c>
      <c r="B2567" s="80"/>
      <c r="C2567" s="80"/>
      <c r="D2567" s="80"/>
      <c r="E2567" s="80"/>
      <c r="F2567" s="80"/>
      <c r="G2567" s="81"/>
      <c r="H2567" s="83"/>
      <c r="I2567" s="82"/>
      <c r="J2567" s="83"/>
      <c r="K2567" s="82"/>
      <c r="L2567" s="81"/>
      <c r="M2567" s="82"/>
      <c r="N2567" s="81"/>
      <c r="O2567" s="82"/>
      <c r="P2567" s="81"/>
      <c r="Q2567" s="82"/>
      <c r="R2567" s="80"/>
      <c r="S2567" s="80"/>
      <c r="AB2567"/>
      <c r="AC2567"/>
    </row>
    <row r="2568" spans="1:29" x14ac:dyDescent="0.25">
      <c r="A2568" t="str">
        <f t="shared" si="41"/>
        <v/>
      </c>
      <c r="B2568" s="80"/>
      <c r="C2568" s="80"/>
      <c r="D2568" s="80"/>
      <c r="E2568" s="80"/>
      <c r="F2568" s="80"/>
      <c r="G2568" s="81"/>
      <c r="H2568" s="83"/>
      <c r="I2568" s="82"/>
      <c r="J2568" s="83"/>
      <c r="K2568" s="82"/>
      <c r="L2568" s="81"/>
      <c r="M2568" s="82"/>
      <c r="N2568" s="81"/>
      <c r="O2568" s="82"/>
      <c r="P2568" s="81"/>
      <c r="Q2568" s="82"/>
      <c r="R2568" s="80"/>
      <c r="S2568" s="80"/>
      <c r="AB2568"/>
      <c r="AC2568"/>
    </row>
    <row r="2569" spans="1:29" x14ac:dyDescent="0.25">
      <c r="A2569" t="str">
        <f t="shared" si="41"/>
        <v/>
      </c>
      <c r="B2569" s="80"/>
      <c r="C2569" s="80"/>
      <c r="D2569" s="80"/>
      <c r="E2569" s="80"/>
      <c r="F2569" s="80"/>
      <c r="G2569" s="81"/>
      <c r="H2569" s="83"/>
      <c r="I2569" s="82"/>
      <c r="J2569" s="83"/>
      <c r="K2569" s="82"/>
      <c r="L2569" s="81"/>
      <c r="M2569" s="82"/>
      <c r="N2569" s="81"/>
      <c r="O2569" s="82"/>
      <c r="P2569" s="81"/>
      <c r="Q2569" s="82"/>
      <c r="R2569" s="80"/>
      <c r="S2569" s="80"/>
      <c r="AB2569"/>
      <c r="AC2569"/>
    </row>
    <row r="2570" spans="1:29" x14ac:dyDescent="0.25">
      <c r="A2570" t="str">
        <f t="shared" si="41"/>
        <v/>
      </c>
      <c r="B2570" s="80"/>
      <c r="C2570" s="80"/>
      <c r="D2570" s="80"/>
      <c r="E2570" s="80"/>
      <c r="F2570" s="80"/>
      <c r="G2570" s="81"/>
      <c r="H2570" s="83"/>
      <c r="I2570" s="82"/>
      <c r="J2570" s="83"/>
      <c r="K2570" s="82"/>
      <c r="L2570" s="81"/>
      <c r="M2570" s="82"/>
      <c r="N2570" s="81"/>
      <c r="O2570" s="82"/>
      <c r="P2570" s="81"/>
      <c r="Q2570" s="82"/>
      <c r="R2570" s="80"/>
      <c r="S2570" s="80"/>
      <c r="AB2570"/>
      <c r="AC2570"/>
    </row>
    <row r="2571" spans="1:29" x14ac:dyDescent="0.25">
      <c r="A2571" t="str">
        <f t="shared" si="41"/>
        <v/>
      </c>
      <c r="B2571" s="80"/>
      <c r="C2571" s="80"/>
      <c r="D2571" s="80"/>
      <c r="E2571" s="80"/>
      <c r="F2571" s="80"/>
      <c r="G2571" s="81"/>
      <c r="H2571" s="83"/>
      <c r="I2571" s="82"/>
      <c r="J2571" s="83"/>
      <c r="K2571" s="82"/>
      <c r="L2571" s="81"/>
      <c r="M2571" s="82"/>
      <c r="N2571" s="81"/>
      <c r="O2571" s="82"/>
      <c r="P2571" s="81"/>
      <c r="Q2571" s="82"/>
      <c r="R2571" s="80"/>
      <c r="S2571" s="80"/>
      <c r="AB2571"/>
      <c r="AC2571"/>
    </row>
    <row r="2572" spans="1:29" x14ac:dyDescent="0.25">
      <c r="A2572" t="str">
        <f t="shared" si="41"/>
        <v/>
      </c>
      <c r="B2572" s="80"/>
      <c r="C2572" s="80"/>
      <c r="D2572" s="80"/>
      <c r="E2572" s="80"/>
      <c r="F2572" s="80"/>
      <c r="G2572" s="81"/>
      <c r="H2572" s="83"/>
      <c r="I2572" s="82"/>
      <c r="J2572" s="83"/>
      <c r="K2572" s="82"/>
      <c r="L2572" s="81"/>
      <c r="M2572" s="82"/>
      <c r="N2572" s="81"/>
      <c r="O2572" s="82"/>
      <c r="P2572" s="81"/>
      <c r="Q2572" s="82"/>
      <c r="R2572" s="80"/>
      <c r="S2572" s="80"/>
      <c r="AB2572"/>
      <c r="AC2572"/>
    </row>
    <row r="2573" spans="1:29" x14ac:dyDescent="0.25">
      <c r="A2573" t="str">
        <f t="shared" si="41"/>
        <v/>
      </c>
      <c r="B2573" s="80"/>
      <c r="C2573" s="80"/>
      <c r="D2573" s="80"/>
      <c r="E2573" s="80"/>
      <c r="F2573" s="80"/>
      <c r="G2573" s="81"/>
      <c r="H2573" s="83"/>
      <c r="I2573" s="82"/>
      <c r="J2573" s="83"/>
      <c r="K2573" s="82"/>
      <c r="L2573" s="81"/>
      <c r="M2573" s="82"/>
      <c r="N2573" s="81"/>
      <c r="O2573" s="82"/>
      <c r="P2573" s="81"/>
      <c r="Q2573" s="82"/>
      <c r="R2573" s="80"/>
      <c r="S2573" s="80"/>
      <c r="AB2573"/>
      <c r="AC2573"/>
    </row>
    <row r="2574" spans="1:29" x14ac:dyDescent="0.25">
      <c r="A2574" t="str">
        <f t="shared" si="41"/>
        <v/>
      </c>
      <c r="B2574" s="80"/>
      <c r="C2574" s="80"/>
      <c r="D2574" s="80"/>
      <c r="E2574" s="80"/>
      <c r="F2574" s="80"/>
      <c r="G2574" s="81"/>
      <c r="H2574" s="83"/>
      <c r="I2574" s="82"/>
      <c r="J2574" s="83"/>
      <c r="K2574" s="82"/>
      <c r="L2574" s="81"/>
      <c r="M2574" s="82"/>
      <c r="N2574" s="81"/>
      <c r="O2574" s="82"/>
      <c r="P2574" s="81"/>
      <c r="Q2574" s="82"/>
      <c r="R2574" s="80"/>
      <c r="S2574" s="80"/>
      <c r="AB2574"/>
      <c r="AC2574"/>
    </row>
    <row r="2575" spans="1:29" x14ac:dyDescent="0.25">
      <c r="A2575" t="str">
        <f t="shared" si="41"/>
        <v/>
      </c>
      <c r="B2575" s="80"/>
      <c r="C2575" s="80"/>
      <c r="D2575" s="80"/>
      <c r="E2575" s="80"/>
      <c r="F2575" s="80"/>
      <c r="G2575" s="81"/>
      <c r="H2575" s="83"/>
      <c r="I2575" s="82"/>
      <c r="J2575" s="83"/>
      <c r="K2575" s="82"/>
      <c r="L2575" s="81"/>
      <c r="M2575" s="82"/>
      <c r="N2575" s="81"/>
      <c r="O2575" s="82"/>
      <c r="P2575" s="81"/>
      <c r="Q2575" s="82"/>
      <c r="R2575" s="80"/>
      <c r="S2575" s="80"/>
      <c r="AB2575"/>
      <c r="AC2575"/>
    </row>
    <row r="2576" spans="1:29" x14ac:dyDescent="0.25">
      <c r="A2576" t="str">
        <f t="shared" si="41"/>
        <v/>
      </c>
      <c r="B2576" s="80"/>
      <c r="C2576" s="80"/>
      <c r="D2576" s="80"/>
      <c r="E2576" s="80"/>
      <c r="F2576" s="80"/>
      <c r="G2576" s="81"/>
      <c r="H2576" s="83"/>
      <c r="I2576" s="82"/>
      <c r="J2576" s="83"/>
      <c r="K2576" s="82"/>
      <c r="L2576" s="81"/>
      <c r="M2576" s="82"/>
      <c r="N2576" s="81"/>
      <c r="O2576" s="82"/>
      <c r="P2576" s="81"/>
      <c r="Q2576" s="82"/>
      <c r="R2576" s="80"/>
      <c r="S2576" s="80"/>
      <c r="AB2576"/>
      <c r="AC2576"/>
    </row>
    <row r="2577" spans="1:29" x14ac:dyDescent="0.25">
      <c r="A2577" t="str">
        <f t="shared" si="41"/>
        <v/>
      </c>
      <c r="B2577" s="80"/>
      <c r="C2577" s="80"/>
      <c r="D2577" s="80"/>
      <c r="E2577" s="80"/>
      <c r="F2577" s="80"/>
      <c r="G2577" s="81"/>
      <c r="H2577" s="83"/>
      <c r="I2577" s="82"/>
      <c r="J2577" s="83"/>
      <c r="K2577" s="82"/>
      <c r="L2577" s="81"/>
      <c r="M2577" s="82"/>
      <c r="N2577" s="81"/>
      <c r="O2577" s="82"/>
      <c r="P2577" s="81"/>
      <c r="Q2577" s="82"/>
      <c r="R2577" s="80"/>
      <c r="S2577" s="80"/>
      <c r="AB2577"/>
      <c r="AC2577"/>
    </row>
    <row r="2578" spans="1:29" x14ac:dyDescent="0.25">
      <c r="A2578" t="str">
        <f t="shared" si="41"/>
        <v/>
      </c>
      <c r="B2578" s="80"/>
      <c r="C2578" s="80"/>
      <c r="D2578" s="80"/>
      <c r="E2578" s="80"/>
      <c r="F2578" s="80"/>
      <c r="G2578" s="81"/>
      <c r="H2578" s="83"/>
      <c r="I2578" s="82"/>
      <c r="J2578" s="83"/>
      <c r="K2578" s="82"/>
      <c r="L2578" s="81"/>
      <c r="M2578" s="82"/>
      <c r="N2578" s="81"/>
      <c r="O2578" s="82"/>
      <c r="P2578" s="81"/>
      <c r="Q2578" s="82"/>
      <c r="R2578" s="80"/>
      <c r="S2578" s="80"/>
      <c r="AB2578"/>
      <c r="AC2578"/>
    </row>
    <row r="2579" spans="1:29" x14ac:dyDescent="0.25">
      <c r="A2579" t="str">
        <f t="shared" si="41"/>
        <v/>
      </c>
      <c r="B2579" s="80"/>
      <c r="C2579" s="80"/>
      <c r="D2579" s="80"/>
      <c r="E2579" s="80"/>
      <c r="F2579" s="80"/>
      <c r="G2579" s="81"/>
      <c r="H2579" s="83"/>
      <c r="I2579" s="82"/>
      <c r="J2579" s="83"/>
      <c r="K2579" s="82"/>
      <c r="L2579" s="81"/>
      <c r="M2579" s="82"/>
      <c r="N2579" s="81"/>
      <c r="O2579" s="82"/>
      <c r="P2579" s="81"/>
      <c r="Q2579" s="82"/>
      <c r="R2579" s="80"/>
      <c r="S2579" s="80"/>
      <c r="AB2579"/>
      <c r="AC2579"/>
    </row>
    <row r="2580" spans="1:29" x14ac:dyDescent="0.25">
      <c r="A2580" t="str">
        <f t="shared" si="41"/>
        <v/>
      </c>
      <c r="B2580" s="80"/>
      <c r="C2580" s="80"/>
      <c r="D2580" s="80"/>
      <c r="E2580" s="80"/>
      <c r="F2580" s="80"/>
      <c r="G2580" s="81"/>
      <c r="H2580" s="83"/>
      <c r="I2580" s="82"/>
      <c r="J2580" s="83"/>
      <c r="K2580" s="82"/>
      <c r="L2580" s="81"/>
      <c r="M2580" s="82"/>
      <c r="N2580" s="81"/>
      <c r="O2580" s="82"/>
      <c r="P2580" s="81"/>
      <c r="Q2580" s="82"/>
      <c r="R2580" s="80"/>
      <c r="S2580" s="80"/>
      <c r="AB2580"/>
      <c r="AC2580"/>
    </row>
    <row r="2581" spans="1:29" x14ac:dyDescent="0.25">
      <c r="A2581" t="str">
        <f t="shared" si="41"/>
        <v/>
      </c>
      <c r="B2581" s="80"/>
      <c r="C2581" s="80"/>
      <c r="D2581" s="80"/>
      <c r="E2581" s="80"/>
      <c r="F2581" s="80"/>
      <c r="G2581" s="81"/>
      <c r="H2581" s="83"/>
      <c r="I2581" s="82"/>
      <c r="J2581" s="83"/>
      <c r="K2581" s="82"/>
      <c r="L2581" s="81"/>
      <c r="M2581" s="82"/>
      <c r="N2581" s="81"/>
      <c r="O2581" s="82"/>
      <c r="P2581" s="81"/>
      <c r="Q2581" s="82"/>
      <c r="R2581" s="80"/>
      <c r="S2581" s="80"/>
      <c r="AB2581"/>
      <c r="AC2581"/>
    </row>
    <row r="2582" spans="1:29" x14ac:dyDescent="0.25">
      <c r="A2582" t="str">
        <f t="shared" si="41"/>
        <v/>
      </c>
      <c r="B2582" s="80"/>
      <c r="C2582" s="80"/>
      <c r="D2582" s="80"/>
      <c r="E2582" s="80"/>
      <c r="F2582" s="80"/>
      <c r="G2582" s="81"/>
      <c r="H2582" s="83"/>
      <c r="I2582" s="82"/>
      <c r="J2582" s="83"/>
      <c r="K2582" s="82"/>
      <c r="L2582" s="81"/>
      <c r="M2582" s="82"/>
      <c r="N2582" s="81"/>
      <c r="O2582" s="82"/>
      <c r="P2582" s="81"/>
      <c r="Q2582" s="82"/>
      <c r="R2582" s="80"/>
      <c r="S2582" s="80"/>
      <c r="AB2582"/>
      <c r="AC2582"/>
    </row>
    <row r="2583" spans="1:29" x14ac:dyDescent="0.25">
      <c r="A2583" t="str">
        <f t="shared" si="41"/>
        <v/>
      </c>
      <c r="B2583" s="80"/>
      <c r="C2583" s="80"/>
      <c r="D2583" s="80"/>
      <c r="E2583" s="80"/>
      <c r="F2583" s="80"/>
      <c r="G2583" s="81"/>
      <c r="H2583" s="83"/>
      <c r="I2583" s="82"/>
      <c r="J2583" s="83"/>
      <c r="K2583" s="82"/>
      <c r="L2583" s="81"/>
      <c r="M2583" s="82"/>
      <c r="N2583" s="81"/>
      <c r="O2583" s="82"/>
      <c r="P2583" s="81"/>
      <c r="Q2583" s="82"/>
      <c r="R2583" s="80"/>
      <c r="S2583" s="80"/>
      <c r="AB2583"/>
      <c r="AC2583"/>
    </row>
    <row r="2584" spans="1:29" x14ac:dyDescent="0.25">
      <c r="A2584" t="str">
        <f t="shared" si="41"/>
        <v/>
      </c>
      <c r="B2584" s="80"/>
      <c r="C2584" s="80"/>
      <c r="D2584" s="80"/>
      <c r="E2584" s="80"/>
      <c r="F2584" s="80"/>
      <c r="G2584" s="81"/>
      <c r="H2584" s="83"/>
      <c r="I2584" s="82"/>
      <c r="J2584" s="83"/>
      <c r="K2584" s="82"/>
      <c r="L2584" s="81"/>
      <c r="M2584" s="82"/>
      <c r="N2584" s="81"/>
      <c r="O2584" s="82"/>
      <c r="P2584" s="81"/>
      <c r="Q2584" s="82"/>
      <c r="R2584" s="80"/>
      <c r="S2584" s="80"/>
      <c r="AB2584"/>
      <c r="AC2584"/>
    </row>
    <row r="2585" spans="1:29" x14ac:dyDescent="0.25">
      <c r="A2585" t="str">
        <f t="shared" si="41"/>
        <v/>
      </c>
      <c r="B2585" s="80"/>
      <c r="C2585" s="80"/>
      <c r="D2585" s="80"/>
      <c r="E2585" s="80"/>
      <c r="F2585" s="80"/>
      <c r="G2585" s="81"/>
      <c r="H2585" s="83"/>
      <c r="I2585" s="82"/>
      <c r="J2585" s="83"/>
      <c r="K2585" s="82"/>
      <c r="L2585" s="81"/>
      <c r="M2585" s="82"/>
      <c r="N2585" s="81"/>
      <c r="O2585" s="82"/>
      <c r="P2585" s="81"/>
      <c r="Q2585" s="82"/>
      <c r="R2585" s="80"/>
      <c r="S2585" s="80"/>
      <c r="AB2585"/>
      <c r="AC2585"/>
    </row>
    <row r="2586" spans="1:29" x14ac:dyDescent="0.25">
      <c r="A2586" t="str">
        <f t="shared" si="41"/>
        <v/>
      </c>
      <c r="B2586" s="80"/>
      <c r="C2586" s="80"/>
      <c r="D2586" s="80"/>
      <c r="E2586" s="80"/>
      <c r="F2586" s="80"/>
      <c r="G2586" s="81"/>
      <c r="H2586" s="83"/>
      <c r="I2586" s="82"/>
      <c r="J2586" s="83"/>
      <c r="K2586" s="82"/>
      <c r="L2586" s="81"/>
      <c r="M2586" s="82"/>
      <c r="N2586" s="81"/>
      <c r="O2586" s="82"/>
      <c r="P2586" s="81"/>
      <c r="Q2586" s="82"/>
      <c r="R2586" s="80"/>
      <c r="S2586" s="80"/>
      <c r="AB2586"/>
      <c r="AC2586"/>
    </row>
    <row r="2587" spans="1:29" x14ac:dyDescent="0.25">
      <c r="A2587" t="str">
        <f t="shared" si="41"/>
        <v/>
      </c>
      <c r="B2587" s="80"/>
      <c r="C2587" s="80"/>
      <c r="D2587" s="80"/>
      <c r="E2587" s="80"/>
      <c r="F2587" s="80"/>
      <c r="G2587" s="81"/>
      <c r="H2587" s="83"/>
      <c r="I2587" s="82"/>
      <c r="J2587" s="83"/>
      <c r="K2587" s="82"/>
      <c r="L2587" s="81"/>
      <c r="M2587" s="82"/>
      <c r="N2587" s="81"/>
      <c r="O2587" s="82"/>
      <c r="P2587" s="81"/>
      <c r="Q2587" s="82"/>
      <c r="R2587" s="80"/>
      <c r="S2587" s="80"/>
      <c r="AB2587"/>
      <c r="AC2587"/>
    </row>
    <row r="2588" spans="1:29" x14ac:dyDescent="0.25">
      <c r="A2588" t="str">
        <f t="shared" si="41"/>
        <v/>
      </c>
      <c r="B2588" s="80"/>
      <c r="C2588" s="80"/>
      <c r="D2588" s="80"/>
      <c r="E2588" s="80"/>
      <c r="F2588" s="80"/>
      <c r="G2588" s="81"/>
      <c r="H2588" s="83"/>
      <c r="I2588" s="82"/>
      <c r="J2588" s="83"/>
      <c r="K2588" s="82"/>
      <c r="L2588" s="81"/>
      <c r="M2588" s="82"/>
      <c r="N2588" s="81"/>
      <c r="O2588" s="82"/>
      <c r="P2588" s="81"/>
      <c r="Q2588" s="82"/>
      <c r="R2588" s="80"/>
      <c r="S2588" s="80"/>
      <c r="AB2588"/>
      <c r="AC2588"/>
    </row>
    <row r="2589" spans="1:29" x14ac:dyDescent="0.25">
      <c r="A2589" t="str">
        <f t="shared" si="41"/>
        <v/>
      </c>
      <c r="B2589" s="80"/>
      <c r="C2589" s="80"/>
      <c r="D2589" s="80"/>
      <c r="E2589" s="80"/>
      <c r="F2589" s="80"/>
      <c r="G2589" s="81"/>
      <c r="H2589" s="83"/>
      <c r="I2589" s="82"/>
      <c r="J2589" s="83"/>
      <c r="K2589" s="82"/>
      <c r="L2589" s="81"/>
      <c r="M2589" s="82"/>
      <c r="N2589" s="81"/>
      <c r="O2589" s="82"/>
      <c r="P2589" s="81"/>
      <c r="Q2589" s="82"/>
      <c r="R2589" s="80"/>
      <c r="S2589" s="80"/>
      <c r="AB2589"/>
      <c r="AC2589"/>
    </row>
    <row r="2590" spans="1:29" x14ac:dyDescent="0.25">
      <c r="A2590" t="str">
        <f t="shared" si="41"/>
        <v/>
      </c>
      <c r="B2590" s="80"/>
      <c r="C2590" s="80"/>
      <c r="D2590" s="80"/>
      <c r="E2590" s="80"/>
      <c r="F2590" s="80"/>
      <c r="G2590" s="81"/>
      <c r="H2590" s="83"/>
      <c r="I2590" s="82"/>
      <c r="J2590" s="83"/>
      <c r="K2590" s="82"/>
      <c r="L2590" s="81"/>
      <c r="M2590" s="82"/>
      <c r="N2590" s="81"/>
      <c r="O2590" s="82"/>
      <c r="P2590" s="81"/>
      <c r="Q2590" s="82"/>
      <c r="R2590" s="80"/>
      <c r="S2590" s="80"/>
      <c r="AB2590"/>
      <c r="AC2590"/>
    </row>
    <row r="2591" spans="1:29" x14ac:dyDescent="0.25">
      <c r="A2591" t="str">
        <f t="shared" si="41"/>
        <v/>
      </c>
      <c r="B2591" s="80"/>
      <c r="C2591" s="80"/>
      <c r="D2591" s="80"/>
      <c r="E2591" s="80"/>
      <c r="F2591" s="80"/>
      <c r="G2591" s="81"/>
      <c r="H2591" s="83"/>
      <c r="I2591" s="82"/>
      <c r="J2591" s="83"/>
      <c r="K2591" s="82"/>
      <c r="L2591" s="81"/>
      <c r="M2591" s="82"/>
      <c r="N2591" s="81"/>
      <c r="O2591" s="82"/>
      <c r="P2591" s="81"/>
      <c r="Q2591" s="82"/>
      <c r="R2591" s="80"/>
      <c r="S2591" s="80"/>
      <c r="AB2591"/>
      <c r="AC2591"/>
    </row>
    <row r="2592" spans="1:29" x14ac:dyDescent="0.25">
      <c r="A2592" t="str">
        <f t="shared" si="41"/>
        <v/>
      </c>
      <c r="B2592" s="80"/>
      <c r="C2592" s="80"/>
      <c r="D2592" s="80"/>
      <c r="E2592" s="80"/>
      <c r="F2592" s="80"/>
      <c r="G2592" s="81"/>
      <c r="H2592" s="83"/>
      <c r="I2592" s="82"/>
      <c r="J2592" s="83"/>
      <c r="K2592" s="82"/>
      <c r="L2592" s="81"/>
      <c r="M2592" s="82"/>
      <c r="N2592" s="81"/>
      <c r="O2592" s="82"/>
      <c r="P2592" s="81"/>
      <c r="Q2592" s="82"/>
      <c r="R2592" s="80"/>
      <c r="S2592" s="80"/>
      <c r="AB2592"/>
      <c r="AC2592"/>
    </row>
    <row r="2593" spans="1:29" x14ac:dyDescent="0.25">
      <c r="A2593" t="str">
        <f t="shared" si="41"/>
        <v/>
      </c>
      <c r="B2593" s="80"/>
      <c r="C2593" s="80"/>
      <c r="D2593" s="80"/>
      <c r="E2593" s="80"/>
      <c r="F2593" s="80"/>
      <c r="G2593" s="81"/>
      <c r="H2593" s="83"/>
      <c r="I2593" s="82"/>
      <c r="J2593" s="83"/>
      <c r="K2593" s="82"/>
      <c r="L2593" s="81"/>
      <c r="M2593" s="82"/>
      <c r="N2593" s="81"/>
      <c r="O2593" s="82"/>
      <c r="P2593" s="81"/>
      <c r="Q2593" s="82"/>
      <c r="R2593" s="80"/>
      <c r="S2593" s="80"/>
      <c r="AB2593"/>
      <c r="AC2593"/>
    </row>
    <row r="2594" spans="1:29" x14ac:dyDescent="0.25">
      <c r="A2594" t="str">
        <f t="shared" si="41"/>
        <v/>
      </c>
      <c r="B2594" s="80"/>
      <c r="C2594" s="80"/>
      <c r="D2594" s="80"/>
      <c r="E2594" s="80"/>
      <c r="F2594" s="80"/>
      <c r="G2594" s="81"/>
      <c r="H2594" s="83"/>
      <c r="I2594" s="82"/>
      <c r="J2594" s="83"/>
      <c r="K2594" s="82"/>
      <c r="L2594" s="81"/>
      <c r="M2594" s="82"/>
      <c r="N2594" s="81"/>
      <c r="O2594" s="82"/>
      <c r="P2594" s="81"/>
      <c r="Q2594" s="82"/>
      <c r="R2594" s="80"/>
      <c r="S2594" s="80"/>
      <c r="AB2594"/>
      <c r="AC2594"/>
    </row>
    <row r="2595" spans="1:29" x14ac:dyDescent="0.25">
      <c r="A2595" t="str">
        <f t="shared" si="41"/>
        <v/>
      </c>
      <c r="B2595" s="80"/>
      <c r="C2595" s="80"/>
      <c r="D2595" s="80"/>
      <c r="E2595" s="80"/>
      <c r="F2595" s="80"/>
      <c r="G2595" s="81"/>
      <c r="H2595" s="83"/>
      <c r="I2595" s="82"/>
      <c r="J2595" s="83"/>
      <c r="K2595" s="82"/>
      <c r="L2595" s="81"/>
      <c r="M2595" s="82"/>
      <c r="N2595" s="81"/>
      <c r="O2595" s="82"/>
      <c r="P2595" s="81"/>
      <c r="Q2595" s="82"/>
      <c r="R2595" s="80"/>
      <c r="S2595" s="80"/>
      <c r="AB2595"/>
      <c r="AC2595"/>
    </row>
    <row r="2596" spans="1:29" x14ac:dyDescent="0.25">
      <c r="A2596" t="str">
        <f t="shared" si="41"/>
        <v/>
      </c>
      <c r="B2596" s="80"/>
      <c r="C2596" s="80"/>
      <c r="D2596" s="80"/>
      <c r="E2596" s="80"/>
      <c r="F2596" s="80"/>
      <c r="G2596" s="81"/>
      <c r="H2596" s="83"/>
      <c r="I2596" s="82"/>
      <c r="J2596" s="83"/>
      <c r="K2596" s="82"/>
      <c r="L2596" s="81"/>
      <c r="M2596" s="82"/>
      <c r="N2596" s="81"/>
      <c r="O2596" s="82"/>
      <c r="P2596" s="81"/>
      <c r="Q2596" s="82"/>
      <c r="R2596" s="80"/>
      <c r="S2596" s="80"/>
      <c r="AB2596"/>
      <c r="AC2596"/>
    </row>
    <row r="2597" spans="1:29" x14ac:dyDescent="0.25">
      <c r="A2597" t="str">
        <f t="shared" si="41"/>
        <v/>
      </c>
      <c r="B2597" s="80"/>
      <c r="C2597" s="80"/>
      <c r="D2597" s="80"/>
      <c r="E2597" s="80"/>
      <c r="F2597" s="80"/>
      <c r="G2597" s="81"/>
      <c r="H2597" s="83"/>
      <c r="I2597" s="82"/>
      <c r="J2597" s="83"/>
      <c r="K2597" s="82"/>
      <c r="L2597" s="81"/>
      <c r="M2597" s="82"/>
      <c r="N2597" s="81"/>
      <c r="O2597" s="82"/>
      <c r="P2597" s="81"/>
      <c r="Q2597" s="82"/>
      <c r="R2597" s="80"/>
      <c r="S2597" s="80"/>
      <c r="AB2597"/>
      <c r="AC2597"/>
    </row>
    <row r="2598" spans="1:29" x14ac:dyDescent="0.25">
      <c r="A2598" t="str">
        <f t="shared" si="41"/>
        <v/>
      </c>
      <c r="B2598" s="80"/>
      <c r="C2598" s="80"/>
      <c r="D2598" s="80"/>
      <c r="E2598" s="80"/>
      <c r="F2598" s="80"/>
      <c r="G2598" s="81"/>
      <c r="H2598" s="83"/>
      <c r="I2598" s="82"/>
      <c r="J2598" s="83"/>
      <c r="K2598" s="82"/>
      <c r="L2598" s="81"/>
      <c r="M2598" s="82"/>
      <c r="N2598" s="81"/>
      <c r="O2598" s="82"/>
      <c r="P2598" s="81"/>
      <c r="Q2598" s="82"/>
      <c r="R2598" s="80"/>
      <c r="S2598" s="80"/>
      <c r="AB2598"/>
      <c r="AC2598"/>
    </row>
    <row r="2599" spans="1:29" x14ac:dyDescent="0.25">
      <c r="A2599" t="str">
        <f t="shared" si="41"/>
        <v/>
      </c>
      <c r="B2599" s="80"/>
      <c r="C2599" s="80"/>
      <c r="D2599" s="80"/>
      <c r="E2599" s="80"/>
      <c r="F2599" s="80"/>
      <c r="G2599" s="81"/>
      <c r="H2599" s="83"/>
      <c r="I2599" s="82"/>
      <c r="J2599" s="83"/>
      <c r="K2599" s="82"/>
      <c r="L2599" s="81"/>
      <c r="M2599" s="82"/>
      <c r="N2599" s="81"/>
      <c r="O2599" s="82"/>
      <c r="P2599" s="81"/>
      <c r="Q2599" s="82"/>
      <c r="R2599" s="80"/>
      <c r="S2599" s="80"/>
      <c r="AB2599"/>
      <c r="AC2599"/>
    </row>
    <row r="2600" spans="1:29" x14ac:dyDescent="0.25">
      <c r="A2600" t="str">
        <f t="shared" si="41"/>
        <v/>
      </c>
      <c r="B2600" s="80"/>
      <c r="C2600" s="80"/>
      <c r="D2600" s="80"/>
      <c r="E2600" s="80"/>
      <c r="F2600" s="80"/>
      <c r="G2600" s="81"/>
      <c r="H2600" s="83"/>
      <c r="I2600" s="82"/>
      <c r="J2600" s="83"/>
      <c r="K2600" s="82"/>
      <c r="L2600" s="81"/>
      <c r="M2600" s="82"/>
      <c r="N2600" s="81"/>
      <c r="O2600" s="82"/>
      <c r="P2600" s="81"/>
      <c r="Q2600" s="82"/>
      <c r="R2600" s="80"/>
      <c r="S2600" s="80"/>
      <c r="AB2600"/>
      <c r="AC2600"/>
    </row>
    <row r="2601" spans="1:29" x14ac:dyDescent="0.25">
      <c r="A2601" t="str">
        <f t="shared" si="41"/>
        <v/>
      </c>
      <c r="B2601" s="80"/>
      <c r="C2601" s="80"/>
      <c r="D2601" s="80"/>
      <c r="E2601" s="80"/>
      <c r="F2601" s="80"/>
      <c r="G2601" s="81"/>
      <c r="H2601" s="83"/>
      <c r="I2601" s="82"/>
      <c r="J2601" s="83"/>
      <c r="K2601" s="82"/>
      <c r="L2601" s="81"/>
      <c r="M2601" s="82"/>
      <c r="N2601" s="81"/>
      <c r="O2601" s="82"/>
      <c r="P2601" s="81"/>
      <c r="Q2601" s="82"/>
      <c r="R2601" s="80"/>
      <c r="S2601" s="80"/>
      <c r="AB2601"/>
      <c r="AC2601"/>
    </row>
    <row r="2602" spans="1:29" x14ac:dyDescent="0.25">
      <c r="A2602" t="str">
        <f t="shared" si="41"/>
        <v/>
      </c>
      <c r="B2602" s="80"/>
      <c r="C2602" s="80"/>
      <c r="D2602" s="80"/>
      <c r="E2602" s="80"/>
      <c r="F2602" s="80"/>
      <c r="G2602" s="81"/>
      <c r="H2602" s="83"/>
      <c r="I2602" s="82"/>
      <c r="J2602" s="83"/>
      <c r="K2602" s="82"/>
      <c r="L2602" s="81"/>
      <c r="M2602" s="82"/>
      <c r="N2602" s="81"/>
      <c r="O2602" s="82"/>
      <c r="P2602" s="81"/>
      <c r="Q2602" s="82"/>
      <c r="R2602" s="80"/>
      <c r="S2602" s="80"/>
      <c r="AB2602"/>
      <c r="AC2602"/>
    </row>
    <row r="2603" spans="1:29" x14ac:dyDescent="0.25">
      <c r="A2603" t="str">
        <f t="shared" si="41"/>
        <v/>
      </c>
      <c r="B2603" s="80"/>
      <c r="C2603" s="80"/>
      <c r="D2603" s="80"/>
      <c r="E2603" s="80"/>
      <c r="F2603" s="80"/>
      <c r="G2603" s="81"/>
      <c r="H2603" s="83"/>
      <c r="I2603" s="82"/>
      <c r="J2603" s="83"/>
      <c r="K2603" s="82"/>
      <c r="L2603" s="81"/>
      <c r="M2603" s="82"/>
      <c r="N2603" s="81"/>
      <c r="O2603" s="82"/>
      <c r="P2603" s="81"/>
      <c r="Q2603" s="82"/>
      <c r="R2603" s="80"/>
      <c r="S2603" s="80"/>
      <c r="AB2603"/>
      <c r="AC2603"/>
    </row>
    <row r="2604" spans="1:29" x14ac:dyDescent="0.25">
      <c r="A2604" t="str">
        <f t="shared" si="41"/>
        <v/>
      </c>
      <c r="B2604" s="80"/>
      <c r="C2604" s="80"/>
      <c r="D2604" s="80"/>
      <c r="E2604" s="80"/>
      <c r="F2604" s="80"/>
      <c r="G2604" s="81"/>
      <c r="H2604" s="83"/>
      <c r="I2604" s="82"/>
      <c r="J2604" s="83"/>
      <c r="K2604" s="82"/>
      <c r="L2604" s="81"/>
      <c r="M2604" s="82"/>
      <c r="N2604" s="81"/>
      <c r="O2604" s="82"/>
      <c r="P2604" s="81"/>
      <c r="Q2604" s="82"/>
      <c r="R2604" s="80"/>
      <c r="S2604" s="80"/>
      <c r="AB2604"/>
      <c r="AC2604"/>
    </row>
    <row r="2605" spans="1:29" x14ac:dyDescent="0.25">
      <c r="A2605" t="str">
        <f t="shared" si="41"/>
        <v/>
      </c>
      <c r="B2605" s="80"/>
      <c r="C2605" s="80"/>
      <c r="D2605" s="80"/>
      <c r="E2605" s="80"/>
      <c r="F2605" s="80"/>
      <c r="G2605" s="81"/>
      <c r="H2605" s="83"/>
      <c r="I2605" s="82"/>
      <c r="J2605" s="83"/>
      <c r="K2605" s="82"/>
      <c r="L2605" s="81"/>
      <c r="M2605" s="82"/>
      <c r="N2605" s="81"/>
      <c r="O2605" s="82"/>
      <c r="P2605" s="81"/>
      <c r="Q2605" s="82"/>
      <c r="R2605" s="80"/>
      <c r="S2605" s="80"/>
      <c r="AB2605"/>
      <c r="AC2605"/>
    </row>
    <row r="2606" spans="1:29" x14ac:dyDescent="0.25">
      <c r="A2606" t="str">
        <f t="shared" si="41"/>
        <v/>
      </c>
      <c r="B2606" s="80"/>
      <c r="C2606" s="80"/>
      <c r="D2606" s="80"/>
      <c r="E2606" s="80"/>
      <c r="F2606" s="80"/>
      <c r="G2606" s="81"/>
      <c r="H2606" s="83"/>
      <c r="I2606" s="82"/>
      <c r="J2606" s="83"/>
      <c r="K2606" s="82"/>
      <c r="L2606" s="81"/>
      <c r="M2606" s="82"/>
      <c r="N2606" s="81"/>
      <c r="O2606" s="82"/>
      <c r="P2606" s="81"/>
      <c r="Q2606" s="82"/>
      <c r="R2606" s="80"/>
      <c r="S2606" s="80"/>
      <c r="AB2606"/>
      <c r="AC2606"/>
    </row>
    <row r="2607" spans="1:29" x14ac:dyDescent="0.25">
      <c r="A2607" t="str">
        <f t="shared" si="41"/>
        <v/>
      </c>
      <c r="B2607" s="80"/>
      <c r="C2607" s="80"/>
      <c r="D2607" s="80"/>
      <c r="E2607" s="80"/>
      <c r="F2607" s="80"/>
      <c r="G2607" s="81"/>
      <c r="H2607" s="83"/>
      <c r="I2607" s="82"/>
      <c r="J2607" s="83"/>
      <c r="K2607" s="82"/>
      <c r="L2607" s="81"/>
      <c r="M2607" s="82"/>
      <c r="N2607" s="81"/>
      <c r="O2607" s="82"/>
      <c r="P2607" s="81"/>
      <c r="Q2607" s="82"/>
      <c r="R2607" s="80"/>
      <c r="S2607" s="80"/>
      <c r="AB2607"/>
      <c r="AC2607"/>
    </row>
    <row r="2608" spans="1:29" x14ac:dyDescent="0.25">
      <c r="A2608" t="str">
        <f t="shared" si="41"/>
        <v/>
      </c>
      <c r="B2608" s="80"/>
      <c r="C2608" s="80"/>
      <c r="D2608" s="80"/>
      <c r="E2608" s="80"/>
      <c r="F2608" s="80"/>
      <c r="G2608" s="81"/>
      <c r="H2608" s="83"/>
      <c r="I2608" s="82"/>
      <c r="J2608" s="83"/>
      <c r="K2608" s="82"/>
      <c r="L2608" s="81"/>
      <c r="M2608" s="82"/>
      <c r="N2608" s="81"/>
      <c r="O2608" s="82"/>
      <c r="P2608" s="81"/>
      <c r="Q2608" s="82"/>
      <c r="R2608" s="80"/>
      <c r="S2608" s="80"/>
      <c r="AB2608"/>
      <c r="AC2608"/>
    </row>
    <row r="2609" spans="1:29" x14ac:dyDescent="0.25">
      <c r="A2609" t="str">
        <f t="shared" si="41"/>
        <v/>
      </c>
      <c r="B2609" s="80"/>
      <c r="C2609" s="80"/>
      <c r="D2609" s="80"/>
      <c r="E2609" s="80"/>
      <c r="F2609" s="80"/>
      <c r="G2609" s="81"/>
      <c r="H2609" s="83"/>
      <c r="I2609" s="82"/>
      <c r="J2609" s="83"/>
      <c r="K2609" s="82"/>
      <c r="L2609" s="81"/>
      <c r="M2609" s="82"/>
      <c r="N2609" s="81"/>
      <c r="O2609" s="82"/>
      <c r="P2609" s="81"/>
      <c r="Q2609" s="82"/>
      <c r="R2609" s="80"/>
      <c r="S2609" s="80"/>
      <c r="AB2609"/>
      <c r="AC2609"/>
    </row>
    <row r="2610" spans="1:29" x14ac:dyDescent="0.25">
      <c r="A2610" t="str">
        <f t="shared" si="41"/>
        <v/>
      </c>
      <c r="B2610" s="80"/>
      <c r="C2610" s="80"/>
      <c r="D2610" s="80"/>
      <c r="E2610" s="80"/>
      <c r="F2610" s="80"/>
      <c r="G2610" s="81"/>
      <c r="H2610" s="83"/>
      <c r="I2610" s="82"/>
      <c r="J2610" s="83"/>
      <c r="K2610" s="82"/>
      <c r="L2610" s="81"/>
      <c r="M2610" s="82"/>
      <c r="N2610" s="81"/>
      <c r="O2610" s="82"/>
      <c r="P2610" s="81"/>
      <c r="Q2610" s="82"/>
      <c r="R2610" s="80"/>
      <c r="S2610" s="80"/>
      <c r="AB2610"/>
      <c r="AC2610"/>
    </row>
    <row r="2611" spans="1:29" x14ac:dyDescent="0.25">
      <c r="A2611" t="str">
        <f t="shared" si="41"/>
        <v/>
      </c>
      <c r="B2611" s="80"/>
      <c r="C2611" s="80"/>
      <c r="D2611" s="80"/>
      <c r="E2611" s="80"/>
      <c r="F2611" s="80"/>
      <c r="G2611" s="81"/>
      <c r="H2611" s="83"/>
      <c r="I2611" s="82"/>
      <c r="J2611" s="83"/>
      <c r="K2611" s="82"/>
      <c r="L2611" s="81"/>
      <c r="M2611" s="82"/>
      <c r="N2611" s="81"/>
      <c r="O2611" s="82"/>
      <c r="P2611" s="81"/>
      <c r="Q2611" s="82"/>
      <c r="R2611" s="80"/>
      <c r="S2611" s="80"/>
      <c r="AB2611"/>
      <c r="AC2611"/>
    </row>
    <row r="2612" spans="1:29" x14ac:dyDescent="0.25">
      <c r="A2612" t="str">
        <f t="shared" si="41"/>
        <v/>
      </c>
      <c r="B2612" s="80"/>
      <c r="C2612" s="80"/>
      <c r="D2612" s="80"/>
      <c r="E2612" s="80"/>
      <c r="F2612" s="80"/>
      <c r="G2612" s="81"/>
      <c r="H2612" s="83"/>
      <c r="I2612" s="82"/>
      <c r="J2612" s="83"/>
      <c r="K2612" s="82"/>
      <c r="L2612" s="81"/>
      <c r="M2612" s="82"/>
      <c r="N2612" s="81"/>
      <c r="O2612" s="82"/>
      <c r="P2612" s="81"/>
      <c r="Q2612" s="82"/>
      <c r="R2612" s="80"/>
      <c r="S2612" s="80"/>
      <c r="AB2612"/>
      <c r="AC2612"/>
    </row>
    <row r="2613" spans="1:29" x14ac:dyDescent="0.25">
      <c r="A2613" t="str">
        <f t="shared" si="41"/>
        <v/>
      </c>
      <c r="B2613" s="80"/>
      <c r="C2613" s="80"/>
      <c r="D2613" s="80"/>
      <c r="E2613" s="80"/>
      <c r="F2613" s="80"/>
      <c r="G2613" s="81"/>
      <c r="H2613" s="83"/>
      <c r="I2613" s="82"/>
      <c r="J2613" s="83"/>
      <c r="K2613" s="82"/>
      <c r="L2613" s="81"/>
      <c r="M2613" s="82"/>
      <c r="N2613" s="81"/>
      <c r="O2613" s="82"/>
      <c r="P2613" s="81"/>
      <c r="Q2613" s="82"/>
      <c r="R2613" s="80"/>
      <c r="S2613" s="80"/>
      <c r="AB2613"/>
      <c r="AC2613"/>
    </row>
    <row r="2614" spans="1:29" x14ac:dyDescent="0.25">
      <c r="A2614" t="str">
        <f t="shared" si="41"/>
        <v/>
      </c>
      <c r="B2614" s="80"/>
      <c r="C2614" s="80"/>
      <c r="D2614" s="80"/>
      <c r="E2614" s="80"/>
      <c r="F2614" s="80"/>
      <c r="G2614" s="81"/>
      <c r="H2614" s="83"/>
      <c r="I2614" s="82"/>
      <c r="J2614" s="83"/>
      <c r="K2614" s="82"/>
      <c r="L2614" s="81"/>
      <c r="M2614" s="82"/>
      <c r="N2614" s="81"/>
      <c r="O2614" s="82"/>
      <c r="P2614" s="81"/>
      <c r="Q2614" s="82"/>
      <c r="R2614" s="80"/>
      <c r="S2614" s="80"/>
      <c r="AB2614"/>
      <c r="AC2614"/>
    </row>
    <row r="2615" spans="1:29" x14ac:dyDescent="0.25">
      <c r="A2615" t="str">
        <f t="shared" si="41"/>
        <v/>
      </c>
      <c r="B2615" s="80"/>
      <c r="C2615" s="80"/>
      <c r="D2615" s="80"/>
      <c r="E2615" s="80"/>
      <c r="F2615" s="80"/>
      <c r="G2615" s="81"/>
      <c r="H2615" s="83"/>
      <c r="I2615" s="82"/>
      <c r="J2615" s="83"/>
      <c r="K2615" s="82"/>
      <c r="L2615" s="81"/>
      <c r="M2615" s="82"/>
      <c r="N2615" s="81"/>
      <c r="O2615" s="82"/>
      <c r="P2615" s="81"/>
      <c r="Q2615" s="82"/>
      <c r="R2615" s="80"/>
      <c r="S2615" s="80"/>
      <c r="AB2615"/>
      <c r="AC2615"/>
    </row>
    <row r="2616" spans="1:29" x14ac:dyDescent="0.25">
      <c r="A2616" t="str">
        <f t="shared" si="41"/>
        <v/>
      </c>
      <c r="B2616" s="80"/>
      <c r="C2616" s="80"/>
      <c r="D2616" s="80"/>
      <c r="E2616" s="80"/>
      <c r="F2616" s="80"/>
      <c r="G2616" s="81"/>
      <c r="H2616" s="83"/>
      <c r="I2616" s="82"/>
      <c r="J2616" s="83"/>
      <c r="K2616" s="82"/>
      <c r="L2616" s="81"/>
      <c r="M2616" s="82"/>
      <c r="N2616" s="81"/>
      <c r="O2616" s="82"/>
      <c r="P2616" s="81"/>
      <c r="Q2616" s="82"/>
      <c r="R2616" s="80"/>
      <c r="S2616" s="80"/>
      <c r="AB2616"/>
      <c r="AC2616"/>
    </row>
    <row r="2617" spans="1:29" x14ac:dyDescent="0.25">
      <c r="A2617" t="str">
        <f t="shared" si="41"/>
        <v/>
      </c>
      <c r="B2617" s="80"/>
      <c r="C2617" s="80"/>
      <c r="D2617" s="80"/>
      <c r="E2617" s="80"/>
      <c r="F2617" s="80"/>
      <c r="G2617" s="81"/>
      <c r="H2617" s="83"/>
      <c r="I2617" s="82"/>
      <c r="J2617" s="83"/>
      <c r="K2617" s="82"/>
      <c r="L2617" s="81"/>
      <c r="M2617" s="82"/>
      <c r="N2617" s="81"/>
      <c r="O2617" s="82"/>
      <c r="P2617" s="81"/>
      <c r="Q2617" s="82"/>
      <c r="R2617" s="80"/>
      <c r="S2617" s="80"/>
      <c r="AB2617"/>
      <c r="AC2617"/>
    </row>
    <row r="2618" spans="1:29" x14ac:dyDescent="0.25">
      <c r="A2618" t="str">
        <f t="shared" si="41"/>
        <v/>
      </c>
      <c r="B2618" s="80"/>
      <c r="C2618" s="80"/>
      <c r="D2618" s="80"/>
      <c r="E2618" s="80"/>
      <c r="F2618" s="80"/>
      <c r="G2618" s="81"/>
      <c r="H2618" s="83"/>
      <c r="I2618" s="82"/>
      <c r="J2618" s="83"/>
      <c r="K2618" s="82"/>
      <c r="L2618" s="81"/>
      <c r="M2618" s="82"/>
      <c r="N2618" s="81"/>
      <c r="O2618" s="82"/>
      <c r="P2618" s="81"/>
      <c r="Q2618" s="82"/>
      <c r="R2618" s="80"/>
      <c r="S2618" s="80"/>
      <c r="AB2618"/>
      <c r="AC2618"/>
    </row>
    <row r="2619" spans="1:29" x14ac:dyDescent="0.25">
      <c r="A2619" t="str">
        <f t="shared" si="41"/>
        <v/>
      </c>
      <c r="B2619" s="80"/>
      <c r="C2619" s="80"/>
      <c r="D2619" s="80"/>
      <c r="E2619" s="80"/>
      <c r="F2619" s="80"/>
      <c r="G2619" s="81"/>
      <c r="H2619" s="83"/>
      <c r="I2619" s="82"/>
      <c r="J2619" s="83"/>
      <c r="K2619" s="82"/>
      <c r="L2619" s="81"/>
      <c r="M2619" s="82"/>
      <c r="N2619" s="81"/>
      <c r="O2619" s="82"/>
      <c r="P2619" s="81"/>
      <c r="Q2619" s="82"/>
      <c r="R2619" s="80"/>
      <c r="S2619" s="80"/>
      <c r="AB2619"/>
      <c r="AC2619"/>
    </row>
    <row r="2620" spans="1:29" x14ac:dyDescent="0.25">
      <c r="A2620" t="str">
        <f t="shared" si="41"/>
        <v/>
      </c>
      <c r="B2620" s="80"/>
      <c r="C2620" s="80"/>
      <c r="D2620" s="80"/>
      <c r="E2620" s="80"/>
      <c r="F2620" s="80"/>
      <c r="G2620" s="81"/>
      <c r="H2620" s="83"/>
      <c r="I2620" s="82"/>
      <c r="J2620" s="83"/>
      <c r="K2620" s="82"/>
      <c r="L2620" s="81"/>
      <c r="M2620" s="82"/>
      <c r="N2620" s="81"/>
      <c r="O2620" s="82"/>
      <c r="P2620" s="81"/>
      <c r="Q2620" s="82"/>
      <c r="R2620" s="80"/>
      <c r="S2620" s="80"/>
      <c r="AB2620"/>
      <c r="AC2620"/>
    </row>
    <row r="2621" spans="1:29" x14ac:dyDescent="0.25">
      <c r="A2621" t="str">
        <f t="shared" si="41"/>
        <v/>
      </c>
      <c r="B2621" s="80"/>
      <c r="C2621" s="80"/>
      <c r="D2621" s="80"/>
      <c r="E2621" s="80"/>
      <c r="F2621" s="80"/>
      <c r="G2621" s="81"/>
      <c r="H2621" s="83"/>
      <c r="I2621" s="82"/>
      <c r="J2621" s="83"/>
      <c r="K2621" s="82"/>
      <c r="L2621" s="81"/>
      <c r="M2621" s="82"/>
      <c r="N2621" s="81"/>
      <c r="O2621" s="82"/>
      <c r="P2621" s="81"/>
      <c r="Q2621" s="82"/>
      <c r="R2621" s="80"/>
      <c r="S2621" s="80"/>
      <c r="AB2621"/>
      <c r="AC2621"/>
    </row>
    <row r="2622" spans="1:29" x14ac:dyDescent="0.25">
      <c r="A2622" t="str">
        <f t="shared" si="41"/>
        <v/>
      </c>
      <c r="B2622" s="80"/>
      <c r="C2622" s="80"/>
      <c r="D2622" s="80"/>
      <c r="E2622" s="80"/>
      <c r="F2622" s="80"/>
      <c r="G2622" s="81"/>
      <c r="H2622" s="83"/>
      <c r="I2622" s="82"/>
      <c r="J2622" s="83"/>
      <c r="K2622" s="82"/>
      <c r="L2622" s="81"/>
      <c r="M2622" s="82"/>
      <c r="N2622" s="81"/>
      <c r="O2622" s="82"/>
      <c r="P2622" s="81"/>
      <c r="Q2622" s="82"/>
      <c r="R2622" s="80"/>
      <c r="S2622" s="80"/>
      <c r="AB2622"/>
      <c r="AC2622"/>
    </row>
    <row r="2623" spans="1:29" x14ac:dyDescent="0.25">
      <c r="A2623" t="str">
        <f t="shared" si="41"/>
        <v/>
      </c>
      <c r="B2623" s="80"/>
      <c r="C2623" s="80"/>
      <c r="D2623" s="80"/>
      <c r="E2623" s="80"/>
      <c r="F2623" s="80"/>
      <c r="G2623" s="81"/>
      <c r="H2623" s="83"/>
      <c r="I2623" s="82"/>
      <c r="J2623" s="83"/>
      <c r="K2623" s="82"/>
      <c r="L2623" s="81"/>
      <c r="M2623" s="82"/>
      <c r="N2623" s="81"/>
      <c r="O2623" s="82"/>
      <c r="P2623" s="81"/>
      <c r="Q2623" s="82"/>
      <c r="R2623" s="80"/>
      <c r="S2623" s="80"/>
      <c r="AB2623"/>
      <c r="AC2623"/>
    </row>
    <row r="2624" spans="1:29" x14ac:dyDescent="0.25">
      <c r="A2624" t="str">
        <f t="shared" si="41"/>
        <v/>
      </c>
      <c r="B2624" s="80"/>
      <c r="C2624" s="80"/>
      <c r="D2624" s="80"/>
      <c r="E2624" s="80"/>
      <c r="F2624" s="80"/>
      <c r="G2624" s="81"/>
      <c r="H2624" s="83"/>
      <c r="I2624" s="82"/>
      <c r="J2624" s="83"/>
      <c r="K2624" s="82"/>
      <c r="L2624" s="81"/>
      <c r="M2624" s="82"/>
      <c r="N2624" s="81"/>
      <c r="O2624" s="82"/>
      <c r="P2624" s="81"/>
      <c r="Q2624" s="82"/>
      <c r="R2624" s="80"/>
      <c r="S2624" s="80"/>
      <c r="AB2624"/>
      <c r="AC2624"/>
    </row>
    <row r="2625" spans="1:29" x14ac:dyDescent="0.25">
      <c r="A2625" t="str">
        <f t="shared" si="41"/>
        <v/>
      </c>
      <c r="B2625" s="80"/>
      <c r="C2625" s="80"/>
      <c r="D2625" s="80"/>
      <c r="E2625" s="80"/>
      <c r="F2625" s="80"/>
      <c r="G2625" s="81"/>
      <c r="H2625" s="83"/>
      <c r="I2625" s="82"/>
      <c r="J2625" s="83"/>
      <c r="K2625" s="82"/>
      <c r="L2625" s="81"/>
      <c r="M2625" s="82"/>
      <c r="N2625" s="81"/>
      <c r="O2625" s="82"/>
      <c r="P2625" s="81"/>
      <c r="Q2625" s="82"/>
      <c r="R2625" s="80"/>
      <c r="S2625" s="80"/>
      <c r="AB2625"/>
      <c r="AC2625"/>
    </row>
    <row r="2626" spans="1:29" x14ac:dyDescent="0.25">
      <c r="A2626" t="str">
        <f t="shared" si="41"/>
        <v/>
      </c>
      <c r="B2626" s="80"/>
      <c r="C2626" s="80"/>
      <c r="D2626" s="80"/>
      <c r="E2626" s="80"/>
      <c r="F2626" s="80"/>
      <c r="G2626" s="81"/>
      <c r="H2626" s="83"/>
      <c r="I2626" s="82"/>
      <c r="J2626" s="83"/>
      <c r="K2626" s="82"/>
      <c r="L2626" s="81"/>
      <c r="M2626" s="82"/>
      <c r="N2626" s="81"/>
      <c r="O2626" s="82"/>
      <c r="P2626" s="81"/>
      <c r="Q2626" s="82"/>
      <c r="R2626" s="80"/>
      <c r="S2626" s="80"/>
      <c r="AB2626"/>
      <c r="AC2626"/>
    </row>
    <row r="2627" spans="1:29" x14ac:dyDescent="0.25">
      <c r="A2627" t="str">
        <f t="shared" si="41"/>
        <v/>
      </c>
      <c r="B2627" s="80"/>
      <c r="C2627" s="80"/>
      <c r="D2627" s="80"/>
      <c r="E2627" s="80"/>
      <c r="F2627" s="80"/>
      <c r="G2627" s="81"/>
      <c r="H2627" s="83"/>
      <c r="I2627" s="82"/>
      <c r="J2627" s="83"/>
      <c r="K2627" s="82"/>
      <c r="L2627" s="81"/>
      <c r="M2627" s="82"/>
      <c r="N2627" s="81"/>
      <c r="O2627" s="82"/>
      <c r="P2627" s="81"/>
      <c r="Q2627" s="82"/>
      <c r="R2627" s="80"/>
      <c r="S2627" s="80"/>
      <c r="AB2627"/>
      <c r="AC2627"/>
    </row>
    <row r="2628" spans="1:29" x14ac:dyDescent="0.25">
      <c r="A2628" t="str">
        <f t="shared" si="41"/>
        <v/>
      </c>
      <c r="B2628" s="80"/>
      <c r="C2628" s="80"/>
      <c r="D2628" s="80"/>
      <c r="E2628" s="80"/>
      <c r="F2628" s="80"/>
      <c r="G2628" s="81"/>
      <c r="H2628" s="83"/>
      <c r="I2628" s="82"/>
      <c r="J2628" s="83"/>
      <c r="K2628" s="82"/>
      <c r="L2628" s="81"/>
      <c r="M2628" s="82"/>
      <c r="N2628" s="81"/>
      <c r="O2628" s="82"/>
      <c r="P2628" s="81"/>
      <c r="Q2628" s="82"/>
      <c r="R2628" s="80"/>
      <c r="S2628" s="80"/>
      <c r="AB2628"/>
      <c r="AC2628"/>
    </row>
    <row r="2629" spans="1:29" x14ac:dyDescent="0.25">
      <c r="A2629" t="str">
        <f t="shared" si="41"/>
        <v/>
      </c>
      <c r="B2629" s="80"/>
      <c r="C2629" s="80"/>
      <c r="D2629" s="80"/>
      <c r="E2629" s="80"/>
      <c r="F2629" s="80"/>
      <c r="G2629" s="81"/>
      <c r="H2629" s="83"/>
      <c r="I2629" s="82"/>
      <c r="J2629" s="83"/>
      <c r="K2629" s="82"/>
      <c r="L2629" s="81"/>
      <c r="M2629" s="82"/>
      <c r="N2629" s="81"/>
      <c r="O2629" s="82"/>
      <c r="P2629" s="81"/>
      <c r="Q2629" s="82"/>
      <c r="R2629" s="80"/>
      <c r="S2629" s="80"/>
      <c r="AB2629"/>
      <c r="AC2629"/>
    </row>
    <row r="2630" spans="1:29" x14ac:dyDescent="0.25">
      <c r="A2630" t="str">
        <f t="shared" si="41"/>
        <v/>
      </c>
      <c r="B2630" s="80"/>
      <c r="C2630" s="80"/>
      <c r="D2630" s="80"/>
      <c r="E2630" s="80"/>
      <c r="F2630" s="80"/>
      <c r="G2630" s="81"/>
      <c r="H2630" s="83"/>
      <c r="I2630" s="82"/>
      <c r="J2630" s="83"/>
      <c r="K2630" s="82"/>
      <c r="L2630" s="81"/>
      <c r="M2630" s="82"/>
      <c r="N2630" s="81"/>
      <c r="O2630" s="82"/>
      <c r="P2630" s="81"/>
      <c r="Q2630" s="82"/>
      <c r="R2630" s="80"/>
      <c r="S2630" s="80"/>
      <c r="AB2630"/>
      <c r="AC2630"/>
    </row>
    <row r="2631" spans="1:29" x14ac:dyDescent="0.25">
      <c r="A2631" t="str">
        <f t="shared" ref="A2631:A2694" si="42">B2629&amp;D2629</f>
        <v/>
      </c>
      <c r="B2631" s="80"/>
      <c r="C2631" s="80"/>
      <c r="D2631" s="80"/>
      <c r="E2631" s="80"/>
      <c r="F2631" s="80"/>
      <c r="G2631" s="81"/>
      <c r="H2631" s="83"/>
      <c r="I2631" s="82"/>
      <c r="J2631" s="83"/>
      <c r="K2631" s="82"/>
      <c r="L2631" s="81"/>
      <c r="M2631" s="82"/>
      <c r="N2631" s="81"/>
      <c r="O2631" s="82"/>
      <c r="P2631" s="81"/>
      <c r="Q2631" s="82"/>
      <c r="R2631" s="80"/>
      <c r="S2631" s="80"/>
      <c r="AB2631"/>
      <c r="AC2631"/>
    </row>
    <row r="2632" spans="1:29" x14ac:dyDescent="0.25">
      <c r="A2632" t="str">
        <f t="shared" si="42"/>
        <v/>
      </c>
      <c r="B2632" s="80"/>
      <c r="C2632" s="80"/>
      <c r="D2632" s="80"/>
      <c r="E2632" s="80"/>
      <c r="F2632" s="80"/>
      <c r="G2632" s="81"/>
      <c r="H2632" s="83"/>
      <c r="I2632" s="82"/>
      <c r="J2632" s="83"/>
      <c r="K2632" s="82"/>
      <c r="L2632" s="81"/>
      <c r="M2632" s="82"/>
      <c r="N2632" s="81"/>
      <c r="O2632" s="82"/>
      <c r="P2632" s="81"/>
      <c r="Q2632" s="82"/>
      <c r="R2632" s="80"/>
      <c r="S2632" s="80"/>
      <c r="AB2632"/>
      <c r="AC2632"/>
    </row>
    <row r="2633" spans="1:29" x14ac:dyDescent="0.25">
      <c r="A2633" t="str">
        <f t="shared" si="42"/>
        <v/>
      </c>
      <c r="B2633" s="80"/>
      <c r="C2633" s="80"/>
      <c r="D2633" s="80"/>
      <c r="E2633" s="80"/>
      <c r="F2633" s="80"/>
      <c r="G2633" s="81"/>
      <c r="H2633" s="83"/>
      <c r="I2633" s="82"/>
      <c r="J2633" s="83"/>
      <c r="K2633" s="82"/>
      <c r="L2633" s="81"/>
      <c r="M2633" s="82"/>
      <c r="N2633" s="81"/>
      <c r="O2633" s="82"/>
      <c r="P2633" s="81"/>
      <c r="Q2633" s="82"/>
      <c r="R2633" s="80"/>
      <c r="S2633" s="80"/>
      <c r="AB2633"/>
      <c r="AC2633"/>
    </row>
    <row r="2634" spans="1:29" x14ac:dyDescent="0.25">
      <c r="A2634" t="str">
        <f t="shared" si="42"/>
        <v/>
      </c>
      <c r="B2634" s="80"/>
      <c r="C2634" s="80"/>
      <c r="D2634" s="80"/>
      <c r="E2634" s="80"/>
      <c r="F2634" s="80"/>
      <c r="G2634" s="81"/>
      <c r="H2634" s="83"/>
      <c r="I2634" s="82"/>
      <c r="J2634" s="83"/>
      <c r="K2634" s="82"/>
      <c r="L2634" s="81"/>
      <c r="M2634" s="82"/>
      <c r="N2634" s="81"/>
      <c r="O2634" s="82"/>
      <c r="P2634" s="81"/>
      <c r="Q2634" s="82"/>
      <c r="R2634" s="80"/>
      <c r="S2634" s="80"/>
      <c r="AB2634"/>
      <c r="AC2634"/>
    </row>
    <row r="2635" spans="1:29" x14ac:dyDescent="0.25">
      <c r="A2635" t="str">
        <f t="shared" si="42"/>
        <v/>
      </c>
      <c r="B2635" s="80"/>
      <c r="C2635" s="80"/>
      <c r="D2635" s="80"/>
      <c r="E2635" s="80"/>
      <c r="F2635" s="80"/>
      <c r="G2635" s="81"/>
      <c r="H2635" s="83"/>
      <c r="I2635" s="82"/>
      <c r="J2635" s="83"/>
      <c r="K2635" s="82"/>
      <c r="L2635" s="81"/>
      <c r="M2635" s="82"/>
      <c r="N2635" s="81"/>
      <c r="O2635" s="82"/>
      <c r="P2635" s="81"/>
      <c r="Q2635" s="82"/>
      <c r="R2635" s="80"/>
      <c r="S2635" s="80"/>
      <c r="AB2635"/>
      <c r="AC2635"/>
    </row>
    <row r="2636" spans="1:29" x14ac:dyDescent="0.25">
      <c r="A2636" t="str">
        <f t="shared" si="42"/>
        <v/>
      </c>
      <c r="B2636" s="80"/>
      <c r="C2636" s="80"/>
      <c r="D2636" s="80"/>
      <c r="E2636" s="80"/>
      <c r="F2636" s="80"/>
      <c r="G2636" s="81"/>
      <c r="H2636" s="83"/>
      <c r="I2636" s="82"/>
      <c r="J2636" s="83"/>
      <c r="K2636" s="82"/>
      <c r="L2636" s="81"/>
      <c r="M2636" s="82"/>
      <c r="N2636" s="81"/>
      <c r="O2636" s="82"/>
      <c r="P2636" s="81"/>
      <c r="Q2636" s="82"/>
      <c r="R2636" s="80"/>
      <c r="S2636" s="80"/>
      <c r="AB2636"/>
      <c r="AC2636"/>
    </row>
    <row r="2637" spans="1:29" x14ac:dyDescent="0.25">
      <c r="A2637" t="str">
        <f t="shared" si="42"/>
        <v/>
      </c>
      <c r="B2637" s="80"/>
      <c r="C2637" s="80"/>
      <c r="D2637" s="80"/>
      <c r="E2637" s="80"/>
      <c r="F2637" s="80"/>
      <c r="G2637" s="81"/>
      <c r="H2637" s="83"/>
      <c r="I2637" s="82"/>
      <c r="J2637" s="83"/>
      <c r="K2637" s="82"/>
      <c r="L2637" s="81"/>
      <c r="M2637" s="82"/>
      <c r="N2637" s="81"/>
      <c r="O2637" s="82"/>
      <c r="P2637" s="81"/>
      <c r="Q2637" s="82"/>
      <c r="R2637" s="80"/>
      <c r="S2637" s="80"/>
      <c r="AB2637"/>
      <c r="AC2637"/>
    </row>
    <row r="2638" spans="1:29" x14ac:dyDescent="0.25">
      <c r="A2638" t="str">
        <f t="shared" si="42"/>
        <v/>
      </c>
      <c r="B2638" s="80"/>
      <c r="C2638" s="80"/>
      <c r="D2638" s="80"/>
      <c r="E2638" s="80"/>
      <c r="F2638" s="80"/>
      <c r="G2638" s="81"/>
      <c r="H2638" s="83"/>
      <c r="I2638" s="82"/>
      <c r="J2638" s="83"/>
      <c r="K2638" s="82"/>
      <c r="L2638" s="81"/>
      <c r="M2638" s="82"/>
      <c r="N2638" s="81"/>
      <c r="O2638" s="82"/>
      <c r="P2638" s="81"/>
      <c r="Q2638" s="82"/>
      <c r="R2638" s="80"/>
      <c r="S2638" s="80"/>
      <c r="AB2638"/>
      <c r="AC2638"/>
    </row>
    <row r="2639" spans="1:29" x14ac:dyDescent="0.25">
      <c r="A2639" t="str">
        <f t="shared" si="42"/>
        <v/>
      </c>
      <c r="B2639" s="80"/>
      <c r="C2639" s="80"/>
      <c r="D2639" s="80"/>
      <c r="E2639" s="80"/>
      <c r="F2639" s="80"/>
      <c r="G2639" s="81"/>
      <c r="H2639" s="83"/>
      <c r="I2639" s="82"/>
      <c r="J2639" s="83"/>
      <c r="K2639" s="82"/>
      <c r="L2639" s="81"/>
      <c r="M2639" s="82"/>
      <c r="N2639" s="81"/>
      <c r="O2639" s="82"/>
      <c r="P2639" s="81"/>
      <c r="Q2639" s="82"/>
      <c r="R2639" s="80"/>
      <c r="S2639" s="80"/>
      <c r="AB2639"/>
      <c r="AC2639"/>
    </row>
    <row r="2640" spans="1:29" x14ac:dyDescent="0.25">
      <c r="A2640" t="str">
        <f t="shared" si="42"/>
        <v/>
      </c>
      <c r="B2640" s="80"/>
      <c r="C2640" s="80"/>
      <c r="D2640" s="80"/>
      <c r="E2640" s="80"/>
      <c r="F2640" s="80"/>
      <c r="G2640" s="81"/>
      <c r="H2640" s="83"/>
      <c r="I2640" s="82"/>
      <c r="J2640" s="83"/>
      <c r="K2640" s="82"/>
      <c r="L2640" s="81"/>
      <c r="M2640" s="82"/>
      <c r="N2640" s="81"/>
      <c r="O2640" s="82"/>
      <c r="P2640" s="81"/>
      <c r="Q2640" s="82"/>
      <c r="R2640" s="80"/>
      <c r="S2640" s="80"/>
      <c r="AB2640"/>
      <c r="AC2640"/>
    </row>
    <row r="2641" spans="1:29" x14ac:dyDescent="0.25">
      <c r="A2641" t="str">
        <f t="shared" si="42"/>
        <v/>
      </c>
      <c r="B2641" s="80"/>
      <c r="C2641" s="80"/>
      <c r="D2641" s="80"/>
      <c r="E2641" s="80"/>
      <c r="F2641" s="80"/>
      <c r="G2641" s="81"/>
      <c r="H2641" s="83"/>
      <c r="I2641" s="82"/>
      <c r="J2641" s="83"/>
      <c r="K2641" s="82"/>
      <c r="L2641" s="81"/>
      <c r="M2641" s="82"/>
      <c r="N2641" s="81"/>
      <c r="O2641" s="82"/>
      <c r="P2641" s="81"/>
      <c r="Q2641" s="82"/>
      <c r="R2641" s="80"/>
      <c r="S2641" s="80"/>
      <c r="AB2641"/>
      <c r="AC2641"/>
    </row>
    <row r="2642" spans="1:29" x14ac:dyDescent="0.25">
      <c r="A2642" t="str">
        <f t="shared" si="42"/>
        <v/>
      </c>
      <c r="B2642" s="80"/>
      <c r="C2642" s="80"/>
      <c r="D2642" s="80"/>
      <c r="E2642" s="80"/>
      <c r="F2642" s="80"/>
      <c r="G2642" s="81"/>
      <c r="H2642" s="83"/>
      <c r="I2642" s="82"/>
      <c r="J2642" s="83"/>
      <c r="K2642" s="82"/>
      <c r="L2642" s="81"/>
      <c r="M2642" s="82"/>
      <c r="N2642" s="81"/>
      <c r="O2642" s="82"/>
      <c r="P2642" s="81"/>
      <c r="Q2642" s="82"/>
      <c r="R2642" s="80"/>
      <c r="S2642" s="80"/>
      <c r="AB2642"/>
      <c r="AC2642"/>
    </row>
    <row r="2643" spans="1:29" x14ac:dyDescent="0.25">
      <c r="A2643" t="str">
        <f t="shared" si="42"/>
        <v/>
      </c>
      <c r="B2643" s="80"/>
      <c r="C2643" s="80"/>
      <c r="D2643" s="80"/>
      <c r="E2643" s="80"/>
      <c r="F2643" s="80"/>
      <c r="G2643" s="81"/>
      <c r="H2643" s="83"/>
      <c r="I2643" s="82"/>
      <c r="J2643" s="83"/>
      <c r="K2643" s="82"/>
      <c r="L2643" s="81"/>
      <c r="M2643" s="82"/>
      <c r="N2643" s="81"/>
      <c r="O2643" s="82"/>
      <c r="P2643" s="81"/>
      <c r="Q2643" s="82"/>
      <c r="R2643" s="80"/>
      <c r="S2643" s="80"/>
      <c r="AB2643"/>
      <c r="AC2643"/>
    </row>
    <row r="2644" spans="1:29" x14ac:dyDescent="0.25">
      <c r="A2644" t="str">
        <f t="shared" si="42"/>
        <v/>
      </c>
      <c r="B2644" s="80"/>
      <c r="C2644" s="80"/>
      <c r="D2644" s="80"/>
      <c r="E2644" s="80"/>
      <c r="F2644" s="80"/>
      <c r="G2644" s="81"/>
      <c r="H2644" s="83"/>
      <c r="I2644" s="82"/>
      <c r="J2644" s="83"/>
      <c r="K2644" s="82"/>
      <c r="L2644" s="81"/>
      <c r="M2644" s="82"/>
      <c r="N2644" s="81"/>
      <c r="O2644" s="82"/>
      <c r="P2644" s="81"/>
      <c r="Q2644" s="82"/>
      <c r="R2644" s="80"/>
      <c r="S2644" s="80"/>
      <c r="AB2644"/>
      <c r="AC2644"/>
    </row>
    <row r="2645" spans="1:29" x14ac:dyDescent="0.25">
      <c r="A2645" t="str">
        <f t="shared" si="42"/>
        <v/>
      </c>
      <c r="B2645" s="80"/>
      <c r="C2645" s="80"/>
      <c r="D2645" s="80"/>
      <c r="E2645" s="80"/>
      <c r="F2645" s="80"/>
      <c r="G2645" s="81"/>
      <c r="H2645" s="83"/>
      <c r="I2645" s="82"/>
      <c r="J2645" s="83"/>
      <c r="K2645" s="82"/>
      <c r="L2645" s="81"/>
      <c r="M2645" s="82"/>
      <c r="N2645" s="81"/>
      <c r="O2645" s="82"/>
      <c r="P2645" s="81"/>
      <c r="Q2645" s="82"/>
      <c r="R2645" s="80"/>
      <c r="S2645" s="80"/>
      <c r="AB2645"/>
      <c r="AC2645"/>
    </row>
    <row r="2646" spans="1:29" x14ac:dyDescent="0.25">
      <c r="A2646" t="str">
        <f t="shared" si="42"/>
        <v/>
      </c>
      <c r="B2646" s="80"/>
      <c r="C2646" s="80"/>
      <c r="D2646" s="80"/>
      <c r="E2646" s="80"/>
      <c r="F2646" s="80"/>
      <c r="G2646" s="81"/>
      <c r="H2646" s="83"/>
      <c r="I2646" s="82"/>
      <c r="J2646" s="83"/>
      <c r="K2646" s="82"/>
      <c r="L2646" s="81"/>
      <c r="M2646" s="82"/>
      <c r="N2646" s="81"/>
      <c r="O2646" s="82"/>
      <c r="P2646" s="81"/>
      <c r="Q2646" s="82"/>
      <c r="R2646" s="80"/>
      <c r="S2646" s="80"/>
      <c r="AB2646"/>
      <c r="AC2646"/>
    </row>
    <row r="2647" spans="1:29" x14ac:dyDescent="0.25">
      <c r="A2647" t="str">
        <f t="shared" si="42"/>
        <v/>
      </c>
      <c r="B2647" s="80"/>
      <c r="C2647" s="80"/>
      <c r="D2647" s="80"/>
      <c r="E2647" s="80"/>
      <c r="F2647" s="80"/>
      <c r="G2647" s="81"/>
      <c r="H2647" s="83"/>
      <c r="I2647" s="82"/>
      <c r="J2647" s="83"/>
      <c r="K2647" s="82"/>
      <c r="L2647" s="81"/>
      <c r="M2647" s="82"/>
      <c r="N2647" s="81"/>
      <c r="O2647" s="82"/>
      <c r="P2647" s="81"/>
      <c r="Q2647" s="82"/>
      <c r="R2647" s="80"/>
      <c r="S2647" s="80"/>
      <c r="AB2647"/>
      <c r="AC2647"/>
    </row>
    <row r="2648" spans="1:29" x14ac:dyDescent="0.25">
      <c r="A2648" t="str">
        <f t="shared" si="42"/>
        <v/>
      </c>
      <c r="B2648" s="80"/>
      <c r="C2648" s="80"/>
      <c r="D2648" s="80"/>
      <c r="E2648" s="80"/>
      <c r="F2648" s="80"/>
      <c r="G2648" s="81"/>
      <c r="H2648" s="83"/>
      <c r="I2648" s="82"/>
      <c r="J2648" s="83"/>
      <c r="K2648" s="82"/>
      <c r="L2648" s="81"/>
      <c r="M2648" s="82"/>
      <c r="N2648" s="81"/>
      <c r="O2648" s="82"/>
      <c r="P2648" s="81"/>
      <c r="Q2648" s="82"/>
      <c r="R2648" s="80"/>
      <c r="S2648" s="80"/>
      <c r="AB2648"/>
      <c r="AC2648"/>
    </row>
    <row r="2649" spans="1:29" x14ac:dyDescent="0.25">
      <c r="A2649" t="str">
        <f t="shared" si="42"/>
        <v/>
      </c>
      <c r="B2649" s="80"/>
      <c r="C2649" s="80"/>
      <c r="D2649" s="80"/>
      <c r="E2649" s="80"/>
      <c r="F2649" s="80"/>
      <c r="G2649" s="81"/>
      <c r="H2649" s="83"/>
      <c r="I2649" s="82"/>
      <c r="J2649" s="83"/>
      <c r="K2649" s="82"/>
      <c r="L2649" s="81"/>
      <c r="M2649" s="82"/>
      <c r="N2649" s="81"/>
      <c r="O2649" s="82"/>
      <c r="P2649" s="81"/>
      <c r="Q2649" s="82"/>
      <c r="R2649" s="80"/>
      <c r="S2649" s="80"/>
      <c r="AB2649"/>
      <c r="AC2649"/>
    </row>
    <row r="2650" spans="1:29" x14ac:dyDescent="0.25">
      <c r="A2650" t="str">
        <f t="shared" si="42"/>
        <v/>
      </c>
      <c r="B2650" s="80"/>
      <c r="C2650" s="80"/>
      <c r="D2650" s="80"/>
      <c r="E2650" s="80"/>
      <c r="F2650" s="80"/>
      <c r="G2650" s="81"/>
      <c r="H2650" s="83"/>
      <c r="I2650" s="82"/>
      <c r="J2650" s="83"/>
      <c r="K2650" s="82"/>
      <c r="L2650" s="81"/>
      <c r="M2650" s="82"/>
      <c r="N2650" s="81"/>
      <c r="O2650" s="82"/>
      <c r="P2650" s="81"/>
      <c r="Q2650" s="82"/>
      <c r="R2650" s="80"/>
      <c r="S2650" s="80"/>
      <c r="AB2650"/>
      <c r="AC2650"/>
    </row>
    <row r="2651" spans="1:29" x14ac:dyDescent="0.25">
      <c r="A2651" t="str">
        <f t="shared" si="42"/>
        <v/>
      </c>
      <c r="B2651" s="80"/>
      <c r="C2651" s="80"/>
      <c r="D2651" s="80"/>
      <c r="E2651" s="80"/>
      <c r="F2651" s="80"/>
      <c r="G2651" s="81"/>
      <c r="H2651" s="83"/>
      <c r="I2651" s="82"/>
      <c r="J2651" s="83"/>
      <c r="K2651" s="82"/>
      <c r="L2651" s="81"/>
      <c r="M2651" s="82"/>
      <c r="N2651" s="81"/>
      <c r="O2651" s="82"/>
      <c r="P2651" s="81"/>
      <c r="Q2651" s="82"/>
      <c r="R2651" s="80"/>
      <c r="S2651" s="80"/>
      <c r="AB2651"/>
      <c r="AC2651"/>
    </row>
    <row r="2652" spans="1:29" x14ac:dyDescent="0.25">
      <c r="A2652" t="str">
        <f t="shared" si="42"/>
        <v/>
      </c>
      <c r="B2652" s="80"/>
      <c r="C2652" s="80"/>
      <c r="D2652" s="80"/>
      <c r="E2652" s="80"/>
      <c r="F2652" s="80"/>
      <c r="G2652" s="81"/>
      <c r="H2652" s="83"/>
      <c r="I2652" s="82"/>
      <c r="J2652" s="83"/>
      <c r="K2652" s="82"/>
      <c r="L2652" s="81"/>
      <c r="M2652" s="82"/>
      <c r="N2652" s="81"/>
      <c r="O2652" s="82"/>
      <c r="P2652" s="81"/>
      <c r="Q2652" s="82"/>
      <c r="R2652" s="80"/>
      <c r="S2652" s="80"/>
      <c r="AB2652"/>
      <c r="AC2652"/>
    </row>
    <row r="2653" spans="1:29" x14ac:dyDescent="0.25">
      <c r="A2653" t="str">
        <f t="shared" si="42"/>
        <v/>
      </c>
      <c r="B2653" s="80"/>
      <c r="C2653" s="80"/>
      <c r="D2653" s="80"/>
      <c r="E2653" s="80"/>
      <c r="F2653" s="80"/>
      <c r="G2653" s="81"/>
      <c r="H2653" s="83"/>
      <c r="I2653" s="82"/>
      <c r="J2653" s="83"/>
      <c r="K2653" s="82"/>
      <c r="L2653" s="81"/>
      <c r="M2653" s="82"/>
      <c r="N2653" s="81"/>
      <c r="O2653" s="82"/>
      <c r="P2653" s="81"/>
      <c r="Q2653" s="82"/>
      <c r="R2653" s="80"/>
      <c r="S2653" s="80"/>
      <c r="AB2653"/>
      <c r="AC2653"/>
    </row>
    <row r="2654" spans="1:29" x14ac:dyDescent="0.25">
      <c r="A2654" t="str">
        <f t="shared" si="42"/>
        <v/>
      </c>
      <c r="B2654" s="80"/>
      <c r="C2654" s="80"/>
      <c r="D2654" s="80"/>
      <c r="E2654" s="80"/>
      <c r="F2654" s="80"/>
      <c r="G2654" s="81"/>
      <c r="H2654" s="83"/>
      <c r="I2654" s="82"/>
      <c r="J2654" s="83"/>
      <c r="K2654" s="82"/>
      <c r="L2654" s="81"/>
      <c r="M2654" s="82"/>
      <c r="N2654" s="81"/>
      <c r="O2654" s="82"/>
      <c r="P2654" s="81"/>
      <c r="Q2654" s="82"/>
      <c r="R2654" s="80"/>
      <c r="S2654" s="80"/>
      <c r="AB2654"/>
      <c r="AC2654"/>
    </row>
    <row r="2655" spans="1:29" x14ac:dyDescent="0.25">
      <c r="A2655" t="str">
        <f t="shared" si="42"/>
        <v/>
      </c>
      <c r="B2655" s="80"/>
      <c r="C2655" s="80"/>
      <c r="D2655" s="80"/>
      <c r="E2655" s="80"/>
      <c r="F2655" s="80"/>
      <c r="G2655" s="81"/>
      <c r="H2655" s="83"/>
      <c r="I2655" s="82"/>
      <c r="J2655" s="83"/>
      <c r="K2655" s="82"/>
      <c r="L2655" s="81"/>
      <c r="M2655" s="82"/>
      <c r="N2655" s="81"/>
      <c r="O2655" s="82"/>
      <c r="P2655" s="81"/>
      <c r="Q2655" s="82"/>
      <c r="R2655" s="80"/>
      <c r="S2655" s="80"/>
      <c r="AB2655"/>
      <c r="AC2655"/>
    </row>
    <row r="2656" spans="1:29" x14ac:dyDescent="0.25">
      <c r="A2656" t="str">
        <f t="shared" si="42"/>
        <v/>
      </c>
      <c r="B2656" s="80"/>
      <c r="C2656" s="80"/>
      <c r="D2656" s="80"/>
      <c r="E2656" s="80"/>
      <c r="F2656" s="80"/>
      <c r="G2656" s="81"/>
      <c r="H2656" s="83"/>
      <c r="I2656" s="82"/>
      <c r="J2656" s="83"/>
      <c r="K2656" s="82"/>
      <c r="L2656" s="81"/>
      <c r="M2656" s="82"/>
      <c r="N2656" s="81"/>
      <c r="O2656" s="82"/>
      <c r="P2656" s="81"/>
      <c r="Q2656" s="82"/>
      <c r="R2656" s="80"/>
      <c r="S2656" s="80"/>
      <c r="AB2656"/>
      <c r="AC2656"/>
    </row>
    <row r="2657" spans="1:29" x14ac:dyDescent="0.25">
      <c r="A2657" t="str">
        <f t="shared" si="42"/>
        <v/>
      </c>
      <c r="B2657" s="80"/>
      <c r="C2657" s="80"/>
      <c r="D2657" s="80"/>
      <c r="E2657" s="80"/>
      <c r="F2657" s="80"/>
      <c r="G2657" s="81"/>
      <c r="H2657" s="83"/>
      <c r="I2657" s="82"/>
      <c r="J2657" s="83"/>
      <c r="K2657" s="82"/>
      <c r="L2657" s="81"/>
      <c r="M2657" s="82"/>
      <c r="N2657" s="81"/>
      <c r="O2657" s="82"/>
      <c r="P2657" s="81"/>
      <c r="Q2657" s="82"/>
      <c r="R2657" s="80"/>
      <c r="S2657" s="80"/>
      <c r="AB2657"/>
      <c r="AC2657"/>
    </row>
    <row r="2658" spans="1:29" x14ac:dyDescent="0.25">
      <c r="A2658" t="str">
        <f t="shared" si="42"/>
        <v/>
      </c>
      <c r="B2658" s="80"/>
      <c r="C2658" s="80"/>
      <c r="D2658" s="80"/>
      <c r="E2658" s="80"/>
      <c r="F2658" s="80"/>
      <c r="G2658" s="81"/>
      <c r="H2658" s="83"/>
      <c r="I2658" s="82"/>
      <c r="J2658" s="83"/>
      <c r="K2658" s="82"/>
      <c r="L2658" s="81"/>
      <c r="M2658" s="82"/>
      <c r="N2658" s="81"/>
      <c r="O2658" s="82"/>
      <c r="P2658" s="81"/>
      <c r="Q2658" s="82"/>
      <c r="R2658" s="80"/>
      <c r="S2658" s="80"/>
      <c r="AB2658"/>
      <c r="AC2658"/>
    </row>
    <row r="2659" spans="1:29" x14ac:dyDescent="0.25">
      <c r="A2659" t="str">
        <f t="shared" si="42"/>
        <v/>
      </c>
      <c r="B2659" s="80"/>
      <c r="C2659" s="80"/>
      <c r="D2659" s="80"/>
      <c r="E2659" s="80"/>
      <c r="F2659" s="80"/>
      <c r="G2659" s="81"/>
      <c r="H2659" s="83"/>
      <c r="I2659" s="82"/>
      <c r="J2659" s="83"/>
      <c r="K2659" s="82"/>
      <c r="L2659" s="81"/>
      <c r="M2659" s="82"/>
      <c r="N2659" s="81"/>
      <c r="O2659" s="82"/>
      <c r="P2659" s="81"/>
      <c r="Q2659" s="82"/>
      <c r="R2659" s="80"/>
      <c r="S2659" s="80"/>
      <c r="AB2659"/>
      <c r="AC2659"/>
    </row>
    <row r="2660" spans="1:29" x14ac:dyDescent="0.25">
      <c r="A2660" t="str">
        <f t="shared" si="42"/>
        <v/>
      </c>
      <c r="B2660" s="80"/>
      <c r="C2660" s="80"/>
      <c r="D2660" s="80"/>
      <c r="E2660" s="80"/>
      <c r="F2660" s="80"/>
      <c r="G2660" s="81"/>
      <c r="H2660" s="83"/>
      <c r="I2660" s="82"/>
      <c r="J2660" s="83"/>
      <c r="K2660" s="82"/>
      <c r="L2660" s="81"/>
      <c r="M2660" s="82"/>
      <c r="N2660" s="81"/>
      <c r="O2660" s="82"/>
      <c r="P2660" s="81"/>
      <c r="Q2660" s="82"/>
      <c r="R2660" s="80"/>
      <c r="S2660" s="80"/>
      <c r="AB2660"/>
      <c r="AC2660"/>
    </row>
    <row r="2661" spans="1:29" x14ac:dyDescent="0.25">
      <c r="A2661" t="str">
        <f t="shared" si="42"/>
        <v/>
      </c>
      <c r="B2661" s="80"/>
      <c r="C2661" s="80"/>
      <c r="D2661" s="80"/>
      <c r="E2661" s="80"/>
      <c r="F2661" s="80"/>
      <c r="G2661" s="81"/>
      <c r="H2661" s="83"/>
      <c r="I2661" s="82"/>
      <c r="J2661" s="83"/>
      <c r="K2661" s="82"/>
      <c r="L2661" s="81"/>
      <c r="M2661" s="82"/>
      <c r="N2661" s="81"/>
      <c r="O2661" s="82"/>
      <c r="P2661" s="81"/>
      <c r="Q2661" s="82"/>
      <c r="R2661" s="80"/>
      <c r="S2661" s="80"/>
      <c r="AB2661"/>
      <c r="AC2661"/>
    </row>
    <row r="2662" spans="1:29" x14ac:dyDescent="0.25">
      <c r="A2662" t="str">
        <f t="shared" si="42"/>
        <v/>
      </c>
      <c r="B2662" s="80"/>
      <c r="C2662" s="80"/>
      <c r="D2662" s="80"/>
      <c r="E2662" s="80"/>
      <c r="F2662" s="80"/>
      <c r="G2662" s="81"/>
      <c r="H2662" s="83"/>
      <c r="I2662" s="82"/>
      <c r="J2662" s="83"/>
      <c r="K2662" s="82"/>
      <c r="L2662" s="81"/>
      <c r="M2662" s="82"/>
      <c r="N2662" s="81"/>
      <c r="O2662" s="82"/>
      <c r="P2662" s="81"/>
      <c r="Q2662" s="82"/>
      <c r="R2662" s="80"/>
      <c r="S2662" s="80"/>
      <c r="AB2662"/>
      <c r="AC2662"/>
    </row>
    <row r="2663" spans="1:29" x14ac:dyDescent="0.25">
      <c r="A2663" t="str">
        <f t="shared" si="42"/>
        <v/>
      </c>
      <c r="B2663" s="80"/>
      <c r="C2663" s="80"/>
      <c r="D2663" s="80"/>
      <c r="E2663" s="80"/>
      <c r="F2663" s="80"/>
      <c r="G2663" s="81"/>
      <c r="H2663" s="83"/>
      <c r="I2663" s="82"/>
      <c r="J2663" s="83"/>
      <c r="K2663" s="82"/>
      <c r="L2663" s="81"/>
      <c r="M2663" s="82"/>
      <c r="N2663" s="81"/>
      <c r="O2663" s="82"/>
      <c r="P2663" s="81"/>
      <c r="Q2663" s="82"/>
      <c r="R2663" s="80"/>
      <c r="S2663" s="80"/>
      <c r="AB2663"/>
      <c r="AC2663"/>
    </row>
    <row r="2664" spans="1:29" x14ac:dyDescent="0.25">
      <c r="A2664" t="str">
        <f t="shared" si="42"/>
        <v/>
      </c>
      <c r="B2664" s="80"/>
      <c r="C2664" s="80"/>
      <c r="D2664" s="80"/>
      <c r="E2664" s="80"/>
      <c r="F2664" s="80"/>
      <c r="G2664" s="81"/>
      <c r="H2664" s="83"/>
      <c r="I2664" s="82"/>
      <c r="J2664" s="83"/>
      <c r="K2664" s="82"/>
      <c r="L2664" s="81"/>
      <c r="M2664" s="82"/>
      <c r="N2664" s="81"/>
      <c r="O2664" s="82"/>
      <c r="P2664" s="81"/>
      <c r="Q2664" s="82"/>
      <c r="R2664" s="80"/>
      <c r="S2664" s="80"/>
      <c r="AB2664"/>
      <c r="AC2664"/>
    </row>
    <row r="2665" spans="1:29" x14ac:dyDescent="0.25">
      <c r="A2665" t="str">
        <f t="shared" si="42"/>
        <v/>
      </c>
      <c r="B2665" s="80"/>
      <c r="C2665" s="80"/>
      <c r="D2665" s="80"/>
      <c r="E2665" s="80"/>
      <c r="F2665" s="80"/>
      <c r="G2665" s="81"/>
      <c r="H2665" s="83"/>
      <c r="I2665" s="82"/>
      <c r="J2665" s="83"/>
      <c r="K2665" s="82"/>
      <c r="L2665" s="81"/>
      <c r="M2665" s="82"/>
      <c r="N2665" s="81"/>
      <c r="O2665" s="82"/>
      <c r="P2665" s="81"/>
      <c r="Q2665" s="82"/>
      <c r="R2665" s="80"/>
      <c r="S2665" s="80"/>
      <c r="AB2665"/>
      <c r="AC2665"/>
    </row>
    <row r="2666" spans="1:29" x14ac:dyDescent="0.25">
      <c r="A2666" t="str">
        <f t="shared" si="42"/>
        <v/>
      </c>
      <c r="B2666" s="80"/>
      <c r="C2666" s="80"/>
      <c r="D2666" s="80"/>
      <c r="E2666" s="80"/>
      <c r="F2666" s="80"/>
      <c r="G2666" s="81"/>
      <c r="H2666" s="83"/>
      <c r="I2666" s="82"/>
      <c r="J2666" s="83"/>
      <c r="K2666" s="82"/>
      <c r="L2666" s="81"/>
      <c r="M2666" s="82"/>
      <c r="N2666" s="81"/>
      <c r="O2666" s="82"/>
      <c r="P2666" s="81"/>
      <c r="Q2666" s="82"/>
      <c r="R2666" s="80"/>
      <c r="S2666" s="80"/>
      <c r="AB2666"/>
      <c r="AC2666"/>
    </row>
    <row r="2667" spans="1:29" x14ac:dyDescent="0.25">
      <c r="A2667" t="str">
        <f t="shared" si="42"/>
        <v/>
      </c>
      <c r="B2667" s="80"/>
      <c r="C2667" s="80"/>
      <c r="D2667" s="80"/>
      <c r="E2667" s="80"/>
      <c r="F2667" s="80"/>
      <c r="G2667" s="81"/>
      <c r="H2667" s="83"/>
      <c r="I2667" s="82"/>
      <c r="J2667" s="83"/>
      <c r="K2667" s="82"/>
      <c r="L2667" s="81"/>
      <c r="M2667" s="82"/>
      <c r="N2667" s="81"/>
      <c r="O2667" s="82"/>
      <c r="P2667" s="81"/>
      <c r="Q2667" s="82"/>
      <c r="R2667" s="80"/>
      <c r="S2667" s="80"/>
      <c r="AB2667"/>
      <c r="AC2667"/>
    </row>
    <row r="2668" spans="1:29" x14ac:dyDescent="0.25">
      <c r="A2668" t="str">
        <f t="shared" si="42"/>
        <v/>
      </c>
      <c r="B2668" s="80"/>
      <c r="C2668" s="80"/>
      <c r="D2668" s="80"/>
      <c r="E2668" s="80"/>
      <c r="F2668" s="80"/>
      <c r="G2668" s="81"/>
      <c r="H2668" s="83"/>
      <c r="I2668" s="82"/>
      <c r="J2668" s="83"/>
      <c r="K2668" s="82"/>
      <c r="L2668" s="81"/>
      <c r="M2668" s="82"/>
      <c r="N2668" s="81"/>
      <c r="O2668" s="82"/>
      <c r="P2668" s="81"/>
      <c r="Q2668" s="82"/>
      <c r="R2668" s="80"/>
      <c r="S2668" s="80"/>
      <c r="AB2668"/>
      <c r="AC2668"/>
    </row>
    <row r="2669" spans="1:29" x14ac:dyDescent="0.25">
      <c r="A2669" t="str">
        <f t="shared" si="42"/>
        <v/>
      </c>
      <c r="B2669" s="80"/>
      <c r="C2669" s="80"/>
      <c r="D2669" s="80"/>
      <c r="E2669" s="80"/>
      <c r="F2669" s="80"/>
      <c r="G2669" s="81"/>
      <c r="H2669" s="83"/>
      <c r="I2669" s="82"/>
      <c r="J2669" s="83"/>
      <c r="K2669" s="82"/>
      <c r="L2669" s="81"/>
      <c r="M2669" s="82"/>
      <c r="N2669" s="81"/>
      <c r="O2669" s="82"/>
      <c r="P2669" s="81"/>
      <c r="Q2669" s="82"/>
      <c r="R2669" s="80"/>
      <c r="S2669" s="80"/>
      <c r="AB2669"/>
      <c r="AC2669"/>
    </row>
    <row r="2670" spans="1:29" x14ac:dyDescent="0.25">
      <c r="A2670" t="str">
        <f t="shared" si="42"/>
        <v/>
      </c>
      <c r="B2670" s="80"/>
      <c r="C2670" s="80"/>
      <c r="D2670" s="80"/>
      <c r="E2670" s="80"/>
      <c r="F2670" s="80"/>
      <c r="G2670" s="81"/>
      <c r="H2670" s="83"/>
      <c r="I2670" s="82"/>
      <c r="J2670" s="83"/>
      <c r="K2670" s="82"/>
      <c r="L2670" s="81"/>
      <c r="M2670" s="82"/>
      <c r="N2670" s="81"/>
      <c r="O2670" s="82"/>
      <c r="P2670" s="81"/>
      <c r="Q2670" s="82"/>
      <c r="R2670" s="80"/>
      <c r="S2670" s="80"/>
      <c r="AB2670"/>
      <c r="AC2670"/>
    </row>
    <row r="2671" spans="1:29" x14ac:dyDescent="0.25">
      <c r="A2671" t="str">
        <f t="shared" si="42"/>
        <v/>
      </c>
      <c r="B2671" s="80"/>
      <c r="C2671" s="80"/>
      <c r="D2671" s="80"/>
      <c r="E2671" s="80"/>
      <c r="F2671" s="80"/>
      <c r="G2671" s="81"/>
      <c r="H2671" s="83"/>
      <c r="I2671" s="82"/>
      <c r="J2671" s="83"/>
      <c r="K2671" s="82"/>
      <c r="L2671" s="81"/>
      <c r="M2671" s="82"/>
      <c r="N2671" s="81"/>
      <c r="O2671" s="82"/>
      <c r="P2671" s="81"/>
      <c r="Q2671" s="82"/>
      <c r="R2671" s="80"/>
      <c r="S2671" s="80"/>
      <c r="AB2671"/>
      <c r="AC2671"/>
    </row>
    <row r="2672" spans="1:29" x14ac:dyDescent="0.25">
      <c r="A2672" t="str">
        <f t="shared" si="42"/>
        <v/>
      </c>
      <c r="B2672" s="80"/>
      <c r="C2672" s="80"/>
      <c r="D2672" s="80"/>
      <c r="E2672" s="80"/>
      <c r="F2672" s="80"/>
      <c r="G2672" s="81"/>
      <c r="H2672" s="83"/>
      <c r="I2672" s="82"/>
      <c r="J2672" s="83"/>
      <c r="K2672" s="82"/>
      <c r="L2672" s="81"/>
      <c r="M2672" s="82"/>
      <c r="N2672" s="81"/>
      <c r="O2672" s="82"/>
      <c r="P2672" s="81"/>
      <c r="Q2672" s="82"/>
      <c r="R2672" s="80"/>
      <c r="S2672" s="80"/>
      <c r="AB2672"/>
      <c r="AC2672"/>
    </row>
    <row r="2673" spans="1:29" x14ac:dyDescent="0.25">
      <c r="A2673" t="str">
        <f t="shared" si="42"/>
        <v/>
      </c>
      <c r="B2673" s="80"/>
      <c r="C2673" s="80"/>
      <c r="D2673" s="80"/>
      <c r="E2673" s="80"/>
      <c r="F2673" s="80"/>
      <c r="G2673" s="81"/>
      <c r="H2673" s="83"/>
      <c r="I2673" s="82"/>
      <c r="J2673" s="83"/>
      <c r="K2673" s="82"/>
      <c r="L2673" s="81"/>
      <c r="M2673" s="82"/>
      <c r="N2673" s="81"/>
      <c r="O2673" s="82"/>
      <c r="P2673" s="81"/>
      <c r="Q2673" s="82"/>
      <c r="R2673" s="80"/>
      <c r="S2673" s="80"/>
      <c r="AB2673"/>
      <c r="AC2673"/>
    </row>
    <row r="2674" spans="1:29" x14ac:dyDescent="0.25">
      <c r="A2674" t="str">
        <f t="shared" si="42"/>
        <v/>
      </c>
      <c r="B2674" s="80"/>
      <c r="C2674" s="80"/>
      <c r="D2674" s="80"/>
      <c r="E2674" s="80"/>
      <c r="F2674" s="80"/>
      <c r="G2674" s="81"/>
      <c r="H2674" s="83"/>
      <c r="I2674" s="82"/>
      <c r="J2674" s="83"/>
      <c r="K2674" s="82"/>
      <c r="L2674" s="81"/>
      <c r="M2674" s="82"/>
      <c r="N2674" s="81"/>
      <c r="O2674" s="82"/>
      <c r="P2674" s="81"/>
      <c r="Q2674" s="82"/>
      <c r="R2674" s="80"/>
      <c r="S2674" s="80"/>
      <c r="AB2674"/>
      <c r="AC2674"/>
    </row>
    <row r="2675" spans="1:29" x14ac:dyDescent="0.25">
      <c r="A2675" t="str">
        <f t="shared" si="42"/>
        <v/>
      </c>
      <c r="B2675" s="80"/>
      <c r="C2675" s="80"/>
      <c r="D2675" s="80"/>
      <c r="E2675" s="80"/>
      <c r="F2675" s="80"/>
      <c r="G2675" s="81"/>
      <c r="H2675" s="83"/>
      <c r="I2675" s="82"/>
      <c r="J2675" s="83"/>
      <c r="K2675" s="82"/>
      <c r="L2675" s="81"/>
      <c r="M2675" s="82"/>
      <c r="N2675" s="81"/>
      <c r="O2675" s="82"/>
      <c r="P2675" s="81"/>
      <c r="Q2675" s="82"/>
      <c r="R2675" s="80"/>
      <c r="S2675" s="80"/>
      <c r="AB2675"/>
      <c r="AC2675"/>
    </row>
    <row r="2676" spans="1:29" x14ac:dyDescent="0.25">
      <c r="A2676" t="str">
        <f t="shared" si="42"/>
        <v/>
      </c>
      <c r="B2676" s="80"/>
      <c r="C2676" s="80"/>
      <c r="D2676" s="80"/>
      <c r="E2676" s="80"/>
      <c r="F2676" s="80"/>
      <c r="G2676" s="81"/>
      <c r="H2676" s="83"/>
      <c r="I2676" s="82"/>
      <c r="J2676" s="83"/>
      <c r="K2676" s="82"/>
      <c r="L2676" s="81"/>
      <c r="M2676" s="82"/>
      <c r="N2676" s="81"/>
      <c r="O2676" s="82"/>
      <c r="P2676" s="81"/>
      <c r="Q2676" s="82"/>
      <c r="R2676" s="80"/>
      <c r="S2676" s="80"/>
      <c r="AB2676"/>
      <c r="AC2676"/>
    </row>
    <row r="2677" spans="1:29" x14ac:dyDescent="0.25">
      <c r="A2677" t="str">
        <f t="shared" si="42"/>
        <v/>
      </c>
      <c r="B2677" s="80"/>
      <c r="C2677" s="80"/>
      <c r="D2677" s="80"/>
      <c r="E2677" s="80"/>
      <c r="F2677" s="80"/>
      <c r="G2677" s="81"/>
      <c r="H2677" s="83"/>
      <c r="I2677" s="82"/>
      <c r="J2677" s="83"/>
      <c r="K2677" s="82"/>
      <c r="L2677" s="81"/>
      <c r="M2677" s="82"/>
      <c r="N2677" s="81"/>
      <c r="O2677" s="82"/>
      <c r="P2677" s="81"/>
      <c r="Q2677" s="82"/>
      <c r="R2677" s="80"/>
      <c r="S2677" s="80"/>
      <c r="AB2677"/>
      <c r="AC2677"/>
    </row>
    <row r="2678" spans="1:29" x14ac:dyDescent="0.25">
      <c r="A2678" t="str">
        <f t="shared" si="42"/>
        <v/>
      </c>
      <c r="B2678" s="80"/>
      <c r="C2678" s="80"/>
      <c r="D2678" s="80"/>
      <c r="E2678" s="80"/>
      <c r="F2678" s="80"/>
      <c r="G2678" s="81"/>
      <c r="H2678" s="83"/>
      <c r="I2678" s="82"/>
      <c r="J2678" s="83"/>
      <c r="K2678" s="82"/>
      <c r="L2678" s="81"/>
      <c r="M2678" s="82"/>
      <c r="N2678" s="81"/>
      <c r="O2678" s="82"/>
      <c r="P2678" s="81"/>
      <c r="Q2678" s="82"/>
      <c r="R2678" s="80"/>
      <c r="S2678" s="80"/>
      <c r="AB2678"/>
      <c r="AC2678"/>
    </row>
    <row r="2679" spans="1:29" x14ac:dyDescent="0.25">
      <c r="A2679" t="str">
        <f t="shared" si="42"/>
        <v/>
      </c>
      <c r="B2679" s="80"/>
      <c r="C2679" s="80"/>
      <c r="D2679" s="80"/>
      <c r="E2679" s="80"/>
      <c r="F2679" s="80"/>
      <c r="G2679" s="81"/>
      <c r="H2679" s="83"/>
      <c r="I2679" s="82"/>
      <c r="J2679" s="83"/>
      <c r="K2679" s="82"/>
      <c r="L2679" s="81"/>
      <c r="M2679" s="82"/>
      <c r="N2679" s="81"/>
      <c r="O2679" s="82"/>
      <c r="P2679" s="81"/>
      <c r="Q2679" s="82"/>
      <c r="R2679" s="80"/>
      <c r="S2679" s="80"/>
      <c r="AB2679"/>
      <c r="AC2679"/>
    </row>
    <row r="2680" spans="1:29" x14ac:dyDescent="0.25">
      <c r="A2680" t="str">
        <f t="shared" si="42"/>
        <v/>
      </c>
      <c r="B2680" s="80"/>
      <c r="C2680" s="80"/>
      <c r="D2680" s="80"/>
      <c r="E2680" s="80"/>
      <c r="F2680" s="80"/>
      <c r="G2680" s="81"/>
      <c r="H2680" s="83"/>
      <c r="I2680" s="82"/>
      <c r="J2680" s="83"/>
      <c r="K2680" s="82"/>
      <c r="L2680" s="81"/>
      <c r="M2680" s="82"/>
      <c r="N2680" s="81"/>
      <c r="O2680" s="82"/>
      <c r="P2680" s="81"/>
      <c r="Q2680" s="82"/>
      <c r="R2680" s="80"/>
      <c r="S2680" s="80"/>
      <c r="AB2680"/>
      <c r="AC2680"/>
    </row>
    <row r="2681" spans="1:29" x14ac:dyDescent="0.25">
      <c r="A2681" t="str">
        <f t="shared" si="42"/>
        <v/>
      </c>
      <c r="B2681" s="80"/>
      <c r="C2681" s="80"/>
      <c r="D2681" s="80"/>
      <c r="E2681" s="80"/>
      <c r="F2681" s="80"/>
      <c r="G2681" s="81"/>
      <c r="H2681" s="83"/>
      <c r="I2681" s="82"/>
      <c r="J2681" s="83"/>
      <c r="K2681" s="82"/>
      <c r="L2681" s="81"/>
      <c r="M2681" s="82"/>
      <c r="N2681" s="81"/>
      <c r="O2681" s="82"/>
      <c r="P2681" s="81"/>
      <c r="Q2681" s="82"/>
      <c r="R2681" s="80"/>
      <c r="S2681" s="80"/>
      <c r="AB2681"/>
      <c r="AC2681"/>
    </row>
    <row r="2682" spans="1:29" x14ac:dyDescent="0.25">
      <c r="A2682" t="str">
        <f t="shared" si="42"/>
        <v/>
      </c>
      <c r="B2682" s="80"/>
      <c r="C2682" s="80"/>
      <c r="D2682" s="80"/>
      <c r="E2682" s="80"/>
      <c r="F2682" s="80"/>
      <c r="G2682" s="81"/>
      <c r="H2682" s="83"/>
      <c r="I2682" s="82"/>
      <c r="J2682" s="83"/>
      <c r="K2682" s="82"/>
      <c r="L2682" s="81"/>
      <c r="M2682" s="82"/>
      <c r="N2682" s="81"/>
      <c r="O2682" s="82"/>
      <c r="P2682" s="81"/>
      <c r="Q2682" s="82"/>
      <c r="R2682" s="80"/>
      <c r="S2682" s="80"/>
      <c r="AB2682"/>
      <c r="AC2682"/>
    </row>
    <row r="2683" spans="1:29" x14ac:dyDescent="0.25">
      <c r="A2683" t="str">
        <f t="shared" si="42"/>
        <v/>
      </c>
      <c r="B2683" s="80"/>
      <c r="C2683" s="80"/>
      <c r="D2683" s="80"/>
      <c r="E2683" s="80"/>
      <c r="F2683" s="80"/>
      <c r="G2683" s="81"/>
      <c r="H2683" s="83"/>
      <c r="I2683" s="82"/>
      <c r="J2683" s="83"/>
      <c r="K2683" s="82"/>
      <c r="L2683" s="81"/>
      <c r="M2683" s="82"/>
      <c r="N2683" s="81"/>
      <c r="O2683" s="82"/>
      <c r="P2683" s="81"/>
      <c r="Q2683" s="82"/>
      <c r="R2683" s="80"/>
      <c r="S2683" s="80"/>
      <c r="AB2683"/>
      <c r="AC2683"/>
    </row>
    <row r="2684" spans="1:29" x14ac:dyDescent="0.25">
      <c r="A2684" t="str">
        <f t="shared" si="42"/>
        <v/>
      </c>
      <c r="B2684" s="80"/>
      <c r="C2684" s="80"/>
      <c r="D2684" s="80"/>
      <c r="E2684" s="80"/>
      <c r="F2684" s="80"/>
      <c r="G2684" s="81"/>
      <c r="H2684" s="83"/>
      <c r="I2684" s="82"/>
      <c r="J2684" s="83"/>
      <c r="K2684" s="82"/>
      <c r="L2684" s="81"/>
      <c r="M2684" s="82"/>
      <c r="N2684" s="81"/>
      <c r="O2684" s="82"/>
      <c r="P2684" s="81"/>
      <c r="Q2684" s="82"/>
      <c r="R2684" s="80"/>
      <c r="S2684" s="80"/>
      <c r="AB2684"/>
      <c r="AC2684"/>
    </row>
    <row r="2685" spans="1:29" x14ac:dyDescent="0.25">
      <c r="A2685" t="str">
        <f t="shared" si="42"/>
        <v/>
      </c>
      <c r="B2685" s="80"/>
      <c r="C2685" s="80"/>
      <c r="D2685" s="80"/>
      <c r="E2685" s="80"/>
      <c r="F2685" s="80"/>
      <c r="G2685" s="81"/>
      <c r="H2685" s="83"/>
      <c r="I2685" s="82"/>
      <c r="J2685" s="83"/>
      <c r="K2685" s="82"/>
      <c r="L2685" s="81"/>
      <c r="M2685" s="82"/>
      <c r="N2685" s="81"/>
      <c r="O2685" s="82"/>
      <c r="P2685" s="81"/>
      <c r="Q2685" s="82"/>
      <c r="R2685" s="80"/>
      <c r="S2685" s="80"/>
      <c r="AB2685"/>
      <c r="AC2685"/>
    </row>
    <row r="2686" spans="1:29" x14ac:dyDescent="0.25">
      <c r="A2686" t="str">
        <f t="shared" si="42"/>
        <v/>
      </c>
      <c r="B2686" s="80"/>
      <c r="C2686" s="80"/>
      <c r="D2686" s="80"/>
      <c r="E2686" s="80"/>
      <c r="F2686" s="80"/>
      <c r="G2686" s="81"/>
      <c r="H2686" s="83"/>
      <c r="I2686" s="82"/>
      <c r="J2686" s="83"/>
      <c r="K2686" s="82"/>
      <c r="L2686" s="81"/>
      <c r="M2686" s="82"/>
      <c r="N2686" s="81"/>
      <c r="O2686" s="82"/>
      <c r="P2686" s="81"/>
      <c r="Q2686" s="82"/>
      <c r="R2686" s="80"/>
      <c r="S2686" s="80"/>
      <c r="AB2686"/>
      <c r="AC2686"/>
    </row>
    <row r="2687" spans="1:29" x14ac:dyDescent="0.25">
      <c r="A2687" t="str">
        <f t="shared" si="42"/>
        <v/>
      </c>
      <c r="B2687" s="80"/>
      <c r="C2687" s="80"/>
      <c r="D2687" s="80"/>
      <c r="E2687" s="80"/>
      <c r="F2687" s="80"/>
      <c r="G2687" s="81"/>
      <c r="H2687" s="83"/>
      <c r="I2687" s="82"/>
      <c r="J2687" s="83"/>
      <c r="K2687" s="82"/>
      <c r="L2687" s="81"/>
      <c r="M2687" s="82"/>
      <c r="N2687" s="81"/>
      <c r="O2687" s="82"/>
      <c r="P2687" s="81"/>
      <c r="Q2687" s="82"/>
      <c r="R2687" s="80"/>
      <c r="S2687" s="80"/>
      <c r="AB2687"/>
      <c r="AC2687"/>
    </row>
    <row r="2688" spans="1:29" x14ac:dyDescent="0.25">
      <c r="A2688" t="str">
        <f t="shared" si="42"/>
        <v/>
      </c>
      <c r="B2688" s="80"/>
      <c r="C2688" s="80"/>
      <c r="D2688" s="80"/>
      <c r="E2688" s="80"/>
      <c r="F2688" s="80"/>
      <c r="G2688" s="81"/>
      <c r="H2688" s="83"/>
      <c r="I2688" s="82"/>
      <c r="J2688" s="83"/>
      <c r="K2688" s="82"/>
      <c r="L2688" s="81"/>
      <c r="M2688" s="82"/>
      <c r="N2688" s="81"/>
      <c r="O2688" s="82"/>
      <c r="P2688" s="81"/>
      <c r="Q2688" s="82"/>
      <c r="R2688" s="80"/>
      <c r="S2688" s="80"/>
      <c r="AB2688"/>
      <c r="AC2688"/>
    </row>
    <row r="2689" spans="1:29" x14ac:dyDescent="0.25">
      <c r="A2689" t="str">
        <f t="shared" si="42"/>
        <v/>
      </c>
      <c r="B2689" s="80"/>
      <c r="C2689" s="80"/>
      <c r="D2689" s="80"/>
      <c r="E2689" s="80"/>
      <c r="F2689" s="80"/>
      <c r="G2689" s="81"/>
      <c r="H2689" s="83"/>
      <c r="I2689" s="82"/>
      <c r="J2689" s="83"/>
      <c r="K2689" s="82"/>
      <c r="L2689" s="81"/>
      <c r="M2689" s="82"/>
      <c r="N2689" s="81"/>
      <c r="O2689" s="82"/>
      <c r="P2689" s="81"/>
      <c r="Q2689" s="82"/>
      <c r="R2689" s="80"/>
      <c r="S2689" s="80"/>
      <c r="AB2689"/>
      <c r="AC2689"/>
    </row>
    <row r="2690" spans="1:29" x14ac:dyDescent="0.25">
      <c r="A2690" t="str">
        <f t="shared" si="42"/>
        <v/>
      </c>
      <c r="B2690" s="80"/>
      <c r="C2690" s="80"/>
      <c r="D2690" s="80"/>
      <c r="E2690" s="80"/>
      <c r="F2690" s="80"/>
      <c r="G2690" s="81"/>
      <c r="H2690" s="83"/>
      <c r="I2690" s="82"/>
      <c r="J2690" s="83"/>
      <c r="K2690" s="82"/>
      <c r="L2690" s="81"/>
      <c r="M2690" s="82"/>
      <c r="N2690" s="81"/>
      <c r="O2690" s="82"/>
      <c r="P2690" s="81"/>
      <c r="Q2690" s="82"/>
      <c r="R2690" s="80"/>
      <c r="S2690" s="80"/>
      <c r="AB2690"/>
      <c r="AC2690"/>
    </row>
    <row r="2691" spans="1:29" x14ac:dyDescent="0.25">
      <c r="A2691" t="str">
        <f t="shared" si="42"/>
        <v/>
      </c>
      <c r="B2691" s="80"/>
      <c r="C2691" s="80"/>
      <c r="D2691" s="80"/>
      <c r="E2691" s="80"/>
      <c r="F2691" s="80"/>
      <c r="G2691" s="81"/>
      <c r="H2691" s="83"/>
      <c r="I2691" s="82"/>
      <c r="J2691" s="83"/>
      <c r="K2691" s="82"/>
      <c r="L2691" s="81"/>
      <c r="M2691" s="82"/>
      <c r="N2691" s="81"/>
      <c r="O2691" s="82"/>
      <c r="P2691" s="81"/>
      <c r="Q2691" s="82"/>
      <c r="R2691" s="80"/>
      <c r="S2691" s="80"/>
      <c r="AB2691"/>
      <c r="AC2691"/>
    </row>
    <row r="2692" spans="1:29" x14ac:dyDescent="0.25">
      <c r="A2692" t="str">
        <f t="shared" si="42"/>
        <v/>
      </c>
      <c r="B2692" s="80"/>
      <c r="C2692" s="80"/>
      <c r="D2692" s="80"/>
      <c r="E2692" s="80"/>
      <c r="F2692" s="80"/>
      <c r="G2692" s="81"/>
      <c r="H2692" s="83"/>
      <c r="I2692" s="82"/>
      <c r="J2692" s="83"/>
      <c r="K2692" s="82"/>
      <c r="L2692" s="81"/>
      <c r="M2692" s="82"/>
      <c r="N2692" s="81"/>
      <c r="O2692" s="82"/>
      <c r="P2692" s="81"/>
      <c r="Q2692" s="82"/>
      <c r="R2692" s="80"/>
      <c r="S2692" s="80"/>
      <c r="AB2692"/>
      <c r="AC2692"/>
    </row>
    <row r="2693" spans="1:29" x14ac:dyDescent="0.25">
      <c r="A2693" t="str">
        <f t="shared" si="42"/>
        <v/>
      </c>
      <c r="B2693" s="80"/>
      <c r="C2693" s="80"/>
      <c r="D2693" s="80"/>
      <c r="E2693" s="80"/>
      <c r="F2693" s="80"/>
      <c r="G2693" s="81"/>
      <c r="H2693" s="83"/>
      <c r="I2693" s="82"/>
      <c r="J2693" s="83"/>
      <c r="K2693" s="82"/>
      <c r="L2693" s="81"/>
      <c r="M2693" s="82"/>
      <c r="N2693" s="81"/>
      <c r="O2693" s="82"/>
      <c r="P2693" s="81"/>
      <c r="Q2693" s="82"/>
      <c r="R2693" s="80"/>
      <c r="S2693" s="80"/>
      <c r="AB2693"/>
      <c r="AC2693"/>
    </row>
    <row r="2694" spans="1:29" x14ac:dyDescent="0.25">
      <c r="A2694" t="str">
        <f t="shared" si="42"/>
        <v/>
      </c>
      <c r="B2694" s="80"/>
      <c r="C2694" s="80"/>
      <c r="D2694" s="80"/>
      <c r="E2694" s="80"/>
      <c r="F2694" s="80"/>
      <c r="G2694" s="81"/>
      <c r="H2694" s="83"/>
      <c r="I2694" s="82"/>
      <c r="J2694" s="83"/>
      <c r="K2694" s="82"/>
      <c r="L2694" s="81"/>
      <c r="M2694" s="82"/>
      <c r="N2694" s="81"/>
      <c r="O2694" s="82"/>
      <c r="P2694" s="81"/>
      <c r="Q2694" s="82"/>
      <c r="R2694" s="80"/>
      <c r="S2694" s="80"/>
      <c r="AB2694"/>
      <c r="AC2694"/>
    </row>
    <row r="2695" spans="1:29" x14ac:dyDescent="0.25">
      <c r="A2695" t="str">
        <f t="shared" ref="A2695:A2758" si="43">B2693&amp;D2693</f>
        <v/>
      </c>
      <c r="B2695" s="80"/>
      <c r="C2695" s="80"/>
      <c r="D2695" s="80"/>
      <c r="E2695" s="80"/>
      <c r="F2695" s="80"/>
      <c r="G2695" s="81"/>
      <c r="H2695" s="83"/>
      <c r="I2695" s="82"/>
      <c r="J2695" s="83"/>
      <c r="K2695" s="82"/>
      <c r="L2695" s="81"/>
      <c r="M2695" s="82"/>
      <c r="N2695" s="81"/>
      <c r="O2695" s="82"/>
      <c r="P2695" s="81"/>
      <c r="Q2695" s="82"/>
      <c r="R2695" s="80"/>
      <c r="S2695" s="80"/>
      <c r="AB2695"/>
      <c r="AC2695"/>
    </row>
    <row r="2696" spans="1:29" x14ac:dyDescent="0.25">
      <c r="A2696" t="str">
        <f t="shared" si="43"/>
        <v/>
      </c>
      <c r="B2696" s="80"/>
      <c r="C2696" s="80"/>
      <c r="D2696" s="80"/>
      <c r="E2696" s="80"/>
      <c r="F2696" s="80"/>
      <c r="G2696" s="81"/>
      <c r="H2696" s="83"/>
      <c r="I2696" s="82"/>
      <c r="J2696" s="83"/>
      <c r="K2696" s="82"/>
      <c r="L2696" s="81"/>
      <c r="M2696" s="82"/>
      <c r="N2696" s="81"/>
      <c r="O2696" s="82"/>
      <c r="P2696" s="81"/>
      <c r="Q2696" s="82"/>
      <c r="R2696" s="80"/>
      <c r="S2696" s="80"/>
      <c r="AB2696"/>
      <c r="AC2696"/>
    </row>
    <row r="2697" spans="1:29" x14ac:dyDescent="0.25">
      <c r="A2697" t="str">
        <f t="shared" si="43"/>
        <v/>
      </c>
      <c r="B2697" s="80"/>
      <c r="C2697" s="80"/>
      <c r="D2697" s="80"/>
      <c r="E2697" s="80"/>
      <c r="F2697" s="80"/>
      <c r="G2697" s="81"/>
      <c r="H2697" s="83"/>
      <c r="I2697" s="82"/>
      <c r="J2697" s="83"/>
      <c r="K2697" s="82"/>
      <c r="L2697" s="81"/>
      <c r="M2697" s="82"/>
      <c r="N2697" s="81"/>
      <c r="O2697" s="82"/>
      <c r="P2697" s="81"/>
      <c r="Q2697" s="82"/>
      <c r="R2697" s="80"/>
      <c r="S2697" s="80"/>
      <c r="AB2697"/>
      <c r="AC2697"/>
    </row>
    <row r="2698" spans="1:29" x14ac:dyDescent="0.25">
      <c r="A2698" t="str">
        <f t="shared" si="43"/>
        <v/>
      </c>
      <c r="B2698" s="80"/>
      <c r="C2698" s="80"/>
      <c r="D2698" s="80"/>
      <c r="E2698" s="80"/>
      <c r="F2698" s="80"/>
      <c r="G2698" s="81"/>
      <c r="H2698" s="83"/>
      <c r="I2698" s="82"/>
      <c r="J2698" s="83"/>
      <c r="K2698" s="82"/>
      <c r="L2698" s="81"/>
      <c r="M2698" s="82"/>
      <c r="N2698" s="81"/>
      <c r="O2698" s="82"/>
      <c r="P2698" s="81"/>
      <c r="Q2698" s="82"/>
      <c r="R2698" s="80"/>
      <c r="S2698" s="80"/>
      <c r="AB2698"/>
      <c r="AC2698"/>
    </row>
    <row r="2699" spans="1:29" x14ac:dyDescent="0.25">
      <c r="A2699" t="str">
        <f t="shared" si="43"/>
        <v/>
      </c>
      <c r="B2699" s="80"/>
      <c r="C2699" s="80"/>
      <c r="D2699" s="80"/>
      <c r="E2699" s="80"/>
      <c r="F2699" s="80"/>
      <c r="G2699" s="81"/>
      <c r="H2699" s="83"/>
      <c r="I2699" s="82"/>
      <c r="J2699" s="83"/>
      <c r="K2699" s="82"/>
      <c r="L2699" s="81"/>
      <c r="M2699" s="82"/>
      <c r="N2699" s="81"/>
      <c r="O2699" s="82"/>
      <c r="P2699" s="81"/>
      <c r="Q2699" s="82"/>
      <c r="R2699" s="80"/>
      <c r="S2699" s="80"/>
      <c r="AB2699"/>
      <c r="AC2699"/>
    </row>
    <row r="2700" spans="1:29" x14ac:dyDescent="0.25">
      <c r="A2700" t="str">
        <f t="shared" si="43"/>
        <v/>
      </c>
      <c r="B2700" s="80"/>
      <c r="C2700" s="80"/>
      <c r="D2700" s="80"/>
      <c r="E2700" s="80"/>
      <c r="F2700" s="80"/>
      <c r="G2700" s="81"/>
      <c r="H2700" s="83"/>
      <c r="I2700" s="82"/>
      <c r="J2700" s="83"/>
      <c r="K2700" s="82"/>
      <c r="L2700" s="81"/>
      <c r="M2700" s="82"/>
      <c r="N2700" s="81"/>
      <c r="O2700" s="82"/>
      <c r="P2700" s="81"/>
      <c r="Q2700" s="82"/>
      <c r="R2700" s="80"/>
      <c r="S2700" s="80"/>
      <c r="AB2700"/>
      <c r="AC2700"/>
    </row>
    <row r="2701" spans="1:29" x14ac:dyDescent="0.25">
      <c r="A2701" t="str">
        <f t="shared" si="43"/>
        <v/>
      </c>
      <c r="B2701" s="80"/>
      <c r="C2701" s="80"/>
      <c r="D2701" s="80"/>
      <c r="E2701" s="80"/>
      <c r="F2701" s="80"/>
      <c r="G2701" s="81"/>
      <c r="H2701" s="83"/>
      <c r="I2701" s="82"/>
      <c r="J2701" s="83"/>
      <c r="K2701" s="82"/>
      <c r="L2701" s="81"/>
      <c r="M2701" s="82"/>
      <c r="N2701" s="81"/>
      <c r="O2701" s="82"/>
      <c r="P2701" s="81"/>
      <c r="Q2701" s="82"/>
      <c r="R2701" s="80"/>
      <c r="S2701" s="80"/>
      <c r="AB2701"/>
      <c r="AC2701"/>
    </row>
    <row r="2702" spans="1:29" x14ac:dyDescent="0.25">
      <c r="A2702" t="str">
        <f t="shared" si="43"/>
        <v/>
      </c>
      <c r="B2702" s="80"/>
      <c r="C2702" s="80"/>
      <c r="D2702" s="80"/>
      <c r="E2702" s="80"/>
      <c r="F2702" s="80"/>
      <c r="G2702" s="81"/>
      <c r="H2702" s="83"/>
      <c r="I2702" s="82"/>
      <c r="J2702" s="83"/>
      <c r="K2702" s="82"/>
      <c r="L2702" s="81"/>
      <c r="M2702" s="82"/>
      <c r="N2702" s="81"/>
      <c r="O2702" s="82"/>
      <c r="P2702" s="81"/>
      <c r="Q2702" s="82"/>
      <c r="R2702" s="80"/>
      <c r="S2702" s="80"/>
      <c r="AB2702"/>
      <c r="AC2702"/>
    </row>
    <row r="2703" spans="1:29" x14ac:dyDescent="0.25">
      <c r="A2703" t="str">
        <f t="shared" si="43"/>
        <v/>
      </c>
      <c r="B2703" s="80"/>
      <c r="C2703" s="80"/>
      <c r="D2703" s="80"/>
      <c r="E2703" s="80"/>
      <c r="F2703" s="80"/>
      <c r="G2703" s="81"/>
      <c r="H2703" s="83"/>
      <c r="I2703" s="82"/>
      <c r="J2703" s="83"/>
      <c r="K2703" s="82"/>
      <c r="L2703" s="81"/>
      <c r="M2703" s="82"/>
      <c r="N2703" s="81"/>
      <c r="O2703" s="82"/>
      <c r="P2703" s="81"/>
      <c r="Q2703" s="82"/>
      <c r="R2703" s="80"/>
      <c r="S2703" s="80"/>
      <c r="AB2703"/>
      <c r="AC2703"/>
    </row>
    <row r="2704" spans="1:29" x14ac:dyDescent="0.25">
      <c r="A2704" t="str">
        <f t="shared" si="43"/>
        <v/>
      </c>
      <c r="B2704" s="80"/>
      <c r="C2704" s="80"/>
      <c r="D2704" s="80"/>
      <c r="E2704" s="80"/>
      <c r="F2704" s="80"/>
      <c r="G2704" s="81"/>
      <c r="H2704" s="83"/>
      <c r="I2704" s="82"/>
      <c r="J2704" s="83"/>
      <c r="K2704" s="82"/>
      <c r="L2704" s="81"/>
      <c r="M2704" s="82"/>
      <c r="N2704" s="81"/>
      <c r="O2704" s="82"/>
      <c r="P2704" s="81"/>
      <c r="Q2704" s="82"/>
      <c r="R2704" s="80"/>
      <c r="S2704" s="80"/>
      <c r="AB2704"/>
      <c r="AC2704"/>
    </row>
    <row r="2705" spans="1:29" x14ac:dyDescent="0.25">
      <c r="A2705" t="str">
        <f t="shared" si="43"/>
        <v/>
      </c>
      <c r="B2705" s="80"/>
      <c r="C2705" s="80"/>
      <c r="D2705" s="80"/>
      <c r="E2705" s="80"/>
      <c r="F2705" s="80"/>
      <c r="G2705" s="81"/>
      <c r="H2705" s="83"/>
      <c r="I2705" s="82"/>
      <c r="J2705" s="83"/>
      <c r="K2705" s="82"/>
      <c r="L2705" s="81"/>
      <c r="M2705" s="82"/>
      <c r="N2705" s="81"/>
      <c r="O2705" s="82"/>
      <c r="P2705" s="81"/>
      <c r="Q2705" s="82"/>
      <c r="R2705" s="80"/>
      <c r="S2705" s="80"/>
      <c r="AB2705"/>
      <c r="AC2705"/>
    </row>
    <row r="2706" spans="1:29" x14ac:dyDescent="0.25">
      <c r="A2706" t="str">
        <f t="shared" si="43"/>
        <v/>
      </c>
      <c r="B2706" s="80"/>
      <c r="C2706" s="80"/>
      <c r="D2706" s="80"/>
      <c r="E2706" s="80"/>
      <c r="F2706" s="80"/>
      <c r="G2706" s="81"/>
      <c r="H2706" s="83"/>
      <c r="I2706" s="82"/>
      <c r="J2706" s="83"/>
      <c r="K2706" s="82"/>
      <c r="L2706" s="81"/>
      <c r="M2706" s="82"/>
      <c r="N2706" s="81"/>
      <c r="O2706" s="82"/>
      <c r="P2706" s="81"/>
      <c r="Q2706" s="82"/>
      <c r="R2706" s="80"/>
      <c r="S2706" s="80"/>
      <c r="AB2706"/>
      <c r="AC2706"/>
    </row>
    <row r="2707" spans="1:29" x14ac:dyDescent="0.25">
      <c r="A2707" t="str">
        <f t="shared" si="43"/>
        <v/>
      </c>
      <c r="B2707" s="80"/>
      <c r="C2707" s="80"/>
      <c r="D2707" s="80"/>
      <c r="E2707" s="80"/>
      <c r="F2707" s="80"/>
      <c r="G2707" s="81"/>
      <c r="H2707" s="83"/>
      <c r="I2707" s="82"/>
      <c r="J2707" s="83"/>
      <c r="K2707" s="82"/>
      <c r="L2707" s="81"/>
      <c r="M2707" s="82"/>
      <c r="N2707" s="81"/>
      <c r="O2707" s="82"/>
      <c r="P2707" s="81"/>
      <c r="Q2707" s="82"/>
      <c r="R2707" s="80"/>
      <c r="S2707" s="80"/>
      <c r="AB2707"/>
      <c r="AC2707"/>
    </row>
    <row r="2708" spans="1:29" x14ac:dyDescent="0.25">
      <c r="A2708" t="str">
        <f t="shared" si="43"/>
        <v/>
      </c>
      <c r="B2708" s="80"/>
      <c r="C2708" s="80"/>
      <c r="D2708" s="80"/>
      <c r="E2708" s="80"/>
      <c r="F2708" s="80"/>
      <c r="G2708" s="81"/>
      <c r="H2708" s="83"/>
      <c r="I2708" s="82"/>
      <c r="J2708" s="83"/>
      <c r="K2708" s="82"/>
      <c r="L2708" s="81"/>
      <c r="M2708" s="82"/>
      <c r="N2708" s="81"/>
      <c r="O2708" s="82"/>
      <c r="P2708" s="81"/>
      <c r="Q2708" s="82"/>
      <c r="R2708" s="80"/>
      <c r="S2708" s="80"/>
      <c r="AB2708"/>
      <c r="AC2708"/>
    </row>
    <row r="2709" spans="1:29" x14ac:dyDescent="0.25">
      <c r="A2709" t="str">
        <f t="shared" si="43"/>
        <v/>
      </c>
      <c r="B2709" s="80"/>
      <c r="C2709" s="80"/>
      <c r="D2709" s="80"/>
      <c r="E2709" s="80"/>
      <c r="F2709" s="80"/>
      <c r="G2709" s="81"/>
      <c r="H2709" s="83"/>
      <c r="I2709" s="82"/>
      <c r="J2709" s="83"/>
      <c r="K2709" s="82"/>
      <c r="L2709" s="81"/>
      <c r="M2709" s="82"/>
      <c r="N2709" s="81"/>
      <c r="O2709" s="82"/>
      <c r="P2709" s="81"/>
      <c r="Q2709" s="82"/>
      <c r="R2709" s="80"/>
      <c r="S2709" s="80"/>
      <c r="AB2709"/>
      <c r="AC2709"/>
    </row>
    <row r="2710" spans="1:29" x14ac:dyDescent="0.25">
      <c r="A2710" t="str">
        <f t="shared" si="43"/>
        <v/>
      </c>
      <c r="B2710" s="80"/>
      <c r="C2710" s="80"/>
      <c r="D2710" s="80"/>
      <c r="E2710" s="80"/>
      <c r="F2710" s="80"/>
      <c r="G2710" s="81"/>
      <c r="H2710" s="83"/>
      <c r="I2710" s="82"/>
      <c r="J2710" s="83"/>
      <c r="K2710" s="82"/>
      <c r="L2710" s="81"/>
      <c r="M2710" s="82"/>
      <c r="N2710" s="81"/>
      <c r="O2710" s="82"/>
      <c r="P2710" s="81"/>
      <c r="Q2710" s="82"/>
      <c r="R2710" s="80"/>
      <c r="S2710" s="80"/>
      <c r="AB2710"/>
      <c r="AC2710"/>
    </row>
    <row r="2711" spans="1:29" x14ac:dyDescent="0.25">
      <c r="A2711" t="str">
        <f t="shared" si="43"/>
        <v/>
      </c>
      <c r="B2711" s="80"/>
      <c r="C2711" s="80"/>
      <c r="D2711" s="80"/>
      <c r="E2711" s="80"/>
      <c r="F2711" s="80"/>
      <c r="G2711" s="81"/>
      <c r="H2711" s="83"/>
      <c r="I2711" s="82"/>
      <c r="J2711" s="83"/>
      <c r="K2711" s="82"/>
      <c r="L2711" s="81"/>
      <c r="M2711" s="82"/>
      <c r="N2711" s="81"/>
      <c r="O2711" s="82"/>
      <c r="P2711" s="81"/>
      <c r="Q2711" s="82"/>
      <c r="R2711" s="80"/>
      <c r="S2711" s="80"/>
      <c r="AB2711"/>
      <c r="AC2711"/>
    </row>
    <row r="2712" spans="1:29" x14ac:dyDescent="0.25">
      <c r="A2712" t="str">
        <f t="shared" si="43"/>
        <v/>
      </c>
      <c r="B2712" s="80"/>
      <c r="C2712" s="80"/>
      <c r="D2712" s="80"/>
      <c r="E2712" s="80"/>
      <c r="F2712" s="80"/>
      <c r="G2712" s="81"/>
      <c r="H2712" s="83"/>
      <c r="I2712" s="82"/>
      <c r="J2712" s="83"/>
      <c r="K2712" s="82"/>
      <c r="L2712" s="81"/>
      <c r="M2712" s="82"/>
      <c r="N2712" s="81"/>
      <c r="O2712" s="82"/>
      <c r="P2712" s="81"/>
      <c r="Q2712" s="82"/>
      <c r="R2712" s="80"/>
      <c r="S2712" s="80"/>
      <c r="AB2712"/>
      <c r="AC2712"/>
    </row>
    <row r="2713" spans="1:29" x14ac:dyDescent="0.25">
      <c r="A2713" t="str">
        <f t="shared" si="43"/>
        <v/>
      </c>
      <c r="B2713" s="80"/>
      <c r="C2713" s="80"/>
      <c r="D2713" s="80"/>
      <c r="E2713" s="80"/>
      <c r="F2713" s="80"/>
      <c r="G2713" s="81"/>
      <c r="H2713" s="83"/>
      <c r="I2713" s="82"/>
      <c r="J2713" s="83"/>
      <c r="K2713" s="82"/>
      <c r="L2713" s="81"/>
      <c r="M2713" s="82"/>
      <c r="N2713" s="81"/>
      <c r="O2713" s="82"/>
      <c r="P2713" s="81"/>
      <c r="Q2713" s="82"/>
      <c r="R2713" s="80"/>
      <c r="S2713" s="80"/>
      <c r="AB2713"/>
      <c r="AC2713"/>
    </row>
    <row r="2714" spans="1:29" x14ac:dyDescent="0.25">
      <c r="A2714" t="str">
        <f t="shared" si="43"/>
        <v/>
      </c>
      <c r="B2714" s="80"/>
      <c r="C2714" s="80"/>
      <c r="D2714" s="80"/>
      <c r="E2714" s="80"/>
      <c r="F2714" s="80"/>
      <c r="G2714" s="81"/>
      <c r="H2714" s="83"/>
      <c r="I2714" s="82"/>
      <c r="J2714" s="83"/>
      <c r="K2714" s="82"/>
      <c r="L2714" s="81"/>
      <c r="M2714" s="82"/>
      <c r="N2714" s="81"/>
      <c r="O2714" s="82"/>
      <c r="P2714" s="81"/>
      <c r="Q2714" s="82"/>
      <c r="R2714" s="80"/>
      <c r="S2714" s="80"/>
      <c r="AB2714"/>
      <c r="AC2714"/>
    </row>
    <row r="2715" spans="1:29" x14ac:dyDescent="0.25">
      <c r="A2715" t="str">
        <f t="shared" si="43"/>
        <v/>
      </c>
      <c r="B2715" s="80"/>
      <c r="C2715" s="80"/>
      <c r="D2715" s="80"/>
      <c r="E2715" s="80"/>
      <c r="F2715" s="80"/>
      <c r="G2715" s="81"/>
      <c r="H2715" s="83"/>
      <c r="I2715" s="82"/>
      <c r="J2715" s="83"/>
      <c r="K2715" s="82"/>
      <c r="L2715" s="81"/>
      <c r="M2715" s="82"/>
      <c r="N2715" s="81"/>
      <c r="O2715" s="82"/>
      <c r="P2715" s="81"/>
      <c r="Q2715" s="82"/>
      <c r="R2715" s="80"/>
      <c r="S2715" s="80"/>
      <c r="AB2715"/>
      <c r="AC2715"/>
    </row>
    <row r="2716" spans="1:29" x14ac:dyDescent="0.25">
      <c r="A2716" t="str">
        <f t="shared" si="43"/>
        <v/>
      </c>
      <c r="B2716" s="80"/>
      <c r="C2716" s="80"/>
      <c r="D2716" s="80"/>
      <c r="E2716" s="80"/>
      <c r="F2716" s="80"/>
      <c r="G2716" s="81"/>
      <c r="H2716" s="83"/>
      <c r="I2716" s="82"/>
      <c r="J2716" s="83"/>
      <c r="K2716" s="82"/>
      <c r="L2716" s="81"/>
      <c r="M2716" s="82"/>
      <c r="N2716" s="81"/>
      <c r="O2716" s="82"/>
      <c r="P2716" s="81"/>
      <c r="Q2716" s="82"/>
      <c r="R2716" s="80"/>
      <c r="S2716" s="80"/>
      <c r="AB2716"/>
      <c r="AC2716"/>
    </row>
    <row r="2717" spans="1:29" x14ac:dyDescent="0.25">
      <c r="A2717" t="str">
        <f t="shared" si="43"/>
        <v/>
      </c>
      <c r="B2717" s="80"/>
      <c r="C2717" s="80"/>
      <c r="D2717" s="80"/>
      <c r="E2717" s="80"/>
      <c r="F2717" s="80"/>
      <c r="G2717" s="81"/>
      <c r="H2717" s="83"/>
      <c r="I2717" s="82"/>
      <c r="J2717" s="83"/>
      <c r="K2717" s="82"/>
      <c r="L2717" s="81"/>
      <c r="M2717" s="82"/>
      <c r="N2717" s="81"/>
      <c r="O2717" s="82"/>
      <c r="P2717" s="81"/>
      <c r="Q2717" s="82"/>
      <c r="R2717" s="80"/>
      <c r="S2717" s="80"/>
      <c r="AB2717"/>
      <c r="AC2717"/>
    </row>
    <row r="2718" spans="1:29" x14ac:dyDescent="0.25">
      <c r="A2718" t="str">
        <f t="shared" si="43"/>
        <v/>
      </c>
      <c r="B2718" s="80"/>
      <c r="C2718" s="80"/>
      <c r="D2718" s="80"/>
      <c r="E2718" s="80"/>
      <c r="F2718" s="80"/>
      <c r="G2718" s="81"/>
      <c r="H2718" s="83"/>
      <c r="I2718" s="82"/>
      <c r="J2718" s="83"/>
      <c r="K2718" s="82"/>
      <c r="L2718" s="81"/>
      <c r="M2718" s="82"/>
      <c r="N2718" s="81"/>
      <c r="O2718" s="82"/>
      <c r="P2718" s="81"/>
      <c r="Q2718" s="82"/>
      <c r="R2718" s="80"/>
      <c r="S2718" s="80"/>
      <c r="AB2718"/>
      <c r="AC2718"/>
    </row>
    <row r="2719" spans="1:29" x14ac:dyDescent="0.25">
      <c r="A2719" t="str">
        <f t="shared" si="43"/>
        <v/>
      </c>
      <c r="B2719" s="80"/>
      <c r="C2719" s="80"/>
      <c r="D2719" s="80"/>
      <c r="E2719" s="80"/>
      <c r="F2719" s="80"/>
      <c r="G2719" s="81"/>
      <c r="H2719" s="83"/>
      <c r="I2719" s="82"/>
      <c r="J2719" s="83"/>
      <c r="K2719" s="82"/>
      <c r="L2719" s="81"/>
      <c r="M2719" s="82"/>
      <c r="N2719" s="81"/>
      <c r="O2719" s="82"/>
      <c r="P2719" s="81"/>
      <c r="Q2719" s="82"/>
      <c r="R2719" s="80"/>
      <c r="S2719" s="80"/>
      <c r="AB2719"/>
      <c r="AC2719"/>
    </row>
    <row r="2720" spans="1:29" x14ac:dyDescent="0.25">
      <c r="A2720" t="str">
        <f t="shared" si="43"/>
        <v/>
      </c>
      <c r="B2720" s="80"/>
      <c r="C2720" s="80"/>
      <c r="D2720" s="80"/>
      <c r="E2720" s="80"/>
      <c r="F2720" s="80"/>
      <c r="G2720" s="81"/>
      <c r="H2720" s="83"/>
      <c r="I2720" s="82"/>
      <c r="J2720" s="83"/>
      <c r="K2720" s="82"/>
      <c r="L2720" s="81"/>
      <c r="M2720" s="82"/>
      <c r="N2720" s="81"/>
      <c r="O2720" s="82"/>
      <c r="P2720" s="81"/>
      <c r="Q2720" s="82"/>
      <c r="R2720" s="80"/>
      <c r="S2720" s="80"/>
      <c r="AB2720"/>
      <c r="AC2720"/>
    </row>
    <row r="2721" spans="1:29" x14ac:dyDescent="0.25">
      <c r="A2721" t="str">
        <f t="shared" si="43"/>
        <v/>
      </c>
      <c r="B2721" s="80"/>
      <c r="C2721" s="80"/>
      <c r="D2721" s="80"/>
      <c r="E2721" s="80"/>
      <c r="F2721" s="80"/>
      <c r="G2721" s="81"/>
      <c r="H2721" s="83"/>
      <c r="I2721" s="82"/>
      <c r="J2721" s="83"/>
      <c r="K2721" s="82"/>
      <c r="L2721" s="81"/>
      <c r="M2721" s="82"/>
      <c r="N2721" s="81"/>
      <c r="O2721" s="82"/>
      <c r="P2721" s="81"/>
      <c r="Q2721" s="82"/>
      <c r="R2721" s="80"/>
      <c r="S2721" s="80"/>
      <c r="AB2721"/>
      <c r="AC2721"/>
    </row>
    <row r="2722" spans="1:29" x14ac:dyDescent="0.25">
      <c r="A2722" t="str">
        <f t="shared" si="43"/>
        <v/>
      </c>
      <c r="B2722" s="80"/>
      <c r="C2722" s="80"/>
      <c r="D2722" s="80"/>
      <c r="E2722" s="80"/>
      <c r="F2722" s="80"/>
      <c r="G2722" s="81"/>
      <c r="H2722" s="83"/>
      <c r="I2722" s="82"/>
      <c r="J2722" s="83"/>
      <c r="K2722" s="82"/>
      <c r="L2722" s="81"/>
      <c r="M2722" s="82"/>
      <c r="N2722" s="81"/>
      <c r="O2722" s="82"/>
      <c r="P2722" s="81"/>
      <c r="Q2722" s="82"/>
      <c r="R2722" s="80"/>
      <c r="S2722" s="80"/>
      <c r="AB2722"/>
      <c r="AC2722"/>
    </row>
    <row r="2723" spans="1:29" x14ac:dyDescent="0.25">
      <c r="A2723" t="str">
        <f t="shared" si="43"/>
        <v/>
      </c>
      <c r="B2723" s="80"/>
      <c r="C2723" s="80"/>
      <c r="D2723" s="80"/>
      <c r="E2723" s="80"/>
      <c r="F2723" s="80"/>
      <c r="G2723" s="81"/>
      <c r="H2723" s="83"/>
      <c r="I2723" s="82"/>
      <c r="J2723" s="83"/>
      <c r="K2723" s="82"/>
      <c r="L2723" s="81"/>
      <c r="M2723" s="82"/>
      <c r="N2723" s="81"/>
      <c r="O2723" s="82"/>
      <c r="P2723" s="81"/>
      <c r="Q2723" s="82"/>
      <c r="R2723" s="80"/>
      <c r="S2723" s="80"/>
      <c r="AB2723"/>
      <c r="AC2723"/>
    </row>
    <row r="2724" spans="1:29" x14ac:dyDescent="0.25">
      <c r="A2724" t="str">
        <f t="shared" si="43"/>
        <v/>
      </c>
      <c r="B2724" s="80"/>
      <c r="C2724" s="80"/>
      <c r="D2724" s="80"/>
      <c r="E2724" s="80"/>
      <c r="F2724" s="80"/>
      <c r="G2724" s="81"/>
      <c r="H2724" s="83"/>
      <c r="I2724" s="82"/>
      <c r="J2724" s="83"/>
      <c r="K2724" s="82"/>
      <c r="L2724" s="81"/>
      <c r="M2724" s="82"/>
      <c r="N2724" s="81"/>
      <c r="O2724" s="82"/>
      <c r="P2724" s="81"/>
      <c r="Q2724" s="82"/>
      <c r="R2724" s="80"/>
      <c r="S2724" s="80"/>
      <c r="AB2724"/>
      <c r="AC2724"/>
    </row>
    <row r="2725" spans="1:29" x14ac:dyDescent="0.25">
      <c r="A2725" t="str">
        <f t="shared" si="43"/>
        <v/>
      </c>
      <c r="B2725" s="80"/>
      <c r="C2725" s="80"/>
      <c r="D2725" s="80"/>
      <c r="E2725" s="80"/>
      <c r="F2725" s="80"/>
      <c r="G2725" s="81"/>
      <c r="H2725" s="83"/>
      <c r="I2725" s="82"/>
      <c r="J2725" s="83"/>
      <c r="K2725" s="82"/>
      <c r="L2725" s="81"/>
      <c r="M2725" s="82"/>
      <c r="N2725" s="81"/>
      <c r="O2725" s="82"/>
      <c r="P2725" s="81"/>
      <c r="Q2725" s="82"/>
      <c r="R2725" s="80"/>
      <c r="S2725" s="80"/>
      <c r="AB2725"/>
      <c r="AC2725"/>
    </row>
    <row r="2726" spans="1:29" x14ac:dyDescent="0.25">
      <c r="A2726" t="str">
        <f t="shared" si="43"/>
        <v/>
      </c>
      <c r="B2726" s="80"/>
      <c r="C2726" s="80"/>
      <c r="D2726" s="80"/>
      <c r="E2726" s="80"/>
      <c r="F2726" s="80"/>
      <c r="G2726" s="81"/>
      <c r="H2726" s="83"/>
      <c r="I2726" s="82"/>
      <c r="J2726" s="83"/>
      <c r="K2726" s="82"/>
      <c r="L2726" s="81"/>
      <c r="M2726" s="82"/>
      <c r="N2726" s="81"/>
      <c r="O2726" s="82"/>
      <c r="P2726" s="81"/>
      <c r="Q2726" s="82"/>
      <c r="R2726" s="80"/>
      <c r="S2726" s="80"/>
      <c r="AB2726"/>
      <c r="AC2726"/>
    </row>
    <row r="2727" spans="1:29" x14ac:dyDescent="0.25">
      <c r="A2727" t="str">
        <f t="shared" si="43"/>
        <v/>
      </c>
      <c r="B2727" s="80"/>
      <c r="C2727" s="80"/>
      <c r="D2727" s="80"/>
      <c r="E2727" s="80"/>
      <c r="F2727" s="80"/>
      <c r="G2727" s="81"/>
      <c r="H2727" s="83"/>
      <c r="I2727" s="82"/>
      <c r="J2727" s="83"/>
      <c r="K2727" s="82"/>
      <c r="L2727" s="81"/>
      <c r="M2727" s="82"/>
      <c r="N2727" s="81"/>
      <c r="O2727" s="82"/>
      <c r="P2727" s="81"/>
      <c r="Q2727" s="82"/>
      <c r="R2727" s="80"/>
      <c r="S2727" s="80"/>
      <c r="AB2727"/>
      <c r="AC2727"/>
    </row>
    <row r="2728" spans="1:29" x14ac:dyDescent="0.25">
      <c r="A2728" t="str">
        <f t="shared" si="43"/>
        <v/>
      </c>
      <c r="B2728" s="80"/>
      <c r="C2728" s="80"/>
      <c r="D2728" s="80"/>
      <c r="E2728" s="80"/>
      <c r="F2728" s="80"/>
      <c r="G2728" s="81"/>
      <c r="H2728" s="83"/>
      <c r="I2728" s="82"/>
      <c r="J2728" s="83"/>
      <c r="K2728" s="82"/>
      <c r="L2728" s="81"/>
      <c r="M2728" s="82"/>
      <c r="N2728" s="81"/>
      <c r="O2728" s="82"/>
      <c r="P2728" s="81"/>
      <c r="Q2728" s="82"/>
      <c r="R2728" s="80"/>
      <c r="S2728" s="80"/>
      <c r="AB2728"/>
      <c r="AC2728"/>
    </row>
    <row r="2729" spans="1:29" x14ac:dyDescent="0.25">
      <c r="A2729" t="str">
        <f t="shared" si="43"/>
        <v/>
      </c>
      <c r="B2729" s="80"/>
      <c r="C2729" s="80"/>
      <c r="D2729" s="80"/>
      <c r="E2729" s="80"/>
      <c r="F2729" s="80"/>
      <c r="G2729" s="81"/>
      <c r="H2729" s="83"/>
      <c r="I2729" s="82"/>
      <c r="J2729" s="83"/>
      <c r="K2729" s="82"/>
      <c r="L2729" s="81"/>
      <c r="M2729" s="82"/>
      <c r="N2729" s="81"/>
      <c r="O2729" s="82"/>
      <c r="P2729" s="81"/>
      <c r="Q2729" s="82"/>
      <c r="R2729" s="80"/>
      <c r="S2729" s="80"/>
      <c r="AB2729"/>
      <c r="AC2729"/>
    </row>
    <row r="2730" spans="1:29" x14ac:dyDescent="0.25">
      <c r="A2730" t="str">
        <f t="shared" si="43"/>
        <v/>
      </c>
      <c r="B2730" s="80"/>
      <c r="C2730" s="80"/>
      <c r="D2730" s="80"/>
      <c r="E2730" s="80"/>
      <c r="F2730" s="80"/>
      <c r="G2730" s="81"/>
      <c r="H2730" s="83"/>
      <c r="I2730" s="82"/>
      <c r="J2730" s="83"/>
      <c r="K2730" s="82"/>
      <c r="L2730" s="81"/>
      <c r="M2730" s="82"/>
      <c r="N2730" s="81"/>
      <c r="O2730" s="82"/>
      <c r="P2730" s="81"/>
      <c r="Q2730" s="82"/>
      <c r="R2730" s="80"/>
      <c r="S2730" s="80"/>
      <c r="AB2730"/>
      <c r="AC2730"/>
    </row>
    <row r="2731" spans="1:29" x14ac:dyDescent="0.25">
      <c r="A2731" t="str">
        <f t="shared" si="43"/>
        <v/>
      </c>
      <c r="B2731" s="80"/>
      <c r="C2731" s="80"/>
      <c r="D2731" s="80"/>
      <c r="E2731" s="80"/>
      <c r="F2731" s="80"/>
      <c r="G2731" s="81"/>
      <c r="H2731" s="83"/>
      <c r="I2731" s="82"/>
      <c r="J2731" s="83"/>
      <c r="K2731" s="82"/>
      <c r="L2731" s="81"/>
      <c r="M2731" s="82"/>
      <c r="N2731" s="81"/>
      <c r="O2731" s="82"/>
      <c r="P2731" s="81"/>
      <c r="Q2731" s="82"/>
      <c r="R2731" s="80"/>
      <c r="S2731" s="80"/>
      <c r="AB2731"/>
      <c r="AC2731"/>
    </row>
    <row r="2732" spans="1:29" x14ac:dyDescent="0.25">
      <c r="A2732" t="str">
        <f t="shared" si="43"/>
        <v/>
      </c>
      <c r="B2732" s="80"/>
      <c r="C2732" s="80"/>
      <c r="D2732" s="80"/>
      <c r="E2732" s="80"/>
      <c r="F2732" s="80"/>
      <c r="G2732" s="81"/>
      <c r="H2732" s="83"/>
      <c r="I2732" s="82"/>
      <c r="J2732" s="83"/>
      <c r="K2732" s="82"/>
      <c r="L2732" s="81"/>
      <c r="M2732" s="82"/>
      <c r="N2732" s="81"/>
      <c r="O2732" s="82"/>
      <c r="P2732" s="81"/>
      <c r="Q2732" s="82"/>
      <c r="R2732" s="80"/>
      <c r="S2732" s="80"/>
      <c r="AB2732"/>
      <c r="AC2732"/>
    </row>
    <row r="2733" spans="1:29" x14ac:dyDescent="0.25">
      <c r="A2733" t="str">
        <f t="shared" si="43"/>
        <v/>
      </c>
      <c r="B2733" s="80"/>
      <c r="C2733" s="80"/>
      <c r="D2733" s="80"/>
      <c r="E2733" s="80"/>
      <c r="F2733" s="80"/>
      <c r="G2733" s="81"/>
      <c r="H2733" s="83"/>
      <c r="I2733" s="82"/>
      <c r="J2733" s="83"/>
      <c r="K2733" s="82"/>
      <c r="L2733" s="81"/>
      <c r="M2733" s="82"/>
      <c r="N2733" s="81"/>
      <c r="O2733" s="82"/>
      <c r="P2733" s="81"/>
      <c r="Q2733" s="82"/>
      <c r="R2733" s="80"/>
      <c r="S2733" s="80"/>
      <c r="AB2733"/>
      <c r="AC2733"/>
    </row>
    <row r="2734" spans="1:29" x14ac:dyDescent="0.25">
      <c r="A2734" t="str">
        <f t="shared" si="43"/>
        <v/>
      </c>
      <c r="B2734" s="80"/>
      <c r="C2734" s="80"/>
      <c r="D2734" s="80"/>
      <c r="E2734" s="80"/>
      <c r="F2734" s="80"/>
      <c r="G2734" s="81"/>
      <c r="H2734" s="83"/>
      <c r="I2734" s="82"/>
      <c r="J2734" s="83"/>
      <c r="K2734" s="82"/>
      <c r="L2734" s="81"/>
      <c r="M2734" s="82"/>
      <c r="N2734" s="81"/>
      <c r="O2734" s="82"/>
      <c r="P2734" s="81"/>
      <c r="Q2734" s="82"/>
      <c r="R2734" s="80"/>
      <c r="S2734" s="80"/>
      <c r="AB2734"/>
      <c r="AC2734"/>
    </row>
    <row r="2735" spans="1:29" x14ac:dyDescent="0.25">
      <c r="A2735" t="str">
        <f t="shared" si="43"/>
        <v/>
      </c>
      <c r="B2735" s="80"/>
      <c r="C2735" s="80"/>
      <c r="D2735" s="80"/>
      <c r="E2735" s="80"/>
      <c r="F2735" s="80"/>
      <c r="G2735" s="81"/>
      <c r="H2735" s="83"/>
      <c r="I2735" s="82"/>
      <c r="J2735" s="83"/>
      <c r="K2735" s="82"/>
      <c r="L2735" s="81"/>
      <c r="M2735" s="82"/>
      <c r="N2735" s="81"/>
      <c r="O2735" s="82"/>
      <c r="P2735" s="81"/>
      <c r="Q2735" s="82"/>
      <c r="R2735" s="80"/>
      <c r="S2735" s="80"/>
      <c r="AB2735"/>
      <c r="AC2735"/>
    </row>
    <row r="2736" spans="1:29" x14ac:dyDescent="0.25">
      <c r="A2736" t="str">
        <f t="shared" si="43"/>
        <v/>
      </c>
      <c r="B2736" s="80"/>
      <c r="C2736" s="80"/>
      <c r="D2736" s="80"/>
      <c r="E2736" s="80"/>
      <c r="F2736" s="80"/>
      <c r="G2736" s="81"/>
      <c r="H2736" s="83"/>
      <c r="I2736" s="82"/>
      <c r="J2736" s="83"/>
      <c r="K2736" s="82"/>
      <c r="L2736" s="81"/>
      <c r="M2736" s="82"/>
      <c r="N2736" s="81"/>
      <c r="O2736" s="82"/>
      <c r="P2736" s="81"/>
      <c r="Q2736" s="82"/>
      <c r="R2736" s="80"/>
      <c r="S2736" s="80"/>
      <c r="AB2736"/>
      <c r="AC2736"/>
    </row>
    <row r="2737" spans="1:29" x14ac:dyDescent="0.25">
      <c r="A2737" t="str">
        <f t="shared" si="43"/>
        <v/>
      </c>
      <c r="B2737" s="80"/>
      <c r="C2737" s="80"/>
      <c r="D2737" s="80"/>
      <c r="E2737" s="80"/>
      <c r="F2737" s="80"/>
      <c r="G2737" s="81"/>
      <c r="H2737" s="83"/>
      <c r="I2737" s="82"/>
      <c r="J2737" s="83"/>
      <c r="K2737" s="82"/>
      <c r="L2737" s="81"/>
      <c r="M2737" s="82"/>
      <c r="N2737" s="81"/>
      <c r="O2737" s="82"/>
      <c r="P2737" s="81"/>
      <c r="Q2737" s="82"/>
      <c r="R2737" s="80"/>
      <c r="S2737" s="80"/>
      <c r="AB2737"/>
      <c r="AC2737"/>
    </row>
    <row r="2738" spans="1:29" x14ac:dyDescent="0.25">
      <c r="A2738" t="str">
        <f t="shared" si="43"/>
        <v/>
      </c>
      <c r="B2738" s="80"/>
      <c r="C2738" s="80"/>
      <c r="D2738" s="80"/>
      <c r="E2738" s="80"/>
      <c r="F2738" s="80"/>
      <c r="G2738" s="81"/>
      <c r="H2738" s="83"/>
      <c r="I2738" s="82"/>
      <c r="J2738" s="83"/>
      <c r="K2738" s="82"/>
      <c r="L2738" s="81"/>
      <c r="M2738" s="82"/>
      <c r="N2738" s="81"/>
      <c r="O2738" s="82"/>
      <c r="P2738" s="81"/>
      <c r="Q2738" s="82"/>
      <c r="R2738" s="80"/>
      <c r="S2738" s="80"/>
      <c r="AB2738"/>
      <c r="AC2738"/>
    </row>
    <row r="2739" spans="1:29" x14ac:dyDescent="0.25">
      <c r="A2739" t="str">
        <f t="shared" si="43"/>
        <v/>
      </c>
      <c r="B2739" s="80"/>
      <c r="C2739" s="80"/>
      <c r="D2739" s="80"/>
      <c r="E2739" s="80"/>
      <c r="F2739" s="80"/>
      <c r="G2739" s="81"/>
      <c r="H2739" s="83"/>
      <c r="I2739" s="82"/>
      <c r="J2739" s="83"/>
      <c r="K2739" s="82"/>
      <c r="L2739" s="81"/>
      <c r="M2739" s="82"/>
      <c r="N2739" s="81"/>
      <c r="O2739" s="82"/>
      <c r="P2739" s="81"/>
      <c r="Q2739" s="82"/>
      <c r="R2739" s="80"/>
      <c r="S2739" s="80"/>
      <c r="AB2739"/>
      <c r="AC2739"/>
    </row>
    <row r="2740" spans="1:29" x14ac:dyDescent="0.25">
      <c r="A2740" t="str">
        <f t="shared" si="43"/>
        <v/>
      </c>
      <c r="B2740" s="80"/>
      <c r="C2740" s="80"/>
      <c r="D2740" s="80"/>
      <c r="E2740" s="80"/>
      <c r="F2740" s="80"/>
      <c r="G2740" s="81"/>
      <c r="H2740" s="83"/>
      <c r="I2740" s="82"/>
      <c r="J2740" s="83"/>
      <c r="K2740" s="82"/>
      <c r="L2740" s="81"/>
      <c r="M2740" s="82"/>
      <c r="N2740" s="81"/>
      <c r="O2740" s="82"/>
      <c r="P2740" s="81"/>
      <c r="Q2740" s="82"/>
      <c r="R2740" s="80"/>
      <c r="S2740" s="80"/>
      <c r="AB2740"/>
      <c r="AC2740"/>
    </row>
    <row r="2741" spans="1:29" x14ac:dyDescent="0.25">
      <c r="A2741" t="str">
        <f t="shared" si="43"/>
        <v/>
      </c>
      <c r="B2741" s="80"/>
      <c r="C2741" s="80"/>
      <c r="D2741" s="80"/>
      <c r="E2741" s="80"/>
      <c r="F2741" s="80"/>
      <c r="G2741" s="81"/>
      <c r="H2741" s="83"/>
      <c r="I2741" s="82"/>
      <c r="J2741" s="83"/>
      <c r="K2741" s="82"/>
      <c r="L2741" s="81"/>
      <c r="M2741" s="82"/>
      <c r="N2741" s="81"/>
      <c r="O2741" s="82"/>
      <c r="P2741" s="81"/>
      <c r="Q2741" s="82"/>
      <c r="R2741" s="80"/>
      <c r="S2741" s="80"/>
      <c r="AB2741"/>
      <c r="AC2741"/>
    </row>
    <row r="2742" spans="1:29" x14ac:dyDescent="0.25">
      <c r="A2742" t="str">
        <f t="shared" si="43"/>
        <v/>
      </c>
      <c r="B2742" s="80"/>
      <c r="C2742" s="80"/>
      <c r="D2742" s="80"/>
      <c r="E2742" s="80"/>
      <c r="F2742" s="80"/>
      <c r="G2742" s="81"/>
      <c r="H2742" s="83"/>
      <c r="I2742" s="82"/>
      <c r="J2742" s="83"/>
      <c r="K2742" s="82"/>
      <c r="L2742" s="81"/>
      <c r="M2742" s="82"/>
      <c r="N2742" s="81"/>
      <c r="O2742" s="82"/>
      <c r="P2742" s="81"/>
      <c r="Q2742" s="82"/>
      <c r="R2742" s="80"/>
      <c r="S2742" s="80"/>
      <c r="AB2742"/>
      <c r="AC2742"/>
    </row>
    <row r="2743" spans="1:29" x14ac:dyDescent="0.25">
      <c r="A2743" t="str">
        <f t="shared" si="43"/>
        <v/>
      </c>
      <c r="B2743" s="80"/>
      <c r="C2743" s="80"/>
      <c r="D2743" s="80"/>
      <c r="E2743" s="80"/>
      <c r="F2743" s="80"/>
      <c r="G2743" s="81"/>
      <c r="H2743" s="83"/>
      <c r="I2743" s="82"/>
      <c r="J2743" s="83"/>
      <c r="K2743" s="82"/>
      <c r="L2743" s="81"/>
      <c r="M2743" s="82"/>
      <c r="N2743" s="81"/>
      <c r="O2743" s="82"/>
      <c r="P2743" s="81"/>
      <c r="Q2743" s="82"/>
      <c r="R2743" s="80"/>
      <c r="S2743" s="80"/>
      <c r="AB2743"/>
      <c r="AC2743"/>
    </row>
    <row r="2744" spans="1:29" x14ac:dyDescent="0.25">
      <c r="A2744" t="str">
        <f t="shared" si="43"/>
        <v/>
      </c>
      <c r="B2744" s="80"/>
      <c r="C2744" s="80"/>
      <c r="D2744" s="80"/>
      <c r="E2744" s="80"/>
      <c r="F2744" s="80"/>
      <c r="G2744" s="81"/>
      <c r="H2744" s="83"/>
      <c r="I2744" s="82"/>
      <c r="J2744" s="83"/>
      <c r="K2744" s="82"/>
      <c r="L2744" s="81"/>
      <c r="M2744" s="82"/>
      <c r="N2744" s="81"/>
      <c r="O2744" s="82"/>
      <c r="P2744" s="81"/>
      <c r="Q2744" s="82"/>
      <c r="R2744" s="80"/>
      <c r="S2744" s="80"/>
      <c r="AB2744"/>
      <c r="AC2744"/>
    </row>
    <row r="2745" spans="1:29" x14ac:dyDescent="0.25">
      <c r="A2745" t="str">
        <f t="shared" si="43"/>
        <v/>
      </c>
      <c r="B2745" s="80"/>
      <c r="C2745" s="80"/>
      <c r="D2745" s="80"/>
      <c r="E2745" s="80"/>
      <c r="F2745" s="80"/>
      <c r="G2745" s="81"/>
      <c r="H2745" s="83"/>
      <c r="I2745" s="82"/>
      <c r="J2745" s="83"/>
      <c r="K2745" s="82"/>
      <c r="L2745" s="81"/>
      <c r="M2745" s="82"/>
      <c r="N2745" s="81"/>
      <c r="O2745" s="82"/>
      <c r="P2745" s="81"/>
      <c r="Q2745" s="82"/>
      <c r="R2745" s="80"/>
      <c r="S2745" s="80"/>
      <c r="AB2745"/>
      <c r="AC2745"/>
    </row>
    <row r="2746" spans="1:29" x14ac:dyDescent="0.25">
      <c r="A2746" t="str">
        <f t="shared" si="43"/>
        <v/>
      </c>
      <c r="B2746" s="80"/>
      <c r="C2746" s="80"/>
      <c r="D2746" s="80"/>
      <c r="E2746" s="80"/>
      <c r="F2746" s="80"/>
      <c r="G2746" s="81"/>
      <c r="H2746" s="83"/>
      <c r="I2746" s="82"/>
      <c r="J2746" s="83"/>
      <c r="K2746" s="82"/>
      <c r="L2746" s="81"/>
      <c r="M2746" s="82"/>
      <c r="N2746" s="81"/>
      <c r="O2746" s="82"/>
      <c r="P2746" s="81"/>
      <c r="Q2746" s="82"/>
      <c r="R2746" s="80"/>
      <c r="S2746" s="80"/>
      <c r="AB2746"/>
      <c r="AC2746"/>
    </row>
    <row r="2747" spans="1:29" x14ac:dyDescent="0.25">
      <c r="A2747" t="str">
        <f t="shared" si="43"/>
        <v/>
      </c>
      <c r="B2747" s="80"/>
      <c r="C2747" s="80"/>
      <c r="D2747" s="80"/>
      <c r="E2747" s="80"/>
      <c r="F2747" s="80"/>
      <c r="G2747" s="81"/>
      <c r="H2747" s="83"/>
      <c r="I2747" s="82"/>
      <c r="J2747" s="83"/>
      <c r="K2747" s="82"/>
      <c r="L2747" s="81"/>
      <c r="M2747" s="82"/>
      <c r="N2747" s="81"/>
      <c r="O2747" s="82"/>
      <c r="P2747" s="81"/>
      <c r="Q2747" s="82"/>
      <c r="R2747" s="80"/>
      <c r="S2747" s="80"/>
      <c r="AB2747"/>
      <c r="AC2747"/>
    </row>
    <row r="2748" spans="1:29" x14ac:dyDescent="0.25">
      <c r="A2748" t="str">
        <f t="shared" si="43"/>
        <v/>
      </c>
      <c r="B2748" s="80"/>
      <c r="C2748" s="80"/>
      <c r="D2748" s="80"/>
      <c r="E2748" s="80"/>
      <c r="F2748" s="80"/>
      <c r="G2748" s="81"/>
      <c r="H2748" s="83"/>
      <c r="I2748" s="82"/>
      <c r="J2748" s="83"/>
      <c r="K2748" s="82"/>
      <c r="L2748" s="81"/>
      <c r="M2748" s="82"/>
      <c r="N2748" s="81"/>
      <c r="O2748" s="82"/>
      <c r="P2748" s="81"/>
      <c r="Q2748" s="82"/>
      <c r="R2748" s="80"/>
      <c r="S2748" s="80"/>
      <c r="AB2748"/>
      <c r="AC2748"/>
    </row>
    <row r="2749" spans="1:29" x14ac:dyDescent="0.25">
      <c r="A2749" t="str">
        <f t="shared" si="43"/>
        <v/>
      </c>
      <c r="B2749" s="80"/>
      <c r="C2749" s="80"/>
      <c r="D2749" s="80"/>
      <c r="E2749" s="80"/>
      <c r="F2749" s="80"/>
      <c r="G2749" s="81"/>
      <c r="H2749" s="83"/>
      <c r="I2749" s="82"/>
      <c r="J2749" s="83"/>
      <c r="K2749" s="82"/>
      <c r="L2749" s="81"/>
      <c r="M2749" s="82"/>
      <c r="N2749" s="81"/>
      <c r="O2749" s="82"/>
      <c r="P2749" s="81"/>
      <c r="Q2749" s="82"/>
      <c r="R2749" s="80"/>
      <c r="S2749" s="80"/>
      <c r="AB2749"/>
      <c r="AC2749"/>
    </row>
    <row r="2750" spans="1:29" x14ac:dyDescent="0.25">
      <c r="A2750" t="str">
        <f t="shared" si="43"/>
        <v/>
      </c>
      <c r="B2750" s="80"/>
      <c r="C2750" s="80"/>
      <c r="D2750" s="80"/>
      <c r="E2750" s="80"/>
      <c r="F2750" s="80"/>
      <c r="G2750" s="81"/>
      <c r="H2750" s="83"/>
      <c r="I2750" s="82"/>
      <c r="J2750" s="83"/>
      <c r="K2750" s="82"/>
      <c r="L2750" s="81"/>
      <c r="M2750" s="82"/>
      <c r="N2750" s="81"/>
      <c r="O2750" s="82"/>
      <c r="P2750" s="81"/>
      <c r="Q2750" s="82"/>
      <c r="R2750" s="80"/>
      <c r="S2750" s="80"/>
      <c r="AB2750"/>
      <c r="AC2750"/>
    </row>
    <row r="2751" spans="1:29" x14ac:dyDescent="0.25">
      <c r="A2751" t="str">
        <f t="shared" si="43"/>
        <v/>
      </c>
      <c r="B2751" s="80"/>
      <c r="C2751" s="80"/>
      <c r="D2751" s="80"/>
      <c r="E2751" s="80"/>
      <c r="F2751" s="80"/>
      <c r="G2751" s="81"/>
      <c r="H2751" s="83"/>
      <c r="I2751" s="82"/>
      <c r="J2751" s="83"/>
      <c r="K2751" s="82"/>
      <c r="L2751" s="81"/>
      <c r="M2751" s="82"/>
      <c r="N2751" s="81"/>
      <c r="O2751" s="82"/>
      <c r="P2751" s="81"/>
      <c r="Q2751" s="82"/>
      <c r="R2751" s="80"/>
      <c r="S2751" s="80"/>
      <c r="AB2751"/>
      <c r="AC2751"/>
    </row>
    <row r="2752" spans="1:29" x14ac:dyDescent="0.25">
      <c r="A2752" t="str">
        <f t="shared" si="43"/>
        <v/>
      </c>
      <c r="B2752" s="80"/>
      <c r="C2752" s="80"/>
      <c r="D2752" s="80"/>
      <c r="E2752" s="80"/>
      <c r="F2752" s="80"/>
      <c r="G2752" s="81"/>
      <c r="H2752" s="83"/>
      <c r="I2752" s="82"/>
      <c r="J2752" s="83"/>
      <c r="K2752" s="82"/>
      <c r="L2752" s="81"/>
      <c r="M2752" s="82"/>
      <c r="N2752" s="81"/>
      <c r="O2752" s="82"/>
      <c r="P2752" s="81"/>
      <c r="Q2752" s="82"/>
      <c r="R2752" s="80"/>
      <c r="S2752" s="80"/>
      <c r="AB2752"/>
      <c r="AC2752"/>
    </row>
    <row r="2753" spans="1:29" x14ac:dyDescent="0.25">
      <c r="A2753" t="str">
        <f t="shared" si="43"/>
        <v/>
      </c>
      <c r="B2753" s="80"/>
      <c r="C2753" s="80"/>
      <c r="D2753" s="80"/>
      <c r="E2753" s="80"/>
      <c r="F2753" s="80"/>
      <c r="G2753" s="81"/>
      <c r="H2753" s="83"/>
      <c r="I2753" s="82"/>
      <c r="J2753" s="83"/>
      <c r="K2753" s="82"/>
      <c r="L2753" s="81"/>
      <c r="M2753" s="82"/>
      <c r="N2753" s="81"/>
      <c r="O2753" s="82"/>
      <c r="P2753" s="81"/>
      <c r="Q2753" s="82"/>
      <c r="R2753" s="80"/>
      <c r="S2753" s="80"/>
      <c r="AB2753"/>
      <c r="AC2753"/>
    </row>
    <row r="2754" spans="1:29" x14ac:dyDescent="0.25">
      <c r="A2754" t="str">
        <f t="shared" si="43"/>
        <v/>
      </c>
      <c r="B2754" s="80"/>
      <c r="C2754" s="80"/>
      <c r="D2754" s="80"/>
      <c r="E2754" s="80"/>
      <c r="F2754" s="80"/>
      <c r="G2754" s="81"/>
      <c r="H2754" s="83"/>
      <c r="I2754" s="82"/>
      <c r="J2754" s="83"/>
      <c r="K2754" s="82"/>
      <c r="L2754" s="81"/>
      <c r="M2754" s="82"/>
      <c r="N2754" s="81"/>
      <c r="O2754" s="82"/>
      <c r="P2754" s="81"/>
      <c r="Q2754" s="82"/>
      <c r="R2754" s="80"/>
      <c r="S2754" s="80"/>
      <c r="AB2754"/>
      <c r="AC2754"/>
    </row>
    <row r="2755" spans="1:29" x14ac:dyDescent="0.25">
      <c r="A2755" t="str">
        <f t="shared" si="43"/>
        <v/>
      </c>
      <c r="B2755" s="80"/>
      <c r="C2755" s="80"/>
      <c r="D2755" s="80"/>
      <c r="E2755" s="80"/>
      <c r="F2755" s="80"/>
      <c r="G2755" s="81"/>
      <c r="H2755" s="83"/>
      <c r="I2755" s="82"/>
      <c r="J2755" s="83"/>
      <c r="K2755" s="82"/>
      <c r="L2755" s="81"/>
      <c r="M2755" s="82"/>
      <c r="N2755" s="81"/>
      <c r="O2755" s="82"/>
      <c r="P2755" s="81"/>
      <c r="Q2755" s="82"/>
      <c r="R2755" s="80"/>
      <c r="S2755" s="80"/>
      <c r="AB2755"/>
      <c r="AC2755"/>
    </row>
    <row r="2756" spans="1:29" x14ac:dyDescent="0.25">
      <c r="A2756" t="str">
        <f t="shared" si="43"/>
        <v/>
      </c>
      <c r="B2756" s="80"/>
      <c r="C2756" s="80"/>
      <c r="D2756" s="80"/>
      <c r="E2756" s="80"/>
      <c r="F2756" s="80"/>
      <c r="G2756" s="81"/>
      <c r="H2756" s="83"/>
      <c r="I2756" s="82"/>
      <c r="J2756" s="83"/>
      <c r="K2756" s="82"/>
      <c r="L2756" s="81"/>
      <c r="M2756" s="82"/>
      <c r="N2756" s="81"/>
      <c r="O2756" s="82"/>
      <c r="P2756" s="81"/>
      <c r="Q2756" s="82"/>
      <c r="R2756" s="80"/>
      <c r="S2756" s="80"/>
      <c r="AB2756"/>
      <c r="AC2756"/>
    </row>
    <row r="2757" spans="1:29" x14ac:dyDescent="0.25">
      <c r="A2757" t="str">
        <f t="shared" si="43"/>
        <v/>
      </c>
      <c r="B2757" s="80"/>
      <c r="C2757" s="80"/>
      <c r="D2757" s="80"/>
      <c r="E2757" s="80"/>
      <c r="F2757" s="80"/>
      <c r="G2757" s="81"/>
      <c r="H2757" s="83"/>
      <c r="I2757" s="82"/>
      <c r="J2757" s="83"/>
      <c r="K2757" s="82"/>
      <c r="L2757" s="81"/>
      <c r="M2757" s="82"/>
      <c r="N2757" s="81"/>
      <c r="O2757" s="82"/>
      <c r="P2757" s="81"/>
      <c r="Q2757" s="82"/>
      <c r="R2757" s="80"/>
      <c r="S2757" s="80"/>
      <c r="AB2757"/>
      <c r="AC2757"/>
    </row>
    <row r="2758" spans="1:29" x14ac:dyDescent="0.25">
      <c r="A2758" t="str">
        <f t="shared" si="43"/>
        <v/>
      </c>
      <c r="B2758" s="80"/>
      <c r="C2758" s="80"/>
      <c r="D2758" s="80"/>
      <c r="E2758" s="80"/>
      <c r="F2758" s="80"/>
      <c r="G2758" s="81"/>
      <c r="H2758" s="83"/>
      <c r="I2758" s="82"/>
      <c r="J2758" s="83"/>
      <c r="K2758" s="82"/>
      <c r="L2758" s="81"/>
      <c r="M2758" s="82"/>
      <c r="N2758" s="81"/>
      <c r="O2758" s="82"/>
      <c r="P2758" s="81"/>
      <c r="Q2758" s="82"/>
      <c r="R2758" s="80"/>
      <c r="S2758" s="80"/>
      <c r="AB2758"/>
      <c r="AC2758"/>
    </row>
    <row r="2759" spans="1:29" x14ac:dyDescent="0.25">
      <c r="A2759" t="str">
        <f t="shared" ref="A2759:A2822" si="44">B2757&amp;D2757</f>
        <v/>
      </c>
      <c r="B2759" s="80"/>
      <c r="C2759" s="80"/>
      <c r="D2759" s="80"/>
      <c r="E2759" s="80"/>
      <c r="F2759" s="80"/>
      <c r="G2759" s="81"/>
      <c r="H2759" s="83"/>
      <c r="I2759" s="82"/>
      <c r="J2759" s="83"/>
      <c r="K2759" s="82"/>
      <c r="L2759" s="81"/>
      <c r="M2759" s="82"/>
      <c r="N2759" s="81"/>
      <c r="O2759" s="82"/>
      <c r="P2759" s="81"/>
      <c r="Q2759" s="82"/>
      <c r="R2759" s="80"/>
      <c r="S2759" s="80"/>
      <c r="AB2759"/>
      <c r="AC2759"/>
    </row>
    <row r="2760" spans="1:29" x14ac:dyDescent="0.25">
      <c r="A2760" t="str">
        <f t="shared" si="44"/>
        <v/>
      </c>
      <c r="B2760" s="80"/>
      <c r="C2760" s="80"/>
      <c r="D2760" s="80"/>
      <c r="E2760" s="80"/>
      <c r="F2760" s="80"/>
      <c r="G2760" s="81"/>
      <c r="H2760" s="83"/>
      <c r="I2760" s="82"/>
      <c r="J2760" s="83"/>
      <c r="K2760" s="82"/>
      <c r="L2760" s="81"/>
      <c r="M2760" s="82"/>
      <c r="N2760" s="81"/>
      <c r="O2760" s="82"/>
      <c r="P2760" s="81"/>
      <c r="Q2760" s="82"/>
      <c r="R2760" s="80"/>
      <c r="S2760" s="80"/>
      <c r="AB2760"/>
      <c r="AC2760"/>
    </row>
    <row r="2761" spans="1:29" x14ac:dyDescent="0.25">
      <c r="A2761" t="str">
        <f t="shared" si="44"/>
        <v/>
      </c>
      <c r="B2761" s="80"/>
      <c r="C2761" s="80"/>
      <c r="D2761" s="80"/>
      <c r="E2761" s="80"/>
      <c r="F2761" s="80"/>
      <c r="G2761" s="81"/>
      <c r="H2761" s="83"/>
      <c r="I2761" s="82"/>
      <c r="J2761" s="83"/>
      <c r="K2761" s="82"/>
      <c r="L2761" s="81"/>
      <c r="M2761" s="82"/>
      <c r="N2761" s="81"/>
      <c r="O2761" s="82"/>
      <c r="P2761" s="81"/>
      <c r="Q2761" s="82"/>
      <c r="R2761" s="80"/>
      <c r="S2761" s="80"/>
      <c r="AB2761"/>
      <c r="AC2761"/>
    </row>
    <row r="2762" spans="1:29" x14ac:dyDescent="0.25">
      <c r="A2762" t="str">
        <f t="shared" si="44"/>
        <v/>
      </c>
      <c r="B2762" s="80"/>
      <c r="C2762" s="80"/>
      <c r="D2762" s="80"/>
      <c r="E2762" s="80"/>
      <c r="F2762" s="80"/>
      <c r="G2762" s="81"/>
      <c r="H2762" s="83"/>
      <c r="I2762" s="82"/>
      <c r="J2762" s="83"/>
      <c r="K2762" s="82"/>
      <c r="L2762" s="81"/>
      <c r="M2762" s="82"/>
      <c r="N2762" s="81"/>
      <c r="O2762" s="82"/>
      <c r="P2762" s="81"/>
      <c r="Q2762" s="82"/>
      <c r="R2762" s="80"/>
      <c r="S2762" s="80"/>
      <c r="AB2762"/>
      <c r="AC2762"/>
    </row>
    <row r="2763" spans="1:29" x14ac:dyDescent="0.25">
      <c r="A2763" t="str">
        <f t="shared" si="44"/>
        <v/>
      </c>
      <c r="B2763" s="80"/>
      <c r="C2763" s="80"/>
      <c r="D2763" s="80"/>
      <c r="E2763" s="80"/>
      <c r="F2763" s="80"/>
      <c r="G2763" s="81"/>
      <c r="H2763" s="83"/>
      <c r="I2763" s="82"/>
      <c r="J2763" s="83"/>
      <c r="K2763" s="82"/>
      <c r="L2763" s="81"/>
      <c r="M2763" s="82"/>
      <c r="N2763" s="81"/>
      <c r="O2763" s="82"/>
      <c r="P2763" s="81"/>
      <c r="Q2763" s="82"/>
      <c r="R2763" s="80"/>
      <c r="S2763" s="80"/>
      <c r="AB2763"/>
      <c r="AC2763"/>
    </row>
    <row r="2764" spans="1:29" x14ac:dyDescent="0.25">
      <c r="A2764" t="str">
        <f t="shared" si="44"/>
        <v/>
      </c>
      <c r="B2764" s="80"/>
      <c r="C2764" s="80"/>
      <c r="D2764" s="80"/>
      <c r="E2764" s="80"/>
      <c r="F2764" s="80"/>
      <c r="G2764" s="81"/>
      <c r="H2764" s="83"/>
      <c r="I2764" s="82"/>
      <c r="J2764" s="83"/>
      <c r="K2764" s="82"/>
      <c r="L2764" s="81"/>
      <c r="M2764" s="82"/>
      <c r="N2764" s="81"/>
      <c r="O2764" s="82"/>
      <c r="P2764" s="81"/>
      <c r="Q2764" s="82"/>
      <c r="R2764" s="80"/>
      <c r="S2764" s="80"/>
      <c r="AB2764"/>
      <c r="AC2764"/>
    </row>
    <row r="2765" spans="1:29" x14ac:dyDescent="0.25">
      <c r="A2765" t="str">
        <f t="shared" si="44"/>
        <v/>
      </c>
      <c r="B2765" s="80"/>
      <c r="C2765" s="80"/>
      <c r="D2765" s="80"/>
      <c r="E2765" s="80"/>
      <c r="F2765" s="80"/>
      <c r="G2765" s="81"/>
      <c r="H2765" s="83"/>
      <c r="I2765" s="82"/>
      <c r="J2765" s="83"/>
      <c r="K2765" s="82"/>
      <c r="L2765" s="81"/>
      <c r="M2765" s="82"/>
      <c r="N2765" s="81"/>
      <c r="O2765" s="82"/>
      <c r="P2765" s="81"/>
      <c r="Q2765" s="82"/>
      <c r="R2765" s="80"/>
      <c r="S2765" s="80"/>
      <c r="AB2765"/>
      <c r="AC2765"/>
    </row>
    <row r="2766" spans="1:29" x14ac:dyDescent="0.25">
      <c r="A2766" t="str">
        <f t="shared" si="44"/>
        <v/>
      </c>
      <c r="B2766" s="80"/>
      <c r="C2766" s="80"/>
      <c r="D2766" s="80"/>
      <c r="E2766" s="80"/>
      <c r="F2766" s="80"/>
      <c r="G2766" s="81"/>
      <c r="H2766" s="83"/>
      <c r="I2766" s="82"/>
      <c r="J2766" s="83"/>
      <c r="K2766" s="82"/>
      <c r="L2766" s="81"/>
      <c r="M2766" s="82"/>
      <c r="N2766" s="81"/>
      <c r="O2766" s="82"/>
      <c r="P2766" s="81"/>
      <c r="Q2766" s="82"/>
      <c r="R2766" s="80"/>
      <c r="S2766" s="80"/>
      <c r="AB2766"/>
      <c r="AC2766"/>
    </row>
    <row r="2767" spans="1:29" x14ac:dyDescent="0.25">
      <c r="A2767" t="str">
        <f t="shared" si="44"/>
        <v/>
      </c>
      <c r="B2767" s="80"/>
      <c r="C2767" s="80"/>
      <c r="D2767" s="80"/>
      <c r="E2767" s="80"/>
      <c r="F2767" s="80"/>
      <c r="G2767" s="81"/>
      <c r="H2767" s="83"/>
      <c r="I2767" s="82"/>
      <c r="J2767" s="83"/>
      <c r="K2767" s="82"/>
      <c r="L2767" s="81"/>
      <c r="M2767" s="82"/>
      <c r="N2767" s="81"/>
      <c r="O2767" s="82"/>
      <c r="P2767" s="81"/>
      <c r="Q2767" s="82"/>
      <c r="R2767" s="80"/>
      <c r="S2767" s="80"/>
      <c r="AB2767"/>
      <c r="AC2767"/>
    </row>
    <row r="2768" spans="1:29" x14ac:dyDescent="0.25">
      <c r="A2768" t="str">
        <f t="shared" si="44"/>
        <v/>
      </c>
      <c r="B2768" s="80"/>
      <c r="C2768" s="80"/>
      <c r="D2768" s="80"/>
      <c r="E2768" s="80"/>
      <c r="F2768" s="80"/>
      <c r="G2768" s="81"/>
      <c r="H2768" s="83"/>
      <c r="I2768" s="82"/>
      <c r="J2768" s="83"/>
      <c r="K2768" s="82"/>
      <c r="L2768" s="81"/>
      <c r="M2768" s="82"/>
      <c r="N2768" s="81"/>
      <c r="O2768" s="82"/>
      <c r="P2768" s="81"/>
      <c r="Q2768" s="82"/>
      <c r="R2768" s="80"/>
      <c r="S2768" s="80"/>
      <c r="AB2768"/>
      <c r="AC2768"/>
    </row>
    <row r="2769" spans="1:29" x14ac:dyDescent="0.25">
      <c r="A2769" t="str">
        <f t="shared" si="44"/>
        <v/>
      </c>
      <c r="B2769" s="80"/>
      <c r="C2769" s="80"/>
      <c r="D2769" s="80"/>
      <c r="E2769" s="80"/>
      <c r="F2769" s="80"/>
      <c r="G2769" s="81"/>
      <c r="H2769" s="83"/>
      <c r="I2769" s="82"/>
      <c r="J2769" s="83"/>
      <c r="K2769" s="82"/>
      <c r="L2769" s="81"/>
      <c r="M2769" s="82"/>
      <c r="N2769" s="81"/>
      <c r="O2769" s="82"/>
      <c r="P2769" s="81"/>
      <c r="Q2769" s="82"/>
      <c r="R2769" s="80"/>
      <c r="S2769" s="80"/>
      <c r="AB2769"/>
      <c r="AC2769"/>
    </row>
    <row r="2770" spans="1:29" x14ac:dyDescent="0.25">
      <c r="A2770" t="str">
        <f t="shared" si="44"/>
        <v/>
      </c>
      <c r="B2770" s="80"/>
      <c r="C2770" s="80"/>
      <c r="D2770" s="80"/>
      <c r="E2770" s="80"/>
      <c r="F2770" s="80"/>
      <c r="G2770" s="81"/>
      <c r="H2770" s="83"/>
      <c r="I2770" s="82"/>
      <c r="J2770" s="83"/>
      <c r="K2770" s="82"/>
      <c r="L2770" s="81"/>
      <c r="M2770" s="82"/>
      <c r="N2770" s="81"/>
      <c r="O2770" s="82"/>
      <c r="P2770" s="81"/>
      <c r="Q2770" s="82"/>
      <c r="R2770" s="80"/>
      <c r="S2770" s="80"/>
      <c r="AB2770"/>
      <c r="AC2770"/>
    </row>
    <row r="2771" spans="1:29" x14ac:dyDescent="0.25">
      <c r="A2771" t="str">
        <f t="shared" si="44"/>
        <v/>
      </c>
      <c r="B2771" s="80"/>
      <c r="C2771" s="80"/>
      <c r="D2771" s="80"/>
      <c r="E2771" s="80"/>
      <c r="F2771" s="80"/>
      <c r="G2771" s="81"/>
      <c r="H2771" s="83"/>
      <c r="I2771" s="82"/>
      <c r="J2771" s="83"/>
      <c r="K2771" s="82"/>
      <c r="L2771" s="81"/>
      <c r="M2771" s="82"/>
      <c r="N2771" s="81"/>
      <c r="O2771" s="82"/>
      <c r="P2771" s="81"/>
      <c r="Q2771" s="82"/>
      <c r="R2771" s="80"/>
      <c r="S2771" s="80"/>
      <c r="AB2771"/>
      <c r="AC2771"/>
    </row>
    <row r="2772" spans="1:29" x14ac:dyDescent="0.25">
      <c r="A2772" t="str">
        <f t="shared" si="44"/>
        <v/>
      </c>
      <c r="B2772" s="80"/>
      <c r="C2772" s="80"/>
      <c r="D2772" s="80"/>
      <c r="E2772" s="80"/>
      <c r="F2772" s="80"/>
      <c r="G2772" s="81"/>
      <c r="H2772" s="83"/>
      <c r="I2772" s="82"/>
      <c r="J2772" s="83"/>
      <c r="K2772" s="82"/>
      <c r="L2772" s="81"/>
      <c r="M2772" s="82"/>
      <c r="N2772" s="81"/>
      <c r="O2772" s="82"/>
      <c r="P2772" s="81"/>
      <c r="Q2772" s="82"/>
      <c r="R2772" s="80"/>
      <c r="S2772" s="80"/>
      <c r="AB2772"/>
      <c r="AC2772"/>
    </row>
    <row r="2773" spans="1:29" x14ac:dyDescent="0.25">
      <c r="A2773" t="str">
        <f t="shared" si="44"/>
        <v/>
      </c>
      <c r="B2773" s="80"/>
      <c r="C2773" s="80"/>
      <c r="D2773" s="80"/>
      <c r="E2773" s="80"/>
      <c r="F2773" s="80"/>
      <c r="G2773" s="81"/>
      <c r="H2773" s="83"/>
      <c r="I2773" s="82"/>
      <c r="J2773" s="83"/>
      <c r="K2773" s="82"/>
      <c r="L2773" s="81"/>
      <c r="M2773" s="82"/>
      <c r="N2773" s="81"/>
      <c r="O2773" s="82"/>
      <c r="P2773" s="81"/>
      <c r="Q2773" s="82"/>
      <c r="R2773" s="80"/>
      <c r="S2773" s="80"/>
      <c r="AB2773"/>
      <c r="AC2773"/>
    </row>
    <row r="2774" spans="1:29" x14ac:dyDescent="0.25">
      <c r="A2774" t="str">
        <f t="shared" si="44"/>
        <v/>
      </c>
      <c r="B2774" s="80"/>
      <c r="C2774" s="80"/>
      <c r="D2774" s="80"/>
      <c r="E2774" s="80"/>
      <c r="F2774" s="80"/>
      <c r="G2774" s="81"/>
      <c r="H2774" s="83"/>
      <c r="I2774" s="82"/>
      <c r="J2774" s="83"/>
      <c r="K2774" s="82"/>
      <c r="L2774" s="81"/>
      <c r="M2774" s="82"/>
      <c r="N2774" s="81"/>
      <c r="O2774" s="82"/>
      <c r="P2774" s="81"/>
      <c r="Q2774" s="82"/>
      <c r="R2774" s="80"/>
      <c r="S2774" s="80"/>
      <c r="AB2774"/>
      <c r="AC2774"/>
    </row>
    <row r="2775" spans="1:29" x14ac:dyDescent="0.25">
      <c r="A2775" t="str">
        <f t="shared" si="44"/>
        <v/>
      </c>
      <c r="B2775" s="80"/>
      <c r="C2775" s="80"/>
      <c r="D2775" s="80"/>
      <c r="E2775" s="80"/>
      <c r="F2775" s="80"/>
      <c r="G2775" s="81"/>
      <c r="H2775" s="83"/>
      <c r="I2775" s="82"/>
      <c r="J2775" s="83"/>
      <c r="K2775" s="82"/>
      <c r="L2775" s="81"/>
      <c r="M2775" s="82"/>
      <c r="N2775" s="81"/>
      <c r="O2775" s="82"/>
      <c r="P2775" s="81"/>
      <c r="Q2775" s="82"/>
      <c r="R2775" s="80"/>
      <c r="S2775" s="80"/>
      <c r="AB2775"/>
      <c r="AC2775"/>
    </row>
    <row r="2776" spans="1:29" x14ac:dyDescent="0.25">
      <c r="A2776" t="str">
        <f t="shared" si="44"/>
        <v/>
      </c>
      <c r="B2776" s="80"/>
      <c r="C2776" s="80"/>
      <c r="D2776" s="80"/>
      <c r="E2776" s="80"/>
      <c r="F2776" s="80"/>
      <c r="G2776" s="81"/>
      <c r="H2776" s="83"/>
      <c r="I2776" s="82"/>
      <c r="J2776" s="83"/>
      <c r="K2776" s="82"/>
      <c r="L2776" s="81"/>
      <c r="M2776" s="82"/>
      <c r="N2776" s="81"/>
      <c r="O2776" s="82"/>
      <c r="P2776" s="81"/>
      <c r="Q2776" s="82"/>
      <c r="R2776" s="80"/>
      <c r="S2776" s="80"/>
      <c r="AB2776"/>
      <c r="AC2776"/>
    </row>
    <row r="2777" spans="1:29" x14ac:dyDescent="0.25">
      <c r="A2777" t="str">
        <f t="shared" si="44"/>
        <v/>
      </c>
      <c r="B2777" s="80"/>
      <c r="C2777" s="80"/>
      <c r="D2777" s="80"/>
      <c r="E2777" s="80"/>
      <c r="F2777" s="80"/>
      <c r="G2777" s="81"/>
      <c r="H2777" s="83"/>
      <c r="I2777" s="82"/>
      <c r="J2777" s="83"/>
      <c r="K2777" s="82"/>
      <c r="L2777" s="81"/>
      <c r="M2777" s="82"/>
      <c r="N2777" s="81"/>
      <c r="O2777" s="82"/>
      <c r="P2777" s="81"/>
      <c r="Q2777" s="82"/>
      <c r="R2777" s="80"/>
      <c r="S2777" s="80"/>
      <c r="AB2777"/>
      <c r="AC2777"/>
    </row>
    <row r="2778" spans="1:29" x14ac:dyDescent="0.25">
      <c r="A2778" t="str">
        <f t="shared" si="44"/>
        <v/>
      </c>
      <c r="B2778" s="80"/>
      <c r="C2778" s="80"/>
      <c r="D2778" s="80"/>
      <c r="E2778" s="80"/>
      <c r="F2778" s="80"/>
      <c r="G2778" s="81"/>
      <c r="H2778" s="83"/>
      <c r="I2778" s="82"/>
      <c r="J2778" s="83"/>
      <c r="K2778" s="82"/>
      <c r="L2778" s="81"/>
      <c r="M2778" s="82"/>
      <c r="N2778" s="81"/>
      <c r="O2778" s="82"/>
      <c r="P2778" s="81"/>
      <c r="Q2778" s="82"/>
      <c r="R2778" s="80"/>
      <c r="S2778" s="80"/>
      <c r="AB2778"/>
      <c r="AC2778"/>
    </row>
    <row r="2779" spans="1:29" x14ac:dyDescent="0.25">
      <c r="A2779" t="str">
        <f t="shared" si="44"/>
        <v/>
      </c>
      <c r="B2779" s="80"/>
      <c r="C2779" s="80"/>
      <c r="D2779" s="80"/>
      <c r="E2779" s="80"/>
      <c r="F2779" s="80"/>
      <c r="G2779" s="81"/>
      <c r="H2779" s="83"/>
      <c r="I2779" s="82"/>
      <c r="J2779" s="83"/>
      <c r="K2779" s="82"/>
      <c r="L2779" s="81"/>
      <c r="M2779" s="82"/>
      <c r="N2779" s="81"/>
      <c r="O2779" s="82"/>
      <c r="P2779" s="81"/>
      <c r="Q2779" s="82"/>
      <c r="R2779" s="80"/>
      <c r="S2779" s="80"/>
      <c r="AB2779"/>
      <c r="AC2779"/>
    </row>
    <row r="2780" spans="1:29" x14ac:dyDescent="0.25">
      <c r="A2780" t="str">
        <f t="shared" si="44"/>
        <v/>
      </c>
      <c r="B2780" s="80"/>
      <c r="C2780" s="80"/>
      <c r="D2780" s="80"/>
      <c r="E2780" s="80"/>
      <c r="F2780" s="80"/>
      <c r="G2780" s="81"/>
      <c r="H2780" s="83"/>
      <c r="I2780" s="82"/>
      <c r="J2780" s="83"/>
      <c r="K2780" s="82"/>
      <c r="L2780" s="81"/>
      <c r="M2780" s="82"/>
      <c r="N2780" s="81"/>
      <c r="O2780" s="82"/>
      <c r="P2780" s="81"/>
      <c r="Q2780" s="82"/>
      <c r="R2780" s="80"/>
      <c r="S2780" s="80"/>
      <c r="AB2780"/>
      <c r="AC2780"/>
    </row>
    <row r="2781" spans="1:29" x14ac:dyDescent="0.25">
      <c r="A2781" t="str">
        <f t="shared" si="44"/>
        <v/>
      </c>
      <c r="B2781" s="80"/>
      <c r="C2781" s="80"/>
      <c r="D2781" s="80"/>
      <c r="E2781" s="80"/>
      <c r="F2781" s="80"/>
      <c r="G2781" s="81"/>
      <c r="H2781" s="83"/>
      <c r="I2781" s="82"/>
      <c r="J2781" s="83"/>
      <c r="K2781" s="82"/>
      <c r="L2781" s="81"/>
      <c r="M2781" s="82"/>
      <c r="N2781" s="81"/>
      <c r="O2781" s="82"/>
      <c r="P2781" s="81"/>
      <c r="Q2781" s="82"/>
      <c r="R2781" s="80"/>
      <c r="S2781" s="80"/>
      <c r="AB2781"/>
      <c r="AC2781"/>
    </row>
    <row r="2782" spans="1:29" x14ac:dyDescent="0.25">
      <c r="A2782" t="str">
        <f t="shared" si="44"/>
        <v/>
      </c>
      <c r="B2782" s="80"/>
      <c r="C2782" s="80"/>
      <c r="D2782" s="80"/>
      <c r="E2782" s="80"/>
      <c r="F2782" s="80"/>
      <c r="G2782" s="81"/>
      <c r="H2782" s="83"/>
      <c r="I2782" s="82"/>
      <c r="J2782" s="83"/>
      <c r="K2782" s="82"/>
      <c r="L2782" s="81"/>
      <c r="M2782" s="82"/>
      <c r="N2782" s="81"/>
      <c r="O2782" s="82"/>
      <c r="P2782" s="81"/>
      <c r="Q2782" s="82"/>
      <c r="R2782" s="80"/>
      <c r="S2782" s="80"/>
      <c r="AB2782"/>
      <c r="AC2782"/>
    </row>
    <row r="2783" spans="1:29" x14ac:dyDescent="0.25">
      <c r="A2783" t="str">
        <f t="shared" si="44"/>
        <v/>
      </c>
      <c r="B2783" s="80"/>
      <c r="C2783" s="80"/>
      <c r="D2783" s="80"/>
      <c r="E2783" s="80"/>
      <c r="F2783" s="80"/>
      <c r="G2783" s="81"/>
      <c r="H2783" s="83"/>
      <c r="I2783" s="82"/>
      <c r="J2783" s="83"/>
      <c r="K2783" s="82"/>
      <c r="L2783" s="81"/>
      <c r="M2783" s="82"/>
      <c r="N2783" s="81"/>
      <c r="O2783" s="82"/>
      <c r="P2783" s="81"/>
      <c r="Q2783" s="82"/>
      <c r="R2783" s="80"/>
      <c r="S2783" s="80"/>
      <c r="AB2783"/>
      <c r="AC2783"/>
    </row>
    <row r="2784" spans="1:29" x14ac:dyDescent="0.25">
      <c r="A2784" t="str">
        <f t="shared" si="44"/>
        <v/>
      </c>
      <c r="B2784" s="80"/>
      <c r="C2784" s="80"/>
      <c r="D2784" s="80"/>
      <c r="E2784" s="80"/>
      <c r="F2784" s="80"/>
      <c r="G2784" s="81"/>
      <c r="H2784" s="83"/>
      <c r="I2784" s="82"/>
      <c r="J2784" s="83"/>
      <c r="K2784" s="82"/>
      <c r="L2784" s="81"/>
      <c r="M2784" s="82"/>
      <c r="N2784" s="81"/>
      <c r="O2784" s="82"/>
      <c r="P2784" s="81"/>
      <c r="Q2784" s="82"/>
      <c r="R2784" s="80"/>
      <c r="S2784" s="80"/>
      <c r="AB2784"/>
      <c r="AC2784"/>
    </row>
    <row r="2785" spans="1:29" x14ac:dyDescent="0.25">
      <c r="A2785" t="str">
        <f t="shared" si="44"/>
        <v/>
      </c>
      <c r="B2785" s="80"/>
      <c r="C2785" s="80"/>
      <c r="D2785" s="80"/>
      <c r="E2785" s="80"/>
      <c r="F2785" s="80"/>
      <c r="G2785" s="81"/>
      <c r="H2785" s="83"/>
      <c r="I2785" s="82"/>
      <c r="J2785" s="83"/>
      <c r="K2785" s="82"/>
      <c r="L2785" s="81"/>
      <c r="M2785" s="82"/>
      <c r="N2785" s="81"/>
      <c r="O2785" s="82"/>
      <c r="P2785" s="81"/>
      <c r="Q2785" s="82"/>
      <c r="R2785" s="80"/>
      <c r="S2785" s="80"/>
      <c r="AB2785"/>
      <c r="AC2785"/>
    </row>
    <row r="2786" spans="1:29" x14ac:dyDescent="0.25">
      <c r="A2786" t="str">
        <f t="shared" si="44"/>
        <v/>
      </c>
      <c r="B2786" s="80"/>
      <c r="C2786" s="80"/>
      <c r="D2786" s="80"/>
      <c r="E2786" s="80"/>
      <c r="F2786" s="80"/>
      <c r="G2786" s="81"/>
      <c r="H2786" s="83"/>
      <c r="I2786" s="82"/>
      <c r="J2786" s="83"/>
      <c r="K2786" s="82"/>
      <c r="L2786" s="81"/>
      <c r="M2786" s="82"/>
      <c r="N2786" s="81"/>
      <c r="O2786" s="82"/>
      <c r="P2786" s="81"/>
      <c r="Q2786" s="82"/>
      <c r="R2786" s="80"/>
      <c r="S2786" s="80"/>
      <c r="AB2786"/>
      <c r="AC2786"/>
    </row>
    <row r="2787" spans="1:29" x14ac:dyDescent="0.25">
      <c r="A2787" t="str">
        <f t="shared" si="44"/>
        <v/>
      </c>
      <c r="B2787" s="80"/>
      <c r="C2787" s="80"/>
      <c r="D2787" s="80"/>
      <c r="E2787" s="80"/>
      <c r="F2787" s="80"/>
      <c r="G2787" s="81"/>
      <c r="H2787" s="83"/>
      <c r="I2787" s="82"/>
      <c r="J2787" s="83"/>
      <c r="K2787" s="82"/>
      <c r="L2787" s="81"/>
      <c r="M2787" s="82"/>
      <c r="N2787" s="81"/>
      <c r="O2787" s="82"/>
      <c r="P2787" s="81"/>
      <c r="Q2787" s="82"/>
      <c r="R2787" s="80"/>
      <c r="S2787" s="80"/>
      <c r="AB2787"/>
      <c r="AC2787"/>
    </row>
    <row r="2788" spans="1:29" x14ac:dyDescent="0.25">
      <c r="A2788" t="str">
        <f t="shared" si="44"/>
        <v/>
      </c>
      <c r="B2788" s="80"/>
      <c r="C2788" s="80"/>
      <c r="D2788" s="80"/>
      <c r="E2788" s="80"/>
      <c r="F2788" s="80"/>
      <c r="G2788" s="81"/>
      <c r="H2788" s="83"/>
      <c r="I2788" s="82"/>
      <c r="J2788" s="83"/>
      <c r="K2788" s="82"/>
      <c r="L2788" s="81"/>
      <c r="M2788" s="82"/>
      <c r="N2788" s="81"/>
      <c r="O2788" s="82"/>
      <c r="P2788" s="81"/>
      <c r="Q2788" s="82"/>
      <c r="R2788" s="80"/>
      <c r="S2788" s="80"/>
      <c r="AB2788"/>
      <c r="AC2788"/>
    </row>
    <row r="2789" spans="1:29" x14ac:dyDescent="0.25">
      <c r="A2789" t="str">
        <f t="shared" si="44"/>
        <v/>
      </c>
      <c r="B2789" s="80"/>
      <c r="C2789" s="80"/>
      <c r="D2789" s="80"/>
      <c r="E2789" s="80"/>
      <c r="F2789" s="80"/>
      <c r="G2789" s="81"/>
      <c r="H2789" s="83"/>
      <c r="I2789" s="82"/>
      <c r="J2789" s="83"/>
      <c r="K2789" s="82"/>
      <c r="L2789" s="81"/>
      <c r="M2789" s="82"/>
      <c r="N2789" s="81"/>
      <c r="O2789" s="82"/>
      <c r="P2789" s="81"/>
      <c r="Q2789" s="82"/>
      <c r="R2789" s="80"/>
      <c r="S2789" s="80"/>
      <c r="AB2789"/>
      <c r="AC2789"/>
    </row>
    <row r="2790" spans="1:29" x14ac:dyDescent="0.25">
      <c r="A2790" t="str">
        <f t="shared" si="44"/>
        <v/>
      </c>
      <c r="B2790" s="80"/>
      <c r="C2790" s="80"/>
      <c r="D2790" s="80"/>
      <c r="E2790" s="80"/>
      <c r="F2790" s="80"/>
      <c r="G2790" s="81"/>
      <c r="H2790" s="83"/>
      <c r="I2790" s="82"/>
      <c r="J2790" s="83"/>
      <c r="K2790" s="82"/>
      <c r="L2790" s="81"/>
      <c r="M2790" s="82"/>
      <c r="N2790" s="81"/>
      <c r="O2790" s="82"/>
      <c r="P2790" s="81"/>
      <c r="Q2790" s="82"/>
      <c r="R2790" s="80"/>
      <c r="S2790" s="80"/>
      <c r="AB2790"/>
      <c r="AC2790"/>
    </row>
    <row r="2791" spans="1:29" x14ac:dyDescent="0.25">
      <c r="A2791" t="str">
        <f t="shared" si="44"/>
        <v/>
      </c>
      <c r="B2791" s="80"/>
      <c r="C2791" s="80"/>
      <c r="D2791" s="80"/>
      <c r="E2791" s="80"/>
      <c r="F2791" s="80"/>
      <c r="G2791" s="81"/>
      <c r="H2791" s="83"/>
      <c r="I2791" s="82"/>
      <c r="J2791" s="83"/>
      <c r="K2791" s="82"/>
      <c r="L2791" s="81"/>
      <c r="M2791" s="82"/>
      <c r="N2791" s="81"/>
      <c r="O2791" s="82"/>
      <c r="P2791" s="81"/>
      <c r="Q2791" s="82"/>
      <c r="R2791" s="80"/>
      <c r="S2791" s="80"/>
      <c r="AB2791"/>
      <c r="AC2791"/>
    </row>
    <row r="2792" spans="1:29" x14ac:dyDescent="0.25">
      <c r="A2792" t="str">
        <f t="shared" si="44"/>
        <v/>
      </c>
      <c r="B2792" s="80"/>
      <c r="C2792" s="80"/>
      <c r="D2792" s="80"/>
      <c r="E2792" s="80"/>
      <c r="F2792" s="80"/>
      <c r="G2792" s="81"/>
      <c r="H2792" s="83"/>
      <c r="I2792" s="82"/>
      <c r="J2792" s="83"/>
      <c r="K2792" s="82"/>
      <c r="L2792" s="81"/>
      <c r="M2792" s="82"/>
      <c r="N2792" s="81"/>
      <c r="O2792" s="82"/>
      <c r="P2792" s="81"/>
      <c r="Q2792" s="82"/>
      <c r="R2792" s="80"/>
      <c r="S2792" s="80"/>
      <c r="AB2792"/>
      <c r="AC2792"/>
    </row>
    <row r="2793" spans="1:29" x14ac:dyDescent="0.25">
      <c r="A2793" t="str">
        <f t="shared" si="44"/>
        <v/>
      </c>
      <c r="B2793" s="80"/>
      <c r="C2793" s="80"/>
      <c r="D2793" s="80"/>
      <c r="E2793" s="80"/>
      <c r="F2793" s="80"/>
      <c r="G2793" s="81"/>
      <c r="H2793" s="83"/>
      <c r="I2793" s="82"/>
      <c r="J2793" s="83"/>
      <c r="K2793" s="82"/>
      <c r="L2793" s="81"/>
      <c r="M2793" s="82"/>
      <c r="N2793" s="81"/>
      <c r="O2793" s="82"/>
      <c r="P2793" s="81"/>
      <c r="Q2793" s="82"/>
      <c r="R2793" s="80"/>
      <c r="S2793" s="80"/>
      <c r="AB2793"/>
      <c r="AC2793"/>
    </row>
    <row r="2794" spans="1:29" x14ac:dyDescent="0.25">
      <c r="A2794" t="str">
        <f t="shared" si="44"/>
        <v/>
      </c>
      <c r="B2794" s="80"/>
      <c r="C2794" s="80"/>
      <c r="D2794" s="80"/>
      <c r="E2794" s="80"/>
      <c r="F2794" s="80"/>
      <c r="G2794" s="81"/>
      <c r="H2794" s="83"/>
      <c r="I2794" s="82"/>
      <c r="J2794" s="83"/>
      <c r="K2794" s="82"/>
      <c r="L2794" s="81"/>
      <c r="M2794" s="82"/>
      <c r="N2794" s="81"/>
      <c r="O2794" s="82"/>
      <c r="P2794" s="81"/>
      <c r="Q2794" s="82"/>
      <c r="R2794" s="80"/>
      <c r="S2794" s="80"/>
      <c r="AB2794"/>
      <c r="AC2794"/>
    </row>
    <row r="2795" spans="1:29" x14ac:dyDescent="0.25">
      <c r="A2795" t="str">
        <f t="shared" si="44"/>
        <v/>
      </c>
      <c r="B2795" s="80"/>
      <c r="C2795" s="80"/>
      <c r="D2795" s="80"/>
      <c r="E2795" s="80"/>
      <c r="F2795" s="80"/>
      <c r="G2795" s="81"/>
      <c r="H2795" s="83"/>
      <c r="I2795" s="82"/>
      <c r="J2795" s="83"/>
      <c r="K2795" s="82"/>
      <c r="L2795" s="81"/>
      <c r="M2795" s="82"/>
      <c r="N2795" s="81"/>
      <c r="O2795" s="82"/>
      <c r="P2795" s="81"/>
      <c r="Q2795" s="82"/>
      <c r="R2795" s="80"/>
      <c r="S2795" s="80"/>
      <c r="AB2795"/>
      <c r="AC2795"/>
    </row>
    <row r="2796" spans="1:29" x14ac:dyDescent="0.25">
      <c r="A2796" t="str">
        <f t="shared" si="44"/>
        <v/>
      </c>
      <c r="B2796" s="80"/>
      <c r="C2796" s="80"/>
      <c r="D2796" s="80"/>
      <c r="E2796" s="80"/>
      <c r="F2796" s="80"/>
      <c r="G2796" s="81"/>
      <c r="H2796" s="83"/>
      <c r="I2796" s="82"/>
      <c r="J2796" s="83"/>
      <c r="K2796" s="82"/>
      <c r="L2796" s="81"/>
      <c r="M2796" s="82"/>
      <c r="N2796" s="81"/>
      <c r="O2796" s="82"/>
      <c r="P2796" s="81"/>
      <c r="Q2796" s="82"/>
      <c r="R2796" s="80"/>
      <c r="S2796" s="80"/>
      <c r="AB2796"/>
      <c r="AC2796"/>
    </row>
    <row r="2797" spans="1:29" x14ac:dyDescent="0.25">
      <c r="A2797" t="str">
        <f t="shared" si="44"/>
        <v/>
      </c>
      <c r="B2797" s="80"/>
      <c r="C2797" s="80"/>
      <c r="D2797" s="80"/>
      <c r="E2797" s="80"/>
      <c r="F2797" s="80"/>
      <c r="G2797" s="81"/>
      <c r="H2797" s="83"/>
      <c r="I2797" s="82"/>
      <c r="J2797" s="83"/>
      <c r="K2797" s="82"/>
      <c r="L2797" s="81"/>
      <c r="M2797" s="82"/>
      <c r="N2797" s="81"/>
      <c r="O2797" s="82"/>
      <c r="P2797" s="81"/>
      <c r="Q2797" s="82"/>
      <c r="R2797" s="80"/>
      <c r="S2797" s="80"/>
      <c r="AB2797"/>
      <c r="AC2797"/>
    </row>
    <row r="2798" spans="1:29" x14ac:dyDescent="0.25">
      <c r="A2798" t="str">
        <f t="shared" si="44"/>
        <v/>
      </c>
      <c r="B2798" s="80"/>
      <c r="C2798" s="80"/>
      <c r="D2798" s="80"/>
      <c r="E2798" s="80"/>
      <c r="F2798" s="80"/>
      <c r="G2798" s="81"/>
      <c r="H2798" s="83"/>
      <c r="I2798" s="82"/>
      <c r="J2798" s="83"/>
      <c r="K2798" s="82"/>
      <c r="L2798" s="81"/>
      <c r="M2798" s="82"/>
      <c r="N2798" s="81"/>
      <c r="O2798" s="82"/>
      <c r="P2798" s="81"/>
      <c r="Q2798" s="82"/>
      <c r="R2798" s="80"/>
      <c r="S2798" s="80"/>
      <c r="AB2798"/>
      <c r="AC2798"/>
    </row>
    <row r="2799" spans="1:29" x14ac:dyDescent="0.25">
      <c r="A2799" t="str">
        <f t="shared" si="44"/>
        <v/>
      </c>
      <c r="B2799" s="80"/>
      <c r="C2799" s="80"/>
      <c r="D2799" s="80"/>
      <c r="E2799" s="80"/>
      <c r="F2799" s="80"/>
      <c r="G2799" s="81"/>
      <c r="H2799" s="83"/>
      <c r="I2799" s="82"/>
      <c r="J2799" s="83"/>
      <c r="K2799" s="82"/>
      <c r="L2799" s="81"/>
      <c r="M2799" s="82"/>
      <c r="N2799" s="81"/>
      <c r="O2799" s="82"/>
      <c r="P2799" s="81"/>
      <c r="Q2799" s="82"/>
      <c r="R2799" s="80"/>
      <c r="S2799" s="80"/>
      <c r="AB2799"/>
      <c r="AC2799"/>
    </row>
    <row r="2800" spans="1:29" x14ac:dyDescent="0.25">
      <c r="A2800" t="str">
        <f t="shared" si="44"/>
        <v/>
      </c>
      <c r="B2800" s="80"/>
      <c r="C2800" s="80"/>
      <c r="D2800" s="80"/>
      <c r="E2800" s="80"/>
      <c r="F2800" s="80"/>
      <c r="G2800" s="81"/>
      <c r="H2800" s="83"/>
      <c r="I2800" s="82"/>
      <c r="J2800" s="83"/>
      <c r="K2800" s="82"/>
      <c r="L2800" s="81"/>
      <c r="M2800" s="82"/>
      <c r="N2800" s="81"/>
      <c r="O2800" s="82"/>
      <c r="P2800" s="81"/>
      <c r="Q2800" s="82"/>
      <c r="R2800" s="80"/>
      <c r="S2800" s="80"/>
      <c r="AB2800"/>
      <c r="AC2800"/>
    </row>
    <row r="2801" spans="1:29" x14ac:dyDescent="0.25">
      <c r="A2801" t="str">
        <f t="shared" si="44"/>
        <v/>
      </c>
      <c r="B2801" s="80"/>
      <c r="C2801" s="80"/>
      <c r="D2801" s="80"/>
      <c r="E2801" s="80"/>
      <c r="F2801" s="80"/>
      <c r="G2801" s="81"/>
      <c r="H2801" s="83"/>
      <c r="I2801" s="82"/>
      <c r="J2801" s="83"/>
      <c r="K2801" s="82"/>
      <c r="L2801" s="81"/>
      <c r="M2801" s="82"/>
      <c r="N2801" s="81"/>
      <c r="O2801" s="82"/>
      <c r="P2801" s="81"/>
      <c r="Q2801" s="82"/>
      <c r="R2801" s="80"/>
      <c r="S2801" s="80"/>
      <c r="AB2801"/>
      <c r="AC2801"/>
    </row>
    <row r="2802" spans="1:29" x14ac:dyDescent="0.25">
      <c r="A2802" t="str">
        <f t="shared" si="44"/>
        <v/>
      </c>
      <c r="B2802" s="80"/>
      <c r="C2802" s="80"/>
      <c r="D2802" s="80"/>
      <c r="E2802" s="80"/>
      <c r="F2802" s="80"/>
      <c r="G2802" s="81"/>
      <c r="H2802" s="83"/>
      <c r="I2802" s="82"/>
      <c r="J2802" s="83"/>
      <c r="K2802" s="82"/>
      <c r="L2802" s="81"/>
      <c r="M2802" s="82"/>
      <c r="N2802" s="81"/>
      <c r="O2802" s="82"/>
      <c r="P2802" s="81"/>
      <c r="Q2802" s="82"/>
      <c r="R2802" s="80"/>
      <c r="S2802" s="80"/>
      <c r="AB2802"/>
      <c r="AC2802"/>
    </row>
    <row r="2803" spans="1:29" x14ac:dyDescent="0.25">
      <c r="A2803" t="str">
        <f t="shared" si="44"/>
        <v/>
      </c>
      <c r="B2803" s="80"/>
      <c r="C2803" s="80"/>
      <c r="D2803" s="80"/>
      <c r="E2803" s="80"/>
      <c r="F2803" s="80"/>
      <c r="G2803" s="81"/>
      <c r="H2803" s="83"/>
      <c r="I2803" s="82"/>
      <c r="J2803" s="83"/>
      <c r="K2803" s="82"/>
      <c r="L2803" s="81"/>
      <c r="M2803" s="82"/>
      <c r="N2803" s="81"/>
      <c r="O2803" s="82"/>
      <c r="P2803" s="81"/>
      <c r="Q2803" s="82"/>
      <c r="R2803" s="80"/>
      <c r="S2803" s="80"/>
      <c r="AB2803"/>
      <c r="AC2803"/>
    </row>
    <row r="2804" spans="1:29" x14ac:dyDescent="0.25">
      <c r="A2804" t="str">
        <f t="shared" si="44"/>
        <v/>
      </c>
      <c r="B2804" s="80"/>
      <c r="C2804" s="80"/>
      <c r="D2804" s="80"/>
      <c r="E2804" s="80"/>
      <c r="F2804" s="80"/>
      <c r="G2804" s="81"/>
      <c r="H2804" s="83"/>
      <c r="I2804" s="82"/>
      <c r="J2804" s="83"/>
      <c r="K2804" s="82"/>
      <c r="L2804" s="81"/>
      <c r="M2804" s="82"/>
      <c r="N2804" s="81"/>
      <c r="O2804" s="82"/>
      <c r="P2804" s="81"/>
      <c r="Q2804" s="82"/>
      <c r="R2804" s="80"/>
      <c r="S2804" s="80"/>
      <c r="AB2804"/>
      <c r="AC2804"/>
    </row>
    <row r="2805" spans="1:29" x14ac:dyDescent="0.25">
      <c r="A2805" t="str">
        <f t="shared" si="44"/>
        <v/>
      </c>
      <c r="B2805" s="80"/>
      <c r="C2805" s="80"/>
      <c r="D2805" s="80"/>
      <c r="E2805" s="80"/>
      <c r="F2805" s="80"/>
      <c r="G2805" s="81"/>
      <c r="H2805" s="83"/>
      <c r="I2805" s="82"/>
      <c r="J2805" s="83"/>
      <c r="K2805" s="82"/>
      <c r="L2805" s="81"/>
      <c r="M2805" s="82"/>
      <c r="N2805" s="81"/>
      <c r="O2805" s="82"/>
      <c r="P2805" s="81"/>
      <c r="Q2805" s="82"/>
      <c r="R2805" s="80"/>
      <c r="S2805" s="80"/>
      <c r="AB2805"/>
      <c r="AC2805"/>
    </row>
    <row r="2806" spans="1:29" x14ac:dyDescent="0.25">
      <c r="A2806" t="str">
        <f t="shared" si="44"/>
        <v/>
      </c>
      <c r="B2806" s="80"/>
      <c r="C2806" s="80"/>
      <c r="D2806" s="80"/>
      <c r="E2806" s="80"/>
      <c r="F2806" s="80"/>
      <c r="G2806" s="81"/>
      <c r="H2806" s="83"/>
      <c r="I2806" s="82"/>
      <c r="J2806" s="83"/>
      <c r="K2806" s="82"/>
      <c r="L2806" s="81"/>
      <c r="M2806" s="82"/>
      <c r="N2806" s="81"/>
      <c r="O2806" s="82"/>
      <c r="P2806" s="81"/>
      <c r="Q2806" s="82"/>
      <c r="R2806" s="80"/>
      <c r="S2806" s="80"/>
      <c r="AB2806"/>
      <c r="AC2806"/>
    </row>
    <row r="2807" spans="1:29" x14ac:dyDescent="0.25">
      <c r="A2807" t="str">
        <f t="shared" si="44"/>
        <v/>
      </c>
      <c r="B2807" s="80"/>
      <c r="C2807" s="80"/>
      <c r="D2807" s="80"/>
      <c r="E2807" s="80"/>
      <c r="F2807" s="80"/>
      <c r="G2807" s="81"/>
      <c r="H2807" s="83"/>
      <c r="I2807" s="82"/>
      <c r="J2807" s="83"/>
      <c r="K2807" s="82"/>
      <c r="L2807" s="81"/>
      <c r="M2807" s="82"/>
      <c r="N2807" s="81"/>
      <c r="O2807" s="82"/>
      <c r="P2807" s="81"/>
      <c r="Q2807" s="82"/>
      <c r="R2807" s="80"/>
      <c r="S2807" s="80"/>
      <c r="AB2807"/>
      <c r="AC2807"/>
    </row>
    <row r="2808" spans="1:29" x14ac:dyDescent="0.25">
      <c r="A2808" t="str">
        <f t="shared" si="44"/>
        <v/>
      </c>
      <c r="B2808" s="80"/>
      <c r="C2808" s="80"/>
      <c r="D2808" s="80"/>
      <c r="E2808" s="80"/>
      <c r="F2808" s="80"/>
      <c r="G2808" s="81"/>
      <c r="H2808" s="83"/>
      <c r="I2808" s="82"/>
      <c r="J2808" s="83"/>
      <c r="K2808" s="82"/>
      <c r="L2808" s="81"/>
      <c r="M2808" s="82"/>
      <c r="N2808" s="81"/>
      <c r="O2808" s="82"/>
      <c r="P2808" s="81"/>
      <c r="Q2808" s="82"/>
      <c r="R2808" s="80"/>
      <c r="S2808" s="80"/>
      <c r="AB2808"/>
      <c r="AC2808"/>
    </row>
    <row r="2809" spans="1:29" x14ac:dyDescent="0.25">
      <c r="A2809" t="str">
        <f t="shared" si="44"/>
        <v/>
      </c>
      <c r="B2809" s="80"/>
      <c r="C2809" s="80"/>
      <c r="D2809" s="80"/>
      <c r="E2809" s="80"/>
      <c r="F2809" s="80"/>
      <c r="G2809" s="81"/>
      <c r="H2809" s="83"/>
      <c r="I2809" s="82"/>
      <c r="J2809" s="83"/>
      <c r="K2809" s="82"/>
      <c r="L2809" s="81"/>
      <c r="M2809" s="82"/>
      <c r="N2809" s="81"/>
      <c r="O2809" s="82"/>
      <c r="P2809" s="81"/>
      <c r="Q2809" s="82"/>
      <c r="R2809" s="80"/>
      <c r="S2809" s="80"/>
      <c r="AB2809"/>
      <c r="AC2809"/>
    </row>
    <row r="2810" spans="1:29" x14ac:dyDescent="0.25">
      <c r="A2810" t="str">
        <f t="shared" si="44"/>
        <v/>
      </c>
      <c r="B2810" s="80"/>
      <c r="C2810" s="80"/>
      <c r="D2810" s="80"/>
      <c r="E2810" s="80"/>
      <c r="F2810" s="80"/>
      <c r="G2810" s="81"/>
      <c r="H2810" s="83"/>
      <c r="I2810" s="82"/>
      <c r="J2810" s="83"/>
      <c r="K2810" s="82"/>
      <c r="L2810" s="81"/>
      <c r="M2810" s="82"/>
      <c r="N2810" s="81"/>
      <c r="O2810" s="82"/>
      <c r="P2810" s="81"/>
      <c r="Q2810" s="82"/>
      <c r="R2810" s="80"/>
      <c r="S2810" s="80"/>
      <c r="AB2810"/>
      <c r="AC2810"/>
    </row>
    <row r="2811" spans="1:29" x14ac:dyDescent="0.25">
      <c r="A2811" t="str">
        <f t="shared" si="44"/>
        <v/>
      </c>
      <c r="B2811" s="80"/>
      <c r="C2811" s="80"/>
      <c r="D2811" s="80"/>
      <c r="E2811" s="80"/>
      <c r="F2811" s="80"/>
      <c r="G2811" s="81"/>
      <c r="H2811" s="83"/>
      <c r="I2811" s="82"/>
      <c r="J2811" s="83"/>
      <c r="K2811" s="82"/>
      <c r="L2811" s="81"/>
      <c r="M2811" s="82"/>
      <c r="N2811" s="81"/>
      <c r="O2811" s="82"/>
      <c r="P2811" s="81"/>
      <c r="Q2811" s="82"/>
      <c r="R2811" s="80"/>
      <c r="S2811" s="80"/>
      <c r="AB2811"/>
      <c r="AC2811"/>
    </row>
    <row r="2812" spans="1:29" x14ac:dyDescent="0.25">
      <c r="A2812" t="str">
        <f t="shared" si="44"/>
        <v/>
      </c>
      <c r="B2812" s="80"/>
      <c r="C2812" s="80"/>
      <c r="D2812" s="80"/>
      <c r="E2812" s="80"/>
      <c r="F2812" s="80"/>
      <c r="G2812" s="81"/>
      <c r="H2812" s="83"/>
      <c r="I2812" s="82"/>
      <c r="J2812" s="83"/>
      <c r="K2812" s="82"/>
      <c r="L2812" s="81"/>
      <c r="M2812" s="82"/>
      <c r="N2812" s="81"/>
      <c r="O2812" s="82"/>
      <c r="P2812" s="81"/>
      <c r="Q2812" s="82"/>
      <c r="R2812" s="80"/>
      <c r="S2812" s="80"/>
      <c r="AB2812"/>
      <c r="AC2812"/>
    </row>
    <row r="2813" spans="1:29" x14ac:dyDescent="0.25">
      <c r="A2813" t="str">
        <f t="shared" si="44"/>
        <v/>
      </c>
      <c r="B2813" s="80"/>
      <c r="C2813" s="80"/>
      <c r="D2813" s="80"/>
      <c r="E2813" s="80"/>
      <c r="F2813" s="80"/>
      <c r="G2813" s="81"/>
      <c r="H2813" s="83"/>
      <c r="I2813" s="82"/>
      <c r="J2813" s="83"/>
      <c r="K2813" s="82"/>
      <c r="L2813" s="81"/>
      <c r="M2813" s="82"/>
      <c r="N2813" s="81"/>
      <c r="O2813" s="82"/>
      <c r="P2813" s="81"/>
      <c r="Q2813" s="82"/>
      <c r="R2813" s="80"/>
      <c r="S2813" s="80"/>
      <c r="AB2813"/>
      <c r="AC2813"/>
    </row>
    <row r="2814" spans="1:29" x14ac:dyDescent="0.25">
      <c r="A2814" t="str">
        <f t="shared" si="44"/>
        <v/>
      </c>
      <c r="B2814" s="80"/>
      <c r="C2814" s="80"/>
      <c r="D2814" s="80"/>
      <c r="E2814" s="80"/>
      <c r="F2814" s="80"/>
      <c r="G2814" s="81"/>
      <c r="H2814" s="83"/>
      <c r="I2814" s="82"/>
      <c r="J2814" s="83"/>
      <c r="K2814" s="82"/>
      <c r="L2814" s="81"/>
      <c r="M2814" s="82"/>
      <c r="N2814" s="81"/>
      <c r="O2814" s="82"/>
      <c r="P2814" s="81"/>
      <c r="Q2814" s="82"/>
      <c r="R2814" s="80"/>
      <c r="S2814" s="80"/>
      <c r="AB2814"/>
      <c r="AC2814"/>
    </row>
    <row r="2815" spans="1:29" x14ac:dyDescent="0.25">
      <c r="A2815" t="str">
        <f t="shared" si="44"/>
        <v/>
      </c>
      <c r="B2815" s="80"/>
      <c r="C2815" s="80"/>
      <c r="D2815" s="80"/>
      <c r="E2815" s="80"/>
      <c r="F2815" s="80"/>
      <c r="G2815" s="81"/>
      <c r="H2815" s="83"/>
      <c r="I2815" s="82"/>
      <c r="J2815" s="83"/>
      <c r="K2815" s="82"/>
      <c r="L2815" s="81"/>
      <c r="M2815" s="82"/>
      <c r="N2815" s="81"/>
      <c r="O2815" s="82"/>
      <c r="P2815" s="81"/>
      <c r="Q2815" s="82"/>
      <c r="R2815" s="80"/>
      <c r="S2815" s="80"/>
      <c r="AB2815"/>
      <c r="AC2815"/>
    </row>
    <row r="2816" spans="1:29" x14ac:dyDescent="0.25">
      <c r="A2816" t="str">
        <f t="shared" si="44"/>
        <v/>
      </c>
      <c r="B2816" s="80"/>
      <c r="C2816" s="80"/>
      <c r="D2816" s="80"/>
      <c r="E2816" s="80"/>
      <c r="F2816" s="80"/>
      <c r="G2816" s="81"/>
      <c r="H2816" s="83"/>
      <c r="I2816" s="82"/>
      <c r="J2816" s="83"/>
      <c r="K2816" s="82"/>
      <c r="L2816" s="81"/>
      <c r="M2816" s="82"/>
      <c r="N2816" s="81"/>
      <c r="O2816" s="82"/>
      <c r="P2816" s="81"/>
      <c r="Q2816" s="82"/>
      <c r="R2816" s="80"/>
      <c r="S2816" s="80"/>
      <c r="AB2816"/>
      <c r="AC2816"/>
    </row>
    <row r="2817" spans="1:29" x14ac:dyDescent="0.25">
      <c r="A2817" t="str">
        <f t="shared" si="44"/>
        <v/>
      </c>
      <c r="B2817" s="80"/>
      <c r="C2817" s="80"/>
      <c r="D2817" s="80"/>
      <c r="E2817" s="80"/>
      <c r="F2817" s="80"/>
      <c r="G2817" s="81"/>
      <c r="H2817" s="83"/>
      <c r="I2817" s="82"/>
      <c r="J2817" s="83"/>
      <c r="K2817" s="82"/>
      <c r="L2817" s="81"/>
      <c r="M2817" s="82"/>
      <c r="N2817" s="81"/>
      <c r="O2817" s="82"/>
      <c r="P2817" s="81"/>
      <c r="Q2817" s="82"/>
      <c r="R2817" s="80"/>
      <c r="S2817" s="80"/>
      <c r="AB2817"/>
      <c r="AC2817"/>
    </row>
    <row r="2818" spans="1:29" x14ac:dyDescent="0.25">
      <c r="A2818" t="str">
        <f t="shared" si="44"/>
        <v/>
      </c>
      <c r="B2818" s="80"/>
      <c r="C2818" s="80"/>
      <c r="D2818" s="80"/>
      <c r="E2818" s="80"/>
      <c r="F2818" s="80"/>
      <c r="G2818" s="81"/>
      <c r="H2818" s="83"/>
      <c r="I2818" s="82"/>
      <c r="J2818" s="83"/>
      <c r="K2818" s="82"/>
      <c r="L2818" s="81"/>
      <c r="M2818" s="82"/>
      <c r="N2818" s="81"/>
      <c r="O2818" s="82"/>
      <c r="P2818" s="81"/>
      <c r="Q2818" s="82"/>
      <c r="R2818" s="80"/>
      <c r="S2818" s="80"/>
      <c r="AB2818"/>
      <c r="AC2818"/>
    </row>
    <row r="2819" spans="1:29" x14ac:dyDescent="0.25">
      <c r="A2819" t="str">
        <f t="shared" si="44"/>
        <v/>
      </c>
      <c r="B2819" s="80"/>
      <c r="C2819" s="80"/>
      <c r="D2819" s="80"/>
      <c r="E2819" s="80"/>
      <c r="F2819" s="80"/>
      <c r="G2819" s="81"/>
      <c r="H2819" s="83"/>
      <c r="I2819" s="82"/>
      <c r="J2819" s="83"/>
      <c r="K2819" s="82"/>
      <c r="L2819" s="81"/>
      <c r="M2819" s="82"/>
      <c r="N2819" s="81"/>
      <c r="O2819" s="82"/>
      <c r="P2819" s="81"/>
      <c r="Q2819" s="82"/>
      <c r="R2819" s="80"/>
      <c r="S2819" s="80"/>
      <c r="AB2819"/>
      <c r="AC2819"/>
    </row>
    <row r="2820" spans="1:29" x14ac:dyDescent="0.25">
      <c r="A2820" t="str">
        <f t="shared" si="44"/>
        <v/>
      </c>
      <c r="B2820" s="80"/>
      <c r="C2820" s="80"/>
      <c r="D2820" s="80"/>
      <c r="E2820" s="80"/>
      <c r="F2820" s="80"/>
      <c r="G2820" s="81"/>
      <c r="H2820" s="83"/>
      <c r="I2820" s="82"/>
      <c r="J2820" s="83"/>
      <c r="K2820" s="82"/>
      <c r="L2820" s="81"/>
      <c r="M2820" s="82"/>
      <c r="N2820" s="81"/>
      <c r="O2820" s="82"/>
      <c r="P2820" s="81"/>
      <c r="Q2820" s="82"/>
      <c r="R2820" s="80"/>
      <c r="S2820" s="80"/>
      <c r="AB2820"/>
      <c r="AC2820"/>
    </row>
    <row r="2821" spans="1:29" x14ac:dyDescent="0.25">
      <c r="A2821" t="str">
        <f t="shared" si="44"/>
        <v/>
      </c>
      <c r="B2821" s="80"/>
      <c r="C2821" s="80"/>
      <c r="D2821" s="80"/>
      <c r="E2821" s="80"/>
      <c r="F2821" s="80"/>
      <c r="G2821" s="81"/>
      <c r="H2821" s="83"/>
      <c r="I2821" s="82"/>
      <c r="J2821" s="83"/>
      <c r="K2821" s="82"/>
      <c r="L2821" s="81"/>
      <c r="M2821" s="82"/>
      <c r="N2821" s="81"/>
      <c r="O2821" s="82"/>
      <c r="P2821" s="81"/>
      <c r="Q2821" s="82"/>
      <c r="R2821" s="80"/>
      <c r="S2821" s="80"/>
      <c r="AB2821"/>
      <c r="AC2821"/>
    </row>
    <row r="2822" spans="1:29" x14ac:dyDescent="0.25">
      <c r="A2822" t="str">
        <f t="shared" si="44"/>
        <v/>
      </c>
      <c r="B2822" s="80"/>
      <c r="C2822" s="80"/>
      <c r="D2822" s="80"/>
      <c r="E2822" s="80"/>
      <c r="F2822" s="80"/>
      <c r="G2822" s="81"/>
      <c r="H2822" s="83"/>
      <c r="I2822" s="82"/>
      <c r="J2822" s="83"/>
      <c r="K2822" s="82"/>
      <c r="L2822" s="81"/>
      <c r="M2822" s="82"/>
      <c r="N2822" s="81"/>
      <c r="O2822" s="82"/>
      <c r="P2822" s="81"/>
      <c r="Q2822" s="82"/>
      <c r="R2822" s="80"/>
      <c r="S2822" s="80"/>
      <c r="AB2822"/>
      <c r="AC2822"/>
    </row>
    <row r="2823" spans="1:29" x14ac:dyDescent="0.25">
      <c r="A2823" t="str">
        <f t="shared" ref="A2823:A2886" si="45">B2821&amp;D2821</f>
        <v/>
      </c>
      <c r="B2823" s="80"/>
      <c r="C2823" s="80"/>
      <c r="D2823" s="80"/>
      <c r="E2823" s="80"/>
      <c r="F2823" s="80"/>
      <c r="G2823" s="81"/>
      <c r="H2823" s="83"/>
      <c r="I2823" s="82"/>
      <c r="J2823" s="83"/>
      <c r="K2823" s="82"/>
      <c r="L2823" s="81"/>
      <c r="M2823" s="82"/>
      <c r="N2823" s="81"/>
      <c r="O2823" s="82"/>
      <c r="P2823" s="81"/>
      <c r="Q2823" s="82"/>
      <c r="R2823" s="80"/>
      <c r="S2823" s="80"/>
      <c r="AB2823"/>
      <c r="AC2823"/>
    </row>
    <row r="2824" spans="1:29" x14ac:dyDescent="0.25">
      <c r="A2824" t="str">
        <f t="shared" si="45"/>
        <v/>
      </c>
      <c r="B2824" s="80"/>
      <c r="C2824" s="80"/>
      <c r="D2824" s="80"/>
      <c r="E2824" s="80"/>
      <c r="F2824" s="80"/>
      <c r="G2824" s="81"/>
      <c r="H2824" s="83"/>
      <c r="I2824" s="82"/>
      <c r="J2824" s="83"/>
      <c r="K2824" s="82"/>
      <c r="L2824" s="81"/>
      <c r="M2824" s="82"/>
      <c r="N2824" s="81"/>
      <c r="O2824" s="82"/>
      <c r="P2824" s="81"/>
      <c r="Q2824" s="82"/>
      <c r="R2824" s="80"/>
      <c r="S2824" s="80"/>
      <c r="AB2824"/>
      <c r="AC2824"/>
    </row>
    <row r="2825" spans="1:29" x14ac:dyDescent="0.25">
      <c r="A2825" t="str">
        <f t="shared" si="45"/>
        <v/>
      </c>
      <c r="B2825" s="80"/>
      <c r="C2825" s="80"/>
      <c r="D2825" s="80"/>
      <c r="E2825" s="80"/>
      <c r="F2825" s="80"/>
      <c r="G2825" s="81"/>
      <c r="H2825" s="83"/>
      <c r="I2825" s="82"/>
      <c r="J2825" s="83"/>
      <c r="K2825" s="82"/>
      <c r="L2825" s="81"/>
      <c r="M2825" s="82"/>
      <c r="N2825" s="81"/>
      <c r="O2825" s="82"/>
      <c r="P2825" s="81"/>
      <c r="Q2825" s="82"/>
      <c r="R2825" s="80"/>
      <c r="S2825" s="80"/>
      <c r="AB2825"/>
      <c r="AC2825"/>
    </row>
    <row r="2826" spans="1:29" x14ac:dyDescent="0.25">
      <c r="A2826" t="str">
        <f t="shared" si="45"/>
        <v/>
      </c>
      <c r="B2826" s="80"/>
      <c r="C2826" s="80"/>
      <c r="D2826" s="80"/>
      <c r="E2826" s="80"/>
      <c r="F2826" s="80"/>
      <c r="G2826" s="81"/>
      <c r="H2826" s="83"/>
      <c r="I2826" s="82"/>
      <c r="J2826" s="83"/>
      <c r="K2826" s="82"/>
      <c r="L2826" s="81"/>
      <c r="M2826" s="82"/>
      <c r="N2826" s="81"/>
      <c r="O2826" s="82"/>
      <c r="P2826" s="81"/>
      <c r="Q2826" s="82"/>
      <c r="R2826" s="80"/>
      <c r="S2826" s="80"/>
      <c r="AB2826"/>
      <c r="AC2826"/>
    </row>
    <row r="2827" spans="1:29" x14ac:dyDescent="0.25">
      <c r="A2827" t="str">
        <f t="shared" si="45"/>
        <v/>
      </c>
      <c r="B2827" s="80"/>
      <c r="C2827" s="80"/>
      <c r="D2827" s="80"/>
      <c r="E2827" s="80"/>
      <c r="F2827" s="80"/>
      <c r="G2827" s="81"/>
      <c r="H2827" s="83"/>
      <c r="I2827" s="82"/>
      <c r="J2827" s="83"/>
      <c r="K2827" s="82"/>
      <c r="L2827" s="81"/>
      <c r="M2827" s="82"/>
      <c r="N2827" s="81"/>
      <c r="O2827" s="82"/>
      <c r="P2827" s="81"/>
      <c r="Q2827" s="82"/>
      <c r="R2827" s="80"/>
      <c r="S2827" s="80"/>
      <c r="AB2827"/>
      <c r="AC2827"/>
    </row>
    <row r="2828" spans="1:29" x14ac:dyDescent="0.25">
      <c r="A2828" t="str">
        <f t="shared" si="45"/>
        <v/>
      </c>
      <c r="B2828" s="80"/>
      <c r="C2828" s="80"/>
      <c r="D2828" s="80"/>
      <c r="E2828" s="80"/>
      <c r="F2828" s="80"/>
      <c r="G2828" s="81"/>
      <c r="H2828" s="83"/>
      <c r="I2828" s="82"/>
      <c r="J2828" s="83"/>
      <c r="K2828" s="82"/>
      <c r="L2828" s="81"/>
      <c r="M2828" s="82"/>
      <c r="N2828" s="81"/>
      <c r="O2828" s="82"/>
      <c r="P2828" s="81"/>
      <c r="Q2828" s="82"/>
      <c r="R2828" s="80"/>
      <c r="S2828" s="80"/>
      <c r="AB2828"/>
      <c r="AC2828"/>
    </row>
    <row r="2829" spans="1:29" x14ac:dyDescent="0.25">
      <c r="A2829" t="str">
        <f t="shared" si="45"/>
        <v/>
      </c>
      <c r="B2829" s="80"/>
      <c r="C2829" s="80"/>
      <c r="D2829" s="80"/>
      <c r="E2829" s="80"/>
      <c r="F2829" s="80"/>
      <c r="G2829" s="81"/>
      <c r="H2829" s="83"/>
      <c r="I2829" s="82"/>
      <c r="J2829" s="83"/>
      <c r="K2829" s="82"/>
      <c r="L2829" s="81"/>
      <c r="M2829" s="82"/>
      <c r="N2829" s="81"/>
      <c r="O2829" s="82"/>
      <c r="P2829" s="81"/>
      <c r="Q2829" s="82"/>
      <c r="R2829" s="80"/>
      <c r="S2829" s="80"/>
      <c r="AB2829"/>
      <c r="AC2829"/>
    </row>
    <row r="2830" spans="1:29" x14ac:dyDescent="0.25">
      <c r="A2830" t="str">
        <f t="shared" si="45"/>
        <v/>
      </c>
      <c r="B2830" s="80"/>
      <c r="C2830" s="80"/>
      <c r="D2830" s="80"/>
      <c r="E2830" s="80"/>
      <c r="F2830" s="80"/>
      <c r="G2830" s="81"/>
      <c r="H2830" s="83"/>
      <c r="I2830" s="82"/>
      <c r="J2830" s="83"/>
      <c r="K2830" s="82"/>
      <c r="L2830" s="81"/>
      <c r="M2830" s="82"/>
      <c r="N2830" s="81"/>
      <c r="O2830" s="82"/>
      <c r="P2830" s="81"/>
      <c r="Q2830" s="82"/>
      <c r="R2830" s="80"/>
      <c r="S2830" s="80"/>
      <c r="AB2830"/>
      <c r="AC2830"/>
    </row>
    <row r="2831" spans="1:29" x14ac:dyDescent="0.25">
      <c r="A2831" t="str">
        <f t="shared" si="45"/>
        <v/>
      </c>
      <c r="B2831" s="80"/>
      <c r="C2831" s="80"/>
      <c r="D2831" s="80"/>
      <c r="E2831" s="80"/>
      <c r="F2831" s="80"/>
      <c r="G2831" s="81"/>
      <c r="H2831" s="83"/>
      <c r="I2831" s="82"/>
      <c r="J2831" s="83"/>
      <c r="K2831" s="82"/>
      <c r="L2831" s="81"/>
      <c r="M2831" s="82"/>
      <c r="N2831" s="81"/>
      <c r="O2831" s="82"/>
      <c r="P2831" s="81"/>
      <c r="Q2831" s="82"/>
      <c r="R2831" s="80"/>
      <c r="S2831" s="80"/>
      <c r="AB2831"/>
      <c r="AC2831"/>
    </row>
    <row r="2832" spans="1:29" x14ac:dyDescent="0.25">
      <c r="A2832" t="str">
        <f t="shared" si="45"/>
        <v/>
      </c>
      <c r="B2832" s="80"/>
      <c r="C2832" s="80"/>
      <c r="D2832" s="80"/>
      <c r="E2832" s="80"/>
      <c r="F2832" s="80"/>
      <c r="G2832" s="81"/>
      <c r="H2832" s="83"/>
      <c r="I2832" s="82"/>
      <c r="J2832" s="83"/>
      <c r="K2832" s="82"/>
      <c r="L2832" s="81"/>
      <c r="M2832" s="82"/>
      <c r="N2832" s="81"/>
      <c r="O2832" s="82"/>
      <c r="P2832" s="81"/>
      <c r="Q2832" s="82"/>
      <c r="R2832" s="80"/>
      <c r="S2832" s="80"/>
      <c r="AB2832"/>
      <c r="AC2832"/>
    </row>
    <row r="2833" spans="1:29" x14ac:dyDescent="0.25">
      <c r="A2833" t="str">
        <f t="shared" si="45"/>
        <v/>
      </c>
      <c r="B2833" s="80"/>
      <c r="C2833" s="80"/>
      <c r="D2833" s="80"/>
      <c r="E2833" s="80"/>
      <c r="F2833" s="80"/>
      <c r="G2833" s="81"/>
      <c r="H2833" s="83"/>
      <c r="I2833" s="82"/>
      <c r="J2833" s="83"/>
      <c r="K2833" s="82"/>
      <c r="L2833" s="81"/>
      <c r="M2833" s="82"/>
      <c r="N2833" s="81"/>
      <c r="O2833" s="82"/>
      <c r="P2833" s="81"/>
      <c r="Q2833" s="82"/>
      <c r="R2833" s="80"/>
      <c r="S2833" s="80"/>
      <c r="AB2833"/>
      <c r="AC2833"/>
    </row>
    <row r="2834" spans="1:29" x14ac:dyDescent="0.25">
      <c r="A2834" t="str">
        <f t="shared" si="45"/>
        <v/>
      </c>
      <c r="B2834" s="80"/>
      <c r="C2834" s="80"/>
      <c r="D2834" s="80"/>
      <c r="E2834" s="80"/>
      <c r="F2834" s="80"/>
      <c r="G2834" s="81"/>
      <c r="H2834" s="83"/>
      <c r="I2834" s="82"/>
      <c r="J2834" s="83"/>
      <c r="K2834" s="82"/>
      <c r="L2834" s="81"/>
      <c r="M2834" s="82"/>
      <c r="N2834" s="81"/>
      <c r="O2834" s="82"/>
      <c r="P2834" s="81"/>
      <c r="Q2834" s="82"/>
      <c r="R2834" s="80"/>
      <c r="S2834" s="80"/>
      <c r="AB2834"/>
      <c r="AC2834"/>
    </row>
    <row r="2835" spans="1:29" x14ac:dyDescent="0.25">
      <c r="A2835" t="str">
        <f t="shared" si="45"/>
        <v/>
      </c>
      <c r="B2835" s="80"/>
      <c r="C2835" s="80"/>
      <c r="D2835" s="80"/>
      <c r="E2835" s="80"/>
      <c r="F2835" s="80"/>
      <c r="G2835" s="81"/>
      <c r="H2835" s="83"/>
      <c r="I2835" s="82"/>
      <c r="J2835" s="83"/>
      <c r="K2835" s="82"/>
      <c r="L2835" s="81"/>
      <c r="M2835" s="82"/>
      <c r="N2835" s="81"/>
      <c r="O2835" s="82"/>
      <c r="P2835" s="81"/>
      <c r="Q2835" s="82"/>
      <c r="R2835" s="80"/>
      <c r="S2835" s="80"/>
      <c r="AB2835"/>
      <c r="AC2835"/>
    </row>
    <row r="2836" spans="1:29" x14ac:dyDescent="0.25">
      <c r="A2836" t="str">
        <f t="shared" si="45"/>
        <v/>
      </c>
      <c r="B2836" s="80"/>
      <c r="C2836" s="80"/>
      <c r="D2836" s="80"/>
      <c r="E2836" s="80"/>
      <c r="F2836" s="80"/>
      <c r="G2836" s="81"/>
      <c r="H2836" s="83"/>
      <c r="I2836" s="82"/>
      <c r="J2836" s="83"/>
      <c r="K2836" s="82"/>
      <c r="L2836" s="81"/>
      <c r="M2836" s="82"/>
      <c r="N2836" s="81"/>
      <c r="O2836" s="82"/>
      <c r="P2836" s="81"/>
      <c r="Q2836" s="82"/>
      <c r="R2836" s="80"/>
      <c r="S2836" s="80"/>
      <c r="AB2836"/>
      <c r="AC2836"/>
    </row>
    <row r="2837" spans="1:29" x14ac:dyDescent="0.25">
      <c r="A2837" t="str">
        <f t="shared" si="45"/>
        <v/>
      </c>
      <c r="B2837" s="80"/>
      <c r="C2837" s="80"/>
      <c r="D2837" s="80"/>
      <c r="E2837" s="80"/>
      <c r="F2837" s="80"/>
      <c r="G2837" s="81"/>
      <c r="H2837" s="83"/>
      <c r="I2837" s="82"/>
      <c r="J2837" s="83"/>
      <c r="K2837" s="82"/>
      <c r="L2837" s="81"/>
      <c r="M2837" s="82"/>
      <c r="N2837" s="81"/>
      <c r="O2837" s="82"/>
      <c r="P2837" s="81"/>
      <c r="Q2837" s="82"/>
      <c r="R2837" s="80"/>
      <c r="S2837" s="80"/>
      <c r="AB2837"/>
      <c r="AC2837"/>
    </row>
    <row r="2838" spans="1:29" x14ac:dyDescent="0.25">
      <c r="A2838" t="str">
        <f t="shared" si="45"/>
        <v/>
      </c>
      <c r="B2838" s="80"/>
      <c r="C2838" s="80"/>
      <c r="D2838" s="80"/>
      <c r="E2838" s="80"/>
      <c r="F2838" s="80"/>
      <c r="G2838" s="81"/>
      <c r="H2838" s="83"/>
      <c r="I2838" s="82"/>
      <c r="J2838" s="83"/>
      <c r="K2838" s="82"/>
      <c r="L2838" s="81"/>
      <c r="M2838" s="82"/>
      <c r="N2838" s="81"/>
      <c r="O2838" s="82"/>
      <c r="P2838" s="81"/>
      <c r="Q2838" s="82"/>
      <c r="R2838" s="80"/>
      <c r="S2838" s="80"/>
      <c r="AB2838"/>
      <c r="AC2838"/>
    </row>
    <row r="2839" spans="1:29" x14ac:dyDescent="0.25">
      <c r="A2839" t="str">
        <f t="shared" si="45"/>
        <v/>
      </c>
      <c r="B2839" s="80"/>
      <c r="C2839" s="80"/>
      <c r="D2839" s="80"/>
      <c r="E2839" s="80"/>
      <c r="F2839" s="80"/>
      <c r="G2839" s="81"/>
      <c r="H2839" s="83"/>
      <c r="I2839" s="82"/>
      <c r="J2839" s="83"/>
      <c r="K2839" s="82"/>
      <c r="L2839" s="81"/>
      <c r="M2839" s="82"/>
      <c r="N2839" s="81"/>
      <c r="O2839" s="82"/>
      <c r="P2839" s="81"/>
      <c r="Q2839" s="82"/>
      <c r="R2839" s="80"/>
      <c r="S2839" s="80"/>
      <c r="AB2839"/>
      <c r="AC2839"/>
    </row>
    <row r="2840" spans="1:29" x14ac:dyDescent="0.25">
      <c r="A2840" t="str">
        <f t="shared" si="45"/>
        <v/>
      </c>
      <c r="B2840" s="80"/>
      <c r="C2840" s="80"/>
      <c r="D2840" s="80"/>
      <c r="E2840" s="80"/>
      <c r="F2840" s="80"/>
      <c r="G2840" s="81"/>
      <c r="H2840" s="83"/>
      <c r="I2840" s="82"/>
      <c r="J2840" s="83"/>
      <c r="K2840" s="82"/>
      <c r="L2840" s="81"/>
      <c r="M2840" s="82"/>
      <c r="N2840" s="81"/>
      <c r="O2840" s="82"/>
      <c r="P2840" s="81"/>
      <c r="Q2840" s="82"/>
      <c r="R2840" s="80"/>
      <c r="S2840" s="80"/>
      <c r="AB2840"/>
      <c r="AC2840"/>
    </row>
    <row r="2841" spans="1:29" x14ac:dyDescent="0.25">
      <c r="A2841" t="str">
        <f t="shared" si="45"/>
        <v/>
      </c>
      <c r="B2841" s="80"/>
      <c r="C2841" s="80"/>
      <c r="D2841" s="80"/>
      <c r="E2841" s="80"/>
      <c r="F2841" s="80"/>
      <c r="G2841" s="81"/>
      <c r="H2841" s="83"/>
      <c r="I2841" s="82"/>
      <c r="J2841" s="83"/>
      <c r="K2841" s="82"/>
      <c r="L2841" s="81"/>
      <c r="M2841" s="82"/>
      <c r="N2841" s="81"/>
      <c r="O2841" s="82"/>
      <c r="P2841" s="81"/>
      <c r="Q2841" s="82"/>
      <c r="R2841" s="80"/>
      <c r="S2841" s="80"/>
      <c r="AB2841"/>
      <c r="AC2841"/>
    </row>
    <row r="2842" spans="1:29" x14ac:dyDescent="0.25">
      <c r="A2842" t="str">
        <f t="shared" si="45"/>
        <v/>
      </c>
      <c r="B2842" s="80"/>
      <c r="C2842" s="80"/>
      <c r="D2842" s="80"/>
      <c r="E2842" s="80"/>
      <c r="F2842" s="80"/>
      <c r="G2842" s="81"/>
      <c r="H2842" s="83"/>
      <c r="I2842" s="82"/>
      <c r="J2842" s="83"/>
      <c r="K2842" s="82"/>
      <c r="L2842" s="81"/>
      <c r="M2842" s="82"/>
      <c r="N2842" s="81"/>
      <c r="O2842" s="82"/>
      <c r="P2842" s="81"/>
      <c r="Q2842" s="82"/>
      <c r="R2842" s="80"/>
      <c r="S2842" s="80"/>
      <c r="AB2842"/>
      <c r="AC2842"/>
    </row>
    <row r="2843" spans="1:29" x14ac:dyDescent="0.25">
      <c r="A2843" t="str">
        <f t="shared" si="45"/>
        <v/>
      </c>
      <c r="B2843" s="80"/>
      <c r="C2843" s="80"/>
      <c r="D2843" s="80"/>
      <c r="E2843" s="80"/>
      <c r="F2843" s="80"/>
      <c r="G2843" s="81"/>
      <c r="H2843" s="83"/>
      <c r="I2843" s="82"/>
      <c r="J2843" s="83"/>
      <c r="K2843" s="82"/>
      <c r="L2843" s="81"/>
      <c r="M2843" s="82"/>
      <c r="N2843" s="81"/>
      <c r="O2843" s="82"/>
      <c r="P2843" s="81"/>
      <c r="Q2843" s="82"/>
      <c r="R2843" s="80"/>
      <c r="S2843" s="80"/>
      <c r="AB2843"/>
      <c r="AC2843"/>
    </row>
    <row r="2844" spans="1:29" x14ac:dyDescent="0.25">
      <c r="A2844" t="str">
        <f t="shared" si="45"/>
        <v/>
      </c>
      <c r="B2844" s="80"/>
      <c r="C2844" s="80"/>
      <c r="D2844" s="80"/>
      <c r="E2844" s="80"/>
      <c r="F2844" s="80"/>
      <c r="G2844" s="81"/>
      <c r="H2844" s="83"/>
      <c r="I2844" s="82"/>
      <c r="J2844" s="83"/>
      <c r="K2844" s="82"/>
      <c r="L2844" s="81"/>
      <c r="M2844" s="82"/>
      <c r="N2844" s="81"/>
      <c r="O2844" s="82"/>
      <c r="P2844" s="81"/>
      <c r="Q2844" s="82"/>
      <c r="R2844" s="80"/>
      <c r="S2844" s="80"/>
      <c r="AB2844"/>
      <c r="AC2844"/>
    </row>
    <row r="2845" spans="1:29" x14ac:dyDescent="0.25">
      <c r="A2845" t="str">
        <f t="shared" si="45"/>
        <v/>
      </c>
      <c r="B2845" s="80"/>
      <c r="C2845" s="80"/>
      <c r="D2845" s="80"/>
      <c r="E2845" s="80"/>
      <c r="F2845" s="80"/>
      <c r="G2845" s="81"/>
      <c r="H2845" s="83"/>
      <c r="I2845" s="82"/>
      <c r="J2845" s="83"/>
      <c r="K2845" s="82"/>
      <c r="L2845" s="81"/>
      <c r="M2845" s="82"/>
      <c r="N2845" s="81"/>
      <c r="O2845" s="82"/>
      <c r="P2845" s="81"/>
      <c r="Q2845" s="82"/>
      <c r="R2845" s="80"/>
      <c r="S2845" s="80"/>
      <c r="AB2845"/>
      <c r="AC2845"/>
    </row>
    <row r="2846" spans="1:29" x14ac:dyDescent="0.25">
      <c r="A2846" t="str">
        <f t="shared" si="45"/>
        <v/>
      </c>
      <c r="B2846" s="80"/>
      <c r="C2846" s="80"/>
      <c r="D2846" s="80"/>
      <c r="E2846" s="80"/>
      <c r="F2846" s="80"/>
      <c r="G2846" s="81"/>
      <c r="H2846" s="83"/>
      <c r="I2846" s="82"/>
      <c r="J2846" s="83"/>
      <c r="K2846" s="82"/>
      <c r="L2846" s="81"/>
      <c r="M2846" s="82"/>
      <c r="N2846" s="81"/>
      <c r="O2846" s="82"/>
      <c r="P2846" s="81"/>
      <c r="Q2846" s="82"/>
      <c r="R2846" s="80"/>
      <c r="S2846" s="80"/>
      <c r="AB2846"/>
      <c r="AC2846"/>
    </row>
    <row r="2847" spans="1:29" x14ac:dyDescent="0.25">
      <c r="A2847" t="str">
        <f t="shared" si="45"/>
        <v/>
      </c>
      <c r="B2847" s="80"/>
      <c r="C2847" s="80"/>
      <c r="D2847" s="80"/>
      <c r="E2847" s="80"/>
      <c r="F2847" s="80"/>
      <c r="G2847" s="81"/>
      <c r="H2847" s="83"/>
      <c r="I2847" s="82"/>
      <c r="J2847" s="83"/>
      <c r="K2847" s="82"/>
      <c r="L2847" s="81"/>
      <c r="M2847" s="82"/>
      <c r="N2847" s="81"/>
      <c r="O2847" s="82"/>
      <c r="P2847" s="81"/>
      <c r="Q2847" s="82"/>
      <c r="R2847" s="80"/>
      <c r="S2847" s="80"/>
      <c r="AB2847"/>
      <c r="AC2847"/>
    </row>
    <row r="2848" spans="1:29" x14ac:dyDescent="0.25">
      <c r="A2848" t="str">
        <f t="shared" si="45"/>
        <v/>
      </c>
      <c r="B2848" s="80"/>
      <c r="C2848" s="80"/>
      <c r="D2848" s="80"/>
      <c r="E2848" s="80"/>
      <c r="F2848" s="80"/>
      <c r="G2848" s="81"/>
      <c r="H2848" s="83"/>
      <c r="I2848" s="82"/>
      <c r="J2848" s="83"/>
      <c r="K2848" s="82"/>
      <c r="L2848" s="81"/>
      <c r="M2848" s="82"/>
      <c r="N2848" s="81"/>
      <c r="O2848" s="82"/>
      <c r="P2848" s="81"/>
      <c r="Q2848" s="82"/>
      <c r="R2848" s="80"/>
      <c r="S2848" s="80"/>
      <c r="AB2848"/>
      <c r="AC2848"/>
    </row>
    <row r="2849" spans="1:29" x14ac:dyDescent="0.25">
      <c r="A2849" t="str">
        <f t="shared" si="45"/>
        <v/>
      </c>
      <c r="B2849" s="80"/>
      <c r="C2849" s="80"/>
      <c r="D2849" s="80"/>
      <c r="E2849" s="80"/>
      <c r="F2849" s="80"/>
      <c r="G2849" s="81"/>
      <c r="H2849" s="83"/>
      <c r="I2849" s="82"/>
      <c r="J2849" s="83"/>
      <c r="K2849" s="82"/>
      <c r="L2849" s="81"/>
      <c r="M2849" s="82"/>
      <c r="N2849" s="81"/>
      <c r="O2849" s="82"/>
      <c r="P2849" s="81"/>
      <c r="Q2849" s="82"/>
      <c r="R2849" s="80"/>
      <c r="S2849" s="80"/>
      <c r="AB2849"/>
      <c r="AC2849"/>
    </row>
    <row r="2850" spans="1:29" x14ac:dyDescent="0.25">
      <c r="A2850" t="str">
        <f t="shared" si="45"/>
        <v/>
      </c>
      <c r="B2850" s="80"/>
      <c r="C2850" s="80"/>
      <c r="D2850" s="80"/>
      <c r="E2850" s="80"/>
      <c r="F2850" s="80"/>
      <c r="G2850" s="81"/>
      <c r="H2850" s="83"/>
      <c r="I2850" s="82"/>
      <c r="J2850" s="83"/>
      <c r="K2850" s="82"/>
      <c r="L2850" s="81"/>
      <c r="M2850" s="82"/>
      <c r="N2850" s="81"/>
      <c r="O2850" s="82"/>
      <c r="P2850" s="81"/>
      <c r="Q2850" s="82"/>
      <c r="R2850" s="80"/>
      <c r="S2850" s="80"/>
      <c r="AB2850"/>
      <c r="AC2850"/>
    </row>
    <row r="2851" spans="1:29" x14ac:dyDescent="0.25">
      <c r="A2851" t="str">
        <f t="shared" si="45"/>
        <v/>
      </c>
      <c r="B2851" s="80"/>
      <c r="C2851" s="80"/>
      <c r="D2851" s="80"/>
      <c r="E2851" s="80"/>
      <c r="F2851" s="80"/>
      <c r="G2851" s="81"/>
      <c r="H2851" s="83"/>
      <c r="I2851" s="82"/>
      <c r="J2851" s="83"/>
      <c r="K2851" s="82"/>
      <c r="L2851" s="81"/>
      <c r="M2851" s="82"/>
      <c r="N2851" s="81"/>
      <c r="O2851" s="82"/>
      <c r="P2851" s="81"/>
      <c r="Q2851" s="82"/>
      <c r="R2851" s="80"/>
      <c r="S2851" s="80"/>
      <c r="AB2851"/>
      <c r="AC2851"/>
    </row>
    <row r="2852" spans="1:29" x14ac:dyDescent="0.25">
      <c r="A2852" t="str">
        <f t="shared" si="45"/>
        <v/>
      </c>
      <c r="B2852" s="80"/>
      <c r="C2852" s="80"/>
      <c r="D2852" s="80"/>
      <c r="E2852" s="80"/>
      <c r="F2852" s="80"/>
      <c r="G2852" s="81"/>
      <c r="H2852" s="83"/>
      <c r="I2852" s="82"/>
      <c r="J2852" s="83"/>
      <c r="K2852" s="82"/>
      <c r="L2852" s="81"/>
      <c r="M2852" s="82"/>
      <c r="N2852" s="81"/>
      <c r="O2852" s="82"/>
      <c r="P2852" s="81"/>
      <c r="Q2852" s="82"/>
      <c r="R2852" s="80"/>
      <c r="S2852" s="80"/>
      <c r="AB2852"/>
      <c r="AC2852"/>
    </row>
    <row r="2853" spans="1:29" x14ac:dyDescent="0.25">
      <c r="A2853" t="str">
        <f t="shared" si="45"/>
        <v/>
      </c>
      <c r="B2853" s="80"/>
      <c r="C2853" s="80"/>
      <c r="D2853" s="80"/>
      <c r="E2853" s="80"/>
      <c r="F2853" s="80"/>
      <c r="G2853" s="81"/>
      <c r="H2853" s="83"/>
      <c r="I2853" s="82"/>
      <c r="J2853" s="83"/>
      <c r="K2853" s="82"/>
      <c r="L2853" s="81"/>
      <c r="M2853" s="82"/>
      <c r="N2853" s="81"/>
      <c r="O2853" s="82"/>
      <c r="P2853" s="81"/>
      <c r="Q2853" s="82"/>
      <c r="R2853" s="80"/>
      <c r="S2853" s="80"/>
      <c r="AB2853"/>
      <c r="AC2853"/>
    </row>
    <row r="2854" spans="1:29" x14ac:dyDescent="0.25">
      <c r="A2854" t="str">
        <f t="shared" si="45"/>
        <v/>
      </c>
      <c r="B2854" s="80"/>
      <c r="C2854" s="80"/>
      <c r="D2854" s="80"/>
      <c r="E2854" s="80"/>
      <c r="F2854" s="80"/>
      <c r="G2854" s="81"/>
      <c r="H2854" s="83"/>
      <c r="I2854" s="82"/>
      <c r="J2854" s="83"/>
      <c r="K2854" s="82"/>
      <c r="L2854" s="81"/>
      <c r="M2854" s="82"/>
      <c r="N2854" s="81"/>
      <c r="O2854" s="82"/>
      <c r="P2854" s="81"/>
      <c r="Q2854" s="82"/>
      <c r="R2854" s="80"/>
      <c r="S2854" s="80"/>
      <c r="AB2854"/>
      <c r="AC2854"/>
    </row>
    <row r="2855" spans="1:29" x14ac:dyDescent="0.25">
      <c r="A2855" t="str">
        <f t="shared" si="45"/>
        <v/>
      </c>
      <c r="B2855" s="80"/>
      <c r="C2855" s="80"/>
      <c r="D2855" s="80"/>
      <c r="E2855" s="80"/>
      <c r="F2855" s="80"/>
      <c r="G2855" s="81"/>
      <c r="H2855" s="83"/>
      <c r="I2855" s="82"/>
      <c r="J2855" s="83"/>
      <c r="K2855" s="82"/>
      <c r="L2855" s="81"/>
      <c r="M2855" s="82"/>
      <c r="N2855" s="81"/>
      <c r="O2855" s="82"/>
      <c r="P2855" s="81"/>
      <c r="Q2855" s="82"/>
      <c r="R2855" s="80"/>
      <c r="S2855" s="80"/>
      <c r="AB2855"/>
      <c r="AC2855"/>
    </row>
    <row r="2856" spans="1:29" x14ac:dyDescent="0.25">
      <c r="A2856" t="str">
        <f t="shared" si="45"/>
        <v/>
      </c>
      <c r="B2856" s="80"/>
      <c r="C2856" s="80"/>
      <c r="D2856" s="80"/>
      <c r="E2856" s="80"/>
      <c r="F2856" s="80"/>
      <c r="G2856" s="81"/>
      <c r="H2856" s="83"/>
      <c r="I2856" s="82"/>
      <c r="J2856" s="83"/>
      <c r="K2856" s="82"/>
      <c r="L2856" s="81"/>
      <c r="M2856" s="82"/>
      <c r="N2856" s="81"/>
      <c r="O2856" s="82"/>
      <c r="P2856" s="81"/>
      <c r="Q2856" s="82"/>
      <c r="R2856" s="80"/>
      <c r="S2856" s="80"/>
      <c r="AB2856"/>
      <c r="AC2856"/>
    </row>
    <row r="2857" spans="1:29" x14ac:dyDescent="0.25">
      <c r="A2857" t="str">
        <f t="shared" si="45"/>
        <v/>
      </c>
      <c r="B2857" s="80"/>
      <c r="C2857" s="80"/>
      <c r="D2857" s="80"/>
      <c r="E2857" s="80"/>
      <c r="F2857" s="80"/>
      <c r="G2857" s="81"/>
      <c r="H2857" s="83"/>
      <c r="I2857" s="82"/>
      <c r="J2857" s="83"/>
      <c r="K2857" s="82"/>
      <c r="L2857" s="81"/>
      <c r="M2857" s="82"/>
      <c r="N2857" s="81"/>
      <c r="O2857" s="82"/>
      <c r="P2857" s="81"/>
      <c r="Q2857" s="82"/>
      <c r="R2857" s="80"/>
      <c r="S2857" s="80"/>
      <c r="AB2857"/>
      <c r="AC2857"/>
    </row>
    <row r="2858" spans="1:29" x14ac:dyDescent="0.25">
      <c r="A2858" t="str">
        <f t="shared" si="45"/>
        <v/>
      </c>
      <c r="B2858" s="80"/>
      <c r="C2858" s="80"/>
      <c r="D2858" s="80"/>
      <c r="E2858" s="80"/>
      <c r="F2858" s="80"/>
      <c r="G2858" s="81"/>
      <c r="H2858" s="83"/>
      <c r="I2858" s="82"/>
      <c r="J2858" s="83"/>
      <c r="K2858" s="82"/>
      <c r="L2858" s="81"/>
      <c r="M2858" s="82"/>
      <c r="N2858" s="81"/>
      <c r="O2858" s="82"/>
      <c r="P2858" s="81"/>
      <c r="Q2858" s="82"/>
      <c r="R2858" s="80"/>
      <c r="S2858" s="80"/>
      <c r="AB2858"/>
      <c r="AC2858"/>
    </row>
    <row r="2859" spans="1:29" x14ac:dyDescent="0.25">
      <c r="A2859" t="str">
        <f t="shared" si="45"/>
        <v/>
      </c>
      <c r="B2859" s="80"/>
      <c r="C2859" s="80"/>
      <c r="D2859" s="80"/>
      <c r="E2859" s="80"/>
      <c r="F2859" s="80"/>
      <c r="G2859" s="81"/>
      <c r="H2859" s="83"/>
      <c r="I2859" s="82"/>
      <c r="J2859" s="83"/>
      <c r="K2859" s="82"/>
      <c r="L2859" s="81"/>
      <c r="M2859" s="82"/>
      <c r="N2859" s="81"/>
      <c r="O2859" s="82"/>
      <c r="P2859" s="81"/>
      <c r="Q2859" s="82"/>
      <c r="R2859" s="80"/>
      <c r="S2859" s="80"/>
      <c r="AB2859"/>
      <c r="AC2859"/>
    </row>
    <row r="2860" spans="1:29" x14ac:dyDescent="0.25">
      <c r="A2860" t="str">
        <f t="shared" si="45"/>
        <v/>
      </c>
      <c r="B2860" s="80"/>
      <c r="C2860" s="80"/>
      <c r="D2860" s="80"/>
      <c r="E2860" s="80"/>
      <c r="F2860" s="80"/>
      <c r="G2860" s="81"/>
      <c r="H2860" s="83"/>
      <c r="I2860" s="82"/>
      <c r="J2860" s="83"/>
      <c r="K2860" s="82"/>
      <c r="L2860" s="81"/>
      <c r="M2860" s="82"/>
      <c r="N2860" s="81"/>
      <c r="O2860" s="82"/>
      <c r="P2860" s="81"/>
      <c r="Q2860" s="82"/>
      <c r="R2860" s="80"/>
      <c r="S2860" s="80"/>
      <c r="AB2860"/>
      <c r="AC2860"/>
    </row>
    <row r="2861" spans="1:29" x14ac:dyDescent="0.25">
      <c r="A2861" t="str">
        <f t="shared" si="45"/>
        <v/>
      </c>
      <c r="B2861" s="80"/>
      <c r="C2861" s="80"/>
      <c r="D2861" s="80"/>
      <c r="E2861" s="80"/>
      <c r="F2861" s="80"/>
      <c r="G2861" s="81"/>
      <c r="H2861" s="83"/>
      <c r="I2861" s="82"/>
      <c r="J2861" s="83"/>
      <c r="K2861" s="82"/>
      <c r="L2861" s="81"/>
      <c r="M2861" s="82"/>
      <c r="N2861" s="81"/>
      <c r="O2861" s="82"/>
      <c r="P2861" s="81"/>
      <c r="Q2861" s="82"/>
      <c r="R2861" s="80"/>
      <c r="S2861" s="80"/>
      <c r="AB2861"/>
      <c r="AC2861"/>
    </row>
    <row r="2862" spans="1:29" x14ac:dyDescent="0.25">
      <c r="A2862" t="str">
        <f t="shared" si="45"/>
        <v/>
      </c>
      <c r="B2862" s="80"/>
      <c r="C2862" s="80"/>
      <c r="D2862" s="80"/>
      <c r="E2862" s="80"/>
      <c r="F2862" s="80"/>
      <c r="G2862" s="81"/>
      <c r="H2862" s="83"/>
      <c r="I2862" s="82"/>
      <c r="J2862" s="83"/>
      <c r="K2862" s="82"/>
      <c r="L2862" s="81"/>
      <c r="M2862" s="82"/>
      <c r="N2862" s="81"/>
      <c r="O2862" s="82"/>
      <c r="P2862" s="81"/>
      <c r="Q2862" s="82"/>
      <c r="R2862" s="80"/>
      <c r="S2862" s="80"/>
      <c r="AB2862"/>
      <c r="AC2862"/>
    </row>
    <row r="2863" spans="1:29" x14ac:dyDescent="0.25">
      <c r="A2863" t="str">
        <f t="shared" si="45"/>
        <v/>
      </c>
      <c r="B2863" s="80"/>
      <c r="C2863" s="80"/>
      <c r="D2863" s="80"/>
      <c r="E2863" s="80"/>
      <c r="F2863" s="80"/>
      <c r="G2863" s="81"/>
      <c r="H2863" s="83"/>
      <c r="I2863" s="82"/>
      <c r="J2863" s="83"/>
      <c r="K2863" s="82"/>
      <c r="L2863" s="81"/>
      <c r="M2863" s="82"/>
      <c r="N2863" s="81"/>
      <c r="O2863" s="82"/>
      <c r="P2863" s="81"/>
      <c r="Q2863" s="82"/>
      <c r="R2863" s="80"/>
      <c r="S2863" s="80"/>
      <c r="AB2863"/>
      <c r="AC2863"/>
    </row>
    <row r="2864" spans="1:29" x14ac:dyDescent="0.25">
      <c r="A2864" t="str">
        <f t="shared" si="45"/>
        <v/>
      </c>
      <c r="B2864" s="80"/>
      <c r="C2864" s="80"/>
      <c r="D2864" s="80"/>
      <c r="E2864" s="80"/>
      <c r="F2864" s="80"/>
      <c r="G2864" s="81"/>
      <c r="H2864" s="83"/>
      <c r="I2864" s="82"/>
      <c r="J2864" s="83"/>
      <c r="K2864" s="82"/>
      <c r="L2864" s="81"/>
      <c r="M2864" s="82"/>
      <c r="N2864" s="81"/>
      <c r="O2864" s="82"/>
      <c r="P2864" s="81"/>
      <c r="Q2864" s="82"/>
      <c r="R2864" s="80"/>
      <c r="S2864" s="80"/>
      <c r="AB2864"/>
      <c r="AC2864"/>
    </row>
    <row r="2865" spans="1:29" x14ac:dyDescent="0.25">
      <c r="A2865" t="str">
        <f t="shared" si="45"/>
        <v/>
      </c>
      <c r="B2865" s="80"/>
      <c r="C2865" s="80"/>
      <c r="D2865" s="80"/>
      <c r="E2865" s="80"/>
      <c r="F2865" s="80"/>
      <c r="G2865" s="81"/>
      <c r="H2865" s="83"/>
      <c r="I2865" s="82"/>
      <c r="J2865" s="83"/>
      <c r="K2865" s="82"/>
      <c r="L2865" s="81"/>
      <c r="M2865" s="82"/>
      <c r="N2865" s="81"/>
      <c r="O2865" s="82"/>
      <c r="P2865" s="81"/>
      <c r="Q2865" s="82"/>
      <c r="R2865" s="80"/>
      <c r="S2865" s="80"/>
      <c r="AB2865"/>
      <c r="AC2865"/>
    </row>
    <row r="2866" spans="1:29" x14ac:dyDescent="0.25">
      <c r="A2866" t="str">
        <f t="shared" si="45"/>
        <v/>
      </c>
      <c r="B2866" s="80"/>
      <c r="C2866" s="80"/>
      <c r="D2866" s="80"/>
      <c r="E2866" s="80"/>
      <c r="F2866" s="80"/>
      <c r="G2866" s="81"/>
      <c r="H2866" s="83"/>
      <c r="I2866" s="82"/>
      <c r="J2866" s="83"/>
      <c r="K2866" s="82"/>
      <c r="L2866" s="81"/>
      <c r="M2866" s="82"/>
      <c r="N2866" s="81"/>
      <c r="O2866" s="82"/>
      <c r="P2866" s="81"/>
      <c r="Q2866" s="82"/>
      <c r="R2866" s="80"/>
      <c r="S2866" s="80"/>
      <c r="AB2866"/>
      <c r="AC2866"/>
    </row>
    <row r="2867" spans="1:29" x14ac:dyDescent="0.25">
      <c r="A2867" t="str">
        <f t="shared" si="45"/>
        <v/>
      </c>
      <c r="B2867" s="80"/>
      <c r="C2867" s="80"/>
      <c r="D2867" s="80"/>
      <c r="E2867" s="80"/>
      <c r="F2867" s="80"/>
      <c r="G2867" s="81"/>
      <c r="H2867" s="83"/>
      <c r="I2867" s="82"/>
      <c r="J2867" s="83"/>
      <c r="K2867" s="82"/>
      <c r="L2867" s="81"/>
      <c r="M2867" s="82"/>
      <c r="N2867" s="81"/>
      <c r="O2867" s="82"/>
      <c r="P2867" s="81"/>
      <c r="Q2867" s="82"/>
      <c r="R2867" s="80"/>
      <c r="S2867" s="80"/>
      <c r="AB2867"/>
      <c r="AC2867"/>
    </row>
    <row r="2868" spans="1:29" x14ac:dyDescent="0.25">
      <c r="A2868" t="str">
        <f t="shared" si="45"/>
        <v/>
      </c>
      <c r="B2868" s="80"/>
      <c r="C2868" s="80"/>
      <c r="D2868" s="80"/>
      <c r="E2868" s="80"/>
      <c r="F2868" s="80"/>
      <c r="G2868" s="81"/>
      <c r="H2868" s="83"/>
      <c r="I2868" s="82"/>
      <c r="J2868" s="83"/>
      <c r="K2868" s="82"/>
      <c r="L2868" s="81"/>
      <c r="M2868" s="82"/>
      <c r="N2868" s="81"/>
      <c r="O2868" s="82"/>
      <c r="P2868" s="81"/>
      <c r="Q2868" s="82"/>
      <c r="R2868" s="80"/>
      <c r="S2868" s="80"/>
      <c r="AB2868"/>
      <c r="AC2868"/>
    </row>
    <row r="2869" spans="1:29" x14ac:dyDescent="0.25">
      <c r="A2869" t="str">
        <f t="shared" si="45"/>
        <v/>
      </c>
      <c r="B2869" s="80"/>
      <c r="C2869" s="80"/>
      <c r="D2869" s="80"/>
      <c r="E2869" s="80"/>
      <c r="F2869" s="80"/>
      <c r="G2869" s="81"/>
      <c r="H2869" s="83"/>
      <c r="I2869" s="82"/>
      <c r="J2869" s="83"/>
      <c r="K2869" s="82"/>
      <c r="L2869" s="81"/>
      <c r="M2869" s="82"/>
      <c r="N2869" s="81"/>
      <c r="O2869" s="82"/>
      <c r="P2869" s="81"/>
      <c r="Q2869" s="82"/>
      <c r="R2869" s="80"/>
      <c r="S2869" s="80"/>
      <c r="AB2869"/>
      <c r="AC2869"/>
    </row>
    <row r="2870" spans="1:29" x14ac:dyDescent="0.25">
      <c r="A2870" t="str">
        <f t="shared" si="45"/>
        <v/>
      </c>
      <c r="B2870" s="80"/>
      <c r="C2870" s="80"/>
      <c r="D2870" s="80"/>
      <c r="E2870" s="80"/>
      <c r="F2870" s="80"/>
      <c r="G2870" s="81"/>
      <c r="H2870" s="83"/>
      <c r="I2870" s="82"/>
      <c r="J2870" s="83"/>
      <c r="K2870" s="82"/>
      <c r="L2870" s="81"/>
      <c r="M2870" s="82"/>
      <c r="N2870" s="81"/>
      <c r="O2870" s="82"/>
      <c r="P2870" s="81"/>
      <c r="Q2870" s="82"/>
      <c r="R2870" s="80"/>
      <c r="S2870" s="80"/>
      <c r="AB2870"/>
      <c r="AC2870"/>
    </row>
    <row r="2871" spans="1:29" x14ac:dyDescent="0.25">
      <c r="A2871" t="str">
        <f t="shared" si="45"/>
        <v/>
      </c>
      <c r="B2871" s="80"/>
      <c r="C2871" s="80"/>
      <c r="D2871" s="80"/>
      <c r="E2871" s="80"/>
      <c r="F2871" s="80"/>
      <c r="G2871" s="81"/>
      <c r="H2871" s="83"/>
      <c r="I2871" s="82"/>
      <c r="J2871" s="83"/>
      <c r="K2871" s="82"/>
      <c r="L2871" s="81"/>
      <c r="M2871" s="82"/>
      <c r="N2871" s="81"/>
      <c r="O2871" s="82"/>
      <c r="P2871" s="81"/>
      <c r="Q2871" s="82"/>
      <c r="R2871" s="80"/>
      <c r="S2871" s="80"/>
      <c r="AB2871"/>
      <c r="AC2871"/>
    </row>
    <row r="2872" spans="1:29" x14ac:dyDescent="0.25">
      <c r="A2872" t="str">
        <f t="shared" si="45"/>
        <v/>
      </c>
      <c r="B2872" s="80"/>
      <c r="C2872" s="80"/>
      <c r="D2872" s="80"/>
      <c r="E2872" s="80"/>
      <c r="F2872" s="80"/>
      <c r="G2872" s="81"/>
      <c r="H2872" s="83"/>
      <c r="I2872" s="82"/>
      <c r="J2872" s="83"/>
      <c r="K2872" s="82"/>
      <c r="L2872" s="81"/>
      <c r="M2872" s="82"/>
      <c r="N2872" s="81"/>
      <c r="O2872" s="82"/>
      <c r="P2872" s="81"/>
      <c r="Q2872" s="82"/>
      <c r="R2872" s="80"/>
      <c r="S2872" s="80"/>
      <c r="AB2872"/>
      <c r="AC2872"/>
    </row>
    <row r="2873" spans="1:29" x14ac:dyDescent="0.25">
      <c r="A2873" t="str">
        <f t="shared" si="45"/>
        <v/>
      </c>
      <c r="B2873" s="80"/>
      <c r="C2873" s="80"/>
      <c r="D2873" s="80"/>
      <c r="E2873" s="80"/>
      <c r="F2873" s="80"/>
      <c r="G2873" s="81"/>
      <c r="H2873" s="83"/>
      <c r="I2873" s="82"/>
      <c r="J2873" s="83"/>
      <c r="K2873" s="82"/>
      <c r="L2873" s="81"/>
      <c r="M2873" s="82"/>
      <c r="N2873" s="81"/>
      <c r="O2873" s="82"/>
      <c r="P2873" s="81"/>
      <c r="Q2873" s="82"/>
      <c r="R2873" s="80"/>
      <c r="S2873" s="80"/>
      <c r="AB2873"/>
      <c r="AC2873"/>
    </row>
    <row r="2874" spans="1:29" x14ac:dyDescent="0.25">
      <c r="A2874" t="str">
        <f t="shared" si="45"/>
        <v/>
      </c>
      <c r="B2874" s="80"/>
      <c r="C2874" s="80"/>
      <c r="D2874" s="80"/>
      <c r="E2874" s="80"/>
      <c r="F2874" s="80"/>
      <c r="G2874" s="81"/>
      <c r="H2874" s="83"/>
      <c r="I2874" s="82"/>
      <c r="J2874" s="83"/>
      <c r="K2874" s="82"/>
      <c r="L2874" s="81"/>
      <c r="M2874" s="82"/>
      <c r="N2874" s="81"/>
      <c r="O2874" s="82"/>
      <c r="P2874" s="81"/>
      <c r="Q2874" s="82"/>
      <c r="R2874" s="80"/>
      <c r="S2874" s="80"/>
      <c r="AB2874"/>
      <c r="AC2874"/>
    </row>
    <row r="2875" spans="1:29" x14ac:dyDescent="0.25">
      <c r="A2875" t="str">
        <f t="shared" si="45"/>
        <v/>
      </c>
      <c r="B2875" s="80"/>
      <c r="C2875" s="80"/>
      <c r="D2875" s="80"/>
      <c r="E2875" s="80"/>
      <c r="F2875" s="80"/>
      <c r="G2875" s="81"/>
      <c r="H2875" s="83"/>
      <c r="I2875" s="82"/>
      <c r="J2875" s="83"/>
      <c r="K2875" s="82"/>
      <c r="L2875" s="81"/>
      <c r="M2875" s="82"/>
      <c r="N2875" s="81"/>
      <c r="O2875" s="82"/>
      <c r="P2875" s="81"/>
      <c r="Q2875" s="82"/>
      <c r="R2875" s="80"/>
      <c r="S2875" s="80"/>
      <c r="AB2875"/>
      <c r="AC2875"/>
    </row>
    <row r="2876" spans="1:29" x14ac:dyDescent="0.25">
      <c r="A2876" t="str">
        <f t="shared" si="45"/>
        <v/>
      </c>
      <c r="B2876" s="80"/>
      <c r="C2876" s="80"/>
      <c r="D2876" s="80"/>
      <c r="E2876" s="80"/>
      <c r="F2876" s="80"/>
      <c r="G2876" s="81"/>
      <c r="H2876" s="83"/>
      <c r="I2876" s="82"/>
      <c r="J2876" s="83"/>
      <c r="K2876" s="82"/>
      <c r="L2876" s="81"/>
      <c r="M2876" s="82"/>
      <c r="N2876" s="81"/>
      <c r="O2876" s="82"/>
      <c r="P2876" s="81"/>
      <c r="Q2876" s="82"/>
      <c r="R2876" s="80"/>
      <c r="S2876" s="80"/>
      <c r="AB2876"/>
      <c r="AC2876"/>
    </row>
    <row r="2877" spans="1:29" x14ac:dyDescent="0.25">
      <c r="A2877" t="str">
        <f t="shared" si="45"/>
        <v/>
      </c>
      <c r="B2877" s="80"/>
      <c r="C2877" s="80"/>
      <c r="D2877" s="80"/>
      <c r="E2877" s="80"/>
      <c r="F2877" s="80"/>
      <c r="G2877" s="81"/>
      <c r="H2877" s="83"/>
      <c r="I2877" s="82"/>
      <c r="J2877" s="83"/>
      <c r="K2877" s="82"/>
      <c r="L2877" s="81"/>
      <c r="M2877" s="82"/>
      <c r="N2877" s="81"/>
      <c r="O2877" s="82"/>
      <c r="P2877" s="81"/>
      <c r="Q2877" s="82"/>
      <c r="R2877" s="80"/>
      <c r="S2877" s="80"/>
      <c r="AB2877"/>
      <c r="AC2877"/>
    </row>
    <row r="2878" spans="1:29" x14ac:dyDescent="0.25">
      <c r="A2878" t="str">
        <f t="shared" si="45"/>
        <v/>
      </c>
      <c r="B2878" s="80"/>
      <c r="C2878" s="80"/>
      <c r="D2878" s="80"/>
      <c r="E2878" s="80"/>
      <c r="F2878" s="80"/>
      <c r="G2878" s="81"/>
      <c r="H2878" s="83"/>
      <c r="I2878" s="82"/>
      <c r="J2878" s="83"/>
      <c r="K2878" s="82"/>
      <c r="L2878" s="81"/>
      <c r="M2878" s="82"/>
      <c r="N2878" s="81"/>
      <c r="O2878" s="82"/>
      <c r="P2878" s="81"/>
      <c r="Q2878" s="82"/>
      <c r="R2878" s="80"/>
      <c r="S2878" s="80"/>
      <c r="AB2878"/>
      <c r="AC2878"/>
    </row>
    <row r="2879" spans="1:29" x14ac:dyDescent="0.25">
      <c r="A2879" t="str">
        <f t="shared" si="45"/>
        <v/>
      </c>
      <c r="B2879" s="80"/>
      <c r="C2879" s="80"/>
      <c r="D2879" s="80"/>
      <c r="E2879" s="80"/>
      <c r="F2879" s="80"/>
      <c r="G2879" s="81"/>
      <c r="H2879" s="83"/>
      <c r="I2879" s="82"/>
      <c r="J2879" s="83"/>
      <c r="K2879" s="82"/>
      <c r="L2879" s="81"/>
      <c r="M2879" s="82"/>
      <c r="N2879" s="81"/>
      <c r="O2879" s="82"/>
      <c r="P2879" s="81"/>
      <c r="Q2879" s="82"/>
      <c r="R2879" s="80"/>
      <c r="S2879" s="80"/>
      <c r="AB2879"/>
      <c r="AC2879"/>
    </row>
    <row r="2880" spans="1:29" x14ac:dyDescent="0.25">
      <c r="A2880" t="str">
        <f t="shared" si="45"/>
        <v/>
      </c>
      <c r="B2880" s="80"/>
      <c r="C2880" s="80"/>
      <c r="D2880" s="80"/>
      <c r="E2880" s="80"/>
      <c r="F2880" s="80"/>
      <c r="G2880" s="81"/>
      <c r="H2880" s="83"/>
      <c r="I2880" s="82"/>
      <c r="J2880" s="83"/>
      <c r="K2880" s="82"/>
      <c r="L2880" s="81"/>
      <c r="M2880" s="82"/>
      <c r="N2880" s="81"/>
      <c r="O2880" s="82"/>
      <c r="P2880" s="81"/>
      <c r="Q2880" s="82"/>
      <c r="R2880" s="80"/>
      <c r="S2880" s="80"/>
      <c r="AB2880"/>
      <c r="AC2880"/>
    </row>
    <row r="2881" spans="1:29" x14ac:dyDescent="0.25">
      <c r="A2881" t="str">
        <f t="shared" si="45"/>
        <v/>
      </c>
      <c r="B2881" s="80"/>
      <c r="C2881" s="80"/>
      <c r="D2881" s="80"/>
      <c r="E2881" s="80"/>
      <c r="F2881" s="80"/>
      <c r="G2881" s="81"/>
      <c r="H2881" s="83"/>
      <c r="I2881" s="82"/>
      <c r="J2881" s="83"/>
      <c r="K2881" s="82"/>
      <c r="L2881" s="81"/>
      <c r="M2881" s="82"/>
      <c r="N2881" s="81"/>
      <c r="O2881" s="82"/>
      <c r="P2881" s="81"/>
      <c r="Q2881" s="82"/>
      <c r="R2881" s="80"/>
      <c r="S2881" s="80"/>
      <c r="AB2881"/>
      <c r="AC2881"/>
    </row>
    <row r="2882" spans="1:29" x14ac:dyDescent="0.25">
      <c r="A2882" t="str">
        <f t="shared" si="45"/>
        <v/>
      </c>
      <c r="B2882" s="80"/>
      <c r="C2882" s="80"/>
      <c r="D2882" s="80"/>
      <c r="E2882" s="80"/>
      <c r="F2882" s="80"/>
      <c r="G2882" s="81"/>
      <c r="H2882" s="83"/>
      <c r="I2882" s="82"/>
      <c r="J2882" s="83"/>
      <c r="K2882" s="82"/>
      <c r="L2882" s="81"/>
      <c r="M2882" s="82"/>
      <c r="N2882" s="81"/>
      <c r="O2882" s="82"/>
      <c r="P2882" s="81"/>
      <c r="Q2882" s="82"/>
      <c r="R2882" s="80"/>
      <c r="S2882" s="80"/>
      <c r="AB2882"/>
      <c r="AC2882"/>
    </row>
    <row r="2883" spans="1:29" x14ac:dyDescent="0.25">
      <c r="A2883" t="str">
        <f t="shared" si="45"/>
        <v/>
      </c>
      <c r="B2883" s="80"/>
      <c r="C2883" s="80"/>
      <c r="D2883" s="80"/>
      <c r="E2883" s="80"/>
      <c r="F2883" s="80"/>
      <c r="G2883" s="81"/>
      <c r="H2883" s="83"/>
      <c r="I2883" s="82"/>
      <c r="J2883" s="83"/>
      <c r="K2883" s="82"/>
      <c r="L2883" s="81"/>
      <c r="M2883" s="82"/>
      <c r="N2883" s="81"/>
      <c r="O2883" s="82"/>
      <c r="P2883" s="81"/>
      <c r="Q2883" s="82"/>
      <c r="R2883" s="80"/>
      <c r="S2883" s="80"/>
      <c r="AB2883"/>
      <c r="AC2883"/>
    </row>
    <row r="2884" spans="1:29" x14ac:dyDescent="0.25">
      <c r="A2884" t="str">
        <f t="shared" si="45"/>
        <v/>
      </c>
      <c r="B2884" s="80"/>
      <c r="C2884" s="80"/>
      <c r="D2884" s="80"/>
      <c r="E2884" s="80"/>
      <c r="F2884" s="80"/>
      <c r="G2884" s="81"/>
      <c r="H2884" s="83"/>
      <c r="I2884" s="82"/>
      <c r="J2884" s="83"/>
      <c r="K2884" s="82"/>
      <c r="L2884" s="81"/>
      <c r="M2884" s="82"/>
      <c r="N2884" s="81"/>
      <c r="O2884" s="82"/>
      <c r="P2884" s="81"/>
      <c r="Q2884" s="82"/>
      <c r="R2884" s="80"/>
      <c r="S2884" s="80"/>
      <c r="AB2884"/>
      <c r="AC2884"/>
    </row>
    <row r="2885" spans="1:29" x14ac:dyDescent="0.25">
      <c r="A2885" t="str">
        <f t="shared" si="45"/>
        <v/>
      </c>
      <c r="B2885" s="80"/>
      <c r="C2885" s="80"/>
      <c r="D2885" s="80"/>
      <c r="E2885" s="80"/>
      <c r="F2885" s="80"/>
      <c r="G2885" s="81"/>
      <c r="H2885" s="83"/>
      <c r="I2885" s="82"/>
      <c r="J2885" s="83"/>
      <c r="K2885" s="82"/>
      <c r="L2885" s="81"/>
      <c r="M2885" s="82"/>
      <c r="N2885" s="81"/>
      <c r="O2885" s="82"/>
      <c r="P2885" s="81"/>
      <c r="Q2885" s="82"/>
      <c r="R2885" s="80"/>
      <c r="S2885" s="80"/>
      <c r="AB2885"/>
      <c r="AC2885"/>
    </row>
    <row r="2886" spans="1:29" x14ac:dyDescent="0.25">
      <c r="A2886" t="str">
        <f t="shared" si="45"/>
        <v/>
      </c>
      <c r="B2886" s="80"/>
      <c r="C2886" s="80"/>
      <c r="D2886" s="80"/>
      <c r="E2886" s="80"/>
      <c r="F2886" s="80"/>
      <c r="G2886" s="81"/>
      <c r="H2886" s="83"/>
      <c r="I2886" s="82"/>
      <c r="J2886" s="83"/>
      <c r="K2886" s="82"/>
      <c r="L2886" s="81"/>
      <c r="M2886" s="82"/>
      <c r="N2886" s="81"/>
      <c r="O2886" s="82"/>
      <c r="P2886" s="81"/>
      <c r="Q2886" s="82"/>
      <c r="R2886" s="80"/>
      <c r="S2886" s="80"/>
      <c r="AB2886"/>
      <c r="AC2886"/>
    </row>
    <row r="2887" spans="1:29" x14ac:dyDescent="0.25">
      <c r="A2887" t="str">
        <f t="shared" ref="A2887:A2950" si="46">B2885&amp;D2885</f>
        <v/>
      </c>
      <c r="B2887" s="80"/>
      <c r="C2887" s="80"/>
      <c r="D2887" s="80"/>
      <c r="E2887" s="80"/>
      <c r="F2887" s="80"/>
      <c r="G2887" s="81"/>
      <c r="H2887" s="83"/>
      <c r="I2887" s="82"/>
      <c r="J2887" s="83"/>
      <c r="K2887" s="82"/>
      <c r="L2887" s="81"/>
      <c r="M2887" s="82"/>
      <c r="N2887" s="81"/>
      <c r="O2887" s="82"/>
      <c r="P2887" s="81"/>
      <c r="Q2887" s="82"/>
      <c r="R2887" s="80"/>
      <c r="S2887" s="80"/>
      <c r="AB2887"/>
      <c r="AC2887"/>
    </row>
    <row r="2888" spans="1:29" x14ac:dyDescent="0.25">
      <c r="A2888" t="str">
        <f t="shared" si="46"/>
        <v/>
      </c>
      <c r="B2888" s="80"/>
      <c r="C2888" s="80"/>
      <c r="D2888" s="80"/>
      <c r="E2888" s="80"/>
      <c r="F2888" s="80"/>
      <c r="G2888" s="81"/>
      <c r="H2888" s="83"/>
      <c r="I2888" s="82"/>
      <c r="J2888" s="83"/>
      <c r="K2888" s="82"/>
      <c r="L2888" s="81"/>
      <c r="M2888" s="82"/>
      <c r="N2888" s="81"/>
      <c r="O2888" s="82"/>
      <c r="P2888" s="81"/>
      <c r="Q2888" s="82"/>
      <c r="R2888" s="80"/>
      <c r="S2888" s="80"/>
      <c r="AB2888"/>
      <c r="AC2888"/>
    </row>
    <row r="2889" spans="1:29" x14ac:dyDescent="0.25">
      <c r="A2889" t="str">
        <f t="shared" si="46"/>
        <v/>
      </c>
      <c r="B2889" s="80"/>
      <c r="C2889" s="80"/>
      <c r="D2889" s="80"/>
      <c r="E2889" s="80"/>
      <c r="F2889" s="80"/>
      <c r="G2889" s="81"/>
      <c r="H2889" s="83"/>
      <c r="I2889" s="82"/>
      <c r="J2889" s="83"/>
      <c r="K2889" s="82"/>
      <c r="L2889" s="81"/>
      <c r="M2889" s="82"/>
      <c r="N2889" s="81"/>
      <c r="O2889" s="82"/>
      <c r="P2889" s="81"/>
      <c r="Q2889" s="82"/>
      <c r="R2889" s="80"/>
      <c r="S2889" s="80"/>
      <c r="AB2889"/>
      <c r="AC2889"/>
    </row>
    <row r="2890" spans="1:29" x14ac:dyDescent="0.25">
      <c r="A2890" t="str">
        <f t="shared" si="46"/>
        <v/>
      </c>
      <c r="B2890" s="80"/>
      <c r="C2890" s="80"/>
      <c r="D2890" s="80"/>
      <c r="E2890" s="80"/>
      <c r="F2890" s="80"/>
      <c r="G2890" s="81"/>
      <c r="H2890" s="83"/>
      <c r="I2890" s="82"/>
      <c r="J2890" s="83"/>
      <c r="K2890" s="82"/>
      <c r="L2890" s="81"/>
      <c r="M2890" s="82"/>
      <c r="N2890" s="81"/>
      <c r="O2890" s="82"/>
      <c r="P2890" s="81"/>
      <c r="Q2890" s="82"/>
      <c r="R2890" s="80"/>
      <c r="S2890" s="80"/>
      <c r="AB2890"/>
      <c r="AC2890"/>
    </row>
    <row r="2891" spans="1:29" x14ac:dyDescent="0.25">
      <c r="A2891" t="str">
        <f t="shared" si="46"/>
        <v/>
      </c>
      <c r="B2891" s="80"/>
      <c r="C2891" s="80"/>
      <c r="D2891" s="80"/>
      <c r="E2891" s="80"/>
      <c r="F2891" s="80"/>
      <c r="G2891" s="81"/>
      <c r="H2891" s="83"/>
      <c r="I2891" s="82"/>
      <c r="J2891" s="83"/>
      <c r="K2891" s="82"/>
      <c r="L2891" s="81"/>
      <c r="M2891" s="82"/>
      <c r="N2891" s="81"/>
      <c r="O2891" s="82"/>
      <c r="P2891" s="81"/>
      <c r="Q2891" s="82"/>
      <c r="R2891" s="80"/>
      <c r="S2891" s="80"/>
      <c r="AB2891"/>
      <c r="AC2891"/>
    </row>
    <row r="2892" spans="1:29" x14ac:dyDescent="0.25">
      <c r="A2892" t="str">
        <f t="shared" si="46"/>
        <v/>
      </c>
      <c r="B2892" s="80"/>
      <c r="C2892" s="80"/>
      <c r="D2892" s="80"/>
      <c r="E2892" s="80"/>
      <c r="F2892" s="80"/>
      <c r="G2892" s="81"/>
      <c r="H2892" s="83"/>
      <c r="I2892" s="82"/>
      <c r="J2892" s="83"/>
      <c r="K2892" s="82"/>
      <c r="L2892" s="81"/>
      <c r="M2892" s="82"/>
      <c r="N2892" s="81"/>
      <c r="O2892" s="82"/>
      <c r="P2892" s="81"/>
      <c r="Q2892" s="82"/>
      <c r="R2892" s="80"/>
      <c r="S2892" s="80"/>
      <c r="AB2892"/>
      <c r="AC2892"/>
    </row>
    <row r="2893" spans="1:29" x14ac:dyDescent="0.25">
      <c r="A2893" t="str">
        <f t="shared" si="46"/>
        <v/>
      </c>
      <c r="B2893" s="80"/>
      <c r="C2893" s="80"/>
      <c r="D2893" s="80"/>
      <c r="E2893" s="80"/>
      <c r="F2893" s="80"/>
      <c r="G2893" s="81"/>
      <c r="H2893" s="83"/>
      <c r="I2893" s="82"/>
      <c r="J2893" s="83"/>
      <c r="K2893" s="82"/>
      <c r="L2893" s="81"/>
      <c r="M2893" s="82"/>
      <c r="N2893" s="81"/>
      <c r="O2893" s="82"/>
      <c r="P2893" s="81"/>
      <c r="Q2893" s="82"/>
      <c r="R2893" s="80"/>
      <c r="S2893" s="80"/>
      <c r="AB2893"/>
      <c r="AC2893"/>
    </row>
    <row r="2894" spans="1:29" x14ac:dyDescent="0.25">
      <c r="A2894" t="str">
        <f t="shared" si="46"/>
        <v/>
      </c>
      <c r="B2894" s="80"/>
      <c r="C2894" s="80"/>
      <c r="D2894" s="80"/>
      <c r="E2894" s="80"/>
      <c r="F2894" s="80"/>
      <c r="G2894" s="81"/>
      <c r="H2894" s="83"/>
      <c r="I2894" s="82"/>
      <c r="J2894" s="83"/>
      <c r="K2894" s="82"/>
      <c r="L2894" s="81"/>
      <c r="M2894" s="82"/>
      <c r="N2894" s="81"/>
      <c r="O2894" s="82"/>
      <c r="P2894" s="81"/>
      <c r="Q2894" s="82"/>
      <c r="R2894" s="80"/>
      <c r="S2894" s="80"/>
      <c r="AB2894"/>
      <c r="AC2894"/>
    </row>
    <row r="2895" spans="1:29" x14ac:dyDescent="0.25">
      <c r="A2895" t="str">
        <f t="shared" si="46"/>
        <v/>
      </c>
      <c r="B2895" s="80"/>
      <c r="C2895" s="80"/>
      <c r="D2895" s="80"/>
      <c r="E2895" s="80"/>
      <c r="F2895" s="80"/>
      <c r="G2895" s="81"/>
      <c r="H2895" s="83"/>
      <c r="I2895" s="82"/>
      <c r="J2895" s="83"/>
      <c r="K2895" s="82"/>
      <c r="L2895" s="81"/>
      <c r="M2895" s="82"/>
      <c r="N2895" s="81"/>
      <c r="O2895" s="82"/>
      <c r="P2895" s="81"/>
      <c r="Q2895" s="82"/>
      <c r="R2895" s="80"/>
      <c r="S2895" s="80"/>
      <c r="AB2895"/>
      <c r="AC2895"/>
    </row>
    <row r="2896" spans="1:29" x14ac:dyDescent="0.25">
      <c r="A2896" t="str">
        <f t="shared" si="46"/>
        <v/>
      </c>
      <c r="B2896" s="80"/>
      <c r="C2896" s="80"/>
      <c r="D2896" s="80"/>
      <c r="E2896" s="80"/>
      <c r="F2896" s="80"/>
      <c r="G2896" s="81"/>
      <c r="H2896" s="83"/>
      <c r="I2896" s="82"/>
      <c r="J2896" s="83"/>
      <c r="K2896" s="82"/>
      <c r="L2896" s="81"/>
      <c r="M2896" s="82"/>
      <c r="N2896" s="81"/>
      <c r="O2896" s="82"/>
      <c r="P2896" s="81"/>
      <c r="Q2896" s="82"/>
      <c r="R2896" s="80"/>
      <c r="S2896" s="80"/>
      <c r="AB2896"/>
      <c r="AC2896"/>
    </row>
    <row r="2897" spans="1:29" x14ac:dyDescent="0.25">
      <c r="A2897" t="str">
        <f t="shared" si="46"/>
        <v/>
      </c>
      <c r="B2897" s="80"/>
      <c r="C2897" s="80"/>
      <c r="D2897" s="80"/>
      <c r="E2897" s="80"/>
      <c r="F2897" s="80"/>
      <c r="G2897" s="81"/>
      <c r="H2897" s="83"/>
      <c r="I2897" s="82"/>
      <c r="J2897" s="83"/>
      <c r="K2897" s="82"/>
      <c r="L2897" s="81"/>
      <c r="M2897" s="82"/>
      <c r="N2897" s="81"/>
      <c r="O2897" s="82"/>
      <c r="P2897" s="81"/>
      <c r="Q2897" s="82"/>
      <c r="R2897" s="80"/>
      <c r="S2897" s="80"/>
      <c r="AB2897"/>
      <c r="AC2897"/>
    </row>
    <row r="2898" spans="1:29" x14ac:dyDescent="0.25">
      <c r="A2898" t="str">
        <f t="shared" si="46"/>
        <v/>
      </c>
      <c r="B2898" s="80"/>
      <c r="C2898" s="80"/>
      <c r="D2898" s="80"/>
      <c r="E2898" s="80"/>
      <c r="F2898" s="80"/>
      <c r="G2898" s="81"/>
      <c r="H2898" s="83"/>
      <c r="I2898" s="82"/>
      <c r="J2898" s="83"/>
      <c r="K2898" s="82"/>
      <c r="L2898" s="81"/>
      <c r="M2898" s="82"/>
      <c r="N2898" s="81"/>
      <c r="O2898" s="82"/>
      <c r="P2898" s="81"/>
      <c r="Q2898" s="82"/>
      <c r="R2898" s="80"/>
      <c r="S2898" s="80"/>
      <c r="AB2898"/>
      <c r="AC2898"/>
    </row>
    <row r="2899" spans="1:29" x14ac:dyDescent="0.25">
      <c r="A2899" t="str">
        <f t="shared" si="46"/>
        <v/>
      </c>
      <c r="B2899" s="80"/>
      <c r="C2899" s="80"/>
      <c r="D2899" s="80"/>
      <c r="E2899" s="80"/>
      <c r="F2899" s="80"/>
      <c r="G2899" s="81"/>
      <c r="H2899" s="83"/>
      <c r="I2899" s="82"/>
      <c r="J2899" s="83"/>
      <c r="K2899" s="82"/>
      <c r="L2899" s="81"/>
      <c r="M2899" s="82"/>
      <c r="N2899" s="81"/>
      <c r="O2899" s="82"/>
      <c r="P2899" s="81"/>
      <c r="Q2899" s="82"/>
      <c r="R2899" s="80"/>
      <c r="S2899" s="80"/>
      <c r="AB2899"/>
      <c r="AC2899"/>
    </row>
    <row r="2900" spans="1:29" x14ac:dyDescent="0.25">
      <c r="A2900" t="str">
        <f t="shared" si="46"/>
        <v/>
      </c>
      <c r="B2900" s="80"/>
      <c r="C2900" s="80"/>
      <c r="D2900" s="80"/>
      <c r="E2900" s="80"/>
      <c r="F2900" s="80"/>
      <c r="G2900" s="81"/>
      <c r="H2900" s="83"/>
      <c r="I2900" s="82"/>
      <c r="J2900" s="83"/>
      <c r="K2900" s="82"/>
      <c r="L2900" s="81"/>
      <c r="M2900" s="82"/>
      <c r="N2900" s="81"/>
      <c r="O2900" s="82"/>
      <c r="P2900" s="81"/>
      <c r="Q2900" s="82"/>
      <c r="R2900" s="80"/>
      <c r="S2900" s="80"/>
      <c r="AB2900"/>
      <c r="AC2900"/>
    </row>
    <row r="2901" spans="1:29" x14ac:dyDescent="0.25">
      <c r="A2901" t="str">
        <f t="shared" si="46"/>
        <v/>
      </c>
      <c r="B2901" s="80"/>
      <c r="C2901" s="80"/>
      <c r="D2901" s="80"/>
      <c r="E2901" s="80"/>
      <c r="F2901" s="80"/>
      <c r="G2901" s="81"/>
      <c r="H2901" s="83"/>
      <c r="I2901" s="82"/>
      <c r="J2901" s="83"/>
      <c r="K2901" s="82"/>
      <c r="L2901" s="81"/>
      <c r="M2901" s="82"/>
      <c r="N2901" s="81"/>
      <c r="O2901" s="82"/>
      <c r="P2901" s="81"/>
      <c r="Q2901" s="82"/>
      <c r="R2901" s="80"/>
      <c r="S2901" s="80"/>
      <c r="AB2901"/>
      <c r="AC2901"/>
    </row>
    <row r="2902" spans="1:29" x14ac:dyDescent="0.25">
      <c r="A2902" t="str">
        <f t="shared" si="46"/>
        <v/>
      </c>
      <c r="B2902" s="80"/>
      <c r="C2902" s="80"/>
      <c r="D2902" s="80"/>
      <c r="E2902" s="80"/>
      <c r="F2902" s="80"/>
      <c r="G2902" s="81"/>
      <c r="H2902" s="83"/>
      <c r="I2902" s="82"/>
      <c r="J2902" s="83"/>
      <c r="K2902" s="82"/>
      <c r="L2902" s="81"/>
      <c r="M2902" s="82"/>
      <c r="N2902" s="81"/>
      <c r="O2902" s="82"/>
      <c r="P2902" s="81"/>
      <c r="Q2902" s="82"/>
      <c r="R2902" s="80"/>
      <c r="S2902" s="80"/>
      <c r="AB2902"/>
      <c r="AC2902"/>
    </row>
    <row r="2903" spans="1:29" x14ac:dyDescent="0.25">
      <c r="A2903" t="str">
        <f t="shared" si="46"/>
        <v/>
      </c>
      <c r="B2903" s="80"/>
      <c r="C2903" s="80"/>
      <c r="D2903" s="80"/>
      <c r="E2903" s="80"/>
      <c r="F2903" s="80"/>
      <c r="G2903" s="81"/>
      <c r="H2903" s="83"/>
      <c r="I2903" s="82"/>
      <c r="J2903" s="83"/>
      <c r="K2903" s="82"/>
      <c r="L2903" s="81"/>
      <c r="M2903" s="82"/>
      <c r="N2903" s="81"/>
      <c r="O2903" s="82"/>
      <c r="P2903" s="81"/>
      <c r="Q2903" s="82"/>
      <c r="R2903" s="80"/>
      <c r="S2903" s="80"/>
      <c r="AB2903"/>
      <c r="AC2903"/>
    </row>
    <row r="2904" spans="1:29" x14ac:dyDescent="0.25">
      <c r="A2904" t="str">
        <f t="shared" si="46"/>
        <v/>
      </c>
      <c r="B2904" s="80"/>
      <c r="C2904" s="80"/>
      <c r="D2904" s="80"/>
      <c r="E2904" s="80"/>
      <c r="F2904" s="80"/>
      <c r="G2904" s="81"/>
      <c r="H2904" s="83"/>
      <c r="I2904" s="82"/>
      <c r="J2904" s="83"/>
      <c r="K2904" s="82"/>
      <c r="L2904" s="81"/>
      <c r="M2904" s="82"/>
      <c r="N2904" s="81"/>
      <c r="O2904" s="82"/>
      <c r="P2904" s="81"/>
      <c r="Q2904" s="82"/>
      <c r="R2904" s="80"/>
      <c r="S2904" s="80"/>
      <c r="AB2904"/>
      <c r="AC2904"/>
    </row>
    <row r="2905" spans="1:29" x14ac:dyDescent="0.25">
      <c r="A2905" t="str">
        <f t="shared" si="46"/>
        <v/>
      </c>
      <c r="B2905" s="80"/>
      <c r="C2905" s="80"/>
      <c r="D2905" s="80"/>
      <c r="E2905" s="80"/>
      <c r="F2905" s="80"/>
      <c r="G2905" s="81"/>
      <c r="H2905" s="83"/>
      <c r="I2905" s="82"/>
      <c r="J2905" s="83"/>
      <c r="K2905" s="82"/>
      <c r="L2905" s="81"/>
      <c r="M2905" s="82"/>
      <c r="N2905" s="81"/>
      <c r="O2905" s="82"/>
      <c r="P2905" s="81"/>
      <c r="Q2905" s="82"/>
      <c r="R2905" s="80"/>
      <c r="S2905" s="80"/>
      <c r="AB2905"/>
      <c r="AC2905"/>
    </row>
    <row r="2906" spans="1:29" x14ac:dyDescent="0.25">
      <c r="A2906" t="str">
        <f t="shared" si="46"/>
        <v/>
      </c>
      <c r="B2906" s="80"/>
      <c r="C2906" s="80"/>
      <c r="D2906" s="80"/>
      <c r="E2906" s="80"/>
      <c r="F2906" s="80"/>
      <c r="G2906" s="81"/>
      <c r="H2906" s="83"/>
      <c r="I2906" s="82"/>
      <c r="J2906" s="83"/>
      <c r="K2906" s="82"/>
      <c r="L2906" s="81"/>
      <c r="M2906" s="82"/>
      <c r="N2906" s="81"/>
      <c r="O2906" s="82"/>
      <c r="P2906" s="81"/>
      <c r="Q2906" s="82"/>
      <c r="R2906" s="80"/>
      <c r="S2906" s="80"/>
      <c r="AB2906"/>
      <c r="AC2906"/>
    </row>
    <row r="2907" spans="1:29" x14ac:dyDescent="0.25">
      <c r="A2907" t="str">
        <f t="shared" si="46"/>
        <v/>
      </c>
      <c r="B2907" s="80"/>
      <c r="C2907" s="80"/>
      <c r="D2907" s="80"/>
      <c r="E2907" s="80"/>
      <c r="F2907" s="80"/>
      <c r="G2907" s="81"/>
      <c r="H2907" s="83"/>
      <c r="I2907" s="82"/>
      <c r="J2907" s="83"/>
      <c r="K2907" s="82"/>
      <c r="L2907" s="81"/>
      <c r="M2907" s="82"/>
      <c r="N2907" s="81"/>
      <c r="O2907" s="82"/>
      <c r="P2907" s="81"/>
      <c r="Q2907" s="82"/>
      <c r="R2907" s="80"/>
      <c r="S2907" s="80"/>
      <c r="AB2907"/>
      <c r="AC2907"/>
    </row>
    <row r="2908" spans="1:29" x14ac:dyDescent="0.25">
      <c r="A2908" t="str">
        <f t="shared" si="46"/>
        <v/>
      </c>
      <c r="B2908" s="80"/>
      <c r="C2908" s="80"/>
      <c r="D2908" s="80"/>
      <c r="E2908" s="80"/>
      <c r="F2908" s="80"/>
      <c r="G2908" s="81"/>
      <c r="H2908" s="83"/>
      <c r="I2908" s="82"/>
      <c r="J2908" s="83"/>
      <c r="K2908" s="82"/>
      <c r="L2908" s="81"/>
      <c r="M2908" s="82"/>
      <c r="N2908" s="81"/>
      <c r="O2908" s="82"/>
      <c r="P2908" s="81"/>
      <c r="Q2908" s="82"/>
      <c r="R2908" s="80"/>
      <c r="S2908" s="80"/>
      <c r="AB2908"/>
      <c r="AC2908"/>
    </row>
    <row r="2909" spans="1:29" x14ac:dyDescent="0.25">
      <c r="A2909" t="str">
        <f t="shared" si="46"/>
        <v/>
      </c>
      <c r="B2909" s="80"/>
      <c r="C2909" s="80"/>
      <c r="D2909" s="80"/>
      <c r="E2909" s="80"/>
      <c r="F2909" s="80"/>
      <c r="G2909" s="81"/>
      <c r="H2909" s="83"/>
      <c r="I2909" s="82"/>
      <c r="J2909" s="83"/>
      <c r="K2909" s="82"/>
      <c r="L2909" s="81"/>
      <c r="M2909" s="82"/>
      <c r="N2909" s="81"/>
      <c r="O2909" s="82"/>
      <c r="P2909" s="81"/>
      <c r="Q2909" s="82"/>
      <c r="R2909" s="80"/>
      <c r="S2909" s="80"/>
      <c r="AB2909"/>
      <c r="AC2909"/>
    </row>
    <row r="2910" spans="1:29" x14ac:dyDescent="0.25">
      <c r="A2910" t="str">
        <f t="shared" si="46"/>
        <v/>
      </c>
      <c r="B2910" s="80"/>
      <c r="C2910" s="80"/>
      <c r="D2910" s="80"/>
      <c r="E2910" s="80"/>
      <c r="F2910" s="80"/>
      <c r="G2910" s="81"/>
      <c r="H2910" s="83"/>
      <c r="I2910" s="82"/>
      <c r="J2910" s="83"/>
      <c r="K2910" s="82"/>
      <c r="L2910" s="81"/>
      <c r="M2910" s="82"/>
      <c r="N2910" s="81"/>
      <c r="O2910" s="82"/>
      <c r="P2910" s="81"/>
      <c r="Q2910" s="82"/>
      <c r="R2910" s="80"/>
      <c r="S2910" s="80"/>
      <c r="AB2910"/>
      <c r="AC2910"/>
    </row>
    <row r="2911" spans="1:29" x14ac:dyDescent="0.25">
      <c r="A2911" t="str">
        <f t="shared" si="46"/>
        <v/>
      </c>
      <c r="B2911" s="80"/>
      <c r="C2911" s="80"/>
      <c r="D2911" s="80"/>
      <c r="E2911" s="80"/>
      <c r="F2911" s="80"/>
      <c r="G2911" s="81"/>
      <c r="H2911" s="83"/>
      <c r="I2911" s="82"/>
      <c r="J2911" s="83"/>
      <c r="K2911" s="82"/>
      <c r="L2911" s="81"/>
      <c r="M2911" s="82"/>
      <c r="N2911" s="81"/>
      <c r="O2911" s="82"/>
      <c r="P2911" s="81"/>
      <c r="Q2911" s="82"/>
      <c r="R2911" s="80"/>
      <c r="S2911" s="80"/>
      <c r="AB2911"/>
      <c r="AC2911"/>
    </row>
    <row r="2912" spans="1:29" x14ac:dyDescent="0.25">
      <c r="A2912" t="str">
        <f t="shared" si="46"/>
        <v/>
      </c>
      <c r="B2912" s="80"/>
      <c r="C2912" s="80"/>
      <c r="D2912" s="80"/>
      <c r="E2912" s="80"/>
      <c r="F2912" s="80"/>
      <c r="G2912" s="81"/>
      <c r="H2912" s="83"/>
      <c r="I2912" s="82"/>
      <c r="J2912" s="83"/>
      <c r="K2912" s="82"/>
      <c r="L2912" s="81"/>
      <c r="M2912" s="82"/>
      <c r="N2912" s="81"/>
      <c r="O2912" s="82"/>
      <c r="P2912" s="81"/>
      <c r="Q2912" s="82"/>
      <c r="R2912" s="80"/>
      <c r="S2912" s="80"/>
      <c r="AB2912"/>
      <c r="AC2912"/>
    </row>
    <row r="2913" spans="1:29" x14ac:dyDescent="0.25">
      <c r="A2913" t="str">
        <f t="shared" si="46"/>
        <v/>
      </c>
      <c r="B2913" s="80"/>
      <c r="C2913" s="80"/>
      <c r="D2913" s="80"/>
      <c r="E2913" s="80"/>
      <c r="F2913" s="80"/>
      <c r="G2913" s="81"/>
      <c r="H2913" s="83"/>
      <c r="I2913" s="82"/>
      <c r="J2913" s="83"/>
      <c r="K2913" s="82"/>
      <c r="L2913" s="81"/>
      <c r="M2913" s="82"/>
      <c r="N2913" s="81"/>
      <c r="O2913" s="82"/>
      <c r="P2913" s="81"/>
      <c r="Q2913" s="82"/>
      <c r="R2913" s="80"/>
      <c r="S2913" s="80"/>
      <c r="AB2913"/>
      <c r="AC2913"/>
    </row>
    <row r="2914" spans="1:29" x14ac:dyDescent="0.25">
      <c r="A2914" t="str">
        <f t="shared" si="46"/>
        <v/>
      </c>
      <c r="B2914" s="80"/>
      <c r="C2914" s="80"/>
      <c r="D2914" s="80"/>
      <c r="E2914" s="80"/>
      <c r="F2914" s="80"/>
      <c r="G2914" s="81"/>
      <c r="H2914" s="83"/>
      <c r="I2914" s="82"/>
      <c r="J2914" s="83"/>
      <c r="K2914" s="82"/>
      <c r="L2914" s="81"/>
      <c r="M2914" s="82"/>
      <c r="N2914" s="81"/>
      <c r="O2914" s="82"/>
      <c r="P2914" s="81"/>
      <c r="Q2914" s="82"/>
      <c r="R2914" s="80"/>
      <c r="S2914" s="80"/>
      <c r="AB2914"/>
      <c r="AC2914"/>
    </row>
    <row r="2915" spans="1:29" x14ac:dyDescent="0.25">
      <c r="A2915" t="str">
        <f t="shared" si="46"/>
        <v/>
      </c>
      <c r="B2915" s="80"/>
      <c r="C2915" s="80"/>
      <c r="D2915" s="80"/>
      <c r="E2915" s="80"/>
      <c r="F2915" s="80"/>
      <c r="G2915" s="81"/>
      <c r="H2915" s="83"/>
      <c r="I2915" s="82"/>
      <c r="J2915" s="83"/>
      <c r="K2915" s="82"/>
      <c r="L2915" s="81"/>
      <c r="M2915" s="82"/>
      <c r="N2915" s="81"/>
      <c r="O2915" s="82"/>
      <c r="P2915" s="81"/>
      <c r="Q2915" s="82"/>
      <c r="R2915" s="80"/>
      <c r="S2915" s="80"/>
      <c r="AB2915"/>
      <c r="AC2915"/>
    </row>
    <row r="2916" spans="1:29" x14ac:dyDescent="0.25">
      <c r="A2916" t="str">
        <f t="shared" si="46"/>
        <v/>
      </c>
      <c r="B2916" s="80"/>
      <c r="C2916" s="80"/>
      <c r="D2916" s="80"/>
      <c r="E2916" s="80"/>
      <c r="F2916" s="80"/>
      <c r="G2916" s="81"/>
      <c r="H2916" s="83"/>
      <c r="I2916" s="82"/>
      <c r="J2916" s="83"/>
      <c r="K2916" s="82"/>
      <c r="L2916" s="81"/>
      <c r="M2916" s="82"/>
      <c r="N2916" s="81"/>
      <c r="O2916" s="82"/>
      <c r="P2916" s="81"/>
      <c r="Q2916" s="82"/>
      <c r="R2916" s="80"/>
      <c r="S2916" s="80"/>
      <c r="AB2916"/>
      <c r="AC2916"/>
    </row>
    <row r="2917" spans="1:29" x14ac:dyDescent="0.25">
      <c r="A2917" t="str">
        <f t="shared" si="46"/>
        <v/>
      </c>
      <c r="B2917" s="80"/>
      <c r="C2917" s="80"/>
      <c r="D2917" s="80"/>
      <c r="E2917" s="80"/>
      <c r="F2917" s="80"/>
      <c r="G2917" s="81"/>
      <c r="H2917" s="83"/>
      <c r="I2917" s="82"/>
      <c r="J2917" s="83"/>
      <c r="K2917" s="82"/>
      <c r="L2917" s="81"/>
      <c r="M2917" s="82"/>
      <c r="N2917" s="81"/>
      <c r="O2917" s="82"/>
      <c r="P2917" s="81"/>
      <c r="Q2917" s="82"/>
      <c r="R2917" s="80"/>
      <c r="S2917" s="80"/>
      <c r="AB2917"/>
      <c r="AC2917"/>
    </row>
    <row r="2918" spans="1:29" x14ac:dyDescent="0.25">
      <c r="A2918" t="str">
        <f t="shared" si="46"/>
        <v/>
      </c>
      <c r="B2918" s="80"/>
      <c r="C2918" s="80"/>
      <c r="D2918" s="80"/>
      <c r="E2918" s="80"/>
      <c r="F2918" s="80"/>
      <c r="G2918" s="81"/>
      <c r="H2918" s="83"/>
      <c r="I2918" s="82"/>
      <c r="J2918" s="83"/>
      <c r="K2918" s="82"/>
      <c r="L2918" s="81"/>
      <c r="M2918" s="82"/>
      <c r="N2918" s="81"/>
      <c r="O2918" s="82"/>
      <c r="P2918" s="81"/>
      <c r="Q2918" s="82"/>
      <c r="R2918" s="80"/>
      <c r="S2918" s="80"/>
      <c r="AB2918"/>
      <c r="AC2918"/>
    </row>
    <row r="2919" spans="1:29" x14ac:dyDescent="0.25">
      <c r="A2919" t="str">
        <f t="shared" si="46"/>
        <v/>
      </c>
      <c r="B2919" s="80"/>
      <c r="C2919" s="80"/>
      <c r="D2919" s="80"/>
      <c r="E2919" s="80"/>
      <c r="F2919" s="80"/>
      <c r="G2919" s="81"/>
      <c r="H2919" s="83"/>
      <c r="I2919" s="82"/>
      <c r="J2919" s="83"/>
      <c r="K2919" s="82"/>
      <c r="L2919" s="81"/>
      <c r="M2919" s="82"/>
      <c r="N2919" s="81"/>
      <c r="O2919" s="82"/>
      <c r="P2919" s="81"/>
      <c r="Q2919" s="82"/>
      <c r="R2919" s="80"/>
      <c r="S2919" s="80"/>
      <c r="AB2919"/>
      <c r="AC2919"/>
    </row>
    <row r="2920" spans="1:29" x14ac:dyDescent="0.25">
      <c r="A2920" t="str">
        <f t="shared" si="46"/>
        <v/>
      </c>
      <c r="B2920" s="80"/>
      <c r="C2920" s="80"/>
      <c r="D2920" s="80"/>
      <c r="E2920" s="80"/>
      <c r="F2920" s="80"/>
      <c r="G2920" s="81"/>
      <c r="H2920" s="83"/>
      <c r="I2920" s="82"/>
      <c r="J2920" s="83"/>
      <c r="K2920" s="82"/>
      <c r="L2920" s="81"/>
      <c r="M2920" s="82"/>
      <c r="N2920" s="81"/>
      <c r="O2920" s="82"/>
      <c r="P2920" s="81"/>
      <c r="Q2920" s="82"/>
      <c r="R2920" s="80"/>
      <c r="S2920" s="80"/>
      <c r="AB2920"/>
      <c r="AC2920"/>
    </row>
    <row r="2921" spans="1:29" x14ac:dyDescent="0.25">
      <c r="A2921" t="str">
        <f t="shared" si="46"/>
        <v/>
      </c>
      <c r="B2921" s="80"/>
      <c r="C2921" s="80"/>
      <c r="D2921" s="80"/>
      <c r="E2921" s="80"/>
      <c r="F2921" s="80"/>
      <c r="G2921" s="81"/>
      <c r="H2921" s="83"/>
      <c r="I2921" s="82"/>
      <c r="J2921" s="83"/>
      <c r="K2921" s="82"/>
      <c r="L2921" s="81"/>
      <c r="M2921" s="82"/>
      <c r="N2921" s="81"/>
      <c r="O2921" s="82"/>
      <c r="P2921" s="81"/>
      <c r="Q2921" s="82"/>
      <c r="R2921" s="80"/>
      <c r="S2921" s="80"/>
      <c r="AB2921"/>
      <c r="AC2921"/>
    </row>
    <row r="2922" spans="1:29" x14ac:dyDescent="0.25">
      <c r="A2922" t="str">
        <f t="shared" si="46"/>
        <v/>
      </c>
      <c r="B2922" s="80"/>
      <c r="C2922" s="80"/>
      <c r="D2922" s="80"/>
      <c r="E2922" s="80"/>
      <c r="F2922" s="80"/>
      <c r="G2922" s="81"/>
      <c r="H2922" s="83"/>
      <c r="I2922" s="82"/>
      <c r="J2922" s="83"/>
      <c r="K2922" s="82"/>
      <c r="L2922" s="81"/>
      <c r="M2922" s="82"/>
      <c r="N2922" s="81"/>
      <c r="O2922" s="82"/>
      <c r="P2922" s="81"/>
      <c r="Q2922" s="82"/>
      <c r="R2922" s="80"/>
      <c r="S2922" s="80"/>
      <c r="AB2922"/>
      <c r="AC2922"/>
    </row>
    <row r="2923" spans="1:29" x14ac:dyDescent="0.25">
      <c r="A2923" t="str">
        <f t="shared" si="46"/>
        <v/>
      </c>
      <c r="B2923" s="80"/>
      <c r="C2923" s="80"/>
      <c r="D2923" s="80"/>
      <c r="E2923" s="80"/>
      <c r="F2923" s="80"/>
      <c r="G2923" s="81"/>
      <c r="H2923" s="83"/>
      <c r="I2923" s="82"/>
      <c r="J2923" s="83"/>
      <c r="K2923" s="82"/>
      <c r="L2923" s="81"/>
      <c r="M2923" s="82"/>
      <c r="N2923" s="81"/>
      <c r="O2923" s="82"/>
      <c r="P2923" s="81"/>
      <c r="Q2923" s="82"/>
      <c r="R2923" s="80"/>
      <c r="S2923" s="80"/>
      <c r="AB2923"/>
      <c r="AC2923"/>
    </row>
    <row r="2924" spans="1:29" x14ac:dyDescent="0.25">
      <c r="A2924" t="str">
        <f t="shared" si="46"/>
        <v/>
      </c>
      <c r="B2924" s="80"/>
      <c r="C2924" s="80"/>
      <c r="D2924" s="80"/>
      <c r="E2924" s="80"/>
      <c r="F2924" s="80"/>
      <c r="G2924" s="81"/>
      <c r="H2924" s="83"/>
      <c r="I2924" s="82"/>
      <c r="J2924" s="83"/>
      <c r="K2924" s="82"/>
      <c r="L2924" s="81"/>
      <c r="M2924" s="82"/>
      <c r="N2924" s="81"/>
      <c r="O2924" s="82"/>
      <c r="P2924" s="81"/>
      <c r="Q2924" s="82"/>
      <c r="R2924" s="80"/>
      <c r="S2924" s="80"/>
      <c r="AB2924"/>
      <c r="AC2924"/>
    </row>
    <row r="2925" spans="1:29" x14ac:dyDescent="0.25">
      <c r="A2925" t="str">
        <f t="shared" si="46"/>
        <v/>
      </c>
      <c r="B2925" s="80"/>
      <c r="C2925" s="80"/>
      <c r="D2925" s="80"/>
      <c r="E2925" s="80"/>
      <c r="F2925" s="80"/>
      <c r="G2925" s="81"/>
      <c r="H2925" s="83"/>
      <c r="I2925" s="82"/>
      <c r="J2925" s="83"/>
      <c r="K2925" s="82"/>
      <c r="L2925" s="81"/>
      <c r="M2925" s="82"/>
      <c r="N2925" s="81"/>
      <c r="O2925" s="82"/>
      <c r="P2925" s="81"/>
      <c r="Q2925" s="82"/>
      <c r="R2925" s="80"/>
      <c r="S2925" s="80"/>
      <c r="AB2925"/>
      <c r="AC2925"/>
    </row>
    <row r="2926" spans="1:29" x14ac:dyDescent="0.25">
      <c r="A2926" t="str">
        <f t="shared" si="46"/>
        <v/>
      </c>
      <c r="B2926" s="80"/>
      <c r="C2926" s="80"/>
      <c r="D2926" s="80"/>
      <c r="E2926" s="80"/>
      <c r="F2926" s="80"/>
      <c r="G2926" s="81"/>
      <c r="H2926" s="83"/>
      <c r="I2926" s="82"/>
      <c r="J2926" s="83"/>
      <c r="K2926" s="82"/>
      <c r="L2926" s="81"/>
      <c r="M2926" s="82"/>
      <c r="N2926" s="81"/>
      <c r="O2926" s="82"/>
      <c r="P2926" s="81"/>
      <c r="Q2926" s="82"/>
      <c r="R2926" s="80"/>
      <c r="S2926" s="80"/>
      <c r="AB2926"/>
      <c r="AC2926"/>
    </row>
    <row r="2927" spans="1:29" x14ac:dyDescent="0.25">
      <c r="A2927" t="str">
        <f t="shared" si="46"/>
        <v/>
      </c>
      <c r="B2927" s="80"/>
      <c r="C2927" s="80"/>
      <c r="D2927" s="80"/>
      <c r="E2927" s="80"/>
      <c r="F2927" s="80"/>
      <c r="G2927" s="80"/>
      <c r="H2927" s="80"/>
      <c r="I2927" s="80"/>
      <c r="J2927" s="80"/>
      <c r="K2927" s="80"/>
      <c r="L2927" s="80"/>
      <c r="M2927" s="80"/>
      <c r="N2927" s="80"/>
      <c r="O2927" s="80"/>
      <c r="P2927" s="80"/>
      <c r="Q2927" s="80"/>
      <c r="R2927" s="80"/>
      <c r="S2927" s="80"/>
      <c r="AB2927"/>
      <c r="AC2927"/>
    </row>
    <row r="2928" spans="1:29" x14ac:dyDescent="0.25">
      <c r="A2928" t="str">
        <f t="shared" si="46"/>
        <v/>
      </c>
      <c r="B2928" s="80"/>
      <c r="C2928" s="80"/>
      <c r="D2928" s="80"/>
      <c r="E2928" s="80"/>
      <c r="F2928" s="80"/>
      <c r="G2928" s="81"/>
      <c r="H2928" s="83"/>
      <c r="I2928" s="82"/>
      <c r="J2928" s="83"/>
      <c r="K2928" s="82"/>
      <c r="L2928" s="81"/>
      <c r="M2928" s="82"/>
      <c r="N2928" s="81"/>
      <c r="O2928" s="82"/>
      <c r="P2928" s="81"/>
      <c r="Q2928" s="82"/>
      <c r="R2928" s="80"/>
      <c r="S2928" s="80"/>
      <c r="AB2928"/>
      <c r="AC2928"/>
    </row>
    <row r="2929" spans="1:29" x14ac:dyDescent="0.25">
      <c r="A2929" t="str">
        <f t="shared" si="46"/>
        <v/>
      </c>
      <c r="B2929" s="80"/>
      <c r="C2929" s="80"/>
      <c r="D2929" s="80"/>
      <c r="E2929" s="80"/>
      <c r="F2929" s="80"/>
      <c r="G2929" s="81"/>
      <c r="H2929" s="83"/>
      <c r="I2929" s="82"/>
      <c r="J2929" s="83"/>
      <c r="K2929" s="82"/>
      <c r="L2929" s="81"/>
      <c r="M2929" s="82"/>
      <c r="N2929" s="81"/>
      <c r="O2929" s="82"/>
      <c r="P2929" s="81"/>
      <c r="Q2929" s="82"/>
      <c r="R2929" s="80"/>
      <c r="S2929" s="80"/>
      <c r="AB2929"/>
      <c r="AC2929"/>
    </row>
    <row r="2930" spans="1:29" x14ac:dyDescent="0.25">
      <c r="A2930" t="str">
        <f t="shared" si="46"/>
        <v/>
      </c>
      <c r="B2930" s="80"/>
      <c r="C2930" s="80"/>
      <c r="D2930" s="80"/>
      <c r="E2930" s="80"/>
      <c r="F2930" s="80"/>
      <c r="G2930" s="81"/>
      <c r="H2930" s="83"/>
      <c r="I2930" s="82"/>
      <c r="J2930" s="83"/>
      <c r="K2930" s="82"/>
      <c r="L2930" s="81"/>
      <c r="M2930" s="82"/>
      <c r="N2930" s="81"/>
      <c r="O2930" s="82"/>
      <c r="P2930" s="81"/>
      <c r="Q2930" s="82"/>
      <c r="R2930" s="80"/>
      <c r="S2930" s="80"/>
      <c r="AB2930"/>
      <c r="AC2930"/>
    </row>
    <row r="2931" spans="1:29" x14ac:dyDescent="0.25">
      <c r="A2931" t="str">
        <f t="shared" si="46"/>
        <v/>
      </c>
      <c r="B2931" s="80"/>
      <c r="C2931" s="80"/>
      <c r="D2931" s="80"/>
      <c r="E2931" s="80"/>
      <c r="F2931" s="80"/>
      <c r="G2931" s="81"/>
      <c r="H2931" s="83"/>
      <c r="I2931" s="82"/>
      <c r="J2931" s="83"/>
      <c r="K2931" s="82"/>
      <c r="L2931" s="81"/>
      <c r="M2931" s="82"/>
      <c r="N2931" s="81"/>
      <c r="O2931" s="82"/>
      <c r="P2931" s="81"/>
      <c r="Q2931" s="82"/>
      <c r="R2931" s="80"/>
      <c r="S2931" s="80"/>
      <c r="AB2931"/>
      <c r="AC2931"/>
    </row>
    <row r="2932" spans="1:29" x14ac:dyDescent="0.25">
      <c r="A2932" t="str">
        <f t="shared" si="46"/>
        <v/>
      </c>
      <c r="B2932" s="80"/>
      <c r="C2932" s="80"/>
      <c r="D2932" s="80"/>
      <c r="E2932" s="80"/>
      <c r="F2932" s="80"/>
      <c r="G2932" s="81"/>
      <c r="H2932" s="83"/>
      <c r="I2932" s="82"/>
      <c r="J2932" s="83"/>
      <c r="K2932" s="82"/>
      <c r="L2932" s="81"/>
      <c r="M2932" s="82"/>
      <c r="N2932" s="81"/>
      <c r="O2932" s="82"/>
      <c r="P2932" s="81"/>
      <c r="Q2932" s="82"/>
      <c r="R2932" s="80"/>
      <c r="S2932" s="80"/>
      <c r="AB2932"/>
      <c r="AC2932"/>
    </row>
    <row r="2933" spans="1:29" x14ac:dyDescent="0.25">
      <c r="A2933" t="str">
        <f t="shared" si="46"/>
        <v/>
      </c>
      <c r="B2933" s="80"/>
      <c r="C2933" s="80"/>
      <c r="D2933" s="80"/>
      <c r="E2933" s="80"/>
      <c r="F2933" s="80"/>
      <c r="G2933" s="81"/>
      <c r="H2933" s="83"/>
      <c r="I2933" s="82"/>
      <c r="J2933" s="83"/>
      <c r="K2933" s="82"/>
      <c r="L2933" s="81"/>
      <c r="M2933" s="82"/>
      <c r="N2933" s="81"/>
      <c r="O2933" s="82"/>
      <c r="P2933" s="81"/>
      <c r="Q2933" s="82"/>
      <c r="R2933" s="80"/>
      <c r="S2933" s="80"/>
      <c r="AB2933"/>
      <c r="AC2933"/>
    </row>
    <row r="2934" spans="1:29" x14ac:dyDescent="0.25">
      <c r="A2934" t="str">
        <f t="shared" si="46"/>
        <v/>
      </c>
      <c r="B2934" s="80"/>
      <c r="C2934" s="80"/>
      <c r="D2934" s="80"/>
      <c r="E2934" s="80"/>
      <c r="F2934" s="80"/>
      <c r="G2934" s="81"/>
      <c r="H2934" s="83"/>
      <c r="I2934" s="82"/>
      <c r="J2934" s="83"/>
      <c r="K2934" s="82"/>
      <c r="L2934" s="81"/>
      <c r="M2934" s="82"/>
      <c r="N2934" s="81"/>
      <c r="O2934" s="82"/>
      <c r="P2934" s="81"/>
      <c r="Q2934" s="82"/>
      <c r="R2934" s="80"/>
      <c r="S2934" s="80"/>
      <c r="AB2934"/>
      <c r="AC2934"/>
    </row>
    <row r="2935" spans="1:29" x14ac:dyDescent="0.25">
      <c r="A2935" t="str">
        <f t="shared" si="46"/>
        <v/>
      </c>
      <c r="B2935" s="80"/>
      <c r="C2935" s="80"/>
      <c r="D2935" s="80"/>
      <c r="E2935" s="80"/>
      <c r="F2935" s="80"/>
      <c r="G2935" s="81"/>
      <c r="H2935" s="83"/>
      <c r="I2935" s="82"/>
      <c r="J2935" s="83"/>
      <c r="K2935" s="82"/>
      <c r="L2935" s="81"/>
      <c r="M2935" s="82"/>
      <c r="N2935" s="81"/>
      <c r="O2935" s="82"/>
      <c r="P2935" s="81"/>
      <c r="Q2935" s="82"/>
      <c r="R2935" s="80"/>
      <c r="S2935" s="80"/>
      <c r="AB2935"/>
      <c r="AC2935"/>
    </row>
    <row r="2936" spans="1:29" x14ac:dyDescent="0.25">
      <c r="A2936" t="str">
        <f t="shared" si="46"/>
        <v/>
      </c>
      <c r="B2936" s="59"/>
      <c r="C2936" s="59"/>
      <c r="D2936" s="59"/>
      <c r="E2936" s="59"/>
      <c r="F2936" s="59"/>
      <c r="G2936" s="61"/>
      <c r="H2936" s="63"/>
      <c r="I2936" s="62"/>
      <c r="J2936" s="63"/>
      <c r="K2936" s="62"/>
      <c r="L2936" s="61"/>
      <c r="M2936" s="62"/>
      <c r="N2936" s="61"/>
      <c r="O2936" s="62"/>
      <c r="P2936" s="61"/>
      <c r="Q2936" s="62"/>
      <c r="R2936" s="59"/>
      <c r="S2936" s="59"/>
      <c r="AB2936"/>
      <c r="AC2936"/>
    </row>
    <row r="2937" spans="1:29" x14ac:dyDescent="0.25">
      <c r="A2937" t="str">
        <f t="shared" si="46"/>
        <v/>
      </c>
      <c r="B2937" s="59"/>
      <c r="C2937" s="59"/>
      <c r="D2937" s="59"/>
      <c r="E2937" s="59"/>
      <c r="F2937" s="59"/>
      <c r="G2937" s="61"/>
      <c r="H2937" s="63"/>
      <c r="I2937" s="62"/>
      <c r="J2937" s="63"/>
      <c r="K2937" s="62"/>
      <c r="L2937" s="61"/>
      <c r="M2937" s="62"/>
      <c r="N2937" s="61"/>
      <c r="O2937" s="62"/>
      <c r="P2937" s="61"/>
      <c r="Q2937" s="62"/>
      <c r="R2937" s="59"/>
      <c r="S2937" s="59"/>
      <c r="AB2937"/>
      <c r="AC2937"/>
    </row>
    <row r="2938" spans="1:29" x14ac:dyDescent="0.25">
      <c r="B2938" s="59"/>
      <c r="C2938" s="59"/>
      <c r="D2938" s="59"/>
      <c r="E2938" s="59"/>
      <c r="F2938" s="59"/>
      <c r="G2938" s="61"/>
      <c r="H2938" s="63"/>
      <c r="I2938" s="62"/>
      <c r="J2938" s="63"/>
      <c r="K2938" s="62"/>
      <c r="L2938" s="61"/>
      <c r="M2938" s="62"/>
      <c r="N2938" s="61"/>
      <c r="O2938" s="62"/>
      <c r="P2938" s="61"/>
      <c r="Q2938" s="62"/>
      <c r="R2938" s="59"/>
      <c r="S2938" s="59"/>
      <c r="AB2938"/>
      <c r="AC2938"/>
    </row>
    <row r="2939" spans="1:29" x14ac:dyDescent="0.25">
      <c r="A2939" t="str">
        <f t="shared" si="46"/>
        <v/>
      </c>
      <c r="B2939" s="59"/>
      <c r="C2939" s="59"/>
      <c r="D2939" s="59"/>
      <c r="E2939" s="59"/>
      <c r="F2939" s="59"/>
      <c r="G2939" s="61"/>
      <c r="H2939" s="63"/>
      <c r="I2939" s="62"/>
      <c r="J2939" s="63"/>
      <c r="K2939" s="62"/>
      <c r="L2939" s="61"/>
      <c r="M2939" s="62"/>
      <c r="N2939" s="61"/>
      <c r="O2939" s="62"/>
      <c r="P2939" s="61"/>
      <c r="Q2939" s="62"/>
      <c r="R2939" s="59"/>
      <c r="S2939" s="59"/>
      <c r="AB2939"/>
      <c r="AC2939"/>
    </row>
    <row r="2940" spans="1:29" x14ac:dyDescent="0.25">
      <c r="A2940" t="str">
        <f t="shared" si="46"/>
        <v/>
      </c>
      <c r="B2940" s="59"/>
      <c r="C2940" s="59"/>
      <c r="D2940" s="59"/>
      <c r="E2940" s="59"/>
      <c r="F2940" s="59"/>
      <c r="G2940" s="61"/>
      <c r="H2940" s="63"/>
      <c r="I2940" s="62"/>
      <c r="J2940" s="63"/>
      <c r="K2940" s="62"/>
      <c r="L2940" s="61"/>
      <c r="M2940" s="62"/>
      <c r="N2940" s="61"/>
      <c r="O2940" s="62"/>
      <c r="P2940" s="61"/>
      <c r="Q2940" s="62"/>
      <c r="R2940" s="59"/>
      <c r="S2940" s="59"/>
      <c r="AB2940"/>
      <c r="AC2940"/>
    </row>
    <row r="2941" spans="1:29" x14ac:dyDescent="0.25">
      <c r="A2941" t="str">
        <f t="shared" si="46"/>
        <v/>
      </c>
      <c r="B2941" s="59"/>
      <c r="C2941" s="59"/>
      <c r="D2941" s="59"/>
      <c r="E2941" s="59"/>
      <c r="F2941" s="59"/>
      <c r="G2941" s="61"/>
      <c r="H2941" s="63"/>
      <c r="I2941" s="62"/>
      <c r="J2941" s="63"/>
      <c r="K2941" s="62"/>
      <c r="L2941" s="61"/>
      <c r="M2941" s="62"/>
      <c r="N2941" s="61"/>
      <c r="O2941" s="62"/>
      <c r="P2941" s="61"/>
      <c r="Q2941" s="62"/>
      <c r="R2941" s="59"/>
      <c r="S2941" s="59"/>
      <c r="AB2941"/>
      <c r="AC2941"/>
    </row>
    <row r="2942" spans="1:29" x14ac:dyDescent="0.25">
      <c r="A2942" t="str">
        <f t="shared" si="46"/>
        <v/>
      </c>
      <c r="B2942" s="59"/>
      <c r="C2942" s="59"/>
      <c r="D2942" s="59"/>
      <c r="E2942" s="59"/>
      <c r="F2942" s="59"/>
      <c r="G2942" s="61"/>
      <c r="H2942" s="63"/>
      <c r="I2942" s="62"/>
      <c r="J2942" s="63"/>
      <c r="K2942" s="62"/>
      <c r="L2942" s="61"/>
      <c r="M2942" s="62"/>
      <c r="N2942" s="61"/>
      <c r="O2942" s="62"/>
      <c r="P2942" s="61"/>
      <c r="Q2942" s="62"/>
      <c r="R2942" s="59"/>
      <c r="S2942" s="59"/>
      <c r="AB2942"/>
      <c r="AC2942"/>
    </row>
    <row r="2943" spans="1:29" x14ac:dyDescent="0.25">
      <c r="A2943" t="str">
        <f t="shared" si="46"/>
        <v/>
      </c>
      <c r="B2943" s="59"/>
      <c r="C2943" s="59"/>
      <c r="D2943" s="59"/>
      <c r="E2943" s="59"/>
      <c r="F2943" s="59"/>
      <c r="G2943" s="61"/>
      <c r="H2943" s="63"/>
      <c r="I2943" s="62"/>
      <c r="J2943" s="63"/>
      <c r="K2943" s="62"/>
      <c r="L2943" s="61"/>
      <c r="M2943" s="62"/>
      <c r="N2943" s="61"/>
      <c r="O2943" s="62"/>
      <c r="P2943" s="61"/>
      <c r="Q2943" s="62"/>
      <c r="R2943" s="59"/>
      <c r="S2943" s="59"/>
      <c r="AB2943"/>
      <c r="AC2943"/>
    </row>
    <row r="2944" spans="1:29" x14ac:dyDescent="0.25">
      <c r="A2944" t="str">
        <f t="shared" si="46"/>
        <v/>
      </c>
      <c r="B2944" s="59"/>
      <c r="C2944" s="59"/>
      <c r="D2944" s="59"/>
      <c r="E2944" s="59"/>
      <c r="F2944" s="59"/>
      <c r="G2944" s="61"/>
      <c r="H2944" s="63"/>
      <c r="I2944" s="62"/>
      <c r="J2944" s="63"/>
      <c r="K2944" s="62"/>
      <c r="L2944" s="61"/>
      <c r="M2944" s="62"/>
      <c r="N2944" s="61"/>
      <c r="O2944" s="62"/>
      <c r="P2944" s="61"/>
      <c r="Q2944" s="62"/>
      <c r="R2944" s="59"/>
      <c r="S2944" s="59"/>
      <c r="AB2944"/>
      <c r="AC2944"/>
    </row>
    <row r="2945" spans="1:29" x14ac:dyDescent="0.25">
      <c r="A2945" t="str">
        <f t="shared" si="46"/>
        <v/>
      </c>
      <c r="B2945" s="59"/>
      <c r="C2945" s="59"/>
      <c r="D2945" s="59"/>
      <c r="E2945" s="59"/>
      <c r="F2945" s="59"/>
      <c r="G2945" s="61"/>
      <c r="H2945" s="63"/>
      <c r="I2945" s="62"/>
      <c r="J2945" s="63"/>
      <c r="K2945" s="62"/>
      <c r="L2945" s="61"/>
      <c r="M2945" s="62"/>
      <c r="N2945" s="61"/>
      <c r="O2945" s="62"/>
      <c r="P2945" s="61"/>
      <c r="Q2945" s="62"/>
      <c r="R2945" s="59"/>
      <c r="S2945" s="59"/>
      <c r="AB2945"/>
      <c r="AC2945"/>
    </row>
    <row r="2946" spans="1:29" x14ac:dyDescent="0.25">
      <c r="A2946" t="str">
        <f t="shared" si="46"/>
        <v/>
      </c>
      <c r="B2946" s="59"/>
      <c r="C2946" s="59"/>
      <c r="D2946" s="59"/>
      <c r="E2946" s="59"/>
      <c r="F2946" s="59"/>
      <c r="G2946" s="61"/>
      <c r="H2946" s="63"/>
      <c r="I2946" s="62"/>
      <c r="J2946" s="63"/>
      <c r="K2946" s="62"/>
      <c r="L2946" s="61"/>
      <c r="M2946" s="62"/>
      <c r="N2946" s="61"/>
      <c r="O2946" s="62"/>
      <c r="P2946" s="61"/>
      <c r="Q2946" s="62"/>
      <c r="R2946" s="59"/>
      <c r="S2946" s="59"/>
      <c r="AB2946"/>
      <c r="AC2946"/>
    </row>
    <row r="2947" spans="1:29" x14ac:dyDescent="0.25">
      <c r="A2947" t="str">
        <f t="shared" si="46"/>
        <v/>
      </c>
      <c r="B2947" s="59"/>
      <c r="C2947" s="59"/>
      <c r="D2947" s="59"/>
      <c r="E2947" s="59"/>
      <c r="F2947" s="59"/>
      <c r="G2947" s="61"/>
      <c r="H2947" s="63"/>
      <c r="I2947" s="62"/>
      <c r="J2947" s="63"/>
      <c r="K2947" s="62"/>
      <c r="L2947" s="61"/>
      <c r="M2947" s="62"/>
      <c r="N2947" s="61"/>
      <c r="O2947" s="62"/>
      <c r="P2947" s="61"/>
      <c r="Q2947" s="62"/>
      <c r="R2947" s="59"/>
      <c r="S2947" s="59"/>
      <c r="AB2947"/>
      <c r="AC2947"/>
    </row>
    <row r="2948" spans="1:29" x14ac:dyDescent="0.25">
      <c r="A2948" t="str">
        <f t="shared" si="46"/>
        <v/>
      </c>
      <c r="B2948" s="59"/>
      <c r="C2948" s="59"/>
      <c r="D2948" s="59"/>
      <c r="E2948" s="59"/>
      <c r="F2948" s="59"/>
      <c r="G2948" s="61"/>
      <c r="H2948" s="63"/>
      <c r="I2948" s="62"/>
      <c r="J2948" s="63"/>
      <c r="K2948" s="62"/>
      <c r="L2948" s="61"/>
      <c r="M2948" s="62"/>
      <c r="N2948" s="61"/>
      <c r="O2948" s="62"/>
      <c r="P2948" s="61"/>
      <c r="Q2948" s="62"/>
      <c r="R2948" s="59"/>
      <c r="S2948" s="59"/>
      <c r="AB2948"/>
      <c r="AC2948"/>
    </row>
    <row r="2949" spans="1:29" x14ac:dyDescent="0.25">
      <c r="A2949" t="str">
        <f t="shared" si="46"/>
        <v/>
      </c>
      <c r="B2949" s="59"/>
      <c r="C2949" s="59"/>
      <c r="D2949" s="59"/>
      <c r="E2949" s="59"/>
      <c r="F2949" s="59"/>
      <c r="G2949" s="61"/>
      <c r="H2949" s="63"/>
      <c r="I2949" s="62"/>
      <c r="J2949" s="63"/>
      <c r="K2949" s="62"/>
      <c r="L2949" s="61"/>
      <c r="M2949" s="62"/>
      <c r="N2949" s="61"/>
      <c r="O2949" s="62"/>
      <c r="P2949" s="61"/>
      <c r="Q2949" s="62"/>
      <c r="R2949" s="59"/>
      <c r="S2949" s="59"/>
      <c r="AB2949"/>
      <c r="AC2949"/>
    </row>
    <row r="2950" spans="1:29" x14ac:dyDescent="0.25">
      <c r="A2950" t="str">
        <f t="shared" si="46"/>
        <v/>
      </c>
      <c r="B2950" s="59"/>
      <c r="C2950" s="59"/>
      <c r="D2950" s="59"/>
      <c r="E2950" s="59"/>
      <c r="F2950" s="59"/>
      <c r="G2950" s="61"/>
      <c r="H2950" s="63"/>
      <c r="I2950" s="62"/>
      <c r="J2950" s="63"/>
      <c r="K2950" s="62"/>
      <c r="L2950" s="61"/>
      <c r="M2950" s="62"/>
      <c r="N2950" s="61"/>
      <c r="O2950" s="62"/>
      <c r="P2950" s="61"/>
      <c r="Q2950" s="62"/>
      <c r="R2950" s="59"/>
      <c r="S2950" s="59"/>
      <c r="AB2950"/>
      <c r="AC2950"/>
    </row>
    <row r="2951" spans="1:29" x14ac:dyDescent="0.25">
      <c r="A2951" t="str">
        <f t="shared" ref="A2951:A3007" si="47">B2949&amp;D2949</f>
        <v/>
      </c>
      <c r="B2951" s="59"/>
      <c r="C2951" s="59"/>
      <c r="D2951" s="59"/>
      <c r="E2951" s="59"/>
      <c r="F2951" s="59"/>
      <c r="G2951" s="61"/>
      <c r="H2951" s="63"/>
      <c r="I2951" s="62"/>
      <c r="J2951" s="63"/>
      <c r="K2951" s="62"/>
      <c r="L2951" s="61"/>
      <c r="M2951" s="62"/>
      <c r="N2951" s="61"/>
      <c r="O2951" s="62"/>
      <c r="P2951" s="61"/>
      <c r="Q2951" s="62"/>
      <c r="R2951" s="59"/>
      <c r="S2951" s="59"/>
      <c r="AB2951"/>
      <c r="AC2951"/>
    </row>
    <row r="2952" spans="1:29" x14ac:dyDescent="0.25">
      <c r="A2952" t="str">
        <f t="shared" si="47"/>
        <v/>
      </c>
      <c r="B2952" s="59"/>
      <c r="C2952" s="59"/>
      <c r="D2952" s="59"/>
      <c r="E2952" s="59"/>
      <c r="F2952" s="59"/>
      <c r="G2952" s="61"/>
      <c r="H2952" s="63"/>
      <c r="I2952" s="62"/>
      <c r="J2952" s="63"/>
      <c r="K2952" s="62"/>
      <c r="L2952" s="61"/>
      <c r="M2952" s="62"/>
      <c r="N2952" s="61"/>
      <c r="O2952" s="62"/>
      <c r="P2952" s="61"/>
      <c r="Q2952" s="62"/>
      <c r="R2952" s="59"/>
      <c r="S2952" s="59"/>
      <c r="AB2952"/>
      <c r="AC2952"/>
    </row>
    <row r="2953" spans="1:29" x14ac:dyDescent="0.25">
      <c r="A2953" t="str">
        <f t="shared" si="47"/>
        <v/>
      </c>
      <c r="B2953" s="59"/>
      <c r="C2953" s="59"/>
      <c r="D2953" s="59"/>
      <c r="E2953" s="59"/>
      <c r="F2953" s="59"/>
      <c r="G2953" s="61"/>
      <c r="H2953" s="63"/>
      <c r="I2953" s="62"/>
      <c r="J2953" s="63"/>
      <c r="K2953" s="62"/>
      <c r="L2953" s="61"/>
      <c r="M2953" s="62"/>
      <c r="N2953" s="61"/>
      <c r="O2953" s="62"/>
      <c r="P2953" s="61"/>
      <c r="Q2953" s="62"/>
      <c r="R2953" s="59"/>
      <c r="S2953" s="59"/>
      <c r="AB2953"/>
      <c r="AC2953"/>
    </row>
    <row r="2954" spans="1:29" x14ac:dyDescent="0.25">
      <c r="A2954" t="str">
        <f t="shared" si="47"/>
        <v/>
      </c>
      <c r="B2954" s="59"/>
      <c r="C2954" s="59"/>
      <c r="D2954" s="59"/>
      <c r="E2954" s="59"/>
      <c r="F2954" s="59"/>
      <c r="G2954" s="61"/>
      <c r="H2954" s="63"/>
      <c r="I2954" s="62"/>
      <c r="J2954" s="63"/>
      <c r="K2954" s="62"/>
      <c r="L2954" s="61"/>
      <c r="M2954" s="62"/>
      <c r="N2954" s="61"/>
      <c r="O2954" s="62"/>
      <c r="P2954" s="61"/>
      <c r="Q2954" s="62"/>
      <c r="R2954" s="59"/>
      <c r="S2954" s="59"/>
      <c r="AB2954"/>
      <c r="AC2954"/>
    </row>
    <row r="2955" spans="1:29" x14ac:dyDescent="0.25">
      <c r="A2955" t="str">
        <f t="shared" si="47"/>
        <v/>
      </c>
      <c r="B2955" s="59"/>
      <c r="C2955" s="59"/>
      <c r="D2955" s="59"/>
      <c r="E2955" s="59"/>
      <c r="F2955" s="59"/>
      <c r="G2955" s="61"/>
      <c r="H2955" s="63"/>
      <c r="I2955" s="62"/>
      <c r="J2955" s="63"/>
      <c r="K2955" s="62"/>
      <c r="L2955" s="61"/>
      <c r="M2955" s="62"/>
      <c r="N2955" s="61"/>
      <c r="O2955" s="62"/>
      <c r="P2955" s="61"/>
      <c r="Q2955" s="62"/>
      <c r="R2955" s="59"/>
      <c r="S2955" s="59"/>
      <c r="AB2955"/>
      <c r="AC2955"/>
    </row>
    <row r="2956" spans="1:29" x14ac:dyDescent="0.25">
      <c r="A2956" t="str">
        <f t="shared" si="47"/>
        <v/>
      </c>
      <c r="B2956" s="59"/>
      <c r="C2956" s="59"/>
      <c r="D2956" s="59"/>
      <c r="E2956" s="59"/>
      <c r="F2956" s="59"/>
      <c r="G2956" s="61"/>
      <c r="H2956" s="63"/>
      <c r="I2956" s="62"/>
      <c r="J2956" s="63"/>
      <c r="K2956" s="62"/>
      <c r="L2956" s="61"/>
      <c r="M2956" s="62"/>
      <c r="N2956" s="61"/>
      <c r="O2956" s="62"/>
      <c r="P2956" s="61"/>
      <c r="Q2956" s="62"/>
      <c r="R2956" s="59"/>
      <c r="S2956" s="59"/>
      <c r="AB2956"/>
      <c r="AC2956"/>
    </row>
    <row r="2957" spans="1:29" x14ac:dyDescent="0.25">
      <c r="A2957" t="str">
        <f t="shared" si="47"/>
        <v/>
      </c>
      <c r="B2957" s="59"/>
      <c r="C2957" s="59"/>
      <c r="D2957" s="59"/>
      <c r="E2957" s="59"/>
      <c r="F2957" s="59"/>
      <c r="G2957" s="61"/>
      <c r="H2957" s="63"/>
      <c r="I2957" s="62"/>
      <c r="J2957" s="63"/>
      <c r="K2957" s="62"/>
      <c r="L2957" s="61"/>
      <c r="M2957" s="62"/>
      <c r="N2957" s="61"/>
      <c r="O2957" s="62"/>
      <c r="P2957" s="61"/>
      <c r="Q2957" s="62"/>
      <c r="R2957" s="59"/>
      <c r="S2957" s="59"/>
      <c r="AB2957"/>
      <c r="AC2957"/>
    </row>
    <row r="2958" spans="1:29" x14ac:dyDescent="0.25">
      <c r="A2958" t="str">
        <f t="shared" si="47"/>
        <v/>
      </c>
      <c r="B2958" s="59"/>
      <c r="C2958" s="59"/>
      <c r="D2958" s="59"/>
      <c r="E2958" s="59"/>
      <c r="F2958" s="59"/>
      <c r="G2958" s="61"/>
      <c r="H2958" s="63"/>
      <c r="I2958" s="62"/>
      <c r="J2958" s="63"/>
      <c r="K2958" s="62"/>
      <c r="L2958" s="61"/>
      <c r="M2958" s="62"/>
      <c r="N2958" s="61"/>
      <c r="O2958" s="62"/>
      <c r="P2958" s="61"/>
      <c r="Q2958" s="62"/>
      <c r="R2958" s="59"/>
      <c r="S2958" s="59"/>
      <c r="AB2958"/>
      <c r="AC2958"/>
    </row>
    <row r="2959" spans="1:29" x14ac:dyDescent="0.25">
      <c r="A2959" t="str">
        <f t="shared" si="47"/>
        <v/>
      </c>
      <c r="B2959" s="59"/>
      <c r="C2959" s="59"/>
      <c r="D2959" s="59"/>
      <c r="E2959" s="59"/>
      <c r="F2959" s="59"/>
      <c r="G2959" s="61"/>
      <c r="H2959" s="63"/>
      <c r="I2959" s="62"/>
      <c r="J2959" s="63"/>
      <c r="K2959" s="62"/>
      <c r="L2959" s="61"/>
      <c r="M2959" s="62"/>
      <c r="N2959" s="61"/>
      <c r="O2959" s="62"/>
      <c r="P2959" s="61"/>
      <c r="Q2959" s="62"/>
      <c r="R2959" s="59"/>
      <c r="S2959" s="59"/>
      <c r="AB2959"/>
      <c r="AC2959"/>
    </row>
    <row r="2960" spans="1:29" x14ac:dyDescent="0.25">
      <c r="A2960" t="str">
        <f t="shared" si="47"/>
        <v/>
      </c>
      <c r="B2960" s="59"/>
      <c r="C2960" s="59"/>
      <c r="D2960" s="59"/>
      <c r="E2960" s="59"/>
      <c r="F2960" s="59"/>
      <c r="G2960" s="61"/>
      <c r="H2960" s="63"/>
      <c r="I2960" s="62"/>
      <c r="J2960" s="63"/>
      <c r="K2960" s="62"/>
      <c r="L2960" s="61"/>
      <c r="M2960" s="62"/>
      <c r="N2960" s="61"/>
      <c r="O2960" s="62"/>
      <c r="P2960" s="61"/>
      <c r="Q2960" s="62"/>
      <c r="R2960" s="59"/>
      <c r="S2960" s="59"/>
      <c r="AB2960"/>
      <c r="AC2960"/>
    </row>
    <row r="2961" spans="1:29" x14ac:dyDescent="0.25">
      <c r="A2961" t="str">
        <f t="shared" si="47"/>
        <v/>
      </c>
      <c r="B2961" s="59"/>
      <c r="C2961" s="59"/>
      <c r="D2961" s="59"/>
      <c r="E2961" s="59"/>
      <c r="F2961" s="59"/>
      <c r="G2961" s="61"/>
      <c r="H2961" s="63"/>
      <c r="I2961" s="62"/>
      <c r="J2961" s="63"/>
      <c r="K2961" s="62"/>
      <c r="L2961" s="61"/>
      <c r="M2961" s="62"/>
      <c r="N2961" s="61"/>
      <c r="O2961" s="62"/>
      <c r="P2961" s="61"/>
      <c r="Q2961" s="62"/>
      <c r="R2961" s="59"/>
      <c r="S2961" s="59"/>
      <c r="AB2961"/>
      <c r="AC2961"/>
    </row>
    <row r="2962" spans="1:29" x14ac:dyDescent="0.25">
      <c r="A2962" t="str">
        <f t="shared" si="47"/>
        <v/>
      </c>
      <c r="B2962" s="59"/>
      <c r="C2962" s="59"/>
      <c r="D2962" s="59"/>
      <c r="E2962" s="59"/>
      <c r="F2962" s="59"/>
      <c r="G2962" s="61"/>
      <c r="H2962" s="63"/>
      <c r="I2962" s="62"/>
      <c r="J2962" s="63"/>
      <c r="K2962" s="62"/>
      <c r="L2962" s="61"/>
      <c r="M2962" s="62"/>
      <c r="N2962" s="61"/>
      <c r="O2962" s="62"/>
      <c r="P2962" s="61"/>
      <c r="Q2962" s="62"/>
      <c r="R2962" s="59"/>
      <c r="S2962" s="59"/>
      <c r="AB2962"/>
      <c r="AC2962"/>
    </row>
    <row r="2963" spans="1:29" x14ac:dyDescent="0.25">
      <c r="A2963" t="str">
        <f t="shared" si="47"/>
        <v/>
      </c>
      <c r="B2963" s="59"/>
      <c r="C2963" s="59"/>
      <c r="D2963" s="59"/>
      <c r="E2963" s="59"/>
      <c r="F2963" s="59"/>
      <c r="G2963" s="61"/>
      <c r="H2963" s="63"/>
      <c r="I2963" s="62"/>
      <c r="J2963" s="63"/>
      <c r="K2963" s="62"/>
      <c r="L2963" s="61"/>
      <c r="M2963" s="62"/>
      <c r="N2963" s="61"/>
      <c r="O2963" s="62"/>
      <c r="P2963" s="61"/>
      <c r="Q2963" s="62"/>
      <c r="R2963" s="59"/>
      <c r="S2963" s="59"/>
      <c r="AB2963"/>
      <c r="AC2963"/>
    </row>
    <row r="2964" spans="1:29" x14ac:dyDescent="0.25">
      <c r="A2964" t="str">
        <f t="shared" si="47"/>
        <v/>
      </c>
      <c r="B2964" s="59"/>
      <c r="C2964" s="59"/>
      <c r="D2964" s="59"/>
      <c r="E2964" s="59"/>
      <c r="F2964" s="59"/>
      <c r="G2964" s="61"/>
      <c r="H2964" s="63"/>
      <c r="I2964" s="62"/>
      <c r="J2964" s="63"/>
      <c r="K2964" s="62"/>
      <c r="L2964" s="61"/>
      <c r="M2964" s="62"/>
      <c r="N2964" s="61"/>
      <c r="O2964" s="62"/>
      <c r="P2964" s="61"/>
      <c r="Q2964" s="62"/>
      <c r="R2964" s="59"/>
      <c r="S2964" s="59"/>
      <c r="AB2964"/>
      <c r="AC2964"/>
    </row>
    <row r="2965" spans="1:29" x14ac:dyDescent="0.25">
      <c r="A2965" t="str">
        <f t="shared" si="47"/>
        <v/>
      </c>
      <c r="B2965" s="59"/>
      <c r="C2965" s="59"/>
      <c r="D2965" s="59"/>
      <c r="E2965" s="59"/>
      <c r="F2965" s="59"/>
      <c r="G2965" s="61"/>
      <c r="H2965" s="63"/>
      <c r="I2965" s="62"/>
      <c r="J2965" s="63"/>
      <c r="K2965" s="62"/>
      <c r="L2965" s="61"/>
      <c r="M2965" s="62"/>
      <c r="N2965" s="61"/>
      <c r="O2965" s="62"/>
      <c r="P2965" s="61"/>
      <c r="Q2965" s="62"/>
      <c r="R2965" s="59"/>
      <c r="S2965" s="59"/>
      <c r="AB2965"/>
      <c r="AC2965"/>
    </row>
    <row r="2966" spans="1:29" x14ac:dyDescent="0.25">
      <c r="A2966" t="str">
        <f t="shared" si="47"/>
        <v/>
      </c>
      <c r="B2966" s="59"/>
      <c r="C2966" s="59"/>
      <c r="D2966" s="59"/>
      <c r="E2966" s="59"/>
      <c r="F2966" s="59"/>
      <c r="G2966" s="61"/>
      <c r="H2966" s="63"/>
      <c r="I2966" s="62"/>
      <c r="J2966" s="63"/>
      <c r="K2966" s="62"/>
      <c r="L2966" s="61"/>
      <c r="M2966" s="62"/>
      <c r="N2966" s="61"/>
      <c r="O2966" s="62"/>
      <c r="P2966" s="61"/>
      <c r="Q2966" s="62"/>
      <c r="R2966" s="59"/>
      <c r="S2966" s="59"/>
      <c r="AB2966"/>
      <c r="AC2966"/>
    </row>
    <row r="2967" spans="1:29" x14ac:dyDescent="0.25">
      <c r="A2967" t="str">
        <f t="shared" si="47"/>
        <v/>
      </c>
      <c r="B2967" s="59"/>
      <c r="C2967" s="59"/>
      <c r="D2967" s="59"/>
      <c r="E2967" s="59"/>
      <c r="F2967" s="59"/>
      <c r="G2967" s="61"/>
      <c r="H2967" s="63"/>
      <c r="I2967" s="62"/>
      <c r="J2967" s="63"/>
      <c r="K2967" s="62"/>
      <c r="L2967" s="61"/>
      <c r="M2967" s="62"/>
      <c r="N2967" s="61"/>
      <c r="O2967" s="62"/>
      <c r="P2967" s="61"/>
      <c r="Q2967" s="62"/>
      <c r="R2967" s="59"/>
      <c r="S2967" s="59"/>
      <c r="AB2967"/>
      <c r="AC2967"/>
    </row>
    <row r="2968" spans="1:29" x14ac:dyDescent="0.25">
      <c r="A2968" t="str">
        <f t="shared" si="47"/>
        <v/>
      </c>
      <c r="B2968" s="59"/>
      <c r="C2968" s="59"/>
      <c r="D2968" s="59"/>
      <c r="E2968" s="59"/>
      <c r="F2968" s="59"/>
      <c r="G2968" s="61"/>
      <c r="H2968" s="63"/>
      <c r="I2968" s="62"/>
      <c r="J2968" s="63"/>
      <c r="K2968" s="62"/>
      <c r="L2968" s="61"/>
      <c r="M2968" s="62"/>
      <c r="N2968" s="61"/>
      <c r="O2968" s="62"/>
      <c r="P2968" s="61"/>
      <c r="Q2968" s="62"/>
      <c r="R2968" s="59"/>
      <c r="S2968" s="59"/>
      <c r="AB2968"/>
      <c r="AC2968"/>
    </row>
    <row r="2969" spans="1:29" x14ac:dyDescent="0.25">
      <c r="A2969" t="str">
        <f t="shared" si="47"/>
        <v/>
      </c>
      <c r="B2969" s="59"/>
      <c r="C2969" s="59"/>
      <c r="D2969" s="59"/>
      <c r="E2969" s="59"/>
      <c r="F2969" s="59"/>
      <c r="G2969" s="61"/>
      <c r="H2969" s="63"/>
      <c r="I2969" s="62"/>
      <c r="J2969" s="63"/>
      <c r="K2969" s="62"/>
      <c r="L2969" s="61"/>
      <c r="M2969" s="62"/>
      <c r="N2969" s="61"/>
      <c r="O2969" s="62"/>
      <c r="P2969" s="61"/>
      <c r="Q2969" s="62"/>
      <c r="R2969" s="59"/>
      <c r="S2969" s="59"/>
      <c r="AB2969"/>
      <c r="AC2969"/>
    </row>
    <row r="2970" spans="1:29" x14ac:dyDescent="0.25">
      <c r="A2970" t="str">
        <f t="shared" si="47"/>
        <v/>
      </c>
      <c r="B2970" s="59"/>
      <c r="C2970" s="59"/>
      <c r="D2970" s="59"/>
      <c r="E2970" s="59"/>
      <c r="F2970" s="59"/>
      <c r="G2970" s="61"/>
      <c r="H2970" s="63"/>
      <c r="I2970" s="62"/>
      <c r="J2970" s="63"/>
      <c r="K2970" s="62"/>
      <c r="L2970" s="61"/>
      <c r="M2970" s="62"/>
      <c r="N2970" s="61"/>
      <c r="O2970" s="62"/>
      <c r="P2970" s="61"/>
      <c r="Q2970" s="62"/>
      <c r="R2970" s="59"/>
      <c r="S2970" s="59"/>
      <c r="AB2970"/>
      <c r="AC2970"/>
    </row>
    <row r="2971" spans="1:29" x14ac:dyDescent="0.25">
      <c r="A2971" t="str">
        <f t="shared" si="47"/>
        <v/>
      </c>
      <c r="B2971" s="59"/>
      <c r="C2971" s="59"/>
      <c r="D2971" s="59"/>
      <c r="E2971" s="59"/>
      <c r="F2971" s="59"/>
      <c r="G2971" s="61"/>
      <c r="H2971" s="63"/>
      <c r="I2971" s="62"/>
      <c r="J2971" s="63"/>
      <c r="K2971" s="62"/>
      <c r="L2971" s="61"/>
      <c r="M2971" s="62"/>
      <c r="N2971" s="61"/>
      <c r="O2971" s="62"/>
      <c r="P2971" s="61"/>
      <c r="Q2971" s="62"/>
      <c r="R2971" s="59"/>
      <c r="S2971" s="59"/>
      <c r="AB2971"/>
      <c r="AC2971"/>
    </row>
    <row r="2972" spans="1:29" x14ac:dyDescent="0.25">
      <c r="A2972" t="str">
        <f t="shared" si="47"/>
        <v/>
      </c>
      <c r="B2972" s="59"/>
      <c r="C2972" s="59"/>
      <c r="D2972" s="59"/>
      <c r="E2972" s="59"/>
      <c r="F2972" s="59"/>
      <c r="G2972" s="61"/>
      <c r="H2972" s="63"/>
      <c r="I2972" s="62"/>
      <c r="J2972" s="63"/>
      <c r="K2972" s="62"/>
      <c r="L2972" s="61"/>
      <c r="M2972" s="62"/>
      <c r="N2972" s="61"/>
      <c r="O2972" s="62"/>
      <c r="P2972" s="61"/>
      <c r="Q2972" s="62"/>
      <c r="R2972" s="59"/>
      <c r="S2972" s="59"/>
      <c r="AB2972"/>
      <c r="AC2972"/>
    </row>
    <row r="2973" spans="1:29" x14ac:dyDescent="0.25">
      <c r="A2973" t="str">
        <f t="shared" si="47"/>
        <v/>
      </c>
      <c r="B2973" s="59"/>
      <c r="C2973" s="59"/>
      <c r="D2973" s="59"/>
      <c r="E2973" s="59"/>
      <c r="F2973" s="59"/>
      <c r="G2973" s="61"/>
      <c r="H2973" s="63"/>
      <c r="I2973" s="62"/>
      <c r="J2973" s="63"/>
      <c r="K2973" s="62"/>
      <c r="L2973" s="61"/>
      <c r="M2973" s="62"/>
      <c r="N2973" s="61"/>
      <c r="O2973" s="62"/>
      <c r="P2973" s="61"/>
      <c r="Q2973" s="62"/>
      <c r="R2973" s="59"/>
      <c r="S2973" s="59"/>
      <c r="AB2973"/>
      <c r="AC2973"/>
    </row>
    <row r="2974" spans="1:29" x14ac:dyDescent="0.25">
      <c r="A2974" t="str">
        <f t="shared" si="47"/>
        <v/>
      </c>
      <c r="B2974" s="59"/>
      <c r="C2974" s="59"/>
      <c r="D2974" s="59"/>
      <c r="E2974" s="59"/>
      <c r="F2974" s="59"/>
      <c r="G2974" s="61"/>
      <c r="H2974" s="63"/>
      <c r="I2974" s="62"/>
      <c r="J2974" s="63"/>
      <c r="K2974" s="62"/>
      <c r="L2974" s="61"/>
      <c r="M2974" s="62"/>
      <c r="N2974" s="61"/>
      <c r="O2974" s="62"/>
      <c r="P2974" s="61"/>
      <c r="Q2974" s="62"/>
      <c r="R2974" s="59"/>
      <c r="S2974" s="59"/>
      <c r="AB2974"/>
      <c r="AC2974"/>
    </row>
    <row r="2975" spans="1:29" x14ac:dyDescent="0.25">
      <c r="A2975" t="str">
        <f t="shared" si="47"/>
        <v/>
      </c>
      <c r="B2975" s="59"/>
      <c r="C2975" s="59"/>
      <c r="D2975" s="59"/>
      <c r="E2975" s="59"/>
      <c r="F2975" s="59"/>
      <c r="G2975" s="61"/>
      <c r="H2975" s="63"/>
      <c r="I2975" s="62"/>
      <c r="J2975" s="63"/>
      <c r="K2975" s="62"/>
      <c r="L2975" s="61"/>
      <c r="M2975" s="62"/>
      <c r="N2975" s="61"/>
      <c r="O2975" s="62"/>
      <c r="P2975" s="61"/>
      <c r="Q2975" s="62"/>
      <c r="R2975" s="59"/>
      <c r="S2975" s="59"/>
      <c r="AB2975"/>
      <c r="AC2975"/>
    </row>
    <row r="2976" spans="1:29" x14ac:dyDescent="0.25">
      <c r="A2976" t="str">
        <f t="shared" si="47"/>
        <v/>
      </c>
      <c r="B2976" s="59"/>
      <c r="C2976" s="59"/>
      <c r="D2976" s="59"/>
      <c r="E2976" s="59"/>
      <c r="F2976" s="59"/>
      <c r="G2976" s="61"/>
      <c r="H2976" s="63"/>
      <c r="I2976" s="62"/>
      <c r="J2976" s="63"/>
      <c r="K2976" s="62"/>
      <c r="L2976" s="61"/>
      <c r="M2976" s="62"/>
      <c r="N2976" s="61"/>
      <c r="O2976" s="62"/>
      <c r="P2976" s="61"/>
      <c r="Q2976" s="62"/>
      <c r="R2976" s="59"/>
      <c r="S2976" s="59"/>
      <c r="AB2976"/>
      <c r="AC2976"/>
    </row>
    <row r="2977" spans="1:29" x14ac:dyDescent="0.25">
      <c r="A2977" t="str">
        <f t="shared" si="47"/>
        <v/>
      </c>
      <c r="B2977" s="59"/>
      <c r="C2977" s="59"/>
      <c r="D2977" s="59"/>
      <c r="E2977" s="59"/>
      <c r="F2977" s="59"/>
      <c r="G2977" s="61"/>
      <c r="H2977" s="63"/>
      <c r="I2977" s="62"/>
      <c r="J2977" s="63"/>
      <c r="K2977" s="62"/>
      <c r="L2977" s="61"/>
      <c r="M2977" s="62"/>
      <c r="N2977" s="61"/>
      <c r="O2977" s="62"/>
      <c r="P2977" s="61"/>
      <c r="Q2977" s="62"/>
      <c r="R2977" s="59"/>
      <c r="S2977" s="59"/>
      <c r="AB2977"/>
      <c r="AC2977"/>
    </row>
    <row r="2978" spans="1:29" x14ac:dyDescent="0.25">
      <c r="A2978" t="str">
        <f t="shared" si="47"/>
        <v/>
      </c>
      <c r="B2978" s="59"/>
      <c r="C2978" s="59"/>
      <c r="D2978" s="59"/>
      <c r="E2978" s="59"/>
      <c r="F2978" s="59"/>
      <c r="G2978" s="61"/>
      <c r="H2978" s="63"/>
      <c r="I2978" s="62"/>
      <c r="J2978" s="63"/>
      <c r="K2978" s="62"/>
      <c r="L2978" s="61"/>
      <c r="M2978" s="62"/>
      <c r="N2978" s="61"/>
      <c r="O2978" s="62"/>
      <c r="P2978" s="61"/>
      <c r="Q2978" s="62"/>
      <c r="R2978" s="59"/>
      <c r="S2978" s="59"/>
      <c r="AB2978"/>
      <c r="AC2978"/>
    </row>
    <row r="2979" spans="1:29" x14ac:dyDescent="0.25">
      <c r="A2979" t="str">
        <f t="shared" si="47"/>
        <v/>
      </c>
      <c r="B2979" s="59"/>
      <c r="C2979" s="59"/>
      <c r="D2979" s="59"/>
      <c r="E2979" s="59"/>
      <c r="F2979" s="59"/>
      <c r="G2979" s="61"/>
      <c r="H2979" s="63"/>
      <c r="I2979" s="62"/>
      <c r="J2979" s="63"/>
      <c r="K2979" s="62"/>
      <c r="L2979" s="61"/>
      <c r="M2979" s="62"/>
      <c r="N2979" s="61"/>
      <c r="O2979" s="62"/>
      <c r="P2979" s="61"/>
      <c r="Q2979" s="62"/>
      <c r="R2979" s="59"/>
      <c r="S2979" s="59"/>
      <c r="AB2979"/>
      <c r="AC2979"/>
    </row>
    <row r="2980" spans="1:29" x14ac:dyDescent="0.25">
      <c r="A2980" t="str">
        <f t="shared" si="47"/>
        <v/>
      </c>
      <c r="B2980" s="59"/>
      <c r="C2980" s="59"/>
      <c r="D2980" s="59"/>
      <c r="E2980" s="59"/>
      <c r="F2980" s="59"/>
      <c r="G2980" s="61"/>
      <c r="H2980" s="63"/>
      <c r="I2980" s="62"/>
      <c r="J2980" s="63"/>
      <c r="K2980" s="62"/>
      <c r="L2980" s="61"/>
      <c r="M2980" s="62"/>
      <c r="N2980" s="61"/>
      <c r="O2980" s="62"/>
      <c r="P2980" s="61"/>
      <c r="Q2980" s="62"/>
      <c r="R2980" s="59"/>
      <c r="S2980" s="59"/>
      <c r="AB2980"/>
      <c r="AC2980"/>
    </row>
    <row r="2981" spans="1:29" x14ac:dyDescent="0.25">
      <c r="A2981" t="str">
        <f t="shared" si="47"/>
        <v/>
      </c>
      <c r="B2981" s="59"/>
      <c r="C2981" s="59"/>
      <c r="D2981" s="59"/>
      <c r="E2981" s="59"/>
      <c r="F2981" s="59"/>
      <c r="G2981" s="61"/>
      <c r="H2981" s="63"/>
      <c r="I2981" s="62"/>
      <c r="J2981" s="63"/>
      <c r="K2981" s="62"/>
      <c r="L2981" s="61"/>
      <c r="M2981" s="62"/>
      <c r="N2981" s="61"/>
      <c r="O2981" s="62"/>
      <c r="P2981" s="61"/>
      <c r="Q2981" s="62"/>
      <c r="R2981" s="59"/>
      <c r="S2981" s="59"/>
      <c r="AB2981"/>
      <c r="AC2981"/>
    </row>
    <row r="2982" spans="1:29" x14ac:dyDescent="0.25">
      <c r="A2982" t="str">
        <f t="shared" si="47"/>
        <v/>
      </c>
      <c r="B2982" s="59"/>
      <c r="C2982" s="59"/>
      <c r="D2982" s="59"/>
      <c r="E2982" s="59"/>
      <c r="F2982" s="59"/>
      <c r="G2982" s="61"/>
      <c r="H2982" s="63"/>
      <c r="I2982" s="62"/>
      <c r="J2982" s="63"/>
      <c r="K2982" s="62"/>
      <c r="L2982" s="61"/>
      <c r="M2982" s="62"/>
      <c r="N2982" s="61"/>
      <c r="O2982" s="62"/>
      <c r="P2982" s="61"/>
      <c r="Q2982" s="62"/>
      <c r="R2982" s="59"/>
      <c r="S2982" s="59"/>
      <c r="AB2982"/>
      <c r="AC2982"/>
    </row>
    <row r="2983" spans="1:29" x14ac:dyDescent="0.25">
      <c r="A2983" t="str">
        <f t="shared" si="47"/>
        <v/>
      </c>
      <c r="B2983" s="59"/>
      <c r="C2983" s="59"/>
      <c r="D2983" s="59"/>
      <c r="E2983" s="59"/>
      <c r="F2983" s="59"/>
      <c r="G2983" s="61"/>
      <c r="H2983" s="63"/>
      <c r="I2983" s="62"/>
      <c r="J2983" s="63"/>
      <c r="K2983" s="62"/>
      <c r="L2983" s="61"/>
      <c r="M2983" s="62"/>
      <c r="N2983" s="61"/>
      <c r="O2983" s="62"/>
      <c r="P2983" s="61"/>
      <c r="Q2983" s="62"/>
      <c r="R2983" s="59"/>
      <c r="S2983" s="59"/>
      <c r="AB2983"/>
      <c r="AC2983"/>
    </row>
    <row r="2984" spans="1:29" x14ac:dyDescent="0.25">
      <c r="A2984" t="str">
        <f t="shared" si="47"/>
        <v/>
      </c>
      <c r="B2984" s="59"/>
      <c r="C2984" s="59"/>
      <c r="D2984" s="59"/>
      <c r="E2984" s="59"/>
      <c r="F2984" s="59"/>
      <c r="G2984" s="61"/>
      <c r="H2984" s="63"/>
      <c r="I2984" s="62"/>
      <c r="J2984" s="63"/>
      <c r="K2984" s="62"/>
      <c r="L2984" s="61"/>
      <c r="M2984" s="62"/>
      <c r="N2984" s="61"/>
      <c r="O2984" s="62"/>
      <c r="P2984" s="61"/>
      <c r="Q2984" s="62"/>
      <c r="R2984" s="59"/>
      <c r="S2984" s="59"/>
      <c r="AB2984"/>
      <c r="AC2984"/>
    </row>
    <row r="2985" spans="1:29" x14ac:dyDescent="0.25">
      <c r="A2985" t="str">
        <f t="shared" si="47"/>
        <v/>
      </c>
      <c r="B2985" s="59"/>
      <c r="C2985" s="59"/>
      <c r="D2985" s="59"/>
      <c r="E2985" s="59"/>
      <c r="F2985" s="59"/>
      <c r="G2985" s="61"/>
      <c r="H2985" s="63"/>
      <c r="I2985" s="62"/>
      <c r="J2985" s="63"/>
      <c r="K2985" s="62"/>
      <c r="L2985" s="61"/>
      <c r="M2985" s="62"/>
      <c r="N2985" s="61"/>
      <c r="O2985" s="62"/>
      <c r="P2985" s="61"/>
      <c r="Q2985" s="62"/>
      <c r="R2985" s="59"/>
      <c r="S2985" s="59"/>
      <c r="AB2985"/>
      <c r="AC2985"/>
    </row>
    <row r="2986" spans="1:29" x14ac:dyDescent="0.25">
      <c r="A2986" t="str">
        <f t="shared" si="47"/>
        <v/>
      </c>
      <c r="B2986" s="59"/>
      <c r="C2986" s="59"/>
      <c r="D2986" s="59"/>
      <c r="E2986" s="59"/>
      <c r="F2986" s="59"/>
      <c r="G2986" s="61"/>
      <c r="H2986" s="63"/>
      <c r="I2986" s="62"/>
      <c r="J2986" s="63"/>
      <c r="K2986" s="62"/>
      <c r="L2986" s="61"/>
      <c r="M2986" s="62"/>
      <c r="N2986" s="61"/>
      <c r="O2986" s="62"/>
      <c r="P2986" s="61"/>
      <c r="Q2986" s="62"/>
      <c r="R2986" s="59"/>
      <c r="S2986" s="59"/>
      <c r="AB2986"/>
      <c r="AC2986"/>
    </row>
    <row r="2987" spans="1:29" x14ac:dyDescent="0.25">
      <c r="A2987" t="str">
        <f t="shared" si="47"/>
        <v/>
      </c>
      <c r="B2987" s="59"/>
      <c r="C2987" s="59"/>
      <c r="D2987" s="59"/>
      <c r="E2987" s="59"/>
      <c r="F2987" s="59"/>
      <c r="G2987" s="61"/>
      <c r="H2987" s="63"/>
      <c r="I2987" s="62"/>
      <c r="J2987" s="63"/>
      <c r="K2987" s="62"/>
      <c r="L2987" s="61"/>
      <c r="M2987" s="62"/>
      <c r="N2987" s="61"/>
      <c r="O2987" s="62"/>
      <c r="P2987" s="61"/>
      <c r="Q2987" s="62"/>
      <c r="R2987" s="59"/>
      <c r="S2987" s="59"/>
      <c r="AB2987"/>
      <c r="AC2987"/>
    </row>
    <row r="2988" spans="1:29" x14ac:dyDescent="0.25">
      <c r="A2988" t="str">
        <f t="shared" si="47"/>
        <v/>
      </c>
      <c r="B2988" s="59"/>
      <c r="C2988" s="59"/>
      <c r="D2988" s="59"/>
      <c r="E2988" s="59"/>
      <c r="F2988" s="59"/>
      <c r="G2988" s="61"/>
      <c r="H2988" s="63"/>
      <c r="I2988" s="62"/>
      <c r="J2988" s="63"/>
      <c r="K2988" s="62"/>
      <c r="L2988" s="61"/>
      <c r="M2988" s="62"/>
      <c r="N2988" s="61"/>
      <c r="O2988" s="62"/>
      <c r="P2988" s="61"/>
      <c r="Q2988" s="62"/>
      <c r="R2988" s="59"/>
      <c r="S2988" s="59"/>
      <c r="AB2988"/>
      <c r="AC2988"/>
    </row>
    <row r="2989" spans="1:29" x14ac:dyDescent="0.25">
      <c r="A2989" t="str">
        <f t="shared" si="47"/>
        <v/>
      </c>
      <c r="B2989" s="59"/>
      <c r="C2989" s="59"/>
      <c r="D2989" s="59"/>
      <c r="E2989" s="59"/>
      <c r="F2989" s="59"/>
      <c r="G2989" s="61"/>
      <c r="H2989" s="63"/>
      <c r="I2989" s="62"/>
      <c r="J2989" s="63"/>
      <c r="K2989" s="62"/>
      <c r="L2989" s="61"/>
      <c r="M2989" s="62"/>
      <c r="N2989" s="61"/>
      <c r="O2989" s="62"/>
      <c r="P2989" s="61"/>
      <c r="Q2989" s="62"/>
      <c r="R2989" s="59"/>
      <c r="S2989" s="59"/>
      <c r="AB2989"/>
      <c r="AC2989"/>
    </row>
    <row r="2990" spans="1:29" x14ac:dyDescent="0.25">
      <c r="A2990" t="str">
        <f t="shared" si="47"/>
        <v/>
      </c>
      <c r="B2990" s="59"/>
      <c r="C2990" s="59"/>
      <c r="D2990" s="59"/>
      <c r="E2990" s="59"/>
      <c r="F2990" s="59"/>
      <c r="G2990" s="61"/>
      <c r="H2990" s="63"/>
      <c r="I2990" s="62"/>
      <c r="J2990" s="63"/>
      <c r="K2990" s="62"/>
      <c r="L2990" s="61"/>
      <c r="M2990" s="62"/>
      <c r="N2990" s="61"/>
      <c r="O2990" s="62"/>
      <c r="P2990" s="61"/>
      <c r="Q2990" s="62"/>
      <c r="R2990" s="59"/>
      <c r="S2990" s="59"/>
      <c r="AB2990"/>
      <c r="AC2990"/>
    </row>
    <row r="2991" spans="1:29" x14ac:dyDescent="0.25">
      <c r="A2991" t="str">
        <f t="shared" si="47"/>
        <v/>
      </c>
      <c r="B2991" s="59"/>
      <c r="C2991" s="59"/>
      <c r="D2991" s="59"/>
      <c r="E2991" s="59"/>
      <c r="F2991" s="59"/>
      <c r="G2991" s="61"/>
      <c r="H2991" s="63"/>
      <c r="I2991" s="62"/>
      <c r="J2991" s="63"/>
      <c r="K2991" s="62"/>
      <c r="L2991" s="61"/>
      <c r="M2991" s="62"/>
      <c r="N2991" s="61"/>
      <c r="O2991" s="62"/>
      <c r="P2991" s="61"/>
      <c r="Q2991" s="62"/>
      <c r="R2991" s="59"/>
      <c r="S2991" s="59"/>
      <c r="AB2991"/>
      <c r="AC2991"/>
    </row>
    <row r="2992" spans="1:29" x14ac:dyDescent="0.25">
      <c r="A2992" t="str">
        <f t="shared" si="47"/>
        <v/>
      </c>
      <c r="B2992" s="59"/>
      <c r="C2992" s="59"/>
      <c r="D2992" s="59"/>
      <c r="E2992" s="59"/>
      <c r="F2992" s="59"/>
      <c r="G2992" s="61"/>
      <c r="H2992" s="63"/>
      <c r="I2992" s="62"/>
      <c r="J2992" s="63"/>
      <c r="K2992" s="62"/>
      <c r="L2992" s="61"/>
      <c r="M2992" s="62"/>
      <c r="N2992" s="61"/>
      <c r="O2992" s="62"/>
      <c r="P2992" s="61"/>
      <c r="Q2992" s="62"/>
      <c r="R2992" s="59"/>
      <c r="S2992" s="59"/>
      <c r="AB2992"/>
      <c r="AC2992"/>
    </row>
    <row r="2993" spans="1:29" x14ac:dyDescent="0.25">
      <c r="A2993" t="str">
        <f t="shared" si="47"/>
        <v/>
      </c>
      <c r="B2993" s="59"/>
      <c r="C2993" s="59"/>
      <c r="D2993" s="59"/>
      <c r="E2993" s="59"/>
      <c r="F2993" s="59"/>
      <c r="G2993" s="61"/>
      <c r="H2993" s="63"/>
      <c r="I2993" s="62"/>
      <c r="J2993" s="63"/>
      <c r="K2993" s="62"/>
      <c r="L2993" s="61"/>
      <c r="M2993" s="62"/>
      <c r="N2993" s="61"/>
      <c r="O2993" s="62"/>
      <c r="P2993" s="61"/>
      <c r="Q2993" s="62"/>
      <c r="R2993" s="59"/>
      <c r="S2993" s="59"/>
      <c r="AB2993"/>
      <c r="AC2993"/>
    </row>
    <row r="2994" spans="1:29" x14ac:dyDescent="0.25">
      <c r="A2994" t="str">
        <f t="shared" si="47"/>
        <v/>
      </c>
      <c r="B2994" s="59"/>
      <c r="C2994" s="59"/>
      <c r="D2994" s="59"/>
      <c r="E2994" s="59"/>
      <c r="F2994" s="59"/>
      <c r="G2994" s="61"/>
      <c r="H2994" s="63"/>
      <c r="I2994" s="62"/>
      <c r="J2994" s="63"/>
      <c r="K2994" s="62"/>
      <c r="L2994" s="61"/>
      <c r="M2994" s="62"/>
      <c r="N2994" s="61"/>
      <c r="O2994" s="62"/>
      <c r="P2994" s="61"/>
      <c r="Q2994" s="62"/>
      <c r="R2994" s="59"/>
      <c r="S2994" s="59"/>
      <c r="AB2994"/>
      <c r="AC2994"/>
    </row>
    <row r="2995" spans="1:29" x14ac:dyDescent="0.25">
      <c r="A2995" t="str">
        <f t="shared" si="47"/>
        <v/>
      </c>
      <c r="B2995" s="59"/>
      <c r="C2995" s="59"/>
      <c r="D2995" s="59"/>
      <c r="E2995" s="59"/>
      <c r="F2995" s="59"/>
      <c r="G2995" s="61"/>
      <c r="H2995" s="63"/>
      <c r="I2995" s="62"/>
      <c r="J2995" s="63"/>
      <c r="K2995" s="62"/>
      <c r="L2995" s="61"/>
      <c r="M2995" s="62"/>
      <c r="N2995" s="61"/>
      <c r="O2995" s="62"/>
      <c r="P2995" s="61"/>
      <c r="Q2995" s="62"/>
      <c r="R2995" s="59"/>
      <c r="S2995" s="59"/>
      <c r="AB2995"/>
      <c r="AC2995"/>
    </row>
    <row r="2996" spans="1:29" x14ac:dyDescent="0.25">
      <c r="A2996" t="str">
        <f t="shared" si="47"/>
        <v/>
      </c>
      <c r="B2996" s="59"/>
      <c r="C2996" s="59"/>
      <c r="D2996" s="59"/>
      <c r="E2996" s="59"/>
      <c r="F2996" s="59"/>
      <c r="G2996" s="61"/>
      <c r="H2996" s="63"/>
      <c r="I2996" s="62"/>
      <c r="J2996" s="63"/>
      <c r="K2996" s="62"/>
      <c r="L2996" s="61"/>
      <c r="M2996" s="62"/>
      <c r="N2996" s="61"/>
      <c r="O2996" s="62"/>
      <c r="P2996" s="61"/>
      <c r="Q2996" s="62"/>
      <c r="R2996" s="59"/>
      <c r="S2996" s="59"/>
      <c r="AB2996"/>
      <c r="AC2996"/>
    </row>
    <row r="2997" spans="1:29" x14ac:dyDescent="0.25">
      <c r="A2997" t="str">
        <f t="shared" si="47"/>
        <v/>
      </c>
      <c r="B2997" s="59"/>
      <c r="C2997" s="59"/>
      <c r="D2997" s="59"/>
      <c r="E2997" s="59"/>
      <c r="F2997" s="59"/>
      <c r="G2997" s="61"/>
      <c r="H2997" s="63"/>
      <c r="I2997" s="62"/>
      <c r="J2997" s="63"/>
      <c r="K2997" s="62"/>
      <c r="L2997" s="61"/>
      <c r="M2997" s="62"/>
      <c r="N2997" s="61"/>
      <c r="O2997" s="62"/>
      <c r="P2997" s="61"/>
      <c r="Q2997" s="62"/>
      <c r="R2997" s="59"/>
      <c r="S2997" s="59"/>
      <c r="AB2997"/>
      <c r="AC2997"/>
    </row>
    <row r="2998" spans="1:29" x14ac:dyDescent="0.25">
      <c r="A2998" t="str">
        <f t="shared" si="47"/>
        <v/>
      </c>
      <c r="B2998" s="59"/>
      <c r="C2998" s="59"/>
      <c r="D2998" s="59"/>
      <c r="E2998" s="59"/>
      <c r="F2998" s="59"/>
      <c r="G2998" s="61"/>
      <c r="H2998" s="63"/>
      <c r="I2998" s="62"/>
      <c r="J2998" s="63"/>
      <c r="K2998" s="62"/>
      <c r="L2998" s="61"/>
      <c r="M2998" s="62"/>
      <c r="N2998" s="61"/>
      <c r="O2998" s="62"/>
      <c r="P2998" s="61"/>
      <c r="Q2998" s="62"/>
      <c r="R2998" s="59"/>
      <c r="S2998" s="59"/>
      <c r="AB2998"/>
      <c r="AC2998"/>
    </row>
    <row r="2999" spans="1:29" x14ac:dyDescent="0.25">
      <c r="A2999" t="str">
        <f t="shared" si="47"/>
        <v/>
      </c>
      <c r="B2999" s="59"/>
      <c r="C2999" s="59"/>
      <c r="D2999" s="59"/>
      <c r="E2999" s="59"/>
      <c r="F2999" s="59"/>
      <c r="G2999" s="61"/>
      <c r="H2999" s="63"/>
      <c r="I2999" s="62"/>
      <c r="J2999" s="63"/>
      <c r="K2999" s="62"/>
      <c r="L2999" s="61"/>
      <c r="M2999" s="62"/>
      <c r="N2999" s="61"/>
      <c r="O2999" s="62"/>
      <c r="P2999" s="61"/>
      <c r="Q2999" s="62"/>
      <c r="R2999" s="59"/>
      <c r="S2999" s="59"/>
      <c r="AB2999"/>
      <c r="AC2999"/>
    </row>
    <row r="3000" spans="1:29" x14ac:dyDescent="0.25">
      <c r="A3000" t="str">
        <f t="shared" si="47"/>
        <v/>
      </c>
      <c r="B3000" s="59"/>
      <c r="C3000" s="59"/>
      <c r="D3000" s="59"/>
      <c r="E3000" s="59"/>
      <c r="F3000" s="59"/>
      <c r="G3000" s="61"/>
      <c r="H3000" s="63"/>
      <c r="I3000" s="62"/>
      <c r="J3000" s="63"/>
      <c r="K3000" s="62"/>
      <c r="L3000" s="61"/>
      <c r="M3000" s="62"/>
      <c r="N3000" s="61"/>
      <c r="O3000" s="62"/>
      <c r="P3000" s="61"/>
      <c r="Q3000" s="62"/>
      <c r="R3000" s="59"/>
      <c r="S3000" s="59"/>
      <c r="AB3000"/>
      <c r="AC3000"/>
    </row>
    <row r="3001" spans="1:29" x14ac:dyDescent="0.25">
      <c r="A3001" t="str">
        <f t="shared" si="47"/>
        <v/>
      </c>
      <c r="B3001" s="59"/>
      <c r="C3001" s="59"/>
      <c r="D3001" s="59"/>
      <c r="E3001" s="59"/>
      <c r="F3001" s="59"/>
      <c r="G3001" s="61"/>
      <c r="H3001" s="63"/>
      <c r="I3001" s="62"/>
      <c r="J3001" s="63"/>
      <c r="K3001" s="62"/>
      <c r="L3001" s="61"/>
      <c r="M3001" s="62"/>
      <c r="N3001" s="61"/>
      <c r="O3001" s="62"/>
      <c r="P3001" s="61"/>
      <c r="Q3001" s="62"/>
      <c r="R3001" s="59"/>
      <c r="S3001" s="59"/>
      <c r="AB3001"/>
      <c r="AC3001"/>
    </row>
    <row r="3002" spans="1:29" x14ac:dyDescent="0.25">
      <c r="A3002" t="str">
        <f t="shared" si="47"/>
        <v/>
      </c>
      <c r="B3002" s="59"/>
      <c r="C3002" s="59"/>
      <c r="D3002" s="59"/>
      <c r="E3002" s="59"/>
      <c r="F3002" s="59"/>
      <c r="G3002" s="61"/>
      <c r="H3002" s="63"/>
      <c r="I3002" s="62"/>
      <c r="J3002" s="63"/>
      <c r="K3002" s="62"/>
      <c r="L3002" s="61"/>
      <c r="M3002" s="62"/>
      <c r="N3002" s="61"/>
      <c r="O3002" s="62"/>
      <c r="P3002" s="61"/>
      <c r="Q3002" s="62"/>
      <c r="R3002" s="59"/>
      <c r="S3002" s="59"/>
      <c r="AB3002"/>
      <c r="AC3002"/>
    </row>
    <row r="3003" spans="1:29" x14ac:dyDescent="0.25">
      <c r="A3003" t="str">
        <f t="shared" si="47"/>
        <v/>
      </c>
      <c r="B3003" s="59"/>
      <c r="C3003" s="59"/>
      <c r="D3003" s="59"/>
      <c r="E3003" s="59"/>
      <c r="F3003" s="59"/>
      <c r="G3003" s="61"/>
      <c r="H3003" s="63"/>
      <c r="I3003" s="62"/>
      <c r="J3003" s="63"/>
      <c r="K3003" s="62"/>
      <c r="L3003" s="61"/>
      <c r="M3003" s="62"/>
      <c r="N3003" s="61"/>
      <c r="O3003" s="62"/>
      <c r="P3003" s="61"/>
      <c r="Q3003" s="62"/>
      <c r="R3003" s="59"/>
      <c r="S3003" s="59"/>
      <c r="AB3003"/>
      <c r="AC3003"/>
    </row>
    <row r="3004" spans="1:29" x14ac:dyDescent="0.25">
      <c r="A3004" t="str">
        <f t="shared" si="47"/>
        <v/>
      </c>
      <c r="B3004" s="59"/>
      <c r="C3004" s="59"/>
      <c r="D3004" s="59"/>
      <c r="E3004" s="59"/>
      <c r="F3004" s="59"/>
      <c r="G3004" s="61"/>
      <c r="H3004" s="63"/>
      <c r="I3004" s="62"/>
      <c r="J3004" s="63"/>
      <c r="K3004" s="62"/>
      <c r="L3004" s="61"/>
      <c r="M3004" s="62"/>
      <c r="N3004" s="61"/>
      <c r="O3004" s="62"/>
      <c r="P3004" s="61"/>
      <c r="Q3004" s="62"/>
      <c r="R3004" s="59"/>
      <c r="S3004" s="59"/>
      <c r="AB3004"/>
      <c r="AC3004"/>
    </row>
    <row r="3005" spans="1:29" x14ac:dyDescent="0.25">
      <c r="A3005" t="str">
        <f t="shared" si="47"/>
        <v/>
      </c>
      <c r="B3005" s="59"/>
      <c r="C3005" s="59"/>
      <c r="D3005" s="59"/>
      <c r="E3005" s="59"/>
      <c r="F3005" s="59"/>
      <c r="G3005" s="61"/>
      <c r="H3005" s="63"/>
      <c r="I3005" s="62"/>
      <c r="J3005" s="63"/>
      <c r="K3005" s="62"/>
      <c r="L3005" s="61"/>
      <c r="M3005" s="62"/>
      <c r="N3005" s="61"/>
      <c r="O3005" s="62"/>
      <c r="P3005" s="61"/>
      <c r="Q3005" s="62"/>
      <c r="R3005" s="59"/>
      <c r="S3005" s="59"/>
      <c r="AB3005"/>
      <c r="AC3005"/>
    </row>
    <row r="3006" spans="1:29" x14ac:dyDescent="0.25">
      <c r="A3006" t="str">
        <f t="shared" si="47"/>
        <v/>
      </c>
      <c r="B3006" s="59"/>
      <c r="C3006" s="59"/>
      <c r="D3006" s="59"/>
      <c r="E3006" s="59"/>
      <c r="F3006" s="59"/>
      <c r="G3006" s="61"/>
      <c r="H3006" s="63"/>
      <c r="I3006" s="62"/>
      <c r="J3006" s="63"/>
      <c r="K3006" s="62"/>
      <c r="L3006" s="61"/>
      <c r="M3006" s="62"/>
      <c r="N3006" s="61"/>
      <c r="O3006" s="62"/>
      <c r="P3006" s="61"/>
      <c r="Q3006" s="62"/>
      <c r="R3006" s="59"/>
      <c r="S3006" s="59"/>
      <c r="AB3006"/>
      <c r="AC3006"/>
    </row>
    <row r="3007" spans="1:29" x14ac:dyDescent="0.25">
      <c r="A3007" t="str">
        <f t="shared" si="47"/>
        <v/>
      </c>
      <c r="B3007" s="59"/>
      <c r="C3007" s="59"/>
      <c r="D3007" s="59"/>
      <c r="E3007" s="59"/>
      <c r="F3007" s="59"/>
      <c r="G3007" s="61"/>
      <c r="H3007" s="63"/>
      <c r="I3007" s="62"/>
      <c r="J3007" s="63"/>
      <c r="K3007" s="62"/>
      <c r="L3007" s="61"/>
      <c r="M3007" s="62"/>
      <c r="N3007" s="61"/>
      <c r="O3007" s="62"/>
      <c r="P3007" s="61"/>
      <c r="Q3007" s="62"/>
      <c r="R3007" s="59"/>
      <c r="S3007" s="59"/>
      <c r="AB3007"/>
      <c r="AC3007"/>
    </row>
    <row r="3008" spans="1:29" x14ac:dyDescent="0.25">
      <c r="A3008" t="str">
        <f t="shared" ref="A3008:A3071" si="48">B3006&amp;D3006</f>
        <v/>
      </c>
      <c r="B3008" s="59"/>
      <c r="C3008" s="59"/>
      <c r="D3008" s="59"/>
      <c r="E3008" s="59"/>
      <c r="F3008" s="59"/>
      <c r="G3008" s="61"/>
      <c r="H3008" s="63"/>
      <c r="I3008" s="62"/>
      <c r="J3008" s="63"/>
      <c r="K3008" s="62"/>
      <c r="L3008" s="61"/>
      <c r="M3008" s="62"/>
      <c r="N3008" s="61"/>
      <c r="O3008" s="62"/>
      <c r="P3008" s="61"/>
      <c r="Q3008" s="62"/>
      <c r="R3008" s="59"/>
      <c r="S3008" s="59"/>
      <c r="AB3008"/>
      <c r="AC3008"/>
    </row>
    <row r="3009" spans="1:29" x14ac:dyDescent="0.25">
      <c r="A3009" t="str">
        <f t="shared" si="48"/>
        <v/>
      </c>
      <c r="B3009" s="59"/>
      <c r="C3009" s="59"/>
      <c r="D3009" s="59"/>
      <c r="E3009" s="59"/>
      <c r="F3009" s="59"/>
      <c r="G3009" s="61"/>
      <c r="H3009" s="63"/>
      <c r="I3009" s="62"/>
      <c r="J3009" s="63"/>
      <c r="K3009" s="62"/>
      <c r="L3009" s="61"/>
      <c r="M3009" s="62"/>
      <c r="N3009" s="61"/>
      <c r="O3009" s="62"/>
      <c r="P3009" s="61"/>
      <c r="Q3009" s="62"/>
      <c r="R3009" s="59"/>
      <c r="S3009" s="59"/>
      <c r="AB3009"/>
      <c r="AC3009"/>
    </row>
    <row r="3010" spans="1:29" x14ac:dyDescent="0.25">
      <c r="A3010" t="str">
        <f t="shared" si="48"/>
        <v/>
      </c>
      <c r="B3010" s="59"/>
      <c r="C3010" s="59"/>
      <c r="D3010" s="59"/>
      <c r="E3010" s="59"/>
      <c r="F3010" s="59"/>
      <c r="G3010" s="61"/>
      <c r="H3010" s="63"/>
      <c r="I3010" s="62"/>
      <c r="J3010" s="63"/>
      <c r="K3010" s="62"/>
      <c r="L3010" s="61"/>
      <c r="M3010" s="62"/>
      <c r="N3010" s="61"/>
      <c r="O3010" s="62"/>
      <c r="P3010" s="61"/>
      <c r="Q3010" s="62"/>
      <c r="R3010" s="59"/>
      <c r="S3010" s="59"/>
      <c r="AB3010"/>
      <c r="AC3010"/>
    </row>
    <row r="3011" spans="1:29" x14ac:dyDescent="0.25">
      <c r="A3011" t="str">
        <f t="shared" si="48"/>
        <v/>
      </c>
      <c r="B3011" s="59"/>
      <c r="C3011" s="59"/>
      <c r="D3011" s="59"/>
      <c r="E3011" s="59"/>
      <c r="F3011" s="59"/>
      <c r="G3011" s="61"/>
      <c r="H3011" s="63"/>
      <c r="I3011" s="62"/>
      <c r="J3011" s="63"/>
      <c r="K3011" s="62"/>
      <c r="L3011" s="61"/>
      <c r="M3011" s="62"/>
      <c r="N3011" s="61"/>
      <c r="O3011" s="62"/>
      <c r="P3011" s="61"/>
      <c r="Q3011" s="62"/>
      <c r="R3011" s="59"/>
      <c r="S3011" s="59"/>
      <c r="AB3011"/>
      <c r="AC3011"/>
    </row>
    <row r="3012" spans="1:29" x14ac:dyDescent="0.25">
      <c r="A3012" t="str">
        <f t="shared" si="48"/>
        <v/>
      </c>
      <c r="B3012" s="59"/>
      <c r="C3012" s="59"/>
      <c r="D3012" s="59"/>
      <c r="E3012" s="59"/>
      <c r="F3012" s="59"/>
      <c r="G3012" s="61"/>
      <c r="H3012" s="63"/>
      <c r="I3012" s="62"/>
      <c r="J3012" s="63"/>
      <c r="K3012" s="62"/>
      <c r="L3012" s="61"/>
      <c r="M3012" s="62"/>
      <c r="N3012" s="61"/>
      <c r="O3012" s="62"/>
      <c r="P3012" s="61"/>
      <c r="Q3012" s="62"/>
      <c r="R3012" s="59"/>
      <c r="S3012" s="59"/>
      <c r="AB3012"/>
      <c r="AC3012"/>
    </row>
    <row r="3013" spans="1:29" x14ac:dyDescent="0.25">
      <c r="A3013" t="str">
        <f t="shared" si="48"/>
        <v/>
      </c>
      <c r="B3013" s="59"/>
      <c r="C3013" s="59"/>
      <c r="D3013" s="59"/>
      <c r="E3013" s="59"/>
      <c r="F3013" s="59"/>
      <c r="G3013" s="61"/>
      <c r="H3013" s="63"/>
      <c r="I3013" s="62"/>
      <c r="J3013" s="63"/>
      <c r="K3013" s="62"/>
      <c r="L3013" s="61"/>
      <c r="M3013" s="62"/>
      <c r="N3013" s="61"/>
      <c r="O3013" s="62"/>
      <c r="P3013" s="61"/>
      <c r="Q3013" s="62"/>
      <c r="R3013" s="59"/>
      <c r="S3013" s="59"/>
      <c r="AB3013"/>
      <c r="AC3013"/>
    </row>
    <row r="3014" spans="1:29" x14ac:dyDescent="0.25">
      <c r="A3014" t="str">
        <f t="shared" si="48"/>
        <v/>
      </c>
      <c r="B3014" s="59"/>
      <c r="C3014" s="59"/>
      <c r="D3014" s="59"/>
      <c r="E3014" s="59"/>
      <c r="F3014" s="59"/>
      <c r="G3014" s="61"/>
      <c r="H3014" s="63"/>
      <c r="I3014" s="62"/>
      <c r="J3014" s="63"/>
      <c r="K3014" s="62"/>
      <c r="L3014" s="61"/>
      <c r="M3014" s="62"/>
      <c r="N3014" s="61"/>
      <c r="O3014" s="62"/>
      <c r="P3014" s="61"/>
      <c r="Q3014" s="62"/>
      <c r="R3014" s="59"/>
      <c r="S3014" s="59"/>
      <c r="AB3014"/>
      <c r="AC3014"/>
    </row>
    <row r="3015" spans="1:29" x14ac:dyDescent="0.25">
      <c r="A3015" t="str">
        <f t="shared" si="48"/>
        <v/>
      </c>
      <c r="B3015" s="59"/>
      <c r="C3015" s="59"/>
      <c r="D3015" s="59"/>
      <c r="E3015" s="59"/>
      <c r="F3015" s="59"/>
      <c r="G3015" s="61"/>
      <c r="H3015" s="63"/>
      <c r="I3015" s="62"/>
      <c r="J3015" s="63"/>
      <c r="K3015" s="62"/>
      <c r="L3015" s="61"/>
      <c r="M3015" s="62"/>
      <c r="N3015" s="61"/>
      <c r="O3015" s="62"/>
      <c r="P3015" s="61"/>
      <c r="Q3015" s="62"/>
      <c r="R3015" s="59"/>
      <c r="S3015" s="59"/>
      <c r="AB3015"/>
      <c r="AC3015"/>
    </row>
    <row r="3016" spans="1:29" x14ac:dyDescent="0.25">
      <c r="A3016" t="str">
        <f t="shared" si="48"/>
        <v/>
      </c>
      <c r="B3016" s="59"/>
      <c r="C3016" s="59"/>
      <c r="D3016" s="59"/>
      <c r="E3016" s="59"/>
      <c r="F3016" s="59"/>
      <c r="G3016" s="61"/>
      <c r="H3016" s="63"/>
      <c r="I3016" s="62"/>
      <c r="J3016" s="63"/>
      <c r="K3016" s="62"/>
      <c r="L3016" s="61"/>
      <c r="M3016" s="62"/>
      <c r="N3016" s="61"/>
      <c r="O3016" s="62"/>
      <c r="P3016" s="61"/>
      <c r="Q3016" s="62"/>
      <c r="R3016" s="59"/>
      <c r="S3016" s="59"/>
      <c r="AB3016"/>
      <c r="AC3016"/>
    </row>
    <row r="3017" spans="1:29" x14ac:dyDescent="0.25">
      <c r="A3017" t="str">
        <f t="shared" si="48"/>
        <v/>
      </c>
      <c r="B3017" s="59"/>
      <c r="C3017" s="59"/>
      <c r="D3017" s="59"/>
      <c r="E3017" s="59"/>
      <c r="F3017" s="59"/>
      <c r="G3017" s="61"/>
      <c r="H3017" s="63"/>
      <c r="I3017" s="62"/>
      <c r="J3017" s="63"/>
      <c r="K3017" s="62"/>
      <c r="L3017" s="61"/>
      <c r="M3017" s="62"/>
      <c r="N3017" s="61"/>
      <c r="O3017" s="62"/>
      <c r="P3017" s="61"/>
      <c r="Q3017" s="62"/>
      <c r="R3017" s="59"/>
      <c r="S3017" s="59"/>
      <c r="AB3017"/>
      <c r="AC3017"/>
    </row>
    <row r="3018" spans="1:29" x14ac:dyDescent="0.25">
      <c r="A3018" t="str">
        <f t="shared" si="48"/>
        <v/>
      </c>
      <c r="B3018" s="59"/>
      <c r="C3018" s="59"/>
      <c r="D3018" s="59"/>
      <c r="E3018" s="59"/>
      <c r="F3018" s="59"/>
      <c r="G3018" s="61"/>
      <c r="H3018" s="63"/>
      <c r="I3018" s="62"/>
      <c r="J3018" s="63"/>
      <c r="K3018" s="62"/>
      <c r="L3018" s="61"/>
      <c r="M3018" s="62"/>
      <c r="N3018" s="61"/>
      <c r="O3018" s="62"/>
      <c r="P3018" s="61"/>
      <c r="Q3018" s="62"/>
      <c r="R3018" s="59"/>
      <c r="S3018" s="59"/>
      <c r="AB3018"/>
      <c r="AC3018"/>
    </row>
    <row r="3019" spans="1:29" x14ac:dyDescent="0.25">
      <c r="A3019" t="str">
        <f t="shared" si="48"/>
        <v/>
      </c>
      <c r="B3019" s="59"/>
      <c r="C3019" s="59"/>
      <c r="D3019" s="59"/>
      <c r="E3019" s="59"/>
      <c r="F3019" s="59"/>
      <c r="G3019" s="61"/>
      <c r="H3019" s="63"/>
      <c r="I3019" s="62"/>
      <c r="J3019" s="63"/>
      <c r="K3019" s="62"/>
      <c r="L3019" s="61"/>
      <c r="M3019" s="62"/>
      <c r="N3019" s="61"/>
      <c r="O3019" s="62"/>
      <c r="P3019" s="61"/>
      <c r="Q3019" s="62"/>
      <c r="R3019" s="59"/>
      <c r="S3019" s="59"/>
      <c r="AB3019"/>
      <c r="AC3019"/>
    </row>
    <row r="3020" spans="1:29" x14ac:dyDescent="0.25">
      <c r="A3020" t="str">
        <f t="shared" si="48"/>
        <v/>
      </c>
      <c r="B3020" s="59"/>
      <c r="C3020" s="59"/>
      <c r="D3020" s="59"/>
      <c r="E3020" s="59"/>
      <c r="F3020" s="59"/>
      <c r="G3020" s="61"/>
      <c r="H3020" s="63"/>
      <c r="I3020" s="62"/>
      <c r="J3020" s="63"/>
      <c r="K3020" s="62"/>
      <c r="L3020" s="61"/>
      <c r="M3020" s="62"/>
      <c r="N3020" s="61"/>
      <c r="O3020" s="62"/>
      <c r="P3020" s="61"/>
      <c r="Q3020" s="62"/>
      <c r="R3020" s="59"/>
      <c r="S3020" s="59"/>
      <c r="AB3020"/>
      <c r="AC3020"/>
    </row>
    <row r="3021" spans="1:29" x14ac:dyDescent="0.25">
      <c r="A3021" t="str">
        <f t="shared" si="48"/>
        <v/>
      </c>
      <c r="B3021" s="59"/>
      <c r="C3021" s="59"/>
      <c r="D3021" s="59"/>
      <c r="E3021" s="59"/>
      <c r="F3021" s="59"/>
      <c r="G3021" s="61"/>
      <c r="H3021" s="63"/>
      <c r="I3021" s="62"/>
      <c r="J3021" s="63"/>
      <c r="K3021" s="62"/>
      <c r="L3021" s="61"/>
      <c r="M3021" s="62"/>
      <c r="N3021" s="61"/>
      <c r="O3021" s="62"/>
      <c r="P3021" s="61"/>
      <c r="Q3021" s="62"/>
      <c r="R3021" s="59"/>
      <c r="S3021" s="59"/>
      <c r="AB3021"/>
      <c r="AC3021"/>
    </row>
    <row r="3022" spans="1:29" x14ac:dyDescent="0.25">
      <c r="A3022" t="str">
        <f t="shared" si="48"/>
        <v/>
      </c>
      <c r="B3022" s="59"/>
      <c r="C3022" s="59"/>
      <c r="D3022" s="59"/>
      <c r="E3022" s="59"/>
      <c r="F3022" s="59"/>
      <c r="G3022" s="61"/>
      <c r="H3022" s="63"/>
      <c r="I3022" s="62"/>
      <c r="J3022" s="63"/>
      <c r="K3022" s="62"/>
      <c r="L3022" s="61"/>
      <c r="M3022" s="62"/>
      <c r="N3022" s="61"/>
      <c r="O3022" s="62"/>
      <c r="P3022" s="61"/>
      <c r="Q3022" s="62"/>
      <c r="R3022" s="59"/>
      <c r="S3022" s="59"/>
      <c r="AB3022"/>
      <c r="AC3022"/>
    </row>
    <row r="3023" spans="1:29" x14ac:dyDescent="0.25">
      <c r="A3023" t="str">
        <f t="shared" si="48"/>
        <v/>
      </c>
      <c r="B3023" s="59"/>
      <c r="C3023" s="59"/>
      <c r="D3023" s="59"/>
      <c r="E3023" s="59"/>
      <c r="F3023" s="59"/>
      <c r="G3023" s="61"/>
      <c r="H3023" s="63"/>
      <c r="I3023" s="62"/>
      <c r="J3023" s="63"/>
      <c r="K3023" s="62"/>
      <c r="L3023" s="61"/>
      <c r="M3023" s="62"/>
      <c r="N3023" s="61"/>
      <c r="O3023" s="62"/>
      <c r="P3023" s="61"/>
      <c r="Q3023" s="62"/>
      <c r="R3023" s="59"/>
      <c r="S3023" s="59"/>
      <c r="AB3023"/>
      <c r="AC3023"/>
    </row>
    <row r="3024" spans="1:29" x14ac:dyDescent="0.25">
      <c r="A3024" t="str">
        <f t="shared" si="48"/>
        <v/>
      </c>
      <c r="B3024" s="59"/>
      <c r="C3024" s="59"/>
      <c r="D3024" s="59"/>
      <c r="E3024" s="59"/>
      <c r="F3024" s="59"/>
      <c r="G3024" s="61"/>
      <c r="H3024" s="63"/>
      <c r="I3024" s="62"/>
      <c r="J3024" s="63"/>
      <c r="K3024" s="62"/>
      <c r="L3024" s="61"/>
      <c r="M3024" s="62"/>
      <c r="N3024" s="61"/>
      <c r="O3024" s="62"/>
      <c r="P3024" s="61"/>
      <c r="Q3024" s="62"/>
      <c r="R3024" s="59"/>
      <c r="S3024" s="59"/>
      <c r="AB3024"/>
      <c r="AC3024"/>
    </row>
    <row r="3025" spans="1:29" x14ac:dyDescent="0.25">
      <c r="A3025" t="str">
        <f t="shared" si="48"/>
        <v/>
      </c>
      <c r="B3025" s="59"/>
      <c r="C3025" s="59"/>
      <c r="D3025" s="59"/>
      <c r="E3025" s="59"/>
      <c r="F3025" s="59"/>
      <c r="G3025" s="61"/>
      <c r="H3025" s="63"/>
      <c r="I3025" s="62"/>
      <c r="J3025" s="63"/>
      <c r="K3025" s="62"/>
      <c r="L3025" s="61"/>
      <c r="M3025" s="62"/>
      <c r="N3025" s="61"/>
      <c r="O3025" s="62"/>
      <c r="P3025" s="61"/>
      <c r="Q3025" s="62"/>
      <c r="R3025" s="59"/>
      <c r="S3025" s="59"/>
      <c r="AB3025"/>
      <c r="AC3025"/>
    </row>
    <row r="3026" spans="1:29" x14ac:dyDescent="0.25">
      <c r="A3026" t="str">
        <f t="shared" si="48"/>
        <v/>
      </c>
      <c r="B3026" s="59"/>
      <c r="C3026" s="59"/>
      <c r="D3026" s="59"/>
      <c r="E3026" s="59"/>
      <c r="F3026" s="59"/>
      <c r="G3026" s="61"/>
      <c r="H3026" s="63"/>
      <c r="I3026" s="62"/>
      <c r="J3026" s="63"/>
      <c r="K3026" s="62"/>
      <c r="L3026" s="61"/>
      <c r="M3026" s="62"/>
      <c r="N3026" s="61"/>
      <c r="O3026" s="62"/>
      <c r="P3026" s="61"/>
      <c r="Q3026" s="62"/>
      <c r="R3026" s="59"/>
      <c r="S3026" s="59"/>
      <c r="AB3026"/>
      <c r="AC3026"/>
    </row>
    <row r="3027" spans="1:29" x14ac:dyDescent="0.25">
      <c r="A3027" t="str">
        <f t="shared" si="48"/>
        <v/>
      </c>
      <c r="B3027" s="59"/>
      <c r="C3027" s="59"/>
      <c r="D3027" s="59"/>
      <c r="E3027" s="59"/>
      <c r="F3027" s="59"/>
      <c r="G3027" s="61"/>
      <c r="H3027" s="63"/>
      <c r="I3027" s="62"/>
      <c r="J3027" s="63"/>
      <c r="K3027" s="62"/>
      <c r="L3027" s="61"/>
      <c r="M3027" s="62"/>
      <c r="N3027" s="61"/>
      <c r="O3027" s="62"/>
      <c r="P3027" s="61"/>
      <c r="Q3027" s="62"/>
      <c r="R3027" s="59"/>
      <c r="S3027" s="59"/>
      <c r="AB3027"/>
      <c r="AC3027"/>
    </row>
    <row r="3028" spans="1:29" x14ac:dyDescent="0.25">
      <c r="A3028" t="str">
        <f t="shared" si="48"/>
        <v/>
      </c>
      <c r="B3028" s="59"/>
      <c r="C3028" s="59"/>
      <c r="D3028" s="59"/>
      <c r="E3028" s="59"/>
      <c r="F3028" s="59"/>
      <c r="G3028" s="61"/>
      <c r="H3028" s="63"/>
      <c r="I3028" s="62"/>
      <c r="J3028" s="63"/>
      <c r="K3028" s="62"/>
      <c r="L3028" s="61"/>
      <c r="M3028" s="62"/>
      <c r="N3028" s="61"/>
      <c r="O3028" s="62"/>
      <c r="P3028" s="61"/>
      <c r="Q3028" s="62"/>
      <c r="R3028" s="59"/>
      <c r="S3028" s="59"/>
      <c r="AB3028"/>
      <c r="AC3028"/>
    </row>
    <row r="3029" spans="1:29" x14ac:dyDescent="0.25">
      <c r="A3029" t="str">
        <f t="shared" si="48"/>
        <v/>
      </c>
      <c r="B3029" s="59"/>
      <c r="C3029" s="59"/>
      <c r="D3029" s="59"/>
      <c r="E3029" s="59"/>
      <c r="F3029" s="59"/>
      <c r="G3029" s="61"/>
      <c r="H3029" s="63"/>
      <c r="I3029" s="62"/>
      <c r="J3029" s="63"/>
      <c r="K3029" s="62"/>
      <c r="L3029" s="61"/>
      <c r="M3029" s="62"/>
      <c r="N3029" s="61"/>
      <c r="O3029" s="62"/>
      <c r="P3029" s="61"/>
      <c r="Q3029" s="62"/>
      <c r="R3029" s="59"/>
      <c r="S3029" s="59"/>
      <c r="AB3029"/>
      <c r="AC3029"/>
    </row>
    <row r="3030" spans="1:29" x14ac:dyDescent="0.25">
      <c r="A3030" t="str">
        <f t="shared" si="48"/>
        <v/>
      </c>
      <c r="B3030" s="59"/>
      <c r="C3030" s="59"/>
      <c r="D3030" s="59"/>
      <c r="E3030" s="59"/>
      <c r="F3030" s="59"/>
      <c r="G3030" s="61"/>
      <c r="H3030" s="63"/>
      <c r="I3030" s="62"/>
      <c r="J3030" s="63"/>
      <c r="K3030" s="62"/>
      <c r="L3030" s="61"/>
      <c r="M3030" s="62"/>
      <c r="N3030" s="61"/>
      <c r="O3030" s="62"/>
      <c r="P3030" s="61"/>
      <c r="Q3030" s="62"/>
      <c r="R3030" s="59"/>
      <c r="S3030" s="59"/>
      <c r="AB3030"/>
      <c r="AC3030"/>
    </row>
    <row r="3031" spans="1:29" x14ac:dyDescent="0.25">
      <c r="A3031" t="str">
        <f t="shared" si="48"/>
        <v/>
      </c>
      <c r="B3031" s="10"/>
      <c r="C3031" s="10"/>
      <c r="D3031" s="10"/>
      <c r="E3031" s="10"/>
      <c r="F3031" s="10"/>
      <c r="G3031" s="11"/>
      <c r="H3031" s="12"/>
      <c r="I3031" s="13"/>
      <c r="J3031" s="12"/>
      <c r="K3031" s="13"/>
      <c r="L3031" s="11"/>
      <c r="M3031" s="13"/>
      <c r="N3031" s="11"/>
      <c r="O3031" s="13"/>
      <c r="P3031" s="11"/>
      <c r="Q3031" s="13"/>
      <c r="R3031" s="10"/>
      <c r="S3031" s="10"/>
      <c r="AB3031"/>
      <c r="AC3031"/>
    </row>
    <row r="3032" spans="1:29" x14ac:dyDescent="0.25">
      <c r="A3032" t="str">
        <f t="shared" si="48"/>
        <v/>
      </c>
      <c r="B3032" s="10"/>
      <c r="C3032" s="10"/>
      <c r="D3032" s="10"/>
      <c r="E3032" s="10"/>
      <c r="F3032" s="10"/>
      <c r="G3032" s="11"/>
      <c r="H3032" s="12"/>
      <c r="I3032" s="13"/>
      <c r="J3032" s="12"/>
      <c r="K3032" s="13"/>
      <c r="L3032" s="11"/>
      <c r="M3032" s="13"/>
      <c r="N3032" s="11"/>
      <c r="O3032" s="13"/>
      <c r="P3032" s="11"/>
      <c r="Q3032" s="13"/>
      <c r="R3032" s="10"/>
      <c r="S3032" s="10"/>
      <c r="AB3032"/>
      <c r="AC3032"/>
    </row>
    <row r="3033" spans="1:29" x14ac:dyDescent="0.25">
      <c r="A3033" t="str">
        <f t="shared" si="48"/>
        <v/>
      </c>
      <c r="B3033" s="10"/>
      <c r="C3033" s="10"/>
      <c r="D3033" s="10"/>
      <c r="E3033" s="10"/>
      <c r="F3033" s="10"/>
      <c r="G3033" s="11"/>
      <c r="H3033" s="12"/>
      <c r="I3033" s="13"/>
      <c r="J3033" s="12"/>
      <c r="K3033" s="13"/>
      <c r="L3033" s="11"/>
      <c r="M3033" s="13"/>
      <c r="N3033" s="11"/>
      <c r="O3033" s="13"/>
      <c r="P3033" s="11"/>
      <c r="Q3033" s="13"/>
      <c r="R3033" s="10"/>
      <c r="S3033" s="10"/>
      <c r="AB3033"/>
      <c r="AC3033"/>
    </row>
    <row r="3034" spans="1:29" x14ac:dyDescent="0.25">
      <c r="A3034" t="str">
        <f t="shared" si="48"/>
        <v/>
      </c>
      <c r="B3034" s="10"/>
      <c r="C3034" s="10"/>
      <c r="D3034" s="10"/>
      <c r="E3034" s="10"/>
      <c r="F3034" s="10"/>
      <c r="G3034" s="11"/>
      <c r="H3034" s="12"/>
      <c r="I3034" s="13"/>
      <c r="J3034" s="12"/>
      <c r="K3034" s="13"/>
      <c r="L3034" s="11"/>
      <c r="M3034" s="13"/>
      <c r="N3034" s="11"/>
      <c r="O3034" s="13"/>
      <c r="P3034" s="11"/>
      <c r="Q3034" s="13"/>
      <c r="R3034" s="10"/>
      <c r="S3034" s="10"/>
      <c r="AB3034"/>
      <c r="AC3034"/>
    </row>
    <row r="3035" spans="1:29" x14ac:dyDescent="0.25">
      <c r="A3035" t="str">
        <f t="shared" si="48"/>
        <v/>
      </c>
      <c r="B3035" s="10"/>
      <c r="C3035" s="10"/>
      <c r="D3035" s="10"/>
      <c r="E3035" s="10"/>
      <c r="F3035" s="10"/>
      <c r="G3035" s="11"/>
      <c r="H3035" s="12"/>
      <c r="I3035" s="13"/>
      <c r="J3035" s="12"/>
      <c r="K3035" s="13"/>
      <c r="L3035" s="11"/>
      <c r="M3035" s="13"/>
      <c r="N3035" s="11"/>
      <c r="O3035" s="13"/>
      <c r="P3035" s="11"/>
      <c r="Q3035" s="13"/>
      <c r="R3035" s="10"/>
      <c r="S3035" s="10"/>
      <c r="AB3035"/>
      <c r="AC3035"/>
    </row>
    <row r="3036" spans="1:29" x14ac:dyDescent="0.25">
      <c r="A3036" t="str">
        <f t="shared" si="48"/>
        <v/>
      </c>
      <c r="B3036" s="10"/>
      <c r="C3036" s="10"/>
      <c r="D3036" s="10"/>
      <c r="E3036" s="10"/>
      <c r="F3036" s="10"/>
      <c r="G3036" s="11"/>
      <c r="H3036" s="12"/>
      <c r="I3036" s="13"/>
      <c r="J3036" s="12"/>
      <c r="K3036" s="13"/>
      <c r="L3036" s="11"/>
      <c r="M3036" s="13"/>
      <c r="N3036" s="11"/>
      <c r="O3036" s="13"/>
      <c r="P3036" s="11"/>
      <c r="Q3036" s="13"/>
      <c r="R3036" s="10"/>
      <c r="S3036" s="10"/>
      <c r="AB3036"/>
      <c r="AC3036"/>
    </row>
    <row r="3037" spans="1:29" x14ac:dyDescent="0.25">
      <c r="A3037" t="str">
        <f t="shared" si="48"/>
        <v/>
      </c>
      <c r="B3037" s="10"/>
      <c r="C3037" s="10"/>
      <c r="D3037" s="10"/>
      <c r="E3037" s="10"/>
      <c r="F3037" s="10"/>
      <c r="G3037" s="11"/>
      <c r="H3037" s="12"/>
      <c r="I3037" s="13"/>
      <c r="J3037" s="12"/>
      <c r="K3037" s="13"/>
      <c r="L3037" s="11"/>
      <c r="M3037" s="13"/>
      <c r="N3037" s="11"/>
      <c r="O3037" s="13"/>
      <c r="P3037" s="11"/>
      <c r="Q3037" s="13"/>
      <c r="R3037" s="10"/>
      <c r="S3037" s="10"/>
      <c r="AB3037"/>
      <c r="AC3037"/>
    </row>
    <row r="3038" spans="1:29" x14ac:dyDescent="0.25">
      <c r="A3038" t="str">
        <f t="shared" si="48"/>
        <v/>
      </c>
      <c r="B3038" s="10"/>
      <c r="C3038" s="10"/>
      <c r="D3038" s="10"/>
      <c r="E3038" s="10"/>
      <c r="F3038" s="10"/>
      <c r="G3038" s="11"/>
      <c r="H3038" s="12"/>
      <c r="I3038" s="13"/>
      <c r="J3038" s="12"/>
      <c r="K3038" s="13"/>
      <c r="L3038" s="11"/>
      <c r="M3038" s="13"/>
      <c r="N3038" s="11"/>
      <c r="O3038" s="13"/>
      <c r="P3038" s="11"/>
      <c r="Q3038" s="13"/>
      <c r="R3038" s="10"/>
      <c r="S3038" s="10"/>
      <c r="AB3038"/>
      <c r="AC3038"/>
    </row>
    <row r="3039" spans="1:29" x14ac:dyDescent="0.25">
      <c r="A3039" t="str">
        <f t="shared" si="48"/>
        <v/>
      </c>
      <c r="B3039" s="10"/>
      <c r="C3039" s="10"/>
      <c r="D3039" s="10"/>
      <c r="E3039" s="10"/>
      <c r="F3039" s="10"/>
      <c r="G3039" s="11"/>
      <c r="H3039" s="12"/>
      <c r="I3039" s="13"/>
      <c r="J3039" s="12"/>
      <c r="K3039" s="13"/>
      <c r="L3039" s="11"/>
      <c r="M3039" s="13"/>
      <c r="N3039" s="11"/>
      <c r="O3039" s="13"/>
      <c r="P3039" s="11"/>
      <c r="Q3039" s="13"/>
      <c r="R3039" s="10"/>
      <c r="S3039" s="10"/>
      <c r="AB3039"/>
      <c r="AC3039"/>
    </row>
    <row r="3040" spans="1:29" x14ac:dyDescent="0.25">
      <c r="A3040" t="str">
        <f t="shared" si="48"/>
        <v/>
      </c>
      <c r="B3040" s="10"/>
      <c r="C3040" s="10"/>
      <c r="D3040" s="10"/>
      <c r="E3040" s="10"/>
      <c r="F3040" s="10"/>
      <c r="G3040" s="11"/>
      <c r="H3040" s="12"/>
      <c r="I3040" s="13"/>
      <c r="J3040" s="12"/>
      <c r="K3040" s="13"/>
      <c r="L3040" s="11"/>
      <c r="M3040" s="13"/>
      <c r="N3040" s="11"/>
      <c r="O3040" s="13"/>
      <c r="P3040" s="11"/>
      <c r="Q3040" s="13"/>
      <c r="R3040" s="10"/>
      <c r="S3040" s="10"/>
      <c r="AB3040"/>
      <c r="AC3040"/>
    </row>
    <row r="3041" spans="1:29" x14ac:dyDescent="0.25">
      <c r="A3041" t="str">
        <f t="shared" si="48"/>
        <v/>
      </c>
      <c r="B3041" s="10"/>
      <c r="C3041" s="10"/>
      <c r="D3041" s="10"/>
      <c r="E3041" s="10"/>
      <c r="F3041" s="10"/>
      <c r="G3041" s="11"/>
      <c r="H3041" s="12"/>
      <c r="I3041" s="13"/>
      <c r="J3041" s="12"/>
      <c r="K3041" s="13"/>
      <c r="L3041" s="11"/>
      <c r="M3041" s="13"/>
      <c r="N3041" s="11"/>
      <c r="O3041" s="13"/>
      <c r="P3041" s="11"/>
      <c r="Q3041" s="13"/>
      <c r="R3041" s="10"/>
      <c r="S3041" s="10"/>
      <c r="AB3041"/>
      <c r="AC3041"/>
    </row>
    <row r="3042" spans="1:29" x14ac:dyDescent="0.25">
      <c r="A3042" t="str">
        <f t="shared" si="48"/>
        <v/>
      </c>
      <c r="B3042" s="10"/>
      <c r="C3042" s="10"/>
      <c r="D3042" s="10"/>
      <c r="E3042" s="10"/>
      <c r="F3042" s="10"/>
      <c r="G3042" s="11"/>
      <c r="H3042" s="12"/>
      <c r="I3042" s="13"/>
      <c r="J3042" s="12"/>
      <c r="K3042" s="13"/>
      <c r="L3042" s="11"/>
      <c r="M3042" s="13"/>
      <c r="N3042" s="11"/>
      <c r="O3042" s="13"/>
      <c r="P3042" s="11"/>
      <c r="Q3042" s="13"/>
      <c r="R3042" s="10"/>
      <c r="S3042" s="10"/>
      <c r="AB3042"/>
      <c r="AC3042"/>
    </row>
    <row r="3043" spans="1:29" x14ac:dyDescent="0.25">
      <c r="A3043" t="str">
        <f t="shared" si="48"/>
        <v/>
      </c>
      <c r="B3043" s="10"/>
      <c r="C3043" s="10"/>
      <c r="D3043" s="10"/>
      <c r="E3043" s="10"/>
      <c r="F3043" s="10"/>
      <c r="G3043" s="11"/>
      <c r="H3043" s="12"/>
      <c r="I3043" s="13"/>
      <c r="J3043" s="12"/>
      <c r="K3043" s="13"/>
      <c r="L3043" s="11"/>
      <c r="M3043" s="13"/>
      <c r="N3043" s="11"/>
      <c r="O3043" s="13"/>
      <c r="P3043" s="11"/>
      <c r="Q3043" s="13"/>
      <c r="R3043" s="10"/>
      <c r="S3043" s="10"/>
      <c r="AB3043"/>
      <c r="AC3043"/>
    </row>
    <row r="3044" spans="1:29" x14ac:dyDescent="0.25">
      <c r="A3044" t="str">
        <f t="shared" si="48"/>
        <v/>
      </c>
      <c r="B3044" s="10"/>
      <c r="C3044" s="10"/>
      <c r="D3044" s="10"/>
      <c r="E3044" s="10"/>
      <c r="F3044" s="10"/>
      <c r="G3044" s="11"/>
      <c r="H3044" s="12"/>
      <c r="I3044" s="13"/>
      <c r="J3044" s="12"/>
      <c r="K3044" s="13"/>
      <c r="L3044" s="11"/>
      <c r="M3044" s="13"/>
      <c r="N3044" s="11"/>
      <c r="O3044" s="13"/>
      <c r="P3044" s="11"/>
      <c r="Q3044" s="13"/>
      <c r="R3044" s="10"/>
      <c r="S3044" s="10"/>
      <c r="AB3044"/>
      <c r="AC3044"/>
    </row>
    <row r="3045" spans="1:29" x14ac:dyDescent="0.25">
      <c r="A3045" t="str">
        <f t="shared" si="48"/>
        <v/>
      </c>
      <c r="B3045" s="10"/>
      <c r="C3045" s="10"/>
      <c r="D3045" s="10"/>
      <c r="E3045" s="10"/>
      <c r="F3045" s="10"/>
      <c r="G3045" s="11"/>
      <c r="H3045" s="12"/>
      <c r="I3045" s="13"/>
      <c r="J3045" s="12"/>
      <c r="K3045" s="13"/>
      <c r="L3045" s="11"/>
      <c r="M3045" s="13"/>
      <c r="N3045" s="11"/>
      <c r="O3045" s="13"/>
      <c r="P3045" s="11"/>
      <c r="Q3045" s="13"/>
      <c r="R3045" s="10"/>
      <c r="S3045" s="10"/>
      <c r="AB3045"/>
      <c r="AC3045"/>
    </row>
    <row r="3046" spans="1:29" x14ac:dyDescent="0.25">
      <c r="A3046" t="str">
        <f t="shared" si="48"/>
        <v/>
      </c>
      <c r="B3046" s="10"/>
      <c r="C3046" s="10"/>
      <c r="D3046" s="10"/>
      <c r="E3046" s="10"/>
      <c r="F3046" s="10"/>
      <c r="G3046" s="11"/>
      <c r="H3046" s="12"/>
      <c r="I3046" s="13"/>
      <c r="J3046" s="12"/>
      <c r="K3046" s="13"/>
      <c r="L3046" s="11"/>
      <c r="M3046" s="13"/>
      <c r="N3046" s="11"/>
      <c r="O3046" s="13"/>
      <c r="P3046" s="11"/>
      <c r="Q3046" s="13"/>
      <c r="R3046" s="10"/>
      <c r="S3046" s="10"/>
      <c r="AB3046"/>
      <c r="AC3046"/>
    </row>
    <row r="3047" spans="1:29" x14ac:dyDescent="0.25">
      <c r="A3047" t="str">
        <f t="shared" si="48"/>
        <v/>
      </c>
      <c r="B3047" s="10"/>
      <c r="C3047" s="10"/>
      <c r="D3047" s="10"/>
      <c r="E3047" s="10"/>
      <c r="F3047" s="10"/>
      <c r="G3047" s="11"/>
      <c r="H3047" s="12"/>
      <c r="I3047" s="13"/>
      <c r="J3047" s="12"/>
      <c r="K3047" s="13"/>
      <c r="L3047" s="11"/>
      <c r="M3047" s="13"/>
      <c r="N3047" s="11"/>
      <c r="O3047" s="13"/>
      <c r="P3047" s="11"/>
      <c r="Q3047" s="13"/>
      <c r="R3047" s="10"/>
      <c r="S3047" s="10"/>
      <c r="AB3047"/>
      <c r="AC3047"/>
    </row>
    <row r="3048" spans="1:29" x14ac:dyDescent="0.25">
      <c r="A3048" t="str">
        <f t="shared" si="48"/>
        <v/>
      </c>
      <c r="B3048" s="10"/>
      <c r="C3048" s="10"/>
      <c r="D3048" s="10"/>
      <c r="E3048" s="10"/>
      <c r="F3048" s="10"/>
      <c r="G3048" s="11"/>
      <c r="H3048" s="12"/>
      <c r="I3048" s="13"/>
      <c r="J3048" s="12"/>
      <c r="K3048" s="13"/>
      <c r="L3048" s="11"/>
      <c r="M3048" s="13"/>
      <c r="N3048" s="11"/>
      <c r="O3048" s="13"/>
      <c r="P3048" s="11"/>
      <c r="Q3048" s="13"/>
      <c r="R3048" s="10"/>
      <c r="S3048" s="10"/>
      <c r="AB3048"/>
      <c r="AC3048"/>
    </row>
    <row r="3049" spans="1:29" x14ac:dyDescent="0.25">
      <c r="A3049" t="str">
        <f t="shared" si="48"/>
        <v/>
      </c>
      <c r="B3049" s="10"/>
      <c r="C3049" s="10"/>
      <c r="D3049" s="10"/>
      <c r="E3049" s="10"/>
      <c r="F3049" s="10"/>
      <c r="G3049" s="11"/>
      <c r="H3049" s="12"/>
      <c r="I3049" s="13"/>
      <c r="J3049" s="12"/>
      <c r="K3049" s="13"/>
      <c r="L3049" s="11"/>
      <c r="M3049" s="13"/>
      <c r="N3049" s="11"/>
      <c r="O3049" s="13"/>
      <c r="P3049" s="11"/>
      <c r="Q3049" s="13"/>
      <c r="R3049" s="10"/>
      <c r="S3049" s="10"/>
      <c r="AB3049"/>
      <c r="AC3049"/>
    </row>
    <row r="3050" spans="1:29" x14ac:dyDescent="0.25">
      <c r="A3050" t="str">
        <f t="shared" si="48"/>
        <v/>
      </c>
      <c r="B3050" s="10"/>
      <c r="C3050" s="10"/>
      <c r="D3050" s="10"/>
      <c r="E3050" s="10"/>
      <c r="F3050" s="10"/>
      <c r="G3050" s="11"/>
      <c r="H3050" s="12"/>
      <c r="I3050" s="13"/>
      <c r="J3050" s="12"/>
      <c r="K3050" s="13"/>
      <c r="L3050" s="11"/>
      <c r="M3050" s="13"/>
      <c r="N3050" s="11"/>
      <c r="O3050" s="13"/>
      <c r="P3050" s="11"/>
      <c r="Q3050" s="13"/>
      <c r="R3050" s="10"/>
      <c r="S3050" s="10"/>
      <c r="AB3050"/>
      <c r="AC3050"/>
    </row>
    <row r="3051" spans="1:29" x14ac:dyDescent="0.25">
      <c r="A3051" t="str">
        <f t="shared" si="48"/>
        <v/>
      </c>
      <c r="B3051" s="10"/>
      <c r="C3051" s="10"/>
      <c r="D3051" s="10"/>
      <c r="E3051" s="10"/>
      <c r="F3051" s="10"/>
      <c r="G3051" s="11"/>
      <c r="H3051" s="12"/>
      <c r="I3051" s="13"/>
      <c r="J3051" s="12"/>
      <c r="K3051" s="13"/>
      <c r="L3051" s="11"/>
      <c r="M3051" s="13"/>
      <c r="N3051" s="11"/>
      <c r="O3051" s="13"/>
      <c r="P3051" s="11"/>
      <c r="Q3051" s="13"/>
      <c r="R3051" s="10"/>
      <c r="S3051" s="10"/>
      <c r="AB3051"/>
      <c r="AC3051"/>
    </row>
    <row r="3052" spans="1:29" x14ac:dyDescent="0.25">
      <c r="A3052" t="str">
        <f t="shared" si="48"/>
        <v/>
      </c>
      <c r="B3052" s="10"/>
      <c r="C3052" s="10"/>
      <c r="D3052" s="10"/>
      <c r="E3052" s="10"/>
      <c r="F3052" s="10"/>
      <c r="G3052" s="11"/>
      <c r="H3052" s="12"/>
      <c r="I3052" s="13"/>
      <c r="J3052" s="12"/>
      <c r="K3052" s="13"/>
      <c r="L3052" s="11"/>
      <c r="M3052" s="13"/>
      <c r="N3052" s="11"/>
      <c r="O3052" s="13"/>
      <c r="P3052" s="11"/>
      <c r="Q3052" s="13"/>
      <c r="R3052" s="10"/>
      <c r="S3052" s="10"/>
      <c r="AB3052"/>
      <c r="AC3052"/>
    </row>
    <row r="3053" spans="1:29" x14ac:dyDescent="0.25">
      <c r="A3053" t="str">
        <f t="shared" si="48"/>
        <v/>
      </c>
      <c r="B3053" s="10"/>
      <c r="C3053" s="10"/>
      <c r="D3053" s="10"/>
      <c r="E3053" s="10"/>
      <c r="F3053" s="10"/>
      <c r="G3053" s="11"/>
      <c r="H3053" s="12"/>
      <c r="I3053" s="13"/>
      <c r="J3053" s="12"/>
      <c r="K3053" s="13"/>
      <c r="L3053" s="11"/>
      <c r="M3053" s="13"/>
      <c r="N3053" s="11"/>
      <c r="O3053" s="13"/>
      <c r="P3053" s="11"/>
      <c r="Q3053" s="13"/>
      <c r="R3053" s="10"/>
      <c r="S3053" s="10"/>
      <c r="AB3053"/>
      <c r="AC3053"/>
    </row>
    <row r="3054" spans="1:29" x14ac:dyDescent="0.25">
      <c r="A3054" t="str">
        <f t="shared" si="48"/>
        <v/>
      </c>
      <c r="B3054" s="10"/>
      <c r="C3054" s="10"/>
      <c r="D3054" s="10"/>
      <c r="E3054" s="10"/>
      <c r="F3054" s="10"/>
      <c r="G3054" s="11"/>
      <c r="H3054" s="12"/>
      <c r="I3054" s="13"/>
      <c r="J3054" s="12"/>
      <c r="K3054" s="13"/>
      <c r="L3054" s="11"/>
      <c r="M3054" s="13"/>
      <c r="N3054" s="11"/>
      <c r="O3054" s="13"/>
      <c r="P3054" s="11"/>
      <c r="Q3054" s="13"/>
      <c r="R3054" s="10"/>
      <c r="S3054" s="10"/>
      <c r="AB3054"/>
      <c r="AC3054"/>
    </row>
    <row r="3055" spans="1:29" x14ac:dyDescent="0.25">
      <c r="A3055" t="str">
        <f t="shared" si="48"/>
        <v/>
      </c>
      <c r="B3055" s="10"/>
      <c r="C3055" s="10"/>
      <c r="D3055" s="10"/>
      <c r="E3055" s="10"/>
      <c r="F3055" s="10"/>
      <c r="G3055" s="11"/>
      <c r="H3055" s="12"/>
      <c r="I3055" s="13"/>
      <c r="J3055" s="12"/>
      <c r="K3055" s="13"/>
      <c r="L3055" s="11"/>
      <c r="M3055" s="13"/>
      <c r="N3055" s="11"/>
      <c r="O3055" s="13"/>
      <c r="P3055" s="11"/>
      <c r="Q3055" s="13"/>
      <c r="R3055" s="10"/>
      <c r="S3055" s="10"/>
      <c r="AB3055"/>
      <c r="AC3055"/>
    </row>
    <row r="3056" spans="1:29" x14ac:dyDescent="0.25">
      <c r="A3056" t="str">
        <f t="shared" si="48"/>
        <v/>
      </c>
      <c r="B3056" s="10"/>
      <c r="C3056" s="10"/>
      <c r="D3056" s="10"/>
      <c r="E3056" s="10"/>
      <c r="F3056" s="10"/>
      <c r="G3056" s="11"/>
      <c r="H3056" s="12"/>
      <c r="I3056" s="13"/>
      <c r="J3056" s="12"/>
      <c r="K3056" s="13"/>
      <c r="L3056" s="11"/>
      <c r="M3056" s="13"/>
      <c r="N3056" s="11"/>
      <c r="O3056" s="13"/>
      <c r="P3056" s="11"/>
      <c r="Q3056" s="13"/>
      <c r="R3056" s="10"/>
      <c r="S3056" s="10"/>
      <c r="AB3056"/>
      <c r="AC3056"/>
    </row>
    <row r="3057" spans="1:29" x14ac:dyDescent="0.25">
      <c r="A3057" t="str">
        <f t="shared" si="48"/>
        <v/>
      </c>
      <c r="B3057" s="10"/>
      <c r="C3057" s="10"/>
      <c r="D3057" s="10"/>
      <c r="E3057" s="10"/>
      <c r="F3057" s="10"/>
      <c r="G3057" s="11"/>
      <c r="H3057" s="12"/>
      <c r="I3057" s="13"/>
      <c r="J3057" s="12"/>
      <c r="K3057" s="13"/>
      <c r="L3057" s="11"/>
      <c r="M3057" s="13"/>
      <c r="N3057" s="11"/>
      <c r="O3057" s="13"/>
      <c r="P3057" s="11"/>
      <c r="Q3057" s="13"/>
      <c r="R3057" s="10"/>
      <c r="S3057" s="10"/>
      <c r="AB3057"/>
      <c r="AC3057"/>
    </row>
    <row r="3058" spans="1:29" x14ac:dyDescent="0.25">
      <c r="A3058" t="str">
        <f t="shared" si="48"/>
        <v/>
      </c>
      <c r="B3058" s="10"/>
      <c r="C3058" s="10"/>
      <c r="D3058" s="10"/>
      <c r="E3058" s="10"/>
      <c r="F3058" s="10"/>
      <c r="G3058" s="11"/>
      <c r="H3058" s="12"/>
      <c r="I3058" s="13"/>
      <c r="J3058" s="12"/>
      <c r="K3058" s="13"/>
      <c r="L3058" s="11"/>
      <c r="M3058" s="13"/>
      <c r="N3058" s="11"/>
      <c r="O3058" s="13"/>
      <c r="P3058" s="11"/>
      <c r="Q3058" s="13"/>
      <c r="R3058" s="10"/>
      <c r="S3058" s="10"/>
      <c r="AB3058"/>
      <c r="AC3058"/>
    </row>
    <row r="3059" spans="1:29" x14ac:dyDescent="0.25">
      <c r="A3059" t="str">
        <f t="shared" si="48"/>
        <v/>
      </c>
      <c r="B3059" s="10"/>
      <c r="C3059" s="10"/>
      <c r="D3059" s="10"/>
      <c r="E3059" s="10"/>
      <c r="F3059" s="10"/>
      <c r="G3059" s="11"/>
      <c r="H3059" s="12"/>
      <c r="I3059" s="13"/>
      <c r="J3059" s="12"/>
      <c r="K3059" s="13"/>
      <c r="L3059" s="11"/>
      <c r="M3059" s="13"/>
      <c r="N3059" s="11"/>
      <c r="O3059" s="13"/>
      <c r="P3059" s="11"/>
      <c r="Q3059" s="13"/>
      <c r="R3059" s="10"/>
      <c r="S3059" s="10"/>
      <c r="AB3059"/>
      <c r="AC3059"/>
    </row>
    <row r="3060" spans="1:29" x14ac:dyDescent="0.25">
      <c r="A3060" t="str">
        <f t="shared" si="48"/>
        <v/>
      </c>
      <c r="B3060" s="10"/>
      <c r="C3060" s="10"/>
      <c r="D3060" s="10"/>
      <c r="E3060" s="10"/>
      <c r="F3060" s="10"/>
      <c r="G3060" s="11"/>
      <c r="H3060" s="12"/>
      <c r="I3060" s="13"/>
      <c r="J3060" s="12"/>
      <c r="K3060" s="13"/>
      <c r="L3060" s="11"/>
      <c r="M3060" s="13"/>
      <c r="N3060" s="11"/>
      <c r="O3060" s="13"/>
      <c r="P3060" s="11"/>
      <c r="Q3060" s="13"/>
      <c r="R3060" s="10"/>
      <c r="S3060" s="10"/>
      <c r="AB3060"/>
      <c r="AC3060"/>
    </row>
    <row r="3061" spans="1:29" x14ac:dyDescent="0.25">
      <c r="A3061" t="str">
        <f t="shared" si="48"/>
        <v/>
      </c>
      <c r="B3061" s="10"/>
      <c r="C3061" s="10"/>
      <c r="D3061" s="10"/>
      <c r="E3061" s="10"/>
      <c r="F3061" s="10"/>
      <c r="G3061" s="11"/>
      <c r="H3061" s="12"/>
      <c r="I3061" s="13"/>
      <c r="J3061" s="12"/>
      <c r="K3061" s="13"/>
      <c r="L3061" s="11"/>
      <c r="M3061" s="13"/>
      <c r="N3061" s="11"/>
      <c r="O3061" s="13"/>
      <c r="P3061" s="11"/>
      <c r="Q3061" s="13"/>
      <c r="R3061" s="10"/>
      <c r="S3061" s="10"/>
      <c r="AB3061"/>
      <c r="AC3061"/>
    </row>
    <row r="3062" spans="1:29" x14ac:dyDescent="0.25">
      <c r="A3062" t="str">
        <f t="shared" si="48"/>
        <v/>
      </c>
      <c r="B3062" s="10"/>
      <c r="C3062" s="10"/>
      <c r="D3062" s="10"/>
      <c r="E3062" s="10"/>
      <c r="F3062" s="10"/>
      <c r="G3062" s="11"/>
      <c r="H3062" s="12"/>
      <c r="I3062" s="13"/>
      <c r="J3062" s="12"/>
      <c r="K3062" s="13"/>
      <c r="L3062" s="11"/>
      <c r="M3062" s="13"/>
      <c r="N3062" s="11"/>
      <c r="O3062" s="13"/>
      <c r="P3062" s="11"/>
      <c r="Q3062" s="13"/>
      <c r="R3062" s="10"/>
      <c r="S3062" s="10"/>
      <c r="AB3062"/>
      <c r="AC3062"/>
    </row>
    <row r="3063" spans="1:29" x14ac:dyDescent="0.25">
      <c r="A3063" t="str">
        <f t="shared" si="48"/>
        <v/>
      </c>
      <c r="B3063" s="10"/>
      <c r="C3063" s="10"/>
      <c r="D3063" s="10"/>
      <c r="E3063" s="10"/>
      <c r="F3063" s="10"/>
      <c r="G3063" s="11"/>
      <c r="H3063" s="12"/>
      <c r="I3063" s="13"/>
      <c r="J3063" s="12"/>
      <c r="K3063" s="13"/>
      <c r="L3063" s="11"/>
      <c r="M3063" s="13"/>
      <c r="N3063" s="11"/>
      <c r="O3063" s="13"/>
      <c r="P3063" s="11"/>
      <c r="Q3063" s="13"/>
      <c r="R3063" s="10"/>
      <c r="S3063" s="10"/>
      <c r="AB3063"/>
      <c r="AC3063"/>
    </row>
    <row r="3064" spans="1:29" x14ac:dyDescent="0.25">
      <c r="A3064" t="str">
        <f t="shared" si="48"/>
        <v/>
      </c>
      <c r="B3064" s="10"/>
      <c r="C3064" s="10"/>
      <c r="D3064" s="10"/>
      <c r="E3064" s="10"/>
      <c r="F3064" s="10"/>
      <c r="G3064" s="11"/>
      <c r="H3064" s="12"/>
      <c r="I3064" s="13"/>
      <c r="J3064" s="12"/>
      <c r="K3064" s="13"/>
      <c r="L3064" s="11"/>
      <c r="M3064" s="13"/>
      <c r="N3064" s="11"/>
      <c r="O3064" s="13"/>
      <c r="P3064" s="11"/>
      <c r="Q3064" s="13"/>
      <c r="R3064" s="10"/>
      <c r="S3064" s="10"/>
      <c r="AB3064"/>
      <c r="AC3064"/>
    </row>
    <row r="3065" spans="1:29" x14ac:dyDescent="0.25">
      <c r="A3065" t="str">
        <f t="shared" si="48"/>
        <v/>
      </c>
      <c r="B3065" s="10"/>
      <c r="C3065" s="10"/>
      <c r="D3065" s="10"/>
      <c r="E3065" s="10"/>
      <c r="F3065" s="10"/>
      <c r="G3065" s="11"/>
      <c r="H3065" s="12"/>
      <c r="I3065" s="13"/>
      <c r="J3065" s="12"/>
      <c r="K3065" s="13"/>
      <c r="L3065" s="11"/>
      <c r="M3065" s="13"/>
      <c r="N3065" s="11"/>
      <c r="O3065" s="13"/>
      <c r="P3065" s="11"/>
      <c r="Q3065" s="13"/>
      <c r="R3065" s="10"/>
      <c r="S3065" s="10"/>
      <c r="AB3065"/>
      <c r="AC3065"/>
    </row>
    <row r="3066" spans="1:29" x14ac:dyDescent="0.25">
      <c r="A3066" t="str">
        <f t="shared" si="48"/>
        <v/>
      </c>
      <c r="B3066" s="10"/>
      <c r="C3066" s="10"/>
      <c r="D3066" s="10"/>
      <c r="E3066" s="10"/>
      <c r="F3066" s="10"/>
      <c r="G3066" s="11"/>
      <c r="H3066" s="12"/>
      <c r="I3066" s="13"/>
      <c r="J3066" s="12"/>
      <c r="K3066" s="13"/>
      <c r="L3066" s="11"/>
      <c r="M3066" s="13"/>
      <c r="N3066" s="11"/>
      <c r="O3066" s="13"/>
      <c r="P3066" s="11"/>
      <c r="Q3066" s="13"/>
      <c r="R3066" s="10"/>
      <c r="S3066" s="10"/>
      <c r="AB3066"/>
      <c r="AC3066"/>
    </row>
    <row r="3067" spans="1:29" x14ac:dyDescent="0.25">
      <c r="A3067" t="str">
        <f t="shared" si="48"/>
        <v/>
      </c>
      <c r="B3067" s="10"/>
      <c r="C3067" s="10"/>
      <c r="D3067" s="10"/>
      <c r="E3067" s="10"/>
      <c r="F3067" s="10"/>
      <c r="G3067" s="11"/>
      <c r="H3067" s="12"/>
      <c r="I3067" s="13"/>
      <c r="J3067" s="12"/>
      <c r="K3067" s="13"/>
      <c r="L3067" s="11"/>
      <c r="M3067" s="13"/>
      <c r="N3067" s="11"/>
      <c r="O3067" s="13"/>
      <c r="P3067" s="11"/>
      <c r="Q3067" s="13"/>
      <c r="R3067" s="10"/>
      <c r="S3067" s="10"/>
      <c r="AB3067"/>
      <c r="AC3067"/>
    </row>
    <row r="3068" spans="1:29" x14ac:dyDescent="0.25">
      <c r="A3068" t="str">
        <f t="shared" si="48"/>
        <v/>
      </c>
      <c r="B3068" s="10"/>
      <c r="C3068" s="10"/>
      <c r="D3068" s="10"/>
      <c r="E3068" s="10"/>
      <c r="F3068" s="10"/>
      <c r="G3068" s="11"/>
      <c r="H3068" s="12"/>
      <c r="I3068" s="13"/>
      <c r="J3068" s="12"/>
      <c r="K3068" s="13"/>
      <c r="L3068" s="11"/>
      <c r="M3068" s="13"/>
      <c r="N3068" s="11"/>
      <c r="O3068" s="13"/>
      <c r="P3068" s="11"/>
      <c r="Q3068" s="13"/>
      <c r="R3068" s="10"/>
      <c r="S3068" s="10"/>
      <c r="AB3068"/>
      <c r="AC3068"/>
    </row>
    <row r="3069" spans="1:29" x14ac:dyDescent="0.25">
      <c r="A3069" t="str">
        <f t="shared" si="48"/>
        <v/>
      </c>
      <c r="B3069" s="10"/>
      <c r="C3069" s="10"/>
      <c r="D3069" s="10"/>
      <c r="E3069" s="10"/>
      <c r="F3069" s="10"/>
      <c r="G3069" s="11"/>
      <c r="H3069" s="12"/>
      <c r="I3069" s="13"/>
      <c r="J3069" s="12"/>
      <c r="K3069" s="13"/>
      <c r="L3069" s="11"/>
      <c r="M3069" s="13"/>
      <c r="N3069" s="11"/>
      <c r="O3069" s="13"/>
      <c r="P3069" s="11"/>
      <c r="Q3069" s="13"/>
      <c r="R3069" s="10"/>
      <c r="S3069" s="10"/>
      <c r="AB3069"/>
      <c r="AC3069"/>
    </row>
    <row r="3070" spans="1:29" x14ac:dyDescent="0.25">
      <c r="A3070" t="str">
        <f t="shared" si="48"/>
        <v/>
      </c>
      <c r="B3070" s="10"/>
      <c r="C3070" s="10"/>
      <c r="D3070" s="10"/>
      <c r="E3070" s="10"/>
      <c r="F3070" s="10"/>
      <c r="G3070" s="11"/>
      <c r="H3070" s="12"/>
      <c r="I3070" s="13"/>
      <c r="J3070" s="12"/>
      <c r="K3070" s="13"/>
      <c r="L3070" s="11"/>
      <c r="M3070" s="13"/>
      <c r="N3070" s="11"/>
      <c r="O3070" s="13"/>
      <c r="P3070" s="11"/>
      <c r="Q3070" s="13"/>
      <c r="R3070" s="10"/>
      <c r="S3070" s="10"/>
      <c r="AB3070"/>
      <c r="AC3070"/>
    </row>
    <row r="3071" spans="1:29" x14ac:dyDescent="0.25">
      <c r="A3071" t="str">
        <f t="shared" si="48"/>
        <v/>
      </c>
      <c r="B3071" s="10"/>
      <c r="C3071" s="10"/>
      <c r="D3071" s="10"/>
      <c r="E3071" s="10"/>
      <c r="F3071" s="10"/>
      <c r="G3071" s="11"/>
      <c r="H3071" s="12"/>
      <c r="I3071" s="13"/>
      <c r="J3071" s="12"/>
      <c r="K3071" s="13"/>
      <c r="L3071" s="11"/>
      <c r="M3071" s="13"/>
      <c r="N3071" s="11"/>
      <c r="O3071" s="13"/>
      <c r="P3071" s="11"/>
      <c r="Q3071" s="13"/>
      <c r="R3071" s="10"/>
      <c r="S3071" s="10"/>
      <c r="AB3071"/>
      <c r="AC3071"/>
    </row>
    <row r="3072" spans="1:29" x14ac:dyDescent="0.25">
      <c r="A3072" t="str">
        <f t="shared" ref="A3072:A3130" si="49">B3070&amp;D3070</f>
        <v/>
      </c>
      <c r="B3072" s="10"/>
      <c r="C3072" s="10"/>
      <c r="D3072" s="10"/>
      <c r="E3072" s="10"/>
      <c r="F3072" s="10"/>
      <c r="G3072" s="11"/>
      <c r="H3072" s="12"/>
      <c r="I3072" s="13"/>
      <c r="J3072" s="12"/>
      <c r="K3072" s="13"/>
      <c r="L3072" s="11"/>
      <c r="M3072" s="13"/>
      <c r="N3072" s="11"/>
      <c r="O3072" s="13"/>
      <c r="P3072" s="11"/>
      <c r="Q3072" s="13"/>
      <c r="R3072" s="10"/>
      <c r="S3072" s="10"/>
      <c r="AB3072"/>
      <c r="AC3072"/>
    </row>
    <row r="3073" spans="1:29" x14ac:dyDescent="0.25">
      <c r="A3073" t="str">
        <f t="shared" si="49"/>
        <v/>
      </c>
      <c r="B3073" s="10"/>
      <c r="C3073" s="10"/>
      <c r="D3073" s="10"/>
      <c r="E3073" s="10"/>
      <c r="F3073" s="10"/>
      <c r="G3073" s="11"/>
      <c r="H3073" s="12"/>
      <c r="I3073" s="13"/>
      <c r="J3073" s="12"/>
      <c r="K3073" s="13"/>
      <c r="L3073" s="11"/>
      <c r="M3073" s="13"/>
      <c r="N3073" s="11"/>
      <c r="O3073" s="13"/>
      <c r="P3073" s="11"/>
      <c r="Q3073" s="13"/>
      <c r="R3073" s="10"/>
      <c r="S3073" s="10"/>
      <c r="AB3073"/>
      <c r="AC3073"/>
    </row>
    <row r="3074" spans="1:29" x14ac:dyDescent="0.25">
      <c r="A3074" t="str">
        <f t="shared" si="49"/>
        <v/>
      </c>
      <c r="B3074" s="10"/>
      <c r="C3074" s="10"/>
      <c r="D3074" s="10"/>
      <c r="E3074" s="10"/>
      <c r="F3074" s="10"/>
      <c r="G3074" s="11"/>
      <c r="H3074" s="12"/>
      <c r="I3074" s="13"/>
      <c r="J3074" s="12"/>
      <c r="K3074" s="13"/>
      <c r="L3074" s="11"/>
      <c r="M3074" s="13"/>
      <c r="N3074" s="11"/>
      <c r="O3074" s="13"/>
      <c r="P3074" s="11"/>
      <c r="Q3074" s="13"/>
      <c r="R3074" s="10"/>
      <c r="S3074" s="10"/>
      <c r="AB3074"/>
      <c r="AC3074"/>
    </row>
    <row r="3075" spans="1:29" x14ac:dyDescent="0.25">
      <c r="A3075" t="str">
        <f t="shared" si="49"/>
        <v/>
      </c>
      <c r="B3075" s="10"/>
      <c r="C3075" s="10"/>
      <c r="D3075" s="10"/>
      <c r="E3075" s="10"/>
      <c r="F3075" s="10"/>
      <c r="G3075" s="11"/>
      <c r="H3075" s="12"/>
      <c r="I3075" s="13"/>
      <c r="J3075" s="12"/>
      <c r="K3075" s="13"/>
      <c r="L3075" s="11"/>
      <c r="M3075" s="13"/>
      <c r="N3075" s="11"/>
      <c r="O3075" s="13"/>
      <c r="P3075" s="11"/>
      <c r="Q3075" s="13"/>
      <c r="R3075" s="10"/>
      <c r="S3075" s="10"/>
      <c r="AB3075"/>
      <c r="AC3075"/>
    </row>
    <row r="3076" spans="1:29" x14ac:dyDescent="0.25">
      <c r="A3076" t="str">
        <f t="shared" si="49"/>
        <v/>
      </c>
      <c r="B3076" s="10"/>
      <c r="C3076" s="10"/>
      <c r="D3076" s="10"/>
      <c r="E3076" s="10"/>
      <c r="F3076" s="10"/>
      <c r="G3076" s="11"/>
      <c r="H3076" s="12"/>
      <c r="I3076" s="13"/>
      <c r="J3076" s="12"/>
      <c r="K3076" s="13"/>
      <c r="L3076" s="11"/>
      <c r="M3076" s="13"/>
      <c r="N3076" s="11"/>
      <c r="O3076" s="13"/>
      <c r="P3076" s="11"/>
      <c r="Q3076" s="13"/>
      <c r="R3076" s="10"/>
      <c r="S3076" s="10"/>
      <c r="AB3076"/>
      <c r="AC3076"/>
    </row>
    <row r="3077" spans="1:29" x14ac:dyDescent="0.25">
      <c r="A3077" t="str">
        <f t="shared" si="49"/>
        <v/>
      </c>
      <c r="B3077" s="55"/>
      <c r="C3077" s="55"/>
      <c r="D3077" s="55"/>
      <c r="E3077" s="55"/>
      <c r="F3077" s="55"/>
      <c r="G3077" s="58"/>
      <c r="H3077" s="57"/>
      <c r="I3077" s="56"/>
      <c r="J3077" s="57"/>
      <c r="K3077" s="56"/>
      <c r="L3077" s="58"/>
      <c r="M3077" s="56"/>
      <c r="N3077" s="58"/>
      <c r="O3077" s="56"/>
      <c r="P3077" s="58"/>
      <c r="Q3077" s="56"/>
      <c r="R3077" s="55"/>
      <c r="S3077" s="55"/>
      <c r="AB3077"/>
      <c r="AC3077"/>
    </row>
    <row r="3078" spans="1:29" x14ac:dyDescent="0.25">
      <c r="A3078" t="str">
        <f t="shared" si="49"/>
        <v/>
      </c>
      <c r="B3078" s="55"/>
      <c r="C3078" s="55"/>
      <c r="D3078" s="55"/>
      <c r="E3078" s="55"/>
      <c r="F3078" s="55"/>
      <c r="G3078" s="58"/>
      <c r="H3078" s="57"/>
      <c r="I3078" s="56"/>
      <c r="J3078" s="57"/>
      <c r="K3078" s="56"/>
      <c r="L3078" s="58"/>
      <c r="M3078" s="56"/>
      <c r="N3078" s="58"/>
      <c r="O3078" s="56"/>
      <c r="P3078" s="58"/>
      <c r="Q3078" s="56"/>
      <c r="R3078" s="55"/>
      <c r="S3078" s="55"/>
      <c r="AB3078"/>
      <c r="AC3078"/>
    </row>
    <row r="3079" spans="1:29" x14ac:dyDescent="0.25">
      <c r="A3079" t="str">
        <f t="shared" si="49"/>
        <v/>
      </c>
      <c r="B3079" s="55"/>
      <c r="C3079" s="55"/>
      <c r="D3079" s="55"/>
      <c r="E3079" s="55"/>
      <c r="F3079" s="55"/>
      <c r="G3079" s="58"/>
      <c r="H3079" s="57"/>
      <c r="I3079" s="56"/>
      <c r="J3079" s="57"/>
      <c r="K3079" s="56"/>
      <c r="L3079" s="58"/>
      <c r="M3079" s="56"/>
      <c r="N3079" s="58"/>
      <c r="O3079" s="56"/>
      <c r="P3079" s="58"/>
      <c r="Q3079" s="56"/>
      <c r="R3079" s="55"/>
      <c r="S3079" s="55"/>
      <c r="AB3079"/>
      <c r="AC3079"/>
    </row>
    <row r="3080" spans="1:29" x14ac:dyDescent="0.25">
      <c r="A3080" t="str">
        <f t="shared" si="49"/>
        <v/>
      </c>
      <c r="B3080" s="55"/>
      <c r="C3080" s="55"/>
      <c r="D3080" s="55"/>
      <c r="E3080" s="55"/>
      <c r="F3080" s="55"/>
      <c r="G3080" s="58"/>
      <c r="H3080" s="57"/>
      <c r="I3080" s="56"/>
      <c r="J3080" s="57"/>
      <c r="K3080" s="56"/>
      <c r="L3080" s="58"/>
      <c r="M3080" s="56"/>
      <c r="N3080" s="58"/>
      <c r="O3080" s="56"/>
      <c r="P3080" s="58"/>
      <c r="Q3080" s="56"/>
      <c r="R3080" s="55"/>
      <c r="S3080" s="55"/>
      <c r="AB3080"/>
      <c r="AC3080"/>
    </row>
    <row r="3081" spans="1:29" x14ac:dyDescent="0.25">
      <c r="A3081" t="str">
        <f t="shared" si="49"/>
        <v/>
      </c>
      <c r="B3081" s="55"/>
      <c r="C3081" s="55"/>
      <c r="D3081" s="55"/>
      <c r="E3081" s="55"/>
      <c r="F3081" s="55"/>
      <c r="G3081" s="58"/>
      <c r="H3081" s="57"/>
      <c r="I3081" s="56"/>
      <c r="J3081" s="57"/>
      <c r="K3081" s="56"/>
      <c r="L3081" s="58"/>
      <c r="M3081" s="56"/>
      <c r="N3081" s="58"/>
      <c r="O3081" s="56"/>
      <c r="P3081" s="58"/>
      <c r="Q3081" s="56"/>
      <c r="R3081" s="55"/>
      <c r="S3081" s="55"/>
      <c r="AB3081"/>
      <c r="AC3081"/>
    </row>
    <row r="3082" spans="1:29" x14ac:dyDescent="0.25">
      <c r="A3082" t="str">
        <f t="shared" si="49"/>
        <v/>
      </c>
      <c r="B3082" s="55"/>
      <c r="C3082" s="55"/>
      <c r="D3082" s="55"/>
      <c r="E3082" s="55"/>
      <c r="F3082" s="55"/>
      <c r="G3082" s="58"/>
      <c r="H3082" s="57"/>
      <c r="I3082" s="56"/>
      <c r="J3082" s="57"/>
      <c r="K3082" s="56"/>
      <c r="L3082" s="58"/>
      <c r="M3082" s="56"/>
      <c r="N3082" s="58"/>
      <c r="O3082" s="56"/>
      <c r="P3082" s="58"/>
      <c r="Q3082" s="56"/>
      <c r="R3082" s="55"/>
      <c r="S3082" s="55"/>
      <c r="AB3082"/>
      <c r="AC3082"/>
    </row>
    <row r="3083" spans="1:29" x14ac:dyDescent="0.25">
      <c r="A3083" t="str">
        <f t="shared" si="49"/>
        <v/>
      </c>
      <c r="B3083" s="55"/>
      <c r="C3083" s="55"/>
      <c r="D3083" s="55"/>
      <c r="E3083" s="55"/>
      <c r="F3083" s="55"/>
      <c r="G3083" s="58"/>
      <c r="H3083" s="57"/>
      <c r="I3083" s="56"/>
      <c r="J3083" s="57"/>
      <c r="K3083" s="56"/>
      <c r="L3083" s="58"/>
      <c r="M3083" s="56"/>
      <c r="N3083" s="58"/>
      <c r="O3083" s="56"/>
      <c r="P3083" s="58"/>
      <c r="Q3083" s="56"/>
      <c r="R3083" s="55"/>
      <c r="S3083" s="55"/>
      <c r="AB3083"/>
      <c r="AC3083"/>
    </row>
    <row r="3084" spans="1:29" x14ac:dyDescent="0.25">
      <c r="A3084" t="str">
        <f t="shared" si="49"/>
        <v/>
      </c>
      <c r="B3084" s="10"/>
      <c r="C3084" s="10"/>
      <c r="D3084" s="10"/>
      <c r="E3084" s="10"/>
      <c r="F3084" s="10"/>
      <c r="G3084" s="11"/>
      <c r="H3084" s="12"/>
      <c r="I3084" s="13"/>
      <c r="J3084" s="12"/>
      <c r="K3084" s="13"/>
      <c r="L3084" s="11"/>
      <c r="M3084" s="13"/>
      <c r="N3084" s="11"/>
      <c r="O3084" s="13"/>
      <c r="P3084" s="11"/>
      <c r="Q3084" s="13"/>
      <c r="R3084" s="10"/>
      <c r="S3084" s="10"/>
      <c r="AB3084"/>
      <c r="AC3084"/>
    </row>
    <row r="3085" spans="1:29" x14ac:dyDescent="0.25">
      <c r="A3085" t="str">
        <f t="shared" si="49"/>
        <v/>
      </c>
      <c r="B3085" s="10"/>
      <c r="C3085" s="10"/>
      <c r="D3085" s="10"/>
      <c r="E3085" s="10"/>
      <c r="F3085" s="10"/>
      <c r="G3085" s="11"/>
      <c r="H3085" s="12"/>
      <c r="I3085" s="13"/>
      <c r="J3085" s="12"/>
      <c r="K3085" s="13"/>
      <c r="L3085" s="11"/>
      <c r="M3085" s="13"/>
      <c r="N3085" s="11"/>
      <c r="O3085" s="13"/>
      <c r="P3085" s="11"/>
      <c r="Q3085" s="13"/>
      <c r="R3085" s="10"/>
      <c r="S3085" s="10"/>
      <c r="AB3085"/>
      <c r="AC3085"/>
    </row>
    <row r="3086" spans="1:29" x14ac:dyDescent="0.25">
      <c r="A3086" t="str">
        <f t="shared" si="49"/>
        <v/>
      </c>
      <c r="B3086" s="10"/>
      <c r="C3086" s="10"/>
      <c r="D3086" s="10"/>
      <c r="E3086" s="10"/>
      <c r="F3086" s="10"/>
      <c r="G3086" s="11"/>
      <c r="H3086" s="12"/>
      <c r="I3086" s="13"/>
      <c r="J3086" s="12"/>
      <c r="K3086" s="13"/>
      <c r="L3086" s="11"/>
      <c r="M3086" s="13"/>
      <c r="N3086" s="11"/>
      <c r="O3086" s="13"/>
      <c r="P3086" s="11"/>
      <c r="Q3086" s="13"/>
      <c r="R3086" s="10"/>
      <c r="S3086" s="10"/>
      <c r="AB3086"/>
      <c r="AC3086"/>
    </row>
    <row r="3087" spans="1:29" x14ac:dyDescent="0.25">
      <c r="A3087" t="str">
        <f t="shared" si="49"/>
        <v/>
      </c>
      <c r="B3087" s="10"/>
      <c r="C3087" s="10"/>
      <c r="D3087" s="10"/>
      <c r="E3087" s="10"/>
      <c r="F3087" s="10"/>
      <c r="G3087" s="11"/>
      <c r="H3087" s="12"/>
      <c r="I3087" s="13"/>
      <c r="J3087" s="12"/>
      <c r="K3087" s="13"/>
      <c r="L3087" s="11"/>
      <c r="M3087" s="13"/>
      <c r="N3087" s="11"/>
      <c r="O3087" s="13"/>
      <c r="P3087" s="11"/>
      <c r="Q3087" s="13"/>
      <c r="R3087" s="10"/>
      <c r="S3087" s="10"/>
      <c r="AB3087"/>
      <c r="AC3087"/>
    </row>
    <row r="3088" spans="1:29" x14ac:dyDescent="0.25">
      <c r="A3088" t="str">
        <f t="shared" si="49"/>
        <v/>
      </c>
      <c r="B3088" s="10"/>
      <c r="C3088" s="10"/>
      <c r="D3088" s="10"/>
      <c r="E3088" s="10"/>
      <c r="F3088" s="10"/>
      <c r="G3088" s="11"/>
      <c r="H3088" s="12"/>
      <c r="I3088" s="13"/>
      <c r="J3088" s="12"/>
      <c r="K3088" s="13"/>
      <c r="L3088" s="11"/>
      <c r="M3088" s="13"/>
      <c r="N3088" s="11"/>
      <c r="O3088" s="13"/>
      <c r="P3088" s="11"/>
      <c r="Q3088" s="13"/>
      <c r="R3088" s="10"/>
      <c r="S3088" s="10"/>
      <c r="AB3088"/>
      <c r="AC3088"/>
    </row>
    <row r="3089" spans="1:29" x14ac:dyDescent="0.25">
      <c r="A3089" t="str">
        <f t="shared" si="49"/>
        <v/>
      </c>
      <c r="B3089" s="10"/>
      <c r="C3089" s="10"/>
      <c r="D3089" s="10"/>
      <c r="E3089" s="10"/>
      <c r="F3089" s="10"/>
      <c r="G3089" s="11"/>
      <c r="H3089" s="12"/>
      <c r="I3089" s="13"/>
      <c r="J3089" s="12"/>
      <c r="K3089" s="13"/>
      <c r="L3089" s="11"/>
      <c r="M3089" s="13"/>
      <c r="N3089" s="11"/>
      <c r="O3089" s="13"/>
      <c r="P3089" s="11"/>
      <c r="Q3089" s="13"/>
      <c r="R3089" s="10"/>
      <c r="S3089" s="10"/>
      <c r="AB3089"/>
      <c r="AC3089"/>
    </row>
    <row r="3090" spans="1:29" x14ac:dyDescent="0.25">
      <c r="A3090" t="str">
        <f t="shared" si="49"/>
        <v/>
      </c>
      <c r="B3090" s="10"/>
      <c r="C3090" s="10"/>
      <c r="D3090" s="10"/>
      <c r="E3090" s="10"/>
      <c r="F3090" s="10"/>
      <c r="G3090" s="11"/>
      <c r="H3090" s="12"/>
      <c r="I3090" s="13"/>
      <c r="J3090" s="12"/>
      <c r="K3090" s="13"/>
      <c r="L3090" s="11"/>
      <c r="M3090" s="13"/>
      <c r="N3090" s="11"/>
      <c r="O3090" s="13"/>
      <c r="P3090" s="11"/>
      <c r="Q3090" s="13"/>
      <c r="R3090" s="10"/>
      <c r="S3090" s="10"/>
      <c r="AB3090"/>
      <c r="AC3090"/>
    </row>
    <row r="3091" spans="1:29" x14ac:dyDescent="0.25">
      <c r="A3091" t="str">
        <f t="shared" si="49"/>
        <v/>
      </c>
      <c r="B3091" s="10"/>
      <c r="C3091" s="10"/>
      <c r="D3091" s="10"/>
      <c r="E3091" s="10"/>
      <c r="F3091" s="10"/>
      <c r="G3091" s="11"/>
      <c r="H3091" s="12"/>
      <c r="I3091" s="13"/>
      <c r="J3091" s="12"/>
      <c r="K3091" s="13"/>
      <c r="L3091" s="11"/>
      <c r="M3091" s="13"/>
      <c r="N3091" s="11"/>
      <c r="O3091" s="13"/>
      <c r="P3091" s="11"/>
      <c r="Q3091" s="13"/>
      <c r="R3091" s="10"/>
      <c r="S3091" s="10"/>
      <c r="AB3091"/>
      <c r="AC3091"/>
    </row>
    <row r="3092" spans="1:29" x14ac:dyDescent="0.25">
      <c r="A3092" t="str">
        <f t="shared" si="49"/>
        <v/>
      </c>
      <c r="B3092" s="10"/>
      <c r="C3092" s="10"/>
      <c r="D3092" s="10"/>
      <c r="E3092" s="10"/>
      <c r="F3092" s="10"/>
      <c r="G3092" s="11"/>
      <c r="H3092" s="12"/>
      <c r="I3092" s="13"/>
      <c r="J3092" s="12"/>
      <c r="K3092" s="13"/>
      <c r="L3092" s="11"/>
      <c r="M3092" s="13"/>
      <c r="N3092" s="11"/>
      <c r="O3092" s="13"/>
      <c r="P3092" s="11"/>
      <c r="Q3092" s="13"/>
      <c r="R3092" s="10"/>
      <c r="S3092" s="10"/>
      <c r="AB3092"/>
      <c r="AC3092"/>
    </row>
    <row r="3093" spans="1:29" x14ac:dyDescent="0.25">
      <c r="A3093" t="str">
        <f t="shared" si="49"/>
        <v/>
      </c>
      <c r="B3093" s="10"/>
      <c r="C3093" s="10"/>
      <c r="D3093" s="10"/>
      <c r="E3093" s="10"/>
      <c r="F3093" s="10"/>
      <c r="G3093" s="11"/>
      <c r="H3093" s="12"/>
      <c r="I3093" s="13"/>
      <c r="J3093" s="12"/>
      <c r="K3093" s="13"/>
      <c r="L3093" s="11"/>
      <c r="M3093" s="13"/>
      <c r="N3093" s="11"/>
      <c r="O3093" s="13"/>
      <c r="P3093" s="11"/>
      <c r="Q3093" s="13"/>
      <c r="R3093" s="10"/>
      <c r="S3093" s="10"/>
      <c r="AB3093"/>
      <c r="AC3093"/>
    </row>
    <row r="3094" spans="1:29" x14ac:dyDescent="0.25">
      <c r="A3094" t="str">
        <f t="shared" si="49"/>
        <v/>
      </c>
      <c r="B3094" s="10"/>
      <c r="C3094" s="10"/>
      <c r="D3094" s="10"/>
      <c r="E3094" s="10"/>
      <c r="F3094" s="10"/>
      <c r="G3094" s="11"/>
      <c r="H3094" s="12"/>
      <c r="I3094" s="13"/>
      <c r="J3094" s="12"/>
      <c r="K3094" s="13"/>
      <c r="L3094" s="11"/>
      <c r="M3094" s="13"/>
      <c r="N3094" s="11"/>
      <c r="O3094" s="13"/>
      <c r="P3094" s="11"/>
      <c r="Q3094" s="13"/>
      <c r="R3094" s="10"/>
      <c r="S3094" s="10"/>
      <c r="AB3094"/>
      <c r="AC3094"/>
    </row>
    <row r="3095" spans="1:29" x14ac:dyDescent="0.25">
      <c r="A3095" t="str">
        <f t="shared" si="49"/>
        <v/>
      </c>
      <c r="B3095" s="10"/>
      <c r="C3095" s="10"/>
      <c r="D3095" s="10"/>
      <c r="E3095" s="10"/>
      <c r="F3095" s="10"/>
      <c r="G3095" s="11"/>
      <c r="H3095" s="12"/>
      <c r="I3095" s="13"/>
      <c r="J3095" s="12"/>
      <c r="K3095" s="13"/>
      <c r="L3095" s="11"/>
      <c r="M3095" s="13"/>
      <c r="N3095" s="11"/>
      <c r="O3095" s="13"/>
      <c r="P3095" s="11"/>
      <c r="Q3095" s="13"/>
      <c r="R3095" s="10"/>
      <c r="S3095" s="10"/>
      <c r="AB3095"/>
      <c r="AC3095"/>
    </row>
    <row r="3096" spans="1:29" x14ac:dyDescent="0.25">
      <c r="A3096" t="e">
        <f>#REF!&amp;#REF!</f>
        <v>#REF!</v>
      </c>
      <c r="B3096" s="10"/>
      <c r="C3096" s="10"/>
      <c r="D3096" s="10"/>
      <c r="E3096" s="10"/>
      <c r="F3096" s="10"/>
      <c r="G3096" s="11"/>
      <c r="H3096" s="12"/>
      <c r="I3096" s="13"/>
      <c r="J3096" s="12"/>
      <c r="K3096" s="13"/>
      <c r="L3096" s="11"/>
      <c r="M3096" s="13"/>
      <c r="N3096" s="11"/>
      <c r="O3096" s="13"/>
      <c r="P3096" s="11"/>
      <c r="Q3096" s="13"/>
      <c r="R3096" s="10"/>
      <c r="S3096" s="10"/>
      <c r="AB3096"/>
      <c r="AC3096"/>
    </row>
    <row r="3097" spans="1:29" x14ac:dyDescent="0.25">
      <c r="A3097" t="str">
        <f>B3094&amp;D3094</f>
        <v/>
      </c>
      <c r="B3097" s="10"/>
      <c r="C3097" s="10"/>
      <c r="D3097" s="10"/>
      <c r="E3097" s="10"/>
      <c r="F3097" s="10"/>
      <c r="G3097" s="11"/>
      <c r="H3097" s="12"/>
      <c r="I3097" s="13"/>
      <c r="J3097" s="12"/>
      <c r="K3097" s="13"/>
      <c r="L3097" s="11"/>
      <c r="M3097" s="13"/>
      <c r="N3097" s="11"/>
      <c r="O3097" s="13"/>
      <c r="P3097" s="11"/>
      <c r="Q3097" s="13"/>
      <c r="R3097" s="10"/>
      <c r="S3097" s="10"/>
      <c r="AB3097"/>
      <c r="AC3097"/>
    </row>
    <row r="3098" spans="1:29" x14ac:dyDescent="0.25">
      <c r="A3098" t="str">
        <f t="shared" si="49"/>
        <v/>
      </c>
      <c r="B3098" s="10"/>
      <c r="C3098" s="10"/>
      <c r="D3098" s="10"/>
      <c r="E3098" s="10"/>
      <c r="F3098" s="10"/>
      <c r="G3098" s="11"/>
      <c r="H3098" s="12"/>
      <c r="I3098" s="13"/>
      <c r="J3098" s="12"/>
      <c r="K3098" s="13"/>
      <c r="L3098" s="11"/>
      <c r="M3098" s="13"/>
      <c r="N3098" s="11"/>
      <c r="O3098" s="13"/>
      <c r="P3098" s="11"/>
      <c r="Q3098" s="13"/>
      <c r="R3098" s="10"/>
      <c r="S3098" s="10"/>
      <c r="AB3098"/>
      <c r="AC3098"/>
    </row>
    <row r="3099" spans="1:29" x14ac:dyDescent="0.25">
      <c r="A3099" t="str">
        <f t="shared" si="49"/>
        <v/>
      </c>
      <c r="B3099" s="10"/>
      <c r="C3099" s="10"/>
      <c r="D3099" s="10"/>
      <c r="E3099" s="10"/>
      <c r="F3099" s="10"/>
      <c r="G3099" s="11"/>
      <c r="H3099" s="12"/>
      <c r="I3099" s="13"/>
      <c r="J3099" s="12"/>
      <c r="K3099" s="13"/>
      <c r="L3099" s="11"/>
      <c r="M3099" s="13"/>
      <c r="N3099" s="11"/>
      <c r="O3099" s="13"/>
      <c r="P3099" s="11"/>
      <c r="Q3099" s="13"/>
      <c r="R3099" s="10"/>
      <c r="S3099" s="10"/>
      <c r="AB3099"/>
      <c r="AC3099"/>
    </row>
    <row r="3100" spans="1:29" x14ac:dyDescent="0.25">
      <c r="A3100" t="str">
        <f t="shared" si="49"/>
        <v/>
      </c>
      <c r="B3100" s="10"/>
      <c r="C3100" s="10"/>
      <c r="D3100" s="10"/>
      <c r="E3100" s="10"/>
      <c r="F3100" s="10"/>
      <c r="G3100" s="11"/>
      <c r="H3100" s="12"/>
      <c r="I3100" s="13"/>
      <c r="J3100" s="12"/>
      <c r="K3100" s="13"/>
      <c r="L3100" s="11"/>
      <c r="M3100" s="13"/>
      <c r="N3100" s="11"/>
      <c r="O3100" s="13"/>
      <c r="P3100" s="11"/>
      <c r="Q3100" s="13"/>
      <c r="R3100" s="10"/>
      <c r="S3100" s="10"/>
      <c r="AB3100"/>
      <c r="AC3100"/>
    </row>
    <row r="3101" spans="1:29" x14ac:dyDescent="0.25">
      <c r="A3101" t="str">
        <f t="shared" si="49"/>
        <v/>
      </c>
      <c r="B3101" s="10"/>
      <c r="C3101" s="10"/>
      <c r="D3101" s="10"/>
      <c r="E3101" s="10"/>
      <c r="F3101" s="10"/>
      <c r="G3101" s="11"/>
      <c r="H3101" s="12"/>
      <c r="I3101" s="13"/>
      <c r="J3101" s="12"/>
      <c r="K3101" s="13"/>
      <c r="L3101" s="11"/>
      <c r="M3101" s="13"/>
      <c r="N3101" s="11"/>
      <c r="O3101" s="13"/>
      <c r="P3101" s="11"/>
      <c r="Q3101" s="13"/>
      <c r="R3101" s="10"/>
      <c r="S3101" s="10"/>
      <c r="AB3101"/>
      <c r="AC3101"/>
    </row>
    <row r="3102" spans="1:29" x14ac:dyDescent="0.25">
      <c r="A3102" t="str">
        <f t="shared" si="49"/>
        <v/>
      </c>
      <c r="B3102" s="10"/>
      <c r="C3102" s="10"/>
      <c r="D3102" s="10"/>
      <c r="E3102" s="10"/>
      <c r="F3102" s="10"/>
      <c r="G3102" s="11"/>
      <c r="H3102" s="12"/>
      <c r="I3102" s="13"/>
      <c r="J3102" s="12"/>
      <c r="K3102" s="13"/>
      <c r="L3102" s="11"/>
      <c r="M3102" s="13"/>
      <c r="N3102" s="11"/>
      <c r="O3102" s="13"/>
      <c r="P3102" s="11"/>
      <c r="Q3102" s="13"/>
      <c r="R3102" s="10"/>
      <c r="S3102" s="10"/>
      <c r="AB3102"/>
      <c r="AC3102"/>
    </row>
    <row r="3103" spans="1:29" x14ac:dyDescent="0.25">
      <c r="A3103" t="str">
        <f t="shared" si="49"/>
        <v/>
      </c>
      <c r="B3103" s="10"/>
      <c r="C3103" s="10"/>
      <c r="D3103" s="10"/>
      <c r="E3103" s="10"/>
      <c r="F3103" s="10"/>
      <c r="G3103" s="11"/>
      <c r="H3103" s="12"/>
      <c r="I3103" s="13"/>
      <c r="J3103" s="12"/>
      <c r="K3103" s="13"/>
      <c r="L3103" s="11"/>
      <c r="M3103" s="13"/>
      <c r="N3103" s="11"/>
      <c r="O3103" s="13"/>
      <c r="P3103" s="11"/>
      <c r="Q3103" s="13"/>
      <c r="R3103" s="10"/>
      <c r="S3103" s="10"/>
      <c r="AB3103"/>
      <c r="AC3103"/>
    </row>
    <row r="3104" spans="1:29" x14ac:dyDescent="0.25">
      <c r="A3104" t="str">
        <f t="shared" si="49"/>
        <v/>
      </c>
      <c r="B3104" s="10"/>
      <c r="C3104" s="10"/>
      <c r="D3104" s="10"/>
      <c r="E3104" s="10"/>
      <c r="F3104" s="10"/>
      <c r="G3104" s="11"/>
      <c r="H3104" s="12"/>
      <c r="I3104" s="13"/>
      <c r="J3104" s="12"/>
      <c r="K3104" s="13"/>
      <c r="L3104" s="11"/>
      <c r="M3104" s="13"/>
      <c r="N3104" s="11"/>
      <c r="O3104" s="13"/>
      <c r="P3104" s="11"/>
      <c r="Q3104" s="13"/>
      <c r="R3104" s="10"/>
      <c r="S3104" s="10"/>
      <c r="AB3104"/>
      <c r="AC3104"/>
    </row>
    <row r="3105" spans="1:29" x14ac:dyDescent="0.25">
      <c r="A3105" t="str">
        <f t="shared" si="49"/>
        <v/>
      </c>
      <c r="B3105" s="10"/>
      <c r="C3105" s="10"/>
      <c r="D3105" s="10"/>
      <c r="E3105" s="10"/>
      <c r="F3105" s="10"/>
      <c r="G3105" s="11"/>
      <c r="H3105" s="12"/>
      <c r="I3105" s="13"/>
      <c r="J3105" s="12"/>
      <c r="K3105" s="13"/>
      <c r="L3105" s="11"/>
      <c r="M3105" s="13"/>
      <c r="N3105" s="11"/>
      <c r="O3105" s="13"/>
      <c r="P3105" s="11"/>
      <c r="Q3105" s="13"/>
      <c r="R3105" s="10"/>
      <c r="S3105" s="10"/>
      <c r="AB3105"/>
      <c r="AC3105"/>
    </row>
    <row r="3106" spans="1:29" x14ac:dyDescent="0.25">
      <c r="A3106" t="str">
        <f t="shared" si="49"/>
        <v/>
      </c>
      <c r="B3106" s="10"/>
      <c r="C3106" s="10"/>
      <c r="D3106" s="10"/>
      <c r="E3106" s="10"/>
      <c r="F3106" s="10"/>
      <c r="G3106" s="11"/>
      <c r="H3106" s="12"/>
      <c r="I3106" s="13"/>
      <c r="J3106" s="12"/>
      <c r="K3106" s="13"/>
      <c r="L3106" s="11"/>
      <c r="M3106" s="13"/>
      <c r="N3106" s="11"/>
      <c r="O3106" s="13"/>
      <c r="P3106" s="11"/>
      <c r="Q3106" s="13"/>
      <c r="R3106" s="10"/>
      <c r="S3106" s="10"/>
      <c r="AB3106"/>
      <c r="AC3106"/>
    </row>
    <row r="3107" spans="1:29" x14ac:dyDescent="0.25">
      <c r="A3107" t="str">
        <f t="shared" si="49"/>
        <v/>
      </c>
      <c r="B3107" s="10"/>
      <c r="C3107" s="10"/>
      <c r="D3107" s="10"/>
      <c r="E3107" s="10"/>
      <c r="F3107" s="10"/>
      <c r="G3107" s="11"/>
      <c r="H3107" s="12"/>
      <c r="I3107" s="13"/>
      <c r="J3107" s="12"/>
      <c r="K3107" s="13"/>
      <c r="L3107" s="11"/>
      <c r="M3107" s="13"/>
      <c r="N3107" s="11"/>
      <c r="O3107" s="13"/>
      <c r="P3107" s="11"/>
      <c r="Q3107" s="13"/>
      <c r="R3107" s="10"/>
      <c r="S3107" s="10"/>
      <c r="AB3107"/>
      <c r="AC3107"/>
    </row>
    <row r="3108" spans="1:29" x14ac:dyDescent="0.25">
      <c r="A3108" t="str">
        <f t="shared" si="49"/>
        <v/>
      </c>
      <c r="B3108" s="10"/>
      <c r="C3108" s="10"/>
      <c r="D3108" s="10"/>
      <c r="E3108" s="10"/>
      <c r="F3108" s="10"/>
      <c r="G3108" s="11"/>
      <c r="H3108" s="12"/>
      <c r="I3108" s="13"/>
      <c r="J3108" s="12"/>
      <c r="K3108" s="13"/>
      <c r="L3108" s="11"/>
      <c r="M3108" s="13"/>
      <c r="N3108" s="11"/>
      <c r="O3108" s="13"/>
      <c r="P3108" s="11"/>
      <c r="Q3108" s="13"/>
      <c r="R3108" s="10"/>
      <c r="S3108" s="10"/>
      <c r="AB3108"/>
      <c r="AC3108"/>
    </row>
    <row r="3109" spans="1:29" x14ac:dyDescent="0.25">
      <c r="A3109" t="str">
        <f t="shared" si="49"/>
        <v/>
      </c>
      <c r="B3109" s="10"/>
      <c r="C3109" s="10"/>
      <c r="D3109" s="10"/>
      <c r="E3109" s="10"/>
      <c r="F3109" s="10"/>
      <c r="G3109" s="11"/>
      <c r="H3109" s="12"/>
      <c r="I3109" s="13"/>
      <c r="J3109" s="12"/>
      <c r="K3109" s="13"/>
      <c r="L3109" s="11"/>
      <c r="M3109" s="13"/>
      <c r="N3109" s="11"/>
      <c r="O3109" s="13"/>
      <c r="P3109" s="11"/>
      <c r="Q3109" s="13"/>
      <c r="R3109" s="10"/>
      <c r="S3109" s="10"/>
      <c r="AB3109"/>
      <c r="AC3109"/>
    </row>
    <row r="3110" spans="1:29" x14ac:dyDescent="0.25">
      <c r="A3110" t="str">
        <f t="shared" si="49"/>
        <v/>
      </c>
      <c r="B3110" s="10"/>
      <c r="C3110" s="10"/>
      <c r="D3110" s="10"/>
      <c r="E3110" s="10"/>
      <c r="F3110" s="10"/>
      <c r="G3110" s="11"/>
      <c r="H3110" s="12"/>
      <c r="I3110" s="13"/>
      <c r="J3110" s="12"/>
      <c r="K3110" s="13"/>
      <c r="L3110" s="11"/>
      <c r="M3110" s="13"/>
      <c r="N3110" s="11"/>
      <c r="O3110" s="13"/>
      <c r="P3110" s="11"/>
      <c r="Q3110" s="13"/>
      <c r="R3110" s="10"/>
      <c r="S3110" s="10"/>
      <c r="AB3110"/>
      <c r="AC3110"/>
    </row>
    <row r="3111" spans="1:29" x14ac:dyDescent="0.25">
      <c r="A3111" t="str">
        <f t="shared" si="49"/>
        <v/>
      </c>
      <c r="B3111" s="10"/>
      <c r="C3111" s="10"/>
      <c r="D3111" s="10"/>
      <c r="E3111" s="10"/>
      <c r="F3111" s="10"/>
      <c r="G3111" s="11"/>
      <c r="H3111" s="12"/>
      <c r="I3111" s="13"/>
      <c r="J3111" s="12"/>
      <c r="K3111" s="13"/>
      <c r="L3111" s="11"/>
      <c r="M3111" s="13"/>
      <c r="N3111" s="11"/>
      <c r="O3111" s="13"/>
      <c r="P3111" s="11"/>
      <c r="Q3111" s="13"/>
      <c r="R3111" s="10"/>
      <c r="S3111" s="10"/>
      <c r="AB3111"/>
      <c r="AC3111"/>
    </row>
    <row r="3112" spans="1:29" x14ac:dyDescent="0.25">
      <c r="A3112" t="str">
        <f t="shared" si="49"/>
        <v/>
      </c>
      <c r="B3112" s="10"/>
      <c r="C3112" s="10"/>
      <c r="D3112" s="10"/>
      <c r="E3112" s="10"/>
      <c r="F3112" s="10"/>
      <c r="G3112" s="11"/>
      <c r="H3112" s="12"/>
      <c r="I3112" s="13"/>
      <c r="J3112" s="12"/>
      <c r="K3112" s="13"/>
      <c r="L3112" s="11"/>
      <c r="M3112" s="13"/>
      <c r="N3112" s="11"/>
      <c r="O3112" s="13"/>
      <c r="P3112" s="11"/>
      <c r="Q3112" s="13"/>
      <c r="R3112" s="10"/>
      <c r="S3112" s="10"/>
      <c r="AB3112"/>
      <c r="AC3112"/>
    </row>
    <row r="3113" spans="1:29" x14ac:dyDescent="0.25">
      <c r="A3113" t="str">
        <f t="shared" si="49"/>
        <v/>
      </c>
      <c r="B3113" s="10"/>
      <c r="C3113" s="10"/>
      <c r="D3113" s="10"/>
      <c r="E3113" s="10"/>
      <c r="F3113" s="10"/>
      <c r="G3113" s="11"/>
      <c r="H3113" s="12"/>
      <c r="I3113" s="13"/>
      <c r="J3113" s="12"/>
      <c r="K3113" s="13"/>
      <c r="L3113" s="11"/>
      <c r="M3113" s="13"/>
      <c r="N3113" s="11"/>
      <c r="O3113" s="13"/>
      <c r="P3113" s="11"/>
      <c r="Q3113" s="13"/>
      <c r="R3113" s="10"/>
      <c r="S3113" s="10"/>
      <c r="AB3113"/>
      <c r="AC3113"/>
    </row>
    <row r="3114" spans="1:29" x14ac:dyDescent="0.25">
      <c r="A3114" t="str">
        <f t="shared" si="49"/>
        <v/>
      </c>
      <c r="B3114" s="10"/>
      <c r="C3114" s="10"/>
      <c r="D3114" s="10"/>
      <c r="E3114" s="10"/>
      <c r="F3114" s="10"/>
      <c r="G3114" s="11"/>
      <c r="H3114" s="12"/>
      <c r="I3114" s="13"/>
      <c r="J3114" s="12"/>
      <c r="K3114" s="13"/>
      <c r="L3114" s="11"/>
      <c r="M3114" s="13"/>
      <c r="N3114" s="11"/>
      <c r="O3114" s="13"/>
      <c r="P3114" s="11"/>
      <c r="Q3114" s="13"/>
      <c r="R3114" s="10"/>
      <c r="S3114" s="10"/>
      <c r="AB3114"/>
      <c r="AC3114"/>
    </row>
    <row r="3115" spans="1:29" x14ac:dyDescent="0.25">
      <c r="A3115" t="str">
        <f t="shared" si="49"/>
        <v/>
      </c>
      <c r="B3115" s="10"/>
      <c r="C3115" s="10"/>
      <c r="D3115" s="10"/>
      <c r="E3115" s="10"/>
      <c r="F3115" s="10"/>
      <c r="G3115" s="11"/>
      <c r="H3115" s="12"/>
      <c r="I3115" s="13"/>
      <c r="J3115" s="12"/>
      <c r="K3115" s="13"/>
      <c r="L3115" s="11"/>
      <c r="M3115" s="13"/>
      <c r="N3115" s="11"/>
      <c r="O3115" s="13"/>
      <c r="P3115" s="11"/>
      <c r="Q3115" s="13"/>
      <c r="R3115" s="10"/>
      <c r="S3115" s="10"/>
      <c r="AB3115"/>
      <c r="AC3115"/>
    </row>
    <row r="3116" spans="1:29" x14ac:dyDescent="0.25">
      <c r="A3116" t="str">
        <f t="shared" si="49"/>
        <v/>
      </c>
      <c r="B3116" s="10"/>
      <c r="C3116" s="10"/>
      <c r="D3116" s="10"/>
      <c r="E3116" s="10"/>
      <c r="F3116" s="10"/>
      <c r="G3116" s="11"/>
      <c r="H3116" s="12"/>
      <c r="I3116" s="13"/>
      <c r="J3116" s="12"/>
      <c r="K3116" s="13"/>
      <c r="L3116" s="11"/>
      <c r="M3116" s="13"/>
      <c r="N3116" s="11"/>
      <c r="O3116" s="13"/>
      <c r="P3116" s="11"/>
      <c r="Q3116" s="13"/>
      <c r="R3116" s="10"/>
      <c r="S3116" s="10"/>
      <c r="AB3116"/>
      <c r="AC3116"/>
    </row>
    <row r="3117" spans="1:29" x14ac:dyDescent="0.25">
      <c r="A3117" t="str">
        <f t="shared" si="49"/>
        <v/>
      </c>
      <c r="B3117" s="10"/>
      <c r="C3117" s="10"/>
      <c r="D3117" s="10"/>
      <c r="E3117" s="10"/>
      <c r="F3117" s="10"/>
      <c r="G3117" s="11"/>
      <c r="H3117" s="12"/>
      <c r="I3117" s="13"/>
      <c r="J3117" s="12"/>
      <c r="K3117" s="13"/>
      <c r="L3117" s="11"/>
      <c r="M3117" s="13"/>
      <c r="N3117" s="11"/>
      <c r="O3117" s="13"/>
      <c r="P3117" s="11"/>
      <c r="Q3117" s="13"/>
      <c r="R3117" s="10"/>
      <c r="S3117" s="10"/>
      <c r="AB3117"/>
      <c r="AC3117"/>
    </row>
    <row r="3118" spans="1:29" x14ac:dyDescent="0.25">
      <c r="A3118" t="str">
        <f t="shared" si="49"/>
        <v/>
      </c>
      <c r="B3118" s="10"/>
      <c r="C3118" s="10"/>
      <c r="D3118" s="10"/>
      <c r="E3118" s="10"/>
      <c r="F3118" s="10"/>
      <c r="G3118" s="11"/>
      <c r="H3118" s="12"/>
      <c r="I3118" s="13"/>
      <c r="J3118" s="12"/>
      <c r="K3118" s="13"/>
      <c r="L3118" s="11"/>
      <c r="M3118" s="13"/>
      <c r="N3118" s="11"/>
      <c r="O3118" s="13"/>
      <c r="P3118" s="11"/>
      <c r="Q3118" s="13"/>
      <c r="R3118" s="10"/>
      <c r="S3118" s="10"/>
      <c r="AB3118"/>
      <c r="AC3118"/>
    </row>
    <row r="3119" spans="1:29" x14ac:dyDescent="0.25">
      <c r="A3119" t="str">
        <f t="shared" si="49"/>
        <v/>
      </c>
      <c r="B3119" s="10"/>
      <c r="C3119" s="10"/>
      <c r="D3119" s="10"/>
      <c r="E3119" s="10"/>
      <c r="F3119" s="10"/>
      <c r="G3119" s="11"/>
      <c r="H3119" s="12"/>
      <c r="I3119" s="13"/>
      <c r="J3119" s="12"/>
      <c r="K3119" s="13"/>
      <c r="L3119" s="11"/>
      <c r="M3119" s="13"/>
      <c r="N3119" s="11"/>
      <c r="O3119" s="13"/>
      <c r="P3119" s="11"/>
      <c r="Q3119" s="13"/>
      <c r="R3119" s="10"/>
      <c r="S3119" s="10"/>
      <c r="AB3119"/>
      <c r="AC3119"/>
    </row>
    <row r="3120" spans="1:29" x14ac:dyDescent="0.25">
      <c r="A3120" t="str">
        <f t="shared" si="49"/>
        <v/>
      </c>
      <c r="B3120" s="10"/>
      <c r="C3120" s="10"/>
      <c r="D3120" s="10"/>
      <c r="E3120" s="10"/>
      <c r="F3120" s="10"/>
      <c r="G3120" s="11"/>
      <c r="H3120" s="12"/>
      <c r="I3120" s="13"/>
      <c r="J3120" s="12"/>
      <c r="K3120" s="13"/>
      <c r="L3120" s="11"/>
      <c r="M3120" s="13"/>
      <c r="N3120" s="11"/>
      <c r="O3120" s="13"/>
      <c r="P3120" s="11"/>
      <c r="Q3120" s="13"/>
      <c r="R3120" s="10"/>
      <c r="S3120" s="10"/>
      <c r="AB3120"/>
      <c r="AC3120"/>
    </row>
    <row r="3121" spans="1:29" x14ac:dyDescent="0.25">
      <c r="A3121" t="str">
        <f t="shared" si="49"/>
        <v/>
      </c>
      <c r="B3121" s="10"/>
      <c r="C3121" s="10"/>
      <c r="D3121" s="10"/>
      <c r="E3121" s="10"/>
      <c r="F3121" s="10"/>
      <c r="G3121" s="11"/>
      <c r="H3121" s="12"/>
      <c r="I3121" s="13"/>
      <c r="J3121" s="12"/>
      <c r="K3121" s="13"/>
      <c r="L3121" s="11"/>
      <c r="M3121" s="13"/>
      <c r="N3121" s="11"/>
      <c r="O3121" s="13"/>
      <c r="P3121" s="11"/>
      <c r="Q3121" s="13"/>
      <c r="R3121" s="10"/>
      <c r="S3121" s="10"/>
      <c r="AB3121"/>
      <c r="AC3121"/>
    </row>
    <row r="3122" spans="1:29" x14ac:dyDescent="0.25">
      <c r="A3122" t="str">
        <f t="shared" si="49"/>
        <v/>
      </c>
      <c r="B3122" s="10"/>
      <c r="C3122" s="10"/>
      <c r="D3122" s="10"/>
      <c r="E3122" s="10"/>
      <c r="F3122" s="10"/>
      <c r="G3122" s="11"/>
      <c r="H3122" s="12"/>
      <c r="I3122" s="13"/>
      <c r="J3122" s="12"/>
      <c r="K3122" s="13"/>
      <c r="L3122" s="11"/>
      <c r="M3122" s="13"/>
      <c r="N3122" s="11"/>
      <c r="O3122" s="13"/>
      <c r="P3122" s="11"/>
      <c r="Q3122" s="13"/>
      <c r="R3122" s="10"/>
      <c r="S3122" s="10"/>
      <c r="AB3122"/>
      <c r="AC3122"/>
    </row>
    <row r="3123" spans="1:29" x14ac:dyDescent="0.25">
      <c r="A3123" t="str">
        <f t="shared" si="49"/>
        <v/>
      </c>
      <c r="B3123" s="10"/>
      <c r="C3123" s="10"/>
      <c r="D3123" s="10"/>
      <c r="E3123" s="10"/>
      <c r="F3123" s="10"/>
      <c r="G3123" s="11"/>
      <c r="H3123" s="12"/>
      <c r="I3123" s="13"/>
      <c r="J3123" s="12"/>
      <c r="K3123" s="13"/>
      <c r="L3123" s="11"/>
      <c r="M3123" s="13"/>
      <c r="N3123" s="11"/>
      <c r="O3123" s="13"/>
      <c r="P3123" s="11"/>
      <c r="Q3123" s="13"/>
      <c r="R3123" s="10"/>
      <c r="S3123" s="10"/>
      <c r="AB3123"/>
      <c r="AC3123"/>
    </row>
    <row r="3124" spans="1:29" x14ac:dyDescent="0.25">
      <c r="A3124" t="str">
        <f t="shared" si="49"/>
        <v/>
      </c>
      <c r="B3124" s="10"/>
      <c r="C3124" s="10"/>
      <c r="D3124" s="10"/>
      <c r="E3124" s="10"/>
      <c r="F3124" s="10"/>
      <c r="G3124" s="11"/>
      <c r="H3124" s="12"/>
      <c r="I3124" s="13"/>
      <c r="J3124" s="12"/>
      <c r="K3124" s="13"/>
      <c r="L3124" s="11"/>
      <c r="M3124" s="13"/>
      <c r="N3124" s="11"/>
      <c r="O3124" s="13"/>
      <c r="P3124" s="11"/>
      <c r="Q3124" s="13"/>
      <c r="R3124" s="10"/>
      <c r="S3124" s="10"/>
      <c r="AB3124"/>
      <c r="AC3124"/>
    </row>
    <row r="3125" spans="1:29" x14ac:dyDescent="0.25">
      <c r="A3125" t="str">
        <f t="shared" si="49"/>
        <v/>
      </c>
      <c r="B3125" s="10"/>
      <c r="C3125" s="10"/>
      <c r="D3125" s="10"/>
      <c r="E3125" s="10"/>
      <c r="F3125" s="10"/>
      <c r="G3125" s="11"/>
      <c r="H3125" s="12"/>
      <c r="I3125" s="13"/>
      <c r="J3125" s="12"/>
      <c r="K3125" s="13"/>
      <c r="L3125" s="11"/>
      <c r="M3125" s="13"/>
      <c r="N3125" s="11"/>
      <c r="O3125" s="13"/>
      <c r="P3125" s="11"/>
      <c r="Q3125" s="13"/>
      <c r="R3125" s="10"/>
      <c r="S3125" s="10"/>
      <c r="AB3125"/>
      <c r="AC3125"/>
    </row>
    <row r="3126" spans="1:29" x14ac:dyDescent="0.25">
      <c r="A3126" t="str">
        <f t="shared" si="49"/>
        <v/>
      </c>
      <c r="B3126" s="10"/>
      <c r="C3126" s="10"/>
      <c r="D3126" s="10"/>
      <c r="E3126" s="10"/>
      <c r="F3126" s="10"/>
      <c r="G3126" s="11"/>
      <c r="H3126" s="12"/>
      <c r="I3126" s="13"/>
      <c r="J3126" s="12"/>
      <c r="K3126" s="13"/>
      <c r="L3126" s="11"/>
      <c r="M3126" s="13"/>
      <c r="N3126" s="11"/>
      <c r="O3126" s="13"/>
      <c r="P3126" s="11"/>
      <c r="Q3126" s="13"/>
      <c r="R3126" s="10"/>
      <c r="S3126" s="10"/>
      <c r="AB3126"/>
      <c r="AC3126"/>
    </row>
    <row r="3127" spans="1:29" x14ac:dyDescent="0.25">
      <c r="A3127" t="str">
        <f t="shared" si="49"/>
        <v/>
      </c>
      <c r="B3127" s="10"/>
      <c r="C3127" s="10"/>
      <c r="D3127" s="10"/>
      <c r="E3127" s="10"/>
      <c r="F3127" s="10"/>
      <c r="G3127" s="11"/>
      <c r="H3127" s="12"/>
      <c r="I3127" s="13"/>
      <c r="J3127" s="12"/>
      <c r="K3127" s="13"/>
      <c r="L3127" s="11"/>
      <c r="M3127" s="13"/>
      <c r="N3127" s="11"/>
      <c r="O3127" s="13"/>
      <c r="P3127" s="11"/>
      <c r="Q3127" s="13"/>
      <c r="R3127" s="10"/>
      <c r="S3127" s="10"/>
      <c r="AB3127"/>
      <c r="AC3127"/>
    </row>
    <row r="3128" spans="1:29" x14ac:dyDescent="0.25">
      <c r="A3128" t="str">
        <f t="shared" si="49"/>
        <v/>
      </c>
      <c r="B3128" s="10"/>
      <c r="C3128" s="10"/>
      <c r="D3128" s="10"/>
      <c r="E3128" s="10"/>
      <c r="F3128" s="10"/>
      <c r="G3128" s="11"/>
      <c r="H3128" s="12"/>
      <c r="I3128" s="13"/>
      <c r="J3128" s="12"/>
      <c r="K3128" s="13"/>
      <c r="L3128" s="11"/>
      <c r="M3128" s="13"/>
      <c r="N3128" s="11"/>
      <c r="O3128" s="13"/>
      <c r="P3128" s="11"/>
      <c r="Q3128" s="13"/>
      <c r="R3128" s="10"/>
      <c r="S3128" s="10"/>
      <c r="AB3128"/>
      <c r="AC3128"/>
    </row>
    <row r="3129" spans="1:29" x14ac:dyDescent="0.25">
      <c r="A3129" t="str">
        <f t="shared" si="49"/>
        <v/>
      </c>
      <c r="B3129" s="10"/>
      <c r="C3129" s="10"/>
      <c r="D3129" s="10"/>
      <c r="E3129" s="10"/>
      <c r="F3129" s="10"/>
      <c r="G3129" s="11"/>
      <c r="H3129" s="12"/>
      <c r="I3129" s="13"/>
      <c r="J3129" s="12"/>
      <c r="K3129" s="13"/>
      <c r="L3129" s="11"/>
      <c r="M3129" s="13"/>
      <c r="N3129" s="11"/>
      <c r="O3129" s="13"/>
      <c r="P3129" s="11"/>
      <c r="Q3129" s="13"/>
      <c r="R3129" s="10"/>
      <c r="S3129" s="10"/>
      <c r="AB3129"/>
      <c r="AC3129"/>
    </row>
    <row r="3130" spans="1:29" x14ac:dyDescent="0.25">
      <c r="A3130" t="str">
        <f t="shared" si="49"/>
        <v/>
      </c>
      <c r="B3130" s="10"/>
      <c r="C3130" s="10"/>
      <c r="D3130" s="10"/>
      <c r="E3130" s="10"/>
      <c r="F3130" s="10"/>
      <c r="G3130" s="11"/>
      <c r="H3130" s="12"/>
      <c r="I3130" s="13"/>
      <c r="J3130" s="12"/>
      <c r="K3130" s="13"/>
      <c r="L3130" s="11"/>
      <c r="M3130" s="13"/>
      <c r="N3130" s="11"/>
      <c r="O3130" s="13"/>
      <c r="P3130" s="11"/>
      <c r="Q3130" s="13"/>
      <c r="R3130" s="10"/>
      <c r="S3130" s="10"/>
      <c r="AB3130"/>
      <c r="AC3130"/>
    </row>
    <row r="3131" spans="1:29" x14ac:dyDescent="0.25">
      <c r="A3131" t="str">
        <f t="shared" ref="A3131:A3194" si="50">B3129&amp;D3129</f>
        <v/>
      </c>
      <c r="B3131" s="10"/>
      <c r="C3131" s="10"/>
      <c r="D3131" s="10"/>
      <c r="E3131" s="10"/>
      <c r="F3131" s="10"/>
      <c r="G3131" s="11"/>
      <c r="H3131" s="12"/>
      <c r="I3131" s="13"/>
      <c r="J3131" s="12"/>
      <c r="K3131" s="13"/>
      <c r="L3131" s="11"/>
      <c r="M3131" s="13"/>
      <c r="N3131" s="11"/>
      <c r="O3131" s="13"/>
      <c r="P3131" s="11"/>
      <c r="Q3131" s="13"/>
      <c r="R3131" s="10"/>
      <c r="S3131" s="10"/>
      <c r="AB3131"/>
      <c r="AC3131"/>
    </row>
    <row r="3132" spans="1:29" x14ac:dyDescent="0.25">
      <c r="A3132" t="str">
        <f t="shared" si="50"/>
        <v/>
      </c>
      <c r="B3132" s="10"/>
      <c r="C3132" s="10"/>
      <c r="D3132" s="10"/>
      <c r="E3132" s="10"/>
      <c r="F3132" s="10"/>
      <c r="G3132" s="11"/>
      <c r="H3132" s="12"/>
      <c r="I3132" s="13"/>
      <c r="J3132" s="12"/>
      <c r="K3132" s="13"/>
      <c r="L3132" s="11"/>
      <c r="M3132" s="13"/>
      <c r="N3132" s="11"/>
      <c r="O3132" s="13"/>
      <c r="P3132" s="11"/>
      <c r="Q3132" s="13"/>
      <c r="R3132" s="10"/>
      <c r="S3132" s="10"/>
      <c r="AB3132"/>
      <c r="AC3132"/>
    </row>
    <row r="3133" spans="1:29" x14ac:dyDescent="0.25">
      <c r="A3133" t="str">
        <f t="shared" si="50"/>
        <v/>
      </c>
      <c r="B3133" s="10"/>
      <c r="C3133" s="10"/>
      <c r="D3133" s="10"/>
      <c r="E3133" s="10"/>
      <c r="F3133" s="10"/>
      <c r="G3133" s="11"/>
      <c r="H3133" s="12"/>
      <c r="I3133" s="13"/>
      <c r="J3133" s="12"/>
      <c r="K3133" s="13"/>
      <c r="L3133" s="11"/>
      <c r="M3133" s="13"/>
      <c r="N3133" s="11"/>
      <c r="O3133" s="13"/>
      <c r="P3133" s="11"/>
      <c r="Q3133" s="13"/>
      <c r="R3133" s="10"/>
      <c r="S3133" s="10"/>
      <c r="AB3133"/>
      <c r="AC3133"/>
    </row>
    <row r="3134" spans="1:29" x14ac:dyDescent="0.25">
      <c r="A3134" t="str">
        <f t="shared" si="50"/>
        <v/>
      </c>
      <c r="B3134" s="10"/>
      <c r="C3134" s="10"/>
      <c r="D3134" s="10"/>
      <c r="E3134" s="10"/>
      <c r="F3134" s="10"/>
      <c r="G3134" s="11"/>
      <c r="H3134" s="12"/>
      <c r="I3134" s="13"/>
      <c r="J3134" s="12"/>
      <c r="K3134" s="13"/>
      <c r="L3134" s="11"/>
      <c r="M3134" s="13"/>
      <c r="N3134" s="11"/>
      <c r="O3134" s="13"/>
      <c r="P3134" s="11"/>
      <c r="Q3134" s="13"/>
      <c r="R3134" s="10"/>
      <c r="S3134" s="10"/>
      <c r="AB3134"/>
      <c r="AC3134"/>
    </row>
    <row r="3135" spans="1:29" x14ac:dyDescent="0.25">
      <c r="A3135" t="str">
        <f t="shared" si="50"/>
        <v/>
      </c>
      <c r="B3135" s="10"/>
      <c r="C3135" s="10"/>
      <c r="D3135" s="10"/>
      <c r="E3135" s="10"/>
      <c r="F3135" s="10"/>
      <c r="G3135" s="11"/>
      <c r="H3135" s="12"/>
      <c r="I3135" s="13"/>
      <c r="J3135" s="12"/>
      <c r="K3135" s="13"/>
      <c r="L3135" s="11"/>
      <c r="M3135" s="13"/>
      <c r="N3135" s="11"/>
      <c r="O3135" s="13"/>
      <c r="P3135" s="11"/>
      <c r="Q3135" s="13"/>
      <c r="R3135" s="10"/>
      <c r="S3135" s="10"/>
      <c r="AB3135"/>
      <c r="AC3135"/>
    </row>
    <row r="3136" spans="1:29" x14ac:dyDescent="0.25">
      <c r="A3136" t="str">
        <f t="shared" si="50"/>
        <v/>
      </c>
      <c r="B3136" s="10"/>
      <c r="C3136" s="10"/>
      <c r="D3136" s="10"/>
      <c r="E3136" s="10"/>
      <c r="F3136" s="10"/>
      <c r="G3136" s="11"/>
      <c r="H3136" s="12"/>
      <c r="I3136" s="13"/>
      <c r="J3136" s="12"/>
      <c r="K3136" s="13"/>
      <c r="L3136" s="11"/>
      <c r="M3136" s="13"/>
      <c r="N3136" s="11"/>
      <c r="O3136" s="13"/>
      <c r="P3136" s="11"/>
      <c r="Q3136" s="13"/>
      <c r="R3136" s="10"/>
      <c r="S3136" s="10"/>
      <c r="AB3136"/>
      <c r="AC3136"/>
    </row>
    <row r="3137" spans="1:29" x14ac:dyDescent="0.25">
      <c r="A3137" t="str">
        <f t="shared" si="50"/>
        <v/>
      </c>
      <c r="B3137" s="10"/>
      <c r="C3137" s="10"/>
      <c r="D3137" s="10"/>
      <c r="E3137" s="10"/>
      <c r="F3137" s="10"/>
      <c r="G3137" s="11"/>
      <c r="H3137" s="12"/>
      <c r="I3137" s="13"/>
      <c r="J3137" s="12"/>
      <c r="K3137" s="13"/>
      <c r="L3137" s="11"/>
      <c r="M3137" s="13"/>
      <c r="N3137" s="11"/>
      <c r="O3137" s="13"/>
      <c r="P3137" s="11"/>
      <c r="Q3137" s="13"/>
      <c r="R3137" s="10"/>
      <c r="S3137" s="10"/>
      <c r="AB3137"/>
      <c r="AC3137"/>
    </row>
    <row r="3138" spans="1:29" x14ac:dyDescent="0.25">
      <c r="A3138" t="str">
        <f t="shared" si="50"/>
        <v/>
      </c>
      <c r="B3138" s="10"/>
      <c r="C3138" s="10"/>
      <c r="D3138" s="10"/>
      <c r="E3138" s="10"/>
      <c r="F3138" s="10"/>
      <c r="G3138" s="11"/>
      <c r="H3138" s="12"/>
      <c r="I3138" s="13"/>
      <c r="J3138" s="12"/>
      <c r="K3138" s="13"/>
      <c r="L3138" s="11"/>
      <c r="M3138" s="13"/>
      <c r="N3138" s="11"/>
      <c r="O3138" s="13"/>
      <c r="P3138" s="11"/>
      <c r="Q3138" s="13"/>
      <c r="R3138" s="10"/>
      <c r="S3138" s="10"/>
      <c r="AB3138"/>
      <c r="AC3138"/>
    </row>
    <row r="3139" spans="1:29" x14ac:dyDescent="0.25">
      <c r="A3139" t="str">
        <f t="shared" si="50"/>
        <v/>
      </c>
      <c r="B3139" s="10"/>
      <c r="C3139" s="10"/>
      <c r="D3139" s="10"/>
      <c r="E3139" s="10"/>
      <c r="F3139" s="10"/>
      <c r="G3139" s="11"/>
      <c r="H3139" s="12"/>
      <c r="I3139" s="13"/>
      <c r="J3139" s="12"/>
      <c r="K3139" s="13"/>
      <c r="L3139" s="11"/>
      <c r="M3139" s="13"/>
      <c r="N3139" s="11"/>
      <c r="O3139" s="13"/>
      <c r="P3139" s="11"/>
      <c r="Q3139" s="13"/>
      <c r="R3139" s="10"/>
      <c r="S3139" s="10"/>
      <c r="AB3139"/>
      <c r="AC3139"/>
    </row>
    <row r="3140" spans="1:29" x14ac:dyDescent="0.25">
      <c r="A3140" t="str">
        <f t="shared" si="50"/>
        <v/>
      </c>
      <c r="B3140" s="10"/>
      <c r="C3140" s="10"/>
      <c r="D3140" s="10"/>
      <c r="E3140" s="10"/>
      <c r="F3140" s="10"/>
      <c r="G3140" s="11"/>
      <c r="H3140" s="12"/>
      <c r="I3140" s="13"/>
      <c r="J3140" s="12"/>
      <c r="K3140" s="13"/>
      <c r="L3140" s="11"/>
      <c r="M3140" s="13"/>
      <c r="N3140" s="11"/>
      <c r="O3140" s="13"/>
      <c r="P3140" s="11"/>
      <c r="Q3140" s="13"/>
      <c r="R3140" s="10"/>
      <c r="S3140" s="10"/>
      <c r="AB3140"/>
      <c r="AC3140"/>
    </row>
    <row r="3141" spans="1:29" x14ac:dyDescent="0.25">
      <c r="A3141" t="str">
        <f t="shared" si="50"/>
        <v/>
      </c>
      <c r="B3141" s="10"/>
      <c r="C3141" s="10"/>
      <c r="D3141" s="10"/>
      <c r="E3141" s="10"/>
      <c r="F3141" s="10"/>
      <c r="G3141" s="11"/>
      <c r="H3141" s="12"/>
      <c r="I3141" s="13"/>
      <c r="J3141" s="12"/>
      <c r="K3141" s="13"/>
      <c r="L3141" s="11"/>
      <c r="M3141" s="13"/>
      <c r="N3141" s="11"/>
      <c r="O3141" s="13"/>
      <c r="P3141" s="11"/>
      <c r="Q3141" s="13"/>
      <c r="R3141" s="10"/>
      <c r="S3141" s="10"/>
      <c r="AB3141"/>
      <c r="AC3141"/>
    </row>
    <row r="3142" spans="1:29" x14ac:dyDescent="0.25">
      <c r="A3142" t="str">
        <f t="shared" si="50"/>
        <v/>
      </c>
      <c r="B3142" s="10"/>
      <c r="C3142" s="10"/>
      <c r="D3142" s="10"/>
      <c r="E3142" s="10"/>
      <c r="F3142" s="10"/>
      <c r="G3142" s="11"/>
      <c r="H3142" s="12"/>
      <c r="I3142" s="13"/>
      <c r="J3142" s="12"/>
      <c r="K3142" s="13"/>
      <c r="L3142" s="11"/>
      <c r="M3142" s="13"/>
      <c r="N3142" s="11"/>
      <c r="O3142" s="13"/>
      <c r="P3142" s="11"/>
      <c r="Q3142" s="13"/>
      <c r="R3142" s="10"/>
      <c r="S3142" s="10"/>
      <c r="AB3142"/>
      <c r="AC3142"/>
    </row>
    <row r="3143" spans="1:29" x14ac:dyDescent="0.25">
      <c r="A3143" t="str">
        <f t="shared" si="50"/>
        <v/>
      </c>
      <c r="B3143" s="10"/>
      <c r="C3143" s="10"/>
      <c r="D3143" s="10"/>
      <c r="E3143" s="10"/>
      <c r="F3143" s="10"/>
      <c r="G3143" s="11"/>
      <c r="H3143" s="12"/>
      <c r="I3143" s="13"/>
      <c r="J3143" s="12"/>
      <c r="K3143" s="13"/>
      <c r="L3143" s="11"/>
      <c r="M3143" s="13"/>
      <c r="N3143" s="11"/>
      <c r="O3143" s="13"/>
      <c r="P3143" s="11"/>
      <c r="Q3143" s="13"/>
      <c r="R3143" s="10"/>
      <c r="S3143" s="10"/>
      <c r="AB3143"/>
      <c r="AC3143"/>
    </row>
    <row r="3144" spans="1:29" x14ac:dyDescent="0.25">
      <c r="A3144" t="str">
        <f t="shared" si="50"/>
        <v/>
      </c>
      <c r="B3144" s="10"/>
      <c r="C3144" s="10"/>
      <c r="D3144" s="10"/>
      <c r="E3144" s="10"/>
      <c r="F3144" s="10"/>
      <c r="G3144" s="11"/>
      <c r="H3144" s="12"/>
      <c r="I3144" s="13"/>
      <c r="J3144" s="12"/>
      <c r="K3144" s="13"/>
      <c r="L3144" s="11"/>
      <c r="M3144" s="13"/>
      <c r="N3144" s="11"/>
      <c r="O3144" s="13"/>
      <c r="P3144" s="11"/>
      <c r="Q3144" s="13"/>
      <c r="R3144" s="10"/>
      <c r="S3144" s="10"/>
      <c r="AB3144"/>
      <c r="AC3144"/>
    </row>
    <row r="3145" spans="1:29" x14ac:dyDescent="0.25">
      <c r="A3145" t="str">
        <f t="shared" si="50"/>
        <v/>
      </c>
      <c r="B3145" s="10"/>
      <c r="C3145" s="10"/>
      <c r="D3145" s="10"/>
      <c r="E3145" s="10"/>
      <c r="F3145" s="10"/>
      <c r="G3145" s="11"/>
      <c r="H3145" s="12"/>
      <c r="I3145" s="13"/>
      <c r="J3145" s="12"/>
      <c r="K3145" s="13"/>
      <c r="L3145" s="11"/>
      <c r="M3145" s="13"/>
      <c r="N3145" s="11"/>
      <c r="O3145" s="13"/>
      <c r="P3145" s="11"/>
      <c r="Q3145" s="13"/>
      <c r="R3145" s="10"/>
      <c r="S3145" s="10"/>
      <c r="AB3145"/>
      <c r="AC3145"/>
    </row>
    <row r="3146" spans="1:29" x14ac:dyDescent="0.25">
      <c r="A3146" t="str">
        <f t="shared" si="50"/>
        <v/>
      </c>
      <c r="B3146" s="10"/>
      <c r="C3146" s="10"/>
      <c r="D3146" s="10"/>
      <c r="E3146" s="10"/>
      <c r="F3146" s="10"/>
      <c r="G3146" s="11"/>
      <c r="H3146" s="12"/>
      <c r="I3146" s="13"/>
      <c r="J3146" s="12"/>
      <c r="K3146" s="13"/>
      <c r="L3146" s="11"/>
      <c r="M3146" s="13"/>
      <c r="N3146" s="11"/>
      <c r="O3146" s="13"/>
      <c r="P3146" s="11"/>
      <c r="Q3146" s="13"/>
      <c r="R3146" s="10"/>
      <c r="S3146" s="10"/>
      <c r="AB3146"/>
      <c r="AC3146"/>
    </row>
    <row r="3147" spans="1:29" x14ac:dyDescent="0.25">
      <c r="A3147" t="str">
        <f t="shared" si="50"/>
        <v/>
      </c>
      <c r="B3147" s="10"/>
      <c r="C3147" s="10"/>
      <c r="D3147" s="10"/>
      <c r="E3147" s="10"/>
      <c r="F3147" s="10"/>
      <c r="G3147" s="11"/>
      <c r="H3147" s="12"/>
      <c r="I3147" s="13"/>
      <c r="J3147" s="12"/>
      <c r="K3147" s="13"/>
      <c r="L3147" s="11"/>
      <c r="M3147" s="13"/>
      <c r="N3147" s="11"/>
      <c r="O3147" s="13"/>
      <c r="P3147" s="11"/>
      <c r="Q3147" s="13"/>
      <c r="R3147" s="10"/>
      <c r="S3147" s="10"/>
      <c r="AB3147"/>
      <c r="AC3147"/>
    </row>
    <row r="3148" spans="1:29" x14ac:dyDescent="0.25">
      <c r="A3148" t="str">
        <f t="shared" si="50"/>
        <v/>
      </c>
      <c r="B3148" s="10"/>
      <c r="C3148" s="10"/>
      <c r="D3148" s="10"/>
      <c r="E3148" s="10"/>
      <c r="F3148" s="10"/>
      <c r="G3148" s="11"/>
      <c r="H3148" s="12"/>
      <c r="I3148" s="13"/>
      <c r="J3148" s="12"/>
      <c r="K3148" s="13"/>
      <c r="L3148" s="11"/>
      <c r="M3148" s="13"/>
      <c r="N3148" s="11"/>
      <c r="O3148" s="13"/>
      <c r="P3148" s="11"/>
      <c r="Q3148" s="13"/>
      <c r="R3148" s="10"/>
      <c r="S3148" s="10"/>
      <c r="AB3148"/>
      <c r="AC3148"/>
    </row>
    <row r="3149" spans="1:29" x14ac:dyDescent="0.25">
      <c r="A3149" t="str">
        <f t="shared" si="50"/>
        <v/>
      </c>
      <c r="B3149" s="10"/>
      <c r="C3149" s="10"/>
      <c r="D3149" s="10"/>
      <c r="E3149" s="10"/>
      <c r="F3149" s="10"/>
      <c r="G3149" s="11"/>
      <c r="H3149" s="12"/>
      <c r="I3149" s="13"/>
      <c r="J3149" s="12"/>
      <c r="K3149" s="13"/>
      <c r="L3149" s="11"/>
      <c r="M3149" s="13"/>
      <c r="N3149" s="11"/>
      <c r="O3149" s="13"/>
      <c r="P3149" s="11"/>
      <c r="Q3149" s="13"/>
      <c r="R3149" s="10"/>
      <c r="S3149" s="10"/>
      <c r="AB3149"/>
      <c r="AC3149"/>
    </row>
    <row r="3150" spans="1:29" x14ac:dyDescent="0.25">
      <c r="A3150" t="str">
        <f t="shared" si="50"/>
        <v/>
      </c>
      <c r="B3150" s="10"/>
      <c r="C3150" s="10"/>
      <c r="D3150" s="10"/>
      <c r="E3150" s="10"/>
      <c r="F3150" s="10"/>
      <c r="G3150" s="11"/>
      <c r="H3150" s="12"/>
      <c r="I3150" s="13"/>
      <c r="J3150" s="12"/>
      <c r="K3150" s="13"/>
      <c r="L3150" s="11"/>
      <c r="M3150" s="13"/>
      <c r="N3150" s="11"/>
      <c r="O3150" s="13"/>
      <c r="P3150" s="11"/>
      <c r="Q3150" s="13"/>
      <c r="R3150" s="10"/>
      <c r="S3150" s="10"/>
      <c r="AB3150"/>
      <c r="AC3150"/>
    </row>
    <row r="3151" spans="1:29" x14ac:dyDescent="0.25">
      <c r="A3151" t="str">
        <f t="shared" si="50"/>
        <v/>
      </c>
      <c r="B3151" s="10"/>
      <c r="C3151" s="10"/>
      <c r="D3151" s="10"/>
      <c r="E3151" s="10"/>
      <c r="F3151" s="10"/>
      <c r="G3151" s="11"/>
      <c r="H3151" s="12"/>
      <c r="I3151" s="13"/>
      <c r="J3151" s="12"/>
      <c r="K3151" s="13"/>
      <c r="L3151" s="11"/>
      <c r="M3151" s="13"/>
      <c r="N3151" s="11"/>
      <c r="O3151" s="13"/>
      <c r="P3151" s="11"/>
      <c r="Q3151" s="13"/>
      <c r="R3151" s="10"/>
      <c r="S3151" s="10"/>
      <c r="AB3151"/>
      <c r="AC3151"/>
    </row>
    <row r="3152" spans="1:29" x14ac:dyDescent="0.25">
      <c r="A3152" t="str">
        <f t="shared" si="50"/>
        <v/>
      </c>
      <c r="B3152" s="10"/>
      <c r="C3152" s="10"/>
      <c r="D3152" s="10"/>
      <c r="E3152" s="10"/>
      <c r="F3152" s="10"/>
      <c r="G3152" s="11"/>
      <c r="H3152" s="12"/>
      <c r="I3152" s="13"/>
      <c r="J3152" s="12"/>
      <c r="K3152" s="13"/>
      <c r="L3152" s="11"/>
      <c r="M3152" s="13"/>
      <c r="N3152" s="11"/>
      <c r="O3152" s="13"/>
      <c r="P3152" s="11"/>
      <c r="Q3152" s="13"/>
      <c r="R3152" s="10"/>
      <c r="S3152" s="10"/>
      <c r="AB3152"/>
      <c r="AC3152"/>
    </row>
    <row r="3153" spans="1:29" x14ac:dyDescent="0.25">
      <c r="A3153" t="str">
        <f t="shared" si="50"/>
        <v/>
      </c>
      <c r="B3153" s="10"/>
      <c r="C3153" s="10"/>
      <c r="D3153" s="10"/>
      <c r="E3153" s="10"/>
      <c r="F3153" s="10"/>
      <c r="G3153" s="11"/>
      <c r="H3153" s="12"/>
      <c r="I3153" s="13"/>
      <c r="J3153" s="12"/>
      <c r="K3153" s="13"/>
      <c r="L3153" s="11"/>
      <c r="M3153" s="13"/>
      <c r="N3153" s="11"/>
      <c r="O3153" s="13"/>
      <c r="P3153" s="11"/>
      <c r="Q3153" s="13"/>
      <c r="R3153" s="10"/>
      <c r="S3153" s="10"/>
      <c r="AB3153"/>
      <c r="AC3153"/>
    </row>
    <row r="3154" spans="1:29" x14ac:dyDescent="0.25">
      <c r="A3154" t="str">
        <f t="shared" si="50"/>
        <v/>
      </c>
      <c r="B3154" s="10"/>
      <c r="C3154" s="10"/>
      <c r="D3154" s="10"/>
      <c r="E3154" s="10"/>
      <c r="F3154" s="10"/>
      <c r="G3154" s="11"/>
      <c r="H3154" s="12"/>
      <c r="I3154" s="13"/>
      <c r="J3154" s="12"/>
      <c r="K3154" s="13"/>
      <c r="L3154" s="11"/>
      <c r="M3154" s="13"/>
      <c r="N3154" s="11"/>
      <c r="O3154" s="13"/>
      <c r="P3154" s="11"/>
      <c r="Q3154" s="13"/>
      <c r="R3154" s="10"/>
      <c r="S3154" s="10"/>
      <c r="AB3154"/>
      <c r="AC3154"/>
    </row>
    <row r="3155" spans="1:29" x14ac:dyDescent="0.25">
      <c r="A3155" t="str">
        <f t="shared" si="50"/>
        <v/>
      </c>
      <c r="B3155" s="10"/>
      <c r="C3155" s="10"/>
      <c r="D3155" s="10"/>
      <c r="E3155" s="10"/>
      <c r="F3155" s="10"/>
      <c r="G3155" s="11"/>
      <c r="H3155" s="12"/>
      <c r="I3155" s="13"/>
      <c r="J3155" s="12"/>
      <c r="K3155" s="13"/>
      <c r="L3155" s="11"/>
      <c r="M3155" s="13"/>
      <c r="N3155" s="11"/>
      <c r="O3155" s="13"/>
      <c r="P3155" s="11"/>
      <c r="Q3155" s="13"/>
      <c r="R3155" s="10"/>
      <c r="S3155" s="10"/>
      <c r="AB3155"/>
      <c r="AC3155"/>
    </row>
    <row r="3156" spans="1:29" x14ac:dyDescent="0.25">
      <c r="A3156" t="str">
        <f t="shared" si="50"/>
        <v/>
      </c>
      <c r="B3156" s="10"/>
      <c r="C3156" s="10"/>
      <c r="D3156" s="10"/>
      <c r="E3156" s="10"/>
      <c r="F3156" s="10"/>
      <c r="G3156" s="11"/>
      <c r="H3156" s="12"/>
      <c r="I3156" s="13"/>
      <c r="J3156" s="12"/>
      <c r="K3156" s="13"/>
      <c r="L3156" s="11"/>
      <c r="M3156" s="13"/>
      <c r="N3156" s="11"/>
      <c r="O3156" s="13"/>
      <c r="P3156" s="11"/>
      <c r="Q3156" s="13"/>
      <c r="R3156" s="10"/>
      <c r="S3156" s="10"/>
      <c r="AB3156"/>
      <c r="AC3156"/>
    </row>
    <row r="3157" spans="1:29" x14ac:dyDescent="0.25">
      <c r="A3157" t="str">
        <f t="shared" si="50"/>
        <v/>
      </c>
      <c r="B3157" s="10"/>
      <c r="C3157" s="10"/>
      <c r="D3157" s="10"/>
      <c r="E3157" s="10"/>
      <c r="F3157" s="10"/>
      <c r="G3157" s="11"/>
      <c r="H3157" s="12"/>
      <c r="I3157" s="13"/>
      <c r="J3157" s="12"/>
      <c r="K3157" s="13"/>
      <c r="L3157" s="11"/>
      <c r="M3157" s="13"/>
      <c r="N3157" s="11"/>
      <c r="O3157" s="13"/>
      <c r="P3157" s="11"/>
      <c r="Q3157" s="13"/>
      <c r="R3157" s="10"/>
      <c r="S3157" s="10"/>
      <c r="AB3157"/>
      <c r="AC3157"/>
    </row>
    <row r="3158" spans="1:29" x14ac:dyDescent="0.25">
      <c r="A3158" t="str">
        <f t="shared" si="50"/>
        <v/>
      </c>
      <c r="B3158" s="10"/>
      <c r="C3158" s="10"/>
      <c r="D3158" s="10"/>
      <c r="E3158" s="10"/>
      <c r="F3158" s="10"/>
      <c r="G3158" s="11"/>
      <c r="H3158" s="12"/>
      <c r="I3158" s="13"/>
      <c r="J3158" s="12"/>
      <c r="K3158" s="13"/>
      <c r="L3158" s="11"/>
      <c r="M3158" s="13"/>
      <c r="N3158" s="11"/>
      <c r="O3158" s="13"/>
      <c r="P3158" s="11"/>
      <c r="Q3158" s="13"/>
      <c r="R3158" s="10"/>
      <c r="S3158" s="10"/>
      <c r="AB3158"/>
      <c r="AC3158"/>
    </row>
    <row r="3159" spans="1:29" x14ac:dyDescent="0.25">
      <c r="A3159" t="str">
        <f t="shared" si="50"/>
        <v/>
      </c>
      <c r="B3159" s="10"/>
      <c r="C3159" s="10"/>
      <c r="D3159" s="10"/>
      <c r="E3159" s="10"/>
      <c r="F3159" s="10"/>
      <c r="G3159" s="11"/>
      <c r="H3159" s="12"/>
      <c r="I3159" s="13"/>
      <c r="J3159" s="12"/>
      <c r="K3159" s="13"/>
      <c r="L3159" s="11"/>
      <c r="M3159" s="13"/>
      <c r="N3159" s="11"/>
      <c r="O3159" s="13"/>
      <c r="P3159" s="11"/>
      <c r="Q3159" s="13"/>
      <c r="R3159" s="10"/>
      <c r="S3159" s="10"/>
      <c r="AB3159"/>
      <c r="AC3159"/>
    </row>
    <row r="3160" spans="1:29" x14ac:dyDescent="0.25">
      <c r="A3160" t="str">
        <f t="shared" si="50"/>
        <v/>
      </c>
      <c r="B3160" s="10"/>
      <c r="C3160" s="10"/>
      <c r="D3160" s="10"/>
      <c r="E3160" s="10"/>
      <c r="F3160" s="10"/>
      <c r="G3160" s="11"/>
      <c r="H3160" s="12"/>
      <c r="I3160" s="13"/>
      <c r="J3160" s="12"/>
      <c r="K3160" s="13"/>
      <c r="L3160" s="11"/>
      <c r="M3160" s="13"/>
      <c r="N3160" s="11"/>
      <c r="O3160" s="13"/>
      <c r="P3160" s="11"/>
      <c r="Q3160" s="13"/>
      <c r="R3160" s="10"/>
      <c r="S3160" s="10"/>
      <c r="AB3160"/>
      <c r="AC3160"/>
    </row>
    <row r="3161" spans="1:29" x14ac:dyDescent="0.25">
      <c r="A3161" t="str">
        <f t="shared" si="50"/>
        <v/>
      </c>
      <c r="B3161" s="10"/>
      <c r="C3161" s="10"/>
      <c r="D3161" s="10"/>
      <c r="E3161" s="10"/>
      <c r="F3161" s="10"/>
      <c r="G3161" s="11"/>
      <c r="H3161" s="12"/>
      <c r="I3161" s="13"/>
      <c r="J3161" s="12"/>
      <c r="K3161" s="13"/>
      <c r="L3161" s="11"/>
      <c r="M3161" s="13"/>
      <c r="N3161" s="11"/>
      <c r="O3161" s="13"/>
      <c r="P3161" s="11"/>
      <c r="Q3161" s="13"/>
      <c r="R3161" s="10"/>
      <c r="S3161" s="10"/>
      <c r="AB3161"/>
      <c r="AC3161"/>
    </row>
    <row r="3162" spans="1:29" x14ac:dyDescent="0.25">
      <c r="A3162" t="str">
        <f t="shared" si="50"/>
        <v/>
      </c>
      <c r="B3162" s="10"/>
      <c r="C3162" s="10"/>
      <c r="D3162" s="10"/>
      <c r="E3162" s="10"/>
      <c r="F3162" s="10"/>
      <c r="G3162" s="11"/>
      <c r="H3162" s="12"/>
      <c r="I3162" s="13"/>
      <c r="J3162" s="12"/>
      <c r="K3162" s="13"/>
      <c r="L3162" s="11"/>
      <c r="M3162" s="13"/>
      <c r="N3162" s="11"/>
      <c r="O3162" s="13"/>
      <c r="P3162" s="11"/>
      <c r="Q3162" s="13"/>
      <c r="R3162" s="10"/>
      <c r="S3162" s="10"/>
      <c r="AB3162"/>
      <c r="AC3162"/>
    </row>
    <row r="3163" spans="1:29" x14ac:dyDescent="0.25">
      <c r="A3163" t="str">
        <f t="shared" si="50"/>
        <v/>
      </c>
      <c r="B3163" s="10"/>
      <c r="C3163" s="10"/>
      <c r="D3163" s="10"/>
      <c r="E3163" s="10"/>
      <c r="F3163" s="10"/>
      <c r="G3163" s="11"/>
      <c r="H3163" s="12"/>
      <c r="I3163" s="13"/>
      <c r="J3163" s="12"/>
      <c r="K3163" s="13"/>
      <c r="L3163" s="11"/>
      <c r="M3163" s="13"/>
      <c r="N3163" s="11"/>
      <c r="O3163" s="13"/>
      <c r="P3163" s="11"/>
      <c r="Q3163" s="13"/>
      <c r="R3163" s="10"/>
      <c r="S3163" s="10"/>
      <c r="AB3163"/>
      <c r="AC3163"/>
    </row>
    <row r="3164" spans="1:29" x14ac:dyDescent="0.25">
      <c r="A3164" t="str">
        <f t="shared" si="50"/>
        <v/>
      </c>
      <c r="B3164" s="10"/>
      <c r="C3164" s="10"/>
      <c r="D3164" s="10"/>
      <c r="E3164" s="10"/>
      <c r="F3164" s="10"/>
      <c r="G3164" s="11"/>
      <c r="H3164" s="12"/>
      <c r="I3164" s="13"/>
      <c r="J3164" s="12"/>
      <c r="K3164" s="13"/>
      <c r="L3164" s="11"/>
      <c r="M3164" s="13"/>
      <c r="N3164" s="11"/>
      <c r="O3164" s="13"/>
      <c r="P3164" s="11"/>
      <c r="Q3164" s="13"/>
      <c r="R3164" s="10"/>
      <c r="S3164" s="10"/>
      <c r="AB3164"/>
      <c r="AC3164"/>
    </row>
    <row r="3165" spans="1:29" x14ac:dyDescent="0.25">
      <c r="A3165" t="str">
        <f t="shared" si="50"/>
        <v/>
      </c>
      <c r="B3165" s="10"/>
      <c r="C3165" s="10"/>
      <c r="D3165" s="10"/>
      <c r="E3165" s="10"/>
      <c r="F3165" s="10"/>
      <c r="G3165" s="11"/>
      <c r="H3165" s="12"/>
      <c r="I3165" s="13"/>
      <c r="J3165" s="12"/>
      <c r="K3165" s="13"/>
      <c r="L3165" s="11"/>
      <c r="M3165" s="13"/>
      <c r="N3165" s="11"/>
      <c r="O3165" s="13"/>
      <c r="P3165" s="11"/>
      <c r="Q3165" s="13"/>
      <c r="R3165" s="10"/>
      <c r="S3165" s="10"/>
      <c r="AB3165"/>
      <c r="AC3165"/>
    </row>
    <row r="3166" spans="1:29" x14ac:dyDescent="0.25">
      <c r="A3166" t="str">
        <f t="shared" si="50"/>
        <v/>
      </c>
      <c r="B3166" s="10"/>
      <c r="C3166" s="10"/>
      <c r="D3166" s="10"/>
      <c r="E3166" s="10"/>
      <c r="F3166" s="10"/>
      <c r="G3166" s="11"/>
      <c r="H3166" s="12"/>
      <c r="I3166" s="13"/>
      <c r="J3166" s="12"/>
      <c r="K3166" s="13"/>
      <c r="L3166" s="11"/>
      <c r="M3166" s="13"/>
      <c r="N3166" s="11"/>
      <c r="O3166" s="13"/>
      <c r="P3166" s="11"/>
      <c r="Q3166" s="13"/>
      <c r="R3166" s="10"/>
      <c r="S3166" s="10"/>
      <c r="AB3166"/>
      <c r="AC3166"/>
    </row>
    <row r="3167" spans="1:29" x14ac:dyDescent="0.25">
      <c r="A3167" t="str">
        <f t="shared" si="50"/>
        <v/>
      </c>
      <c r="B3167" s="10"/>
      <c r="C3167" s="10"/>
      <c r="D3167" s="10"/>
      <c r="E3167" s="10"/>
      <c r="F3167" s="10"/>
      <c r="G3167" s="11"/>
      <c r="H3167" s="12"/>
      <c r="I3167" s="13"/>
      <c r="J3167" s="12"/>
      <c r="K3167" s="13"/>
      <c r="L3167" s="11"/>
      <c r="M3167" s="13"/>
      <c r="N3167" s="11"/>
      <c r="O3167" s="13"/>
      <c r="P3167" s="11"/>
      <c r="Q3167" s="13"/>
      <c r="R3167" s="10"/>
      <c r="S3167" s="10"/>
      <c r="AB3167"/>
      <c r="AC3167"/>
    </row>
    <row r="3168" spans="1:29" x14ac:dyDescent="0.25">
      <c r="A3168" t="str">
        <f t="shared" si="50"/>
        <v/>
      </c>
      <c r="B3168" s="10"/>
      <c r="C3168" s="10"/>
      <c r="D3168" s="10"/>
      <c r="E3168" s="10"/>
      <c r="F3168" s="10"/>
      <c r="G3168" s="11"/>
      <c r="H3168" s="12"/>
      <c r="I3168" s="13"/>
      <c r="J3168" s="12"/>
      <c r="K3168" s="13"/>
      <c r="L3168" s="11"/>
      <c r="M3168" s="13"/>
      <c r="N3168" s="11"/>
      <c r="O3168" s="13"/>
      <c r="P3168" s="11"/>
      <c r="Q3168" s="13"/>
      <c r="R3168" s="10"/>
      <c r="S3168" s="10"/>
      <c r="AB3168"/>
      <c r="AC3168"/>
    </row>
    <row r="3169" spans="1:29" x14ac:dyDescent="0.25">
      <c r="A3169" t="str">
        <f t="shared" si="50"/>
        <v/>
      </c>
      <c r="B3169" s="10"/>
      <c r="C3169" s="10"/>
      <c r="D3169" s="10"/>
      <c r="E3169" s="10"/>
      <c r="F3169" s="10"/>
      <c r="G3169" s="11"/>
      <c r="H3169" s="12"/>
      <c r="I3169" s="13"/>
      <c r="J3169" s="12"/>
      <c r="K3169" s="13"/>
      <c r="L3169" s="11"/>
      <c r="M3169" s="13"/>
      <c r="N3169" s="11"/>
      <c r="O3169" s="13"/>
      <c r="P3169" s="11"/>
      <c r="Q3169" s="13"/>
      <c r="R3169" s="10"/>
      <c r="S3169" s="10"/>
      <c r="AB3169"/>
      <c r="AC3169"/>
    </row>
    <row r="3170" spans="1:29" x14ac:dyDescent="0.25">
      <c r="A3170" t="str">
        <f t="shared" si="50"/>
        <v/>
      </c>
      <c r="B3170" s="10"/>
      <c r="C3170" s="10"/>
      <c r="D3170" s="10"/>
      <c r="E3170" s="10"/>
      <c r="F3170" s="10"/>
      <c r="G3170" s="11"/>
      <c r="H3170" s="12"/>
      <c r="I3170" s="13"/>
      <c r="J3170" s="12"/>
      <c r="K3170" s="13"/>
      <c r="L3170" s="11"/>
      <c r="M3170" s="13"/>
      <c r="N3170" s="11"/>
      <c r="O3170" s="13"/>
      <c r="P3170" s="11"/>
      <c r="Q3170" s="13"/>
      <c r="R3170" s="10"/>
      <c r="S3170" s="10"/>
      <c r="AB3170"/>
      <c r="AC3170"/>
    </row>
    <row r="3171" spans="1:29" x14ac:dyDescent="0.25">
      <c r="A3171" t="str">
        <f t="shared" si="50"/>
        <v/>
      </c>
      <c r="B3171" s="10"/>
      <c r="C3171" s="10"/>
      <c r="D3171" s="10"/>
      <c r="E3171" s="10"/>
      <c r="F3171" s="10"/>
      <c r="G3171" s="11"/>
      <c r="H3171" s="12"/>
      <c r="I3171" s="13"/>
      <c r="J3171" s="12"/>
      <c r="K3171" s="13"/>
      <c r="L3171" s="11"/>
      <c r="M3171" s="13"/>
      <c r="N3171" s="11"/>
      <c r="O3171" s="13"/>
      <c r="P3171" s="11"/>
      <c r="Q3171" s="13"/>
      <c r="R3171" s="10"/>
      <c r="S3171" s="10"/>
      <c r="AB3171"/>
      <c r="AC3171"/>
    </row>
    <row r="3172" spans="1:29" x14ac:dyDescent="0.25">
      <c r="A3172" t="str">
        <f t="shared" si="50"/>
        <v/>
      </c>
      <c r="B3172" s="10"/>
      <c r="C3172" s="10"/>
      <c r="D3172" s="10"/>
      <c r="E3172" s="10"/>
      <c r="F3172" s="10"/>
      <c r="G3172" s="11"/>
      <c r="H3172" s="12"/>
      <c r="I3172" s="13"/>
      <c r="J3172" s="12"/>
      <c r="K3172" s="13"/>
      <c r="L3172" s="11"/>
      <c r="M3172" s="13"/>
      <c r="N3172" s="11"/>
      <c r="O3172" s="13"/>
      <c r="P3172" s="11"/>
      <c r="Q3172" s="13"/>
      <c r="R3172" s="10"/>
      <c r="S3172" s="10"/>
      <c r="AB3172"/>
      <c r="AC3172"/>
    </row>
    <row r="3173" spans="1:29" x14ac:dyDescent="0.25">
      <c r="A3173" t="str">
        <f t="shared" si="50"/>
        <v/>
      </c>
      <c r="B3173" s="10"/>
      <c r="C3173" s="10"/>
      <c r="D3173" s="10"/>
      <c r="E3173" s="10"/>
      <c r="F3173" s="10"/>
      <c r="G3173" s="11"/>
      <c r="H3173" s="12"/>
      <c r="I3173" s="13"/>
      <c r="J3173" s="12"/>
      <c r="K3173" s="13"/>
      <c r="L3173" s="11"/>
      <c r="M3173" s="13"/>
      <c r="N3173" s="11"/>
      <c r="O3173" s="13"/>
      <c r="P3173" s="11"/>
      <c r="Q3173" s="13"/>
      <c r="R3173" s="10"/>
      <c r="S3173" s="10"/>
      <c r="AB3173"/>
      <c r="AC3173"/>
    </row>
    <row r="3174" spans="1:29" x14ac:dyDescent="0.25">
      <c r="A3174" t="str">
        <f t="shared" si="50"/>
        <v/>
      </c>
      <c r="B3174" s="10"/>
      <c r="C3174" s="10"/>
      <c r="D3174" s="10"/>
      <c r="E3174" s="10"/>
      <c r="F3174" s="10"/>
      <c r="G3174" s="11"/>
      <c r="H3174" s="12"/>
      <c r="I3174" s="13"/>
      <c r="J3174" s="12"/>
      <c r="K3174" s="13"/>
      <c r="L3174" s="11"/>
      <c r="M3174" s="13"/>
      <c r="N3174" s="11"/>
      <c r="O3174" s="13"/>
      <c r="P3174" s="11"/>
      <c r="Q3174" s="13"/>
      <c r="R3174" s="10"/>
      <c r="S3174" s="10"/>
      <c r="AB3174"/>
      <c r="AC3174"/>
    </row>
    <row r="3175" spans="1:29" x14ac:dyDescent="0.25">
      <c r="A3175" t="str">
        <f t="shared" si="50"/>
        <v/>
      </c>
      <c r="B3175" s="10"/>
      <c r="C3175" s="10"/>
      <c r="D3175" s="10"/>
      <c r="E3175" s="10"/>
      <c r="F3175" s="10"/>
      <c r="G3175" s="11"/>
      <c r="H3175" s="12"/>
      <c r="I3175" s="13"/>
      <c r="J3175" s="12"/>
      <c r="K3175" s="13"/>
      <c r="L3175" s="11"/>
      <c r="M3175" s="13"/>
      <c r="N3175" s="11"/>
      <c r="O3175" s="13"/>
      <c r="P3175" s="11"/>
      <c r="Q3175" s="13"/>
      <c r="R3175" s="10"/>
      <c r="S3175" s="10"/>
      <c r="AB3175"/>
      <c r="AC3175"/>
    </row>
    <row r="3176" spans="1:29" x14ac:dyDescent="0.25">
      <c r="A3176" t="str">
        <f t="shared" si="50"/>
        <v/>
      </c>
      <c r="B3176" s="10"/>
      <c r="C3176" s="10"/>
      <c r="D3176" s="10"/>
      <c r="E3176" s="10"/>
      <c r="F3176" s="10"/>
      <c r="G3176" s="11"/>
      <c r="H3176" s="12"/>
      <c r="I3176" s="13"/>
      <c r="J3176" s="12"/>
      <c r="K3176" s="13"/>
      <c r="L3176" s="11"/>
      <c r="M3176" s="13"/>
      <c r="N3176" s="11"/>
      <c r="O3176" s="13"/>
      <c r="P3176" s="11"/>
      <c r="Q3176" s="13"/>
      <c r="R3176" s="10"/>
      <c r="S3176" s="10"/>
      <c r="AB3176"/>
      <c r="AC3176"/>
    </row>
    <row r="3177" spans="1:29" x14ac:dyDescent="0.25">
      <c r="A3177" t="str">
        <f t="shared" si="50"/>
        <v/>
      </c>
      <c r="B3177" s="10"/>
      <c r="C3177" s="10"/>
      <c r="D3177" s="10"/>
      <c r="E3177" s="10"/>
      <c r="F3177" s="10"/>
      <c r="G3177" s="11"/>
      <c r="H3177" s="12"/>
      <c r="I3177" s="13"/>
      <c r="J3177" s="12"/>
      <c r="K3177" s="13"/>
      <c r="L3177" s="11"/>
      <c r="M3177" s="13"/>
      <c r="N3177" s="11"/>
      <c r="O3177" s="13"/>
      <c r="P3177" s="11"/>
      <c r="Q3177" s="13"/>
      <c r="R3177" s="10"/>
      <c r="S3177" s="10"/>
      <c r="AB3177"/>
      <c r="AC3177"/>
    </row>
    <row r="3178" spans="1:29" x14ac:dyDescent="0.25">
      <c r="A3178" t="str">
        <f t="shared" si="50"/>
        <v/>
      </c>
      <c r="B3178" s="10"/>
      <c r="C3178" s="10"/>
      <c r="D3178" s="10"/>
      <c r="E3178" s="10"/>
      <c r="F3178" s="10"/>
      <c r="G3178" s="11"/>
      <c r="H3178" s="12"/>
      <c r="I3178" s="13"/>
      <c r="J3178" s="12"/>
      <c r="K3178" s="13"/>
      <c r="L3178" s="11"/>
      <c r="M3178" s="13"/>
      <c r="N3178" s="11"/>
      <c r="O3178" s="13"/>
      <c r="P3178" s="11"/>
      <c r="Q3178" s="13"/>
      <c r="R3178" s="10"/>
      <c r="S3178" s="10"/>
      <c r="AB3178"/>
      <c r="AC3178"/>
    </row>
    <row r="3179" spans="1:29" x14ac:dyDescent="0.25">
      <c r="A3179" t="str">
        <f t="shared" si="50"/>
        <v/>
      </c>
      <c r="B3179" s="10"/>
      <c r="C3179" s="10"/>
      <c r="D3179" s="10"/>
      <c r="E3179" s="10"/>
      <c r="F3179" s="10"/>
      <c r="G3179" s="11"/>
      <c r="H3179" s="12"/>
      <c r="I3179" s="13"/>
      <c r="J3179" s="12"/>
      <c r="K3179" s="13"/>
      <c r="L3179" s="11"/>
      <c r="M3179" s="13"/>
      <c r="N3179" s="11"/>
      <c r="O3179" s="13"/>
      <c r="P3179" s="11"/>
      <c r="Q3179" s="13"/>
      <c r="R3179" s="10"/>
      <c r="S3179" s="10"/>
      <c r="AB3179"/>
      <c r="AC3179"/>
    </row>
    <row r="3180" spans="1:29" x14ac:dyDescent="0.25">
      <c r="A3180" t="str">
        <f t="shared" si="50"/>
        <v/>
      </c>
      <c r="B3180" s="10"/>
      <c r="C3180" s="10"/>
      <c r="D3180" s="10"/>
      <c r="E3180" s="10"/>
      <c r="F3180" s="10"/>
      <c r="G3180" s="11"/>
      <c r="H3180" s="12"/>
      <c r="I3180" s="13"/>
      <c r="J3180" s="12"/>
      <c r="K3180" s="13"/>
      <c r="L3180" s="11"/>
      <c r="M3180" s="13"/>
      <c r="N3180" s="11"/>
      <c r="O3180" s="13"/>
      <c r="P3180" s="11"/>
      <c r="Q3180" s="13"/>
      <c r="R3180" s="10"/>
      <c r="S3180" s="10"/>
      <c r="AB3180"/>
      <c r="AC3180"/>
    </row>
    <row r="3181" spans="1:29" x14ac:dyDescent="0.25">
      <c r="A3181" t="str">
        <f t="shared" si="50"/>
        <v/>
      </c>
      <c r="B3181" s="10"/>
      <c r="C3181" s="10"/>
      <c r="D3181" s="10"/>
      <c r="E3181" s="10"/>
      <c r="F3181" s="10"/>
      <c r="G3181" s="11"/>
      <c r="H3181" s="12"/>
      <c r="I3181" s="13"/>
      <c r="J3181" s="12"/>
      <c r="K3181" s="13"/>
      <c r="L3181" s="11"/>
      <c r="M3181" s="13"/>
      <c r="N3181" s="11"/>
      <c r="O3181" s="13"/>
      <c r="P3181" s="11"/>
      <c r="Q3181" s="13"/>
      <c r="R3181" s="10"/>
      <c r="S3181" s="10"/>
      <c r="AB3181"/>
      <c r="AC3181"/>
    </row>
    <row r="3182" spans="1:29" x14ac:dyDescent="0.25">
      <c r="A3182" t="str">
        <f t="shared" si="50"/>
        <v/>
      </c>
      <c r="B3182" s="10"/>
      <c r="C3182" s="10"/>
      <c r="D3182" s="10"/>
      <c r="E3182" s="10"/>
      <c r="F3182" s="10"/>
      <c r="G3182" s="11"/>
      <c r="H3182" s="12"/>
      <c r="I3182" s="13"/>
      <c r="J3182" s="12"/>
      <c r="K3182" s="13"/>
      <c r="L3182" s="11"/>
      <c r="M3182" s="13"/>
      <c r="N3182" s="11"/>
      <c r="O3182" s="13"/>
      <c r="P3182" s="11"/>
      <c r="Q3182" s="13"/>
      <c r="R3182" s="10"/>
      <c r="S3182" s="10"/>
      <c r="AB3182"/>
      <c r="AC3182"/>
    </row>
    <row r="3183" spans="1:29" x14ac:dyDescent="0.25">
      <c r="A3183" t="str">
        <f t="shared" si="50"/>
        <v/>
      </c>
      <c r="B3183" s="10"/>
      <c r="C3183" s="10"/>
      <c r="D3183" s="10"/>
      <c r="E3183" s="10"/>
      <c r="F3183" s="10"/>
      <c r="G3183" s="11"/>
      <c r="H3183" s="12"/>
      <c r="I3183" s="13"/>
      <c r="J3183" s="12"/>
      <c r="K3183" s="13"/>
      <c r="L3183" s="11"/>
      <c r="M3183" s="13"/>
      <c r="N3183" s="11"/>
      <c r="O3183" s="13"/>
      <c r="P3183" s="11"/>
      <c r="Q3183" s="13"/>
      <c r="R3183" s="10"/>
      <c r="S3183" s="10"/>
      <c r="AB3183"/>
      <c r="AC3183"/>
    </row>
    <row r="3184" spans="1:29" x14ac:dyDescent="0.25">
      <c r="A3184" t="str">
        <f t="shared" si="50"/>
        <v/>
      </c>
      <c r="B3184" s="10"/>
      <c r="C3184" s="10"/>
      <c r="D3184" s="10"/>
      <c r="E3184" s="10"/>
      <c r="F3184" s="10"/>
      <c r="G3184" s="11"/>
      <c r="H3184" s="12"/>
      <c r="I3184" s="13"/>
      <c r="J3184" s="12"/>
      <c r="K3184" s="13"/>
      <c r="L3184" s="11"/>
      <c r="M3184" s="13"/>
      <c r="N3184" s="11"/>
      <c r="O3184" s="13"/>
      <c r="P3184" s="11"/>
      <c r="Q3184" s="13"/>
      <c r="R3184" s="10"/>
      <c r="S3184" s="10"/>
      <c r="AB3184"/>
      <c r="AC3184"/>
    </row>
    <row r="3185" spans="1:29" x14ac:dyDescent="0.25">
      <c r="A3185" t="str">
        <f t="shared" si="50"/>
        <v/>
      </c>
      <c r="B3185" s="10"/>
      <c r="C3185" s="10"/>
      <c r="D3185" s="10"/>
      <c r="E3185" s="10"/>
      <c r="F3185" s="10"/>
      <c r="G3185" s="11"/>
      <c r="H3185" s="12"/>
      <c r="I3185" s="13"/>
      <c r="J3185" s="12"/>
      <c r="K3185" s="13"/>
      <c r="L3185" s="11"/>
      <c r="M3185" s="13"/>
      <c r="N3185" s="11"/>
      <c r="O3185" s="13"/>
      <c r="P3185" s="11"/>
      <c r="Q3185" s="13"/>
      <c r="R3185" s="10"/>
      <c r="S3185" s="10"/>
      <c r="AB3185"/>
      <c r="AC3185"/>
    </row>
    <row r="3186" spans="1:29" x14ac:dyDescent="0.25">
      <c r="A3186" t="str">
        <f t="shared" si="50"/>
        <v/>
      </c>
      <c r="B3186" s="10"/>
      <c r="C3186" s="10"/>
      <c r="D3186" s="10"/>
      <c r="E3186" s="10"/>
      <c r="F3186" s="10"/>
      <c r="G3186" s="11"/>
      <c r="H3186" s="12"/>
      <c r="I3186" s="13"/>
      <c r="J3186" s="12"/>
      <c r="K3186" s="13"/>
      <c r="L3186" s="11"/>
      <c r="M3186" s="13"/>
      <c r="N3186" s="11"/>
      <c r="O3186" s="13"/>
      <c r="P3186" s="11"/>
      <c r="Q3186" s="13"/>
      <c r="R3186" s="10"/>
      <c r="S3186" s="10"/>
      <c r="AB3186"/>
      <c r="AC3186"/>
    </row>
    <row r="3187" spans="1:29" x14ac:dyDescent="0.25">
      <c r="A3187" t="str">
        <f t="shared" si="50"/>
        <v/>
      </c>
      <c r="B3187" s="10"/>
      <c r="C3187" s="10"/>
      <c r="D3187" s="10"/>
      <c r="E3187" s="10"/>
      <c r="F3187" s="10"/>
      <c r="G3187" s="11"/>
      <c r="H3187" s="12"/>
      <c r="I3187" s="13"/>
      <c r="J3187" s="12"/>
      <c r="K3187" s="13"/>
      <c r="L3187" s="11"/>
      <c r="M3187" s="13"/>
      <c r="N3187" s="11"/>
      <c r="O3187" s="13"/>
      <c r="P3187" s="11"/>
      <c r="Q3187" s="13"/>
      <c r="R3187" s="10"/>
      <c r="S3187" s="10"/>
      <c r="AB3187"/>
      <c r="AC3187"/>
    </row>
    <row r="3188" spans="1:29" x14ac:dyDescent="0.25">
      <c r="A3188" t="str">
        <f t="shared" si="50"/>
        <v/>
      </c>
      <c r="B3188" s="10"/>
      <c r="C3188" s="10"/>
      <c r="D3188" s="10"/>
      <c r="E3188" s="10"/>
      <c r="F3188" s="10"/>
      <c r="G3188" s="11"/>
      <c r="H3188" s="12"/>
      <c r="I3188" s="13"/>
      <c r="J3188" s="12"/>
      <c r="K3188" s="13"/>
      <c r="L3188" s="11"/>
      <c r="M3188" s="13"/>
      <c r="N3188" s="11"/>
      <c r="O3188" s="13"/>
      <c r="P3188" s="11"/>
      <c r="Q3188" s="13"/>
      <c r="R3188" s="10"/>
      <c r="S3188" s="10"/>
      <c r="AB3188"/>
      <c r="AC3188"/>
    </row>
    <row r="3189" spans="1:29" x14ac:dyDescent="0.25">
      <c r="A3189" t="str">
        <f t="shared" si="50"/>
        <v/>
      </c>
      <c r="B3189" s="10"/>
      <c r="C3189" s="10"/>
      <c r="D3189" s="10"/>
      <c r="E3189" s="10"/>
      <c r="F3189" s="10"/>
      <c r="G3189" s="11"/>
      <c r="H3189" s="12"/>
      <c r="I3189" s="13"/>
      <c r="J3189" s="12"/>
      <c r="K3189" s="13"/>
      <c r="L3189" s="11"/>
      <c r="M3189" s="13"/>
      <c r="N3189" s="11"/>
      <c r="O3189" s="13"/>
      <c r="P3189" s="11"/>
      <c r="Q3189" s="13"/>
      <c r="R3189" s="10"/>
      <c r="S3189" s="10"/>
      <c r="AB3189"/>
      <c r="AC3189"/>
    </row>
    <row r="3190" spans="1:29" x14ac:dyDescent="0.25">
      <c r="A3190" t="str">
        <f t="shared" si="50"/>
        <v/>
      </c>
      <c r="B3190" s="10"/>
      <c r="C3190" s="10"/>
      <c r="D3190" s="10"/>
      <c r="E3190" s="10"/>
      <c r="F3190" s="10"/>
      <c r="G3190" s="11"/>
      <c r="H3190" s="12"/>
      <c r="I3190" s="13"/>
      <c r="J3190" s="12"/>
      <c r="K3190" s="13"/>
      <c r="L3190" s="11"/>
      <c r="M3190" s="13"/>
      <c r="N3190" s="11"/>
      <c r="O3190" s="13"/>
      <c r="P3190" s="11"/>
      <c r="Q3190" s="13"/>
      <c r="R3190" s="10"/>
      <c r="S3190" s="10"/>
      <c r="AB3190"/>
      <c r="AC3190"/>
    </row>
    <row r="3191" spans="1:29" x14ac:dyDescent="0.25">
      <c r="A3191" t="str">
        <f t="shared" si="50"/>
        <v/>
      </c>
      <c r="B3191" s="10"/>
      <c r="C3191" s="10"/>
      <c r="D3191" s="10"/>
      <c r="E3191" s="10"/>
      <c r="F3191" s="10"/>
      <c r="G3191" s="11"/>
      <c r="H3191" s="12"/>
      <c r="I3191" s="13"/>
      <c r="J3191" s="12"/>
      <c r="K3191" s="13"/>
      <c r="L3191" s="11"/>
      <c r="M3191" s="13"/>
      <c r="N3191" s="11"/>
      <c r="O3191" s="13"/>
      <c r="P3191" s="11"/>
      <c r="Q3191" s="13"/>
      <c r="R3191" s="10"/>
      <c r="S3191" s="10"/>
      <c r="AB3191"/>
      <c r="AC3191"/>
    </row>
    <row r="3192" spans="1:29" x14ac:dyDescent="0.25">
      <c r="A3192" t="str">
        <f t="shared" si="50"/>
        <v/>
      </c>
      <c r="B3192" s="10"/>
      <c r="C3192" s="10"/>
      <c r="D3192" s="10"/>
      <c r="E3192" s="10"/>
      <c r="F3192" s="10"/>
      <c r="G3192" s="11"/>
      <c r="H3192" s="12"/>
      <c r="I3192" s="13"/>
      <c r="J3192" s="12"/>
      <c r="K3192" s="13"/>
      <c r="L3192" s="11"/>
      <c r="M3192" s="13"/>
      <c r="N3192" s="11"/>
      <c r="O3192" s="13"/>
      <c r="P3192" s="11"/>
      <c r="Q3192" s="13"/>
      <c r="R3192" s="10"/>
      <c r="S3192" s="10"/>
      <c r="AB3192"/>
      <c r="AC3192"/>
    </row>
    <row r="3193" spans="1:29" x14ac:dyDescent="0.25">
      <c r="A3193" t="str">
        <f t="shared" si="50"/>
        <v/>
      </c>
      <c r="B3193" s="10"/>
      <c r="C3193" s="10"/>
      <c r="D3193" s="10"/>
      <c r="E3193" s="10"/>
      <c r="F3193" s="10"/>
      <c r="G3193" s="11"/>
      <c r="H3193" s="12"/>
      <c r="I3193" s="13"/>
      <c r="J3193" s="12"/>
      <c r="K3193" s="13"/>
      <c r="L3193" s="11"/>
      <c r="M3193" s="13"/>
      <c r="N3193" s="11"/>
      <c r="O3193" s="13"/>
      <c r="P3193" s="11"/>
      <c r="Q3193" s="13"/>
      <c r="R3193" s="10"/>
      <c r="S3193" s="10"/>
      <c r="AB3193"/>
      <c r="AC3193"/>
    </row>
    <row r="3194" spans="1:29" x14ac:dyDescent="0.25">
      <c r="A3194" t="str">
        <f t="shared" si="50"/>
        <v/>
      </c>
      <c r="B3194" s="10"/>
      <c r="C3194" s="10"/>
      <c r="D3194" s="10"/>
      <c r="E3194" s="10"/>
      <c r="F3194" s="10"/>
      <c r="G3194" s="11"/>
      <c r="H3194" s="12"/>
      <c r="I3194" s="13"/>
      <c r="J3194" s="12"/>
      <c r="K3194" s="13"/>
      <c r="L3194" s="11"/>
      <c r="M3194" s="13"/>
      <c r="N3194" s="11"/>
      <c r="O3194" s="13"/>
      <c r="P3194" s="11"/>
      <c r="Q3194" s="13"/>
      <c r="R3194" s="10"/>
      <c r="S3194" s="10"/>
      <c r="AB3194"/>
      <c r="AC3194"/>
    </row>
    <row r="3195" spans="1:29" x14ac:dyDescent="0.25">
      <c r="A3195" t="str">
        <f t="shared" ref="A3195:A3258" si="51">B3193&amp;D3193</f>
        <v/>
      </c>
      <c r="B3195" s="10"/>
      <c r="C3195" s="10"/>
      <c r="D3195" s="10"/>
      <c r="E3195" s="10"/>
      <c r="F3195" s="10"/>
      <c r="G3195" s="11"/>
      <c r="H3195" s="12"/>
      <c r="I3195" s="13"/>
      <c r="J3195" s="12"/>
      <c r="K3195" s="13"/>
      <c r="L3195" s="11"/>
      <c r="M3195" s="13"/>
      <c r="N3195" s="11"/>
      <c r="O3195" s="13"/>
      <c r="P3195" s="11"/>
      <c r="Q3195" s="13"/>
      <c r="R3195" s="10"/>
      <c r="S3195" s="10"/>
      <c r="AB3195"/>
      <c r="AC3195"/>
    </row>
    <row r="3196" spans="1:29" x14ac:dyDescent="0.25">
      <c r="A3196" t="str">
        <f t="shared" si="51"/>
        <v/>
      </c>
      <c r="B3196" s="10"/>
      <c r="C3196" s="10"/>
      <c r="D3196" s="10"/>
      <c r="E3196" s="10"/>
      <c r="F3196" s="10"/>
      <c r="G3196" s="11"/>
      <c r="H3196" s="12"/>
      <c r="I3196" s="13"/>
      <c r="J3196" s="12"/>
      <c r="K3196" s="13"/>
      <c r="L3196" s="11"/>
      <c r="M3196" s="13"/>
      <c r="N3196" s="11"/>
      <c r="O3196" s="13"/>
      <c r="P3196" s="11"/>
      <c r="Q3196" s="13"/>
      <c r="R3196" s="10"/>
      <c r="S3196" s="10"/>
      <c r="AB3196"/>
      <c r="AC3196"/>
    </row>
    <row r="3197" spans="1:29" x14ac:dyDescent="0.25">
      <c r="B3197" s="10"/>
      <c r="C3197" s="10"/>
      <c r="D3197" s="10"/>
      <c r="E3197" s="10"/>
      <c r="F3197" s="10"/>
      <c r="G3197" s="11"/>
      <c r="H3197" s="12"/>
      <c r="I3197" s="13"/>
      <c r="J3197" s="12"/>
      <c r="K3197" s="13"/>
      <c r="L3197" s="11"/>
      <c r="M3197" s="13"/>
      <c r="N3197" s="11"/>
      <c r="O3197" s="13"/>
      <c r="P3197" s="11"/>
      <c r="Q3197" s="13"/>
      <c r="R3197" s="10"/>
      <c r="S3197" s="10"/>
      <c r="AB3197"/>
      <c r="AC3197"/>
    </row>
    <row r="3198" spans="1:29" x14ac:dyDescent="0.25">
      <c r="B3198" s="10"/>
      <c r="C3198" s="10"/>
      <c r="D3198" s="10"/>
      <c r="E3198" s="10"/>
      <c r="F3198" s="10"/>
      <c r="G3198" s="11"/>
      <c r="H3198" s="12"/>
      <c r="I3198" s="13"/>
      <c r="J3198" s="12"/>
      <c r="K3198" s="13"/>
      <c r="L3198" s="11"/>
      <c r="M3198" s="13"/>
      <c r="N3198" s="11"/>
      <c r="O3198" s="13"/>
      <c r="P3198" s="11"/>
      <c r="Q3198" s="13"/>
      <c r="R3198" s="10"/>
      <c r="S3198" s="10"/>
      <c r="AB3198"/>
      <c r="AC3198"/>
    </row>
    <row r="3199" spans="1:29" x14ac:dyDescent="0.25">
      <c r="B3199" s="10"/>
      <c r="C3199" s="10"/>
      <c r="D3199" s="10"/>
      <c r="E3199" s="10"/>
      <c r="F3199" s="10"/>
      <c r="G3199" s="11"/>
      <c r="H3199" s="12"/>
      <c r="I3199" s="13"/>
      <c r="J3199" s="12"/>
      <c r="K3199" s="13"/>
      <c r="L3199" s="11"/>
      <c r="M3199" s="13"/>
      <c r="N3199" s="11"/>
      <c r="O3199" s="13"/>
      <c r="P3199" s="11"/>
      <c r="Q3199" s="13"/>
      <c r="R3199" s="10"/>
      <c r="S3199" s="10"/>
      <c r="AB3199"/>
      <c r="AC3199"/>
    </row>
    <row r="3200" spans="1:29" x14ac:dyDescent="0.25">
      <c r="B3200" s="10"/>
      <c r="C3200" s="10"/>
      <c r="D3200" s="10"/>
      <c r="E3200" s="10"/>
      <c r="F3200" s="10"/>
      <c r="G3200" s="11"/>
      <c r="H3200" s="12"/>
      <c r="I3200" s="13"/>
      <c r="J3200" s="12"/>
      <c r="K3200" s="13"/>
      <c r="L3200" s="11"/>
      <c r="M3200" s="13"/>
      <c r="N3200" s="11"/>
      <c r="O3200" s="13"/>
      <c r="P3200" s="11"/>
      <c r="Q3200" s="13"/>
      <c r="R3200" s="10"/>
      <c r="S3200" s="10"/>
      <c r="AB3200"/>
      <c r="AC3200"/>
    </row>
    <row r="3201" spans="2:29" x14ac:dyDescent="0.25">
      <c r="B3201" s="10"/>
      <c r="C3201" s="10"/>
      <c r="D3201" s="10"/>
      <c r="E3201" s="10"/>
      <c r="F3201" s="10"/>
      <c r="G3201" s="11"/>
      <c r="H3201" s="12"/>
      <c r="I3201" s="13"/>
      <c r="J3201" s="12"/>
      <c r="K3201" s="13"/>
      <c r="L3201" s="11"/>
      <c r="M3201" s="13"/>
      <c r="N3201" s="11"/>
      <c r="O3201" s="13"/>
      <c r="P3201" s="11"/>
      <c r="Q3201" s="13"/>
      <c r="R3201" s="10"/>
      <c r="S3201" s="10"/>
      <c r="AB3201"/>
      <c r="AC3201"/>
    </row>
    <row r="3202" spans="2:29" x14ac:dyDescent="0.25">
      <c r="B3202" s="10"/>
      <c r="C3202" s="10"/>
      <c r="D3202" s="10"/>
      <c r="E3202" s="10"/>
      <c r="F3202" s="10"/>
      <c r="G3202" s="11"/>
      <c r="H3202" s="12"/>
      <c r="I3202" s="13"/>
      <c r="J3202" s="12"/>
      <c r="K3202" s="13"/>
      <c r="L3202" s="11"/>
      <c r="M3202" s="13"/>
      <c r="N3202" s="11"/>
      <c r="O3202" s="13"/>
      <c r="P3202" s="11"/>
      <c r="Q3202" s="13"/>
      <c r="R3202" s="10"/>
      <c r="S3202" s="10"/>
      <c r="AB3202"/>
      <c r="AC3202"/>
    </row>
    <row r="3203" spans="2:29" x14ac:dyDescent="0.25">
      <c r="B3203" s="10"/>
      <c r="C3203" s="10"/>
      <c r="D3203" s="10"/>
      <c r="E3203" s="10"/>
      <c r="F3203" s="10"/>
      <c r="G3203" s="11"/>
      <c r="H3203" s="12"/>
      <c r="I3203" s="13"/>
      <c r="J3203" s="12"/>
      <c r="K3203" s="13"/>
      <c r="L3203" s="11"/>
      <c r="M3203" s="13"/>
      <c r="N3203" s="11"/>
      <c r="O3203" s="13"/>
      <c r="P3203" s="11"/>
      <c r="Q3203" s="13"/>
      <c r="R3203" s="10"/>
      <c r="S3203" s="10"/>
      <c r="AB3203"/>
      <c r="AC3203"/>
    </row>
    <row r="3204" spans="2:29" x14ac:dyDescent="0.25">
      <c r="B3204" s="10"/>
      <c r="C3204" s="10"/>
      <c r="D3204" s="10"/>
      <c r="E3204" s="10"/>
      <c r="F3204" s="10"/>
      <c r="G3204" s="11"/>
      <c r="H3204" s="12"/>
      <c r="I3204" s="13"/>
      <c r="J3204" s="12"/>
      <c r="K3204" s="13"/>
      <c r="L3204" s="11"/>
      <c r="M3204" s="13"/>
      <c r="N3204" s="11"/>
      <c r="O3204" s="13"/>
      <c r="P3204" s="11"/>
      <c r="Q3204" s="13"/>
      <c r="R3204" s="10"/>
      <c r="S3204" s="10"/>
      <c r="AB3204"/>
      <c r="AC3204"/>
    </row>
    <row r="3205" spans="2:29" x14ac:dyDescent="0.25">
      <c r="B3205" s="10"/>
      <c r="C3205" s="10"/>
      <c r="D3205" s="10"/>
      <c r="E3205" s="10"/>
      <c r="F3205" s="10"/>
      <c r="G3205" s="11"/>
      <c r="H3205" s="12"/>
      <c r="I3205" s="13"/>
      <c r="J3205" s="12"/>
      <c r="K3205" s="13"/>
      <c r="L3205" s="11"/>
      <c r="M3205" s="13"/>
      <c r="N3205" s="11"/>
      <c r="O3205" s="13"/>
      <c r="P3205" s="11"/>
      <c r="Q3205" s="13"/>
      <c r="R3205" s="10"/>
      <c r="S3205" s="10"/>
      <c r="AB3205"/>
      <c r="AC3205"/>
    </row>
    <row r="3206" spans="2:29" x14ac:dyDescent="0.25">
      <c r="B3206" s="10"/>
      <c r="C3206" s="10"/>
      <c r="D3206" s="10"/>
      <c r="E3206" s="10"/>
      <c r="F3206" s="10"/>
      <c r="G3206" s="11"/>
      <c r="H3206" s="12"/>
      <c r="I3206" s="13"/>
      <c r="J3206" s="12"/>
      <c r="K3206" s="13"/>
      <c r="L3206" s="11"/>
      <c r="M3206" s="13"/>
      <c r="N3206" s="11"/>
      <c r="O3206" s="13"/>
      <c r="P3206" s="11"/>
      <c r="Q3206" s="13"/>
      <c r="R3206" s="10"/>
      <c r="S3206" s="10"/>
      <c r="AB3206"/>
      <c r="AC3206"/>
    </row>
    <row r="3207" spans="2:29" x14ac:dyDescent="0.25">
      <c r="B3207" s="10"/>
      <c r="C3207" s="10"/>
      <c r="D3207" s="10"/>
      <c r="E3207" s="10"/>
      <c r="F3207" s="10"/>
      <c r="G3207" s="11"/>
      <c r="H3207" s="12"/>
      <c r="I3207" s="13"/>
      <c r="J3207" s="12"/>
      <c r="K3207" s="13"/>
      <c r="L3207" s="11"/>
      <c r="M3207" s="13"/>
      <c r="N3207" s="11"/>
      <c r="O3207" s="13"/>
      <c r="P3207" s="11"/>
      <c r="Q3207" s="13"/>
      <c r="R3207" s="10"/>
      <c r="S3207" s="10"/>
      <c r="AB3207"/>
      <c r="AC3207"/>
    </row>
    <row r="3208" spans="2:29" x14ac:dyDescent="0.25">
      <c r="B3208" s="10"/>
      <c r="C3208" s="10"/>
      <c r="D3208" s="10"/>
      <c r="E3208" s="10"/>
      <c r="F3208" s="10"/>
      <c r="G3208" s="11"/>
      <c r="H3208" s="12"/>
      <c r="I3208" s="13"/>
      <c r="J3208" s="12"/>
      <c r="K3208" s="13"/>
      <c r="L3208" s="11"/>
      <c r="M3208" s="13"/>
      <c r="N3208" s="11"/>
      <c r="O3208" s="13"/>
      <c r="P3208" s="11"/>
      <c r="Q3208" s="13"/>
      <c r="R3208" s="10"/>
      <c r="S3208" s="10"/>
      <c r="AB3208"/>
      <c r="AC3208"/>
    </row>
    <row r="3209" spans="2:29" x14ac:dyDescent="0.25">
      <c r="B3209" s="10"/>
      <c r="C3209" s="10"/>
      <c r="D3209" s="10"/>
      <c r="E3209" s="10"/>
      <c r="F3209" s="10"/>
      <c r="G3209" s="11"/>
      <c r="H3209" s="12"/>
      <c r="I3209" s="13"/>
      <c r="J3209" s="12"/>
      <c r="K3209" s="13"/>
      <c r="L3209" s="11"/>
      <c r="M3209" s="13"/>
      <c r="N3209" s="11"/>
      <c r="O3209" s="13"/>
      <c r="P3209" s="11"/>
      <c r="Q3209" s="13"/>
      <c r="R3209" s="10"/>
      <c r="S3209" s="10"/>
      <c r="AB3209"/>
      <c r="AC3209"/>
    </row>
    <row r="3210" spans="2:29" x14ac:dyDescent="0.25">
      <c r="B3210" s="10"/>
      <c r="C3210" s="10"/>
      <c r="D3210" s="10"/>
      <c r="E3210" s="10"/>
      <c r="F3210" s="10"/>
      <c r="G3210" s="11"/>
      <c r="H3210" s="12"/>
      <c r="I3210" s="13"/>
      <c r="J3210" s="12"/>
      <c r="K3210" s="13"/>
      <c r="L3210" s="11"/>
      <c r="M3210" s="13"/>
      <c r="N3210" s="11"/>
      <c r="O3210" s="13"/>
      <c r="P3210" s="11"/>
      <c r="Q3210" s="13"/>
      <c r="R3210" s="10"/>
      <c r="S3210" s="10"/>
      <c r="AB3210"/>
      <c r="AC3210"/>
    </row>
    <row r="3211" spans="2:29" x14ac:dyDescent="0.25">
      <c r="B3211" s="10"/>
      <c r="C3211" s="10"/>
      <c r="D3211" s="10"/>
      <c r="E3211" s="10"/>
      <c r="F3211" s="10"/>
      <c r="G3211" s="11"/>
      <c r="H3211" s="12"/>
      <c r="I3211" s="13"/>
      <c r="J3211" s="12"/>
      <c r="K3211" s="13"/>
      <c r="L3211" s="11"/>
      <c r="M3211" s="13"/>
      <c r="N3211" s="11"/>
      <c r="O3211" s="13"/>
      <c r="P3211" s="11"/>
      <c r="Q3211" s="13"/>
      <c r="R3211" s="10"/>
      <c r="S3211" s="10"/>
      <c r="AB3211"/>
      <c r="AC3211"/>
    </row>
    <row r="3212" spans="2:29" x14ac:dyDescent="0.25">
      <c r="B3212" s="10"/>
      <c r="C3212" s="10"/>
      <c r="D3212" s="10"/>
      <c r="E3212" s="10"/>
      <c r="F3212" s="10"/>
      <c r="G3212" s="11"/>
      <c r="H3212" s="12"/>
      <c r="I3212" s="13"/>
      <c r="J3212" s="12"/>
      <c r="K3212" s="13"/>
      <c r="L3212" s="11"/>
      <c r="M3212" s="13"/>
      <c r="N3212" s="11"/>
      <c r="O3212" s="13"/>
      <c r="P3212" s="11"/>
      <c r="Q3212" s="13"/>
      <c r="R3212" s="10"/>
      <c r="S3212" s="10"/>
      <c r="AB3212"/>
      <c r="AC3212"/>
    </row>
    <row r="3213" spans="2:29" x14ac:dyDescent="0.25">
      <c r="B3213" s="10"/>
      <c r="C3213" s="10"/>
      <c r="D3213" s="10"/>
      <c r="E3213" s="10"/>
      <c r="F3213" s="10"/>
      <c r="G3213" s="11"/>
      <c r="H3213" s="12"/>
      <c r="I3213" s="13"/>
      <c r="J3213" s="12"/>
      <c r="K3213" s="13"/>
      <c r="L3213" s="11"/>
      <c r="M3213" s="13"/>
      <c r="N3213" s="11"/>
      <c r="O3213" s="13"/>
      <c r="P3213" s="11"/>
      <c r="Q3213" s="13"/>
      <c r="R3213" s="10"/>
      <c r="S3213" s="10"/>
      <c r="AB3213"/>
      <c r="AC3213"/>
    </row>
    <row r="3214" spans="2:29" x14ac:dyDescent="0.25">
      <c r="B3214" s="10"/>
      <c r="C3214" s="10"/>
      <c r="D3214" s="10"/>
      <c r="E3214" s="10"/>
      <c r="F3214" s="10"/>
      <c r="G3214" s="11"/>
      <c r="H3214" s="12"/>
      <c r="I3214" s="13"/>
      <c r="J3214" s="12"/>
      <c r="K3214" s="13"/>
      <c r="L3214" s="11"/>
      <c r="M3214" s="13"/>
      <c r="N3214" s="11"/>
      <c r="O3214" s="13"/>
      <c r="P3214" s="11"/>
      <c r="Q3214" s="13"/>
      <c r="R3214" s="10"/>
      <c r="S3214" s="10"/>
      <c r="AB3214"/>
      <c r="AC3214"/>
    </row>
    <row r="3215" spans="2:29" x14ac:dyDescent="0.25">
      <c r="B3215" s="10"/>
      <c r="C3215" s="10"/>
      <c r="D3215" s="10"/>
      <c r="E3215" s="10"/>
      <c r="F3215" s="10"/>
      <c r="G3215" s="11"/>
      <c r="H3215" s="12"/>
      <c r="I3215" s="13"/>
      <c r="J3215" s="12"/>
      <c r="K3215" s="13"/>
      <c r="L3215" s="11"/>
      <c r="M3215" s="13"/>
      <c r="N3215" s="11"/>
      <c r="O3215" s="13"/>
      <c r="P3215" s="11"/>
      <c r="Q3215" s="13"/>
      <c r="R3215" s="10"/>
      <c r="S3215" s="10"/>
      <c r="AB3215"/>
      <c r="AC3215"/>
    </row>
    <row r="3216" spans="2:29" x14ac:dyDescent="0.25">
      <c r="B3216" s="10"/>
      <c r="C3216" s="10"/>
      <c r="D3216" s="10"/>
      <c r="E3216" s="10"/>
      <c r="F3216" s="10"/>
      <c r="G3216" s="11"/>
      <c r="H3216" s="12"/>
      <c r="I3216" s="13"/>
      <c r="J3216" s="12"/>
      <c r="K3216" s="13"/>
      <c r="L3216" s="11"/>
      <c r="M3216" s="13"/>
      <c r="N3216" s="11"/>
      <c r="O3216" s="13"/>
      <c r="P3216" s="11"/>
      <c r="Q3216" s="13"/>
      <c r="R3216" s="10"/>
      <c r="S3216" s="10"/>
      <c r="AB3216"/>
      <c r="AC3216"/>
    </row>
    <row r="3217" spans="1:29" x14ac:dyDescent="0.25">
      <c r="A3217" t="str">
        <f t="shared" si="51"/>
        <v/>
      </c>
      <c r="B3217" s="10"/>
      <c r="C3217" s="10"/>
      <c r="D3217" s="10"/>
      <c r="E3217" s="10"/>
      <c r="F3217" s="10"/>
      <c r="G3217" s="11"/>
      <c r="H3217" s="12"/>
      <c r="I3217" s="13"/>
      <c r="J3217" s="12"/>
      <c r="K3217" s="13"/>
      <c r="L3217" s="11"/>
      <c r="M3217" s="13"/>
      <c r="N3217" s="11"/>
      <c r="O3217" s="13"/>
      <c r="P3217" s="11"/>
      <c r="Q3217" s="13"/>
      <c r="R3217" s="10"/>
      <c r="S3217" s="10"/>
      <c r="AB3217"/>
      <c r="AC3217"/>
    </row>
    <row r="3218" spans="1:29" x14ac:dyDescent="0.25">
      <c r="A3218" t="str">
        <f t="shared" si="51"/>
        <v/>
      </c>
      <c r="B3218" s="10"/>
      <c r="C3218" s="10"/>
      <c r="D3218" s="10"/>
      <c r="E3218" s="10"/>
      <c r="F3218" s="10"/>
      <c r="G3218" s="11"/>
      <c r="H3218" s="12"/>
      <c r="I3218" s="13"/>
      <c r="J3218" s="12"/>
      <c r="K3218" s="13"/>
      <c r="L3218" s="11"/>
      <c r="M3218" s="13"/>
      <c r="N3218" s="11"/>
      <c r="O3218" s="13"/>
      <c r="P3218" s="11"/>
      <c r="Q3218" s="13"/>
      <c r="R3218" s="10"/>
      <c r="S3218" s="10"/>
      <c r="AB3218"/>
      <c r="AC3218"/>
    </row>
    <row r="3219" spans="1:29" x14ac:dyDescent="0.25">
      <c r="A3219" t="str">
        <f t="shared" si="51"/>
        <v/>
      </c>
      <c r="B3219" s="10"/>
      <c r="C3219" s="10"/>
      <c r="D3219" s="10"/>
      <c r="E3219" s="10"/>
      <c r="F3219" s="10"/>
      <c r="G3219" s="11"/>
      <c r="H3219" s="12"/>
      <c r="I3219" s="13"/>
      <c r="J3219" s="12"/>
      <c r="K3219" s="13"/>
      <c r="L3219" s="11"/>
      <c r="M3219" s="13"/>
      <c r="N3219" s="11"/>
      <c r="O3219" s="13"/>
      <c r="P3219" s="11"/>
      <c r="Q3219" s="13"/>
      <c r="R3219" s="10"/>
      <c r="S3219" s="10"/>
      <c r="AB3219"/>
      <c r="AC3219"/>
    </row>
    <row r="3220" spans="1:29" x14ac:dyDescent="0.25">
      <c r="A3220" t="str">
        <f t="shared" si="51"/>
        <v/>
      </c>
      <c r="B3220" s="10"/>
      <c r="C3220" s="10"/>
      <c r="D3220" s="10"/>
      <c r="E3220" s="10"/>
      <c r="F3220" s="10"/>
      <c r="G3220" s="11"/>
      <c r="H3220" s="12"/>
      <c r="I3220" s="13"/>
      <c r="J3220" s="12"/>
      <c r="K3220" s="13"/>
      <c r="L3220" s="11"/>
      <c r="M3220" s="13"/>
      <c r="N3220" s="11"/>
      <c r="O3220" s="13"/>
      <c r="P3220" s="11"/>
      <c r="Q3220" s="13"/>
      <c r="R3220" s="10"/>
      <c r="S3220" s="10"/>
      <c r="AB3220"/>
      <c r="AC3220"/>
    </row>
    <row r="3221" spans="1:29" x14ac:dyDescent="0.25">
      <c r="A3221" t="str">
        <f t="shared" si="51"/>
        <v/>
      </c>
      <c r="B3221" s="10"/>
      <c r="C3221" s="10"/>
      <c r="D3221" s="10"/>
      <c r="E3221" s="10"/>
      <c r="F3221" s="10"/>
      <c r="G3221" s="11"/>
      <c r="H3221" s="12"/>
      <c r="I3221" s="13"/>
      <c r="J3221" s="12"/>
      <c r="K3221" s="13"/>
      <c r="L3221" s="11"/>
      <c r="M3221" s="13"/>
      <c r="N3221" s="11"/>
      <c r="O3221" s="13"/>
      <c r="P3221" s="11"/>
      <c r="Q3221" s="13"/>
      <c r="R3221" s="10"/>
      <c r="S3221" s="10"/>
      <c r="AB3221"/>
      <c r="AC3221"/>
    </row>
    <row r="3222" spans="1:29" x14ac:dyDescent="0.25">
      <c r="A3222" t="str">
        <f t="shared" si="51"/>
        <v/>
      </c>
      <c r="B3222" s="10"/>
      <c r="C3222" s="10"/>
      <c r="D3222" s="10"/>
      <c r="E3222" s="10"/>
      <c r="F3222" s="10"/>
      <c r="G3222" s="11"/>
      <c r="H3222" s="12"/>
      <c r="I3222" s="13"/>
      <c r="J3222" s="12"/>
      <c r="K3222" s="13"/>
      <c r="L3222" s="11"/>
      <c r="M3222" s="13"/>
      <c r="N3222" s="11"/>
      <c r="O3222" s="13"/>
      <c r="P3222" s="11"/>
      <c r="Q3222" s="13"/>
      <c r="R3222" s="10"/>
      <c r="S3222" s="10"/>
      <c r="AB3222"/>
      <c r="AC3222"/>
    </row>
    <row r="3223" spans="1:29" x14ac:dyDescent="0.25">
      <c r="A3223" t="str">
        <f t="shared" si="51"/>
        <v/>
      </c>
      <c r="B3223" s="10"/>
      <c r="C3223" s="10"/>
      <c r="D3223" s="10"/>
      <c r="E3223" s="10"/>
      <c r="F3223" s="10"/>
      <c r="G3223" s="11"/>
      <c r="H3223" s="12"/>
      <c r="I3223" s="13"/>
      <c r="J3223" s="12"/>
      <c r="K3223" s="13"/>
      <c r="L3223" s="11"/>
      <c r="M3223" s="13"/>
      <c r="N3223" s="11"/>
      <c r="O3223" s="13"/>
      <c r="P3223" s="11"/>
      <c r="Q3223" s="13"/>
      <c r="R3223" s="10"/>
      <c r="S3223" s="10"/>
      <c r="AB3223"/>
      <c r="AC3223"/>
    </row>
    <row r="3224" spans="1:29" x14ac:dyDescent="0.25">
      <c r="A3224" t="str">
        <f t="shared" si="51"/>
        <v/>
      </c>
      <c r="B3224" s="10"/>
      <c r="C3224" s="10"/>
      <c r="D3224" s="10"/>
      <c r="E3224" s="10"/>
      <c r="F3224" s="10"/>
      <c r="G3224" s="11"/>
      <c r="H3224" s="12"/>
      <c r="I3224" s="13"/>
      <c r="J3224" s="12"/>
      <c r="K3224" s="13"/>
      <c r="L3224" s="11"/>
      <c r="M3224" s="13"/>
      <c r="N3224" s="11"/>
      <c r="O3224" s="13"/>
      <c r="P3224" s="11"/>
      <c r="Q3224" s="13"/>
      <c r="R3224" s="10"/>
      <c r="S3224" s="10"/>
      <c r="AB3224"/>
      <c r="AC3224"/>
    </row>
    <row r="3225" spans="1:29" x14ac:dyDescent="0.25">
      <c r="A3225" t="str">
        <f t="shared" si="51"/>
        <v/>
      </c>
      <c r="B3225" s="10"/>
      <c r="C3225" s="10"/>
      <c r="D3225" s="10"/>
      <c r="E3225" s="10"/>
      <c r="F3225" s="10"/>
      <c r="G3225" s="11"/>
      <c r="H3225" s="12"/>
      <c r="I3225" s="13"/>
      <c r="J3225" s="12"/>
      <c r="K3225" s="13"/>
      <c r="L3225" s="11"/>
      <c r="M3225" s="13"/>
      <c r="N3225" s="11"/>
      <c r="O3225" s="13"/>
      <c r="P3225" s="11"/>
      <c r="Q3225" s="13"/>
      <c r="R3225" s="10"/>
      <c r="S3225" s="10"/>
      <c r="AB3225"/>
      <c r="AC3225"/>
    </row>
    <row r="3226" spans="1:29" x14ac:dyDescent="0.25">
      <c r="A3226" t="str">
        <f t="shared" si="51"/>
        <v/>
      </c>
      <c r="B3226" s="10"/>
      <c r="C3226" s="10"/>
      <c r="D3226" s="10"/>
      <c r="E3226" s="10"/>
      <c r="F3226" s="10"/>
      <c r="G3226" s="11"/>
      <c r="H3226" s="12"/>
      <c r="I3226" s="13"/>
      <c r="J3226" s="12"/>
      <c r="K3226" s="13"/>
      <c r="L3226" s="11"/>
      <c r="M3226" s="13"/>
      <c r="N3226" s="11"/>
      <c r="O3226" s="13"/>
      <c r="P3226" s="11"/>
      <c r="Q3226" s="13"/>
      <c r="R3226" s="10"/>
      <c r="S3226" s="10"/>
      <c r="AB3226"/>
      <c r="AC3226"/>
    </row>
    <row r="3227" spans="1:29" x14ac:dyDescent="0.25">
      <c r="A3227" t="str">
        <f t="shared" si="51"/>
        <v/>
      </c>
      <c r="B3227" s="10"/>
      <c r="C3227" s="10"/>
      <c r="D3227" s="10"/>
      <c r="E3227" s="10"/>
      <c r="F3227" s="10"/>
      <c r="G3227" s="11"/>
      <c r="H3227" s="12"/>
      <c r="I3227" s="13"/>
      <c r="J3227" s="12"/>
      <c r="K3227" s="13"/>
      <c r="L3227" s="11"/>
      <c r="M3227" s="13"/>
      <c r="N3227" s="11"/>
      <c r="O3227" s="13"/>
      <c r="P3227" s="11"/>
      <c r="Q3227" s="13"/>
      <c r="R3227" s="10"/>
      <c r="S3227" s="10"/>
      <c r="AB3227"/>
      <c r="AC3227"/>
    </row>
    <row r="3228" spans="1:29" x14ac:dyDescent="0.25">
      <c r="A3228" t="str">
        <f t="shared" si="51"/>
        <v/>
      </c>
      <c r="B3228" s="10"/>
      <c r="C3228" s="10"/>
      <c r="D3228" s="10"/>
      <c r="E3228" s="10"/>
      <c r="F3228" s="10"/>
      <c r="G3228" s="11"/>
      <c r="H3228" s="12"/>
      <c r="I3228" s="13"/>
      <c r="J3228" s="12"/>
      <c r="K3228" s="13"/>
      <c r="L3228" s="11"/>
      <c r="M3228" s="13"/>
      <c r="N3228" s="11"/>
      <c r="O3228" s="13"/>
      <c r="P3228" s="11"/>
      <c r="Q3228" s="13"/>
      <c r="R3228" s="10"/>
      <c r="S3228" s="10"/>
      <c r="AB3228"/>
      <c r="AC3228"/>
    </row>
    <row r="3229" spans="1:29" x14ac:dyDescent="0.25">
      <c r="A3229" t="str">
        <f t="shared" si="51"/>
        <v/>
      </c>
      <c r="B3229" s="10"/>
      <c r="C3229" s="10"/>
      <c r="D3229" s="10"/>
      <c r="E3229" s="10"/>
      <c r="F3229" s="10"/>
      <c r="G3229" s="11"/>
      <c r="H3229" s="12"/>
      <c r="I3229" s="13"/>
      <c r="J3229" s="12"/>
      <c r="K3229" s="13"/>
      <c r="L3229" s="11"/>
      <c r="M3229" s="13"/>
      <c r="N3229" s="11"/>
      <c r="O3229" s="13"/>
      <c r="P3229" s="11"/>
      <c r="Q3229" s="13"/>
      <c r="R3229" s="10"/>
      <c r="S3229" s="10"/>
      <c r="AB3229"/>
      <c r="AC3229"/>
    </row>
    <row r="3230" spans="1:29" x14ac:dyDescent="0.25">
      <c r="A3230" t="str">
        <f t="shared" si="51"/>
        <v/>
      </c>
      <c r="B3230" s="10"/>
      <c r="C3230" s="10"/>
      <c r="D3230" s="10"/>
      <c r="E3230" s="10"/>
      <c r="F3230" s="10"/>
      <c r="G3230" s="11"/>
      <c r="H3230" s="12"/>
      <c r="I3230" s="13"/>
      <c r="J3230" s="12"/>
      <c r="K3230" s="13"/>
      <c r="L3230" s="11"/>
      <c r="M3230" s="13"/>
      <c r="N3230" s="11"/>
      <c r="O3230" s="13"/>
      <c r="P3230" s="11"/>
      <c r="Q3230" s="13"/>
      <c r="R3230" s="10"/>
      <c r="S3230" s="10"/>
      <c r="AB3230"/>
      <c r="AC3230"/>
    </row>
    <row r="3231" spans="1:29" x14ac:dyDescent="0.25">
      <c r="A3231" t="str">
        <f t="shared" si="51"/>
        <v/>
      </c>
      <c r="B3231" s="10"/>
      <c r="C3231" s="10"/>
      <c r="D3231" s="10"/>
      <c r="E3231" s="10"/>
      <c r="F3231" s="10"/>
      <c r="G3231" s="11"/>
      <c r="H3231" s="12"/>
      <c r="I3231" s="13"/>
      <c r="J3231" s="12"/>
      <c r="K3231" s="13"/>
      <c r="L3231" s="11"/>
      <c r="M3231" s="13"/>
      <c r="N3231" s="11"/>
      <c r="O3231" s="13"/>
      <c r="P3231" s="11"/>
      <c r="Q3231" s="13"/>
      <c r="R3231" s="10"/>
      <c r="S3231" s="10"/>
      <c r="AB3231"/>
      <c r="AC3231"/>
    </row>
    <row r="3232" spans="1:29" x14ac:dyDescent="0.25">
      <c r="A3232" t="str">
        <f t="shared" si="51"/>
        <v/>
      </c>
      <c r="B3232" s="10"/>
      <c r="C3232" s="10"/>
      <c r="D3232" s="10"/>
      <c r="E3232" s="10"/>
      <c r="F3232" s="10"/>
      <c r="G3232" s="11"/>
      <c r="H3232" s="12"/>
      <c r="I3232" s="13"/>
      <c r="J3232" s="12"/>
      <c r="K3232" s="13"/>
      <c r="L3232" s="11"/>
      <c r="M3232" s="13"/>
      <c r="N3232" s="11"/>
      <c r="O3232" s="13"/>
      <c r="P3232" s="11"/>
      <c r="Q3232" s="13"/>
      <c r="R3232" s="10"/>
      <c r="S3232" s="10"/>
      <c r="AB3232"/>
      <c r="AC3232"/>
    </row>
    <row r="3233" spans="1:29" x14ac:dyDescent="0.25">
      <c r="A3233" t="str">
        <f t="shared" si="51"/>
        <v/>
      </c>
      <c r="B3233" s="10"/>
      <c r="C3233" s="10"/>
      <c r="D3233" s="10"/>
      <c r="E3233" s="10"/>
      <c r="F3233" s="10"/>
      <c r="G3233" s="11"/>
      <c r="H3233" s="12"/>
      <c r="I3233" s="13"/>
      <c r="J3233" s="12"/>
      <c r="K3233" s="13"/>
      <c r="L3233" s="11"/>
      <c r="M3233" s="13"/>
      <c r="N3233" s="11"/>
      <c r="O3233" s="13"/>
      <c r="P3233" s="11"/>
      <c r="Q3233" s="13"/>
      <c r="R3233" s="10"/>
      <c r="S3233" s="10"/>
      <c r="AB3233"/>
      <c r="AC3233"/>
    </row>
    <row r="3234" spans="1:29" x14ac:dyDescent="0.25">
      <c r="A3234" t="str">
        <f t="shared" si="51"/>
        <v/>
      </c>
      <c r="B3234" s="10"/>
      <c r="C3234" s="10"/>
      <c r="D3234" s="10"/>
      <c r="E3234" s="10"/>
      <c r="F3234" s="10"/>
      <c r="G3234" s="11"/>
      <c r="H3234" s="12"/>
      <c r="I3234" s="13"/>
      <c r="J3234" s="12"/>
      <c r="K3234" s="13"/>
      <c r="L3234" s="11"/>
      <c r="M3234" s="13"/>
      <c r="N3234" s="11"/>
      <c r="O3234" s="13"/>
      <c r="P3234" s="11"/>
      <c r="Q3234" s="13"/>
      <c r="R3234" s="10"/>
      <c r="S3234" s="10"/>
      <c r="AB3234"/>
      <c r="AC3234"/>
    </row>
    <row r="3235" spans="1:29" x14ac:dyDescent="0.25">
      <c r="A3235" t="str">
        <f t="shared" si="51"/>
        <v/>
      </c>
      <c r="B3235" s="10"/>
      <c r="C3235" s="10"/>
      <c r="D3235" s="10"/>
      <c r="E3235" s="10"/>
      <c r="F3235" s="10"/>
      <c r="G3235" s="11"/>
      <c r="H3235" s="12"/>
      <c r="I3235" s="13"/>
      <c r="J3235" s="12"/>
      <c r="K3235" s="13"/>
      <c r="L3235" s="11"/>
      <c r="M3235" s="13"/>
      <c r="N3235" s="11"/>
      <c r="O3235" s="13"/>
      <c r="P3235" s="11"/>
      <c r="Q3235" s="13"/>
      <c r="R3235" s="10"/>
      <c r="S3235" s="10"/>
      <c r="AB3235"/>
      <c r="AC3235"/>
    </row>
    <row r="3236" spans="1:29" x14ac:dyDescent="0.25">
      <c r="A3236" t="str">
        <f t="shared" si="51"/>
        <v/>
      </c>
      <c r="B3236" s="10"/>
      <c r="C3236" s="10"/>
      <c r="D3236" s="10"/>
      <c r="E3236" s="10"/>
      <c r="F3236" s="10"/>
      <c r="G3236" s="11"/>
      <c r="H3236" s="12"/>
      <c r="I3236" s="13"/>
      <c r="J3236" s="12"/>
      <c r="K3236" s="13"/>
      <c r="L3236" s="11"/>
      <c r="M3236" s="13"/>
      <c r="N3236" s="11"/>
      <c r="O3236" s="13"/>
      <c r="P3236" s="11"/>
      <c r="Q3236" s="13"/>
      <c r="R3236" s="10"/>
      <c r="S3236" s="10"/>
      <c r="AB3236"/>
      <c r="AC3236"/>
    </row>
    <row r="3237" spans="1:29" x14ac:dyDescent="0.25">
      <c r="A3237" t="str">
        <f t="shared" si="51"/>
        <v/>
      </c>
      <c r="B3237" s="10"/>
      <c r="C3237" s="10"/>
      <c r="D3237" s="10"/>
      <c r="E3237" s="10"/>
      <c r="F3237" s="10"/>
      <c r="G3237" s="11"/>
      <c r="H3237" s="12"/>
      <c r="I3237" s="13"/>
      <c r="J3237" s="12"/>
      <c r="K3237" s="13"/>
      <c r="L3237" s="11"/>
      <c r="M3237" s="13"/>
      <c r="N3237" s="11"/>
      <c r="O3237" s="13"/>
      <c r="P3237" s="11"/>
      <c r="Q3237" s="13"/>
      <c r="R3237" s="10"/>
      <c r="S3237" s="10"/>
      <c r="AB3237"/>
      <c r="AC3237"/>
    </row>
    <row r="3238" spans="1:29" x14ac:dyDescent="0.25">
      <c r="A3238" t="str">
        <f t="shared" si="51"/>
        <v/>
      </c>
      <c r="B3238" s="10"/>
      <c r="C3238" s="10"/>
      <c r="D3238" s="10"/>
      <c r="E3238" s="10"/>
      <c r="F3238" s="10"/>
      <c r="G3238" s="11"/>
      <c r="H3238" s="12"/>
      <c r="I3238" s="13"/>
      <c r="J3238" s="12"/>
      <c r="K3238" s="13"/>
      <c r="L3238" s="11"/>
      <c r="M3238" s="13"/>
      <c r="N3238" s="11"/>
      <c r="O3238" s="13"/>
      <c r="P3238" s="11"/>
      <c r="Q3238" s="13"/>
      <c r="R3238" s="10"/>
      <c r="S3238" s="10"/>
      <c r="AB3238"/>
      <c r="AC3238"/>
    </row>
    <row r="3239" spans="1:29" x14ac:dyDescent="0.25">
      <c r="A3239" t="str">
        <f t="shared" si="51"/>
        <v/>
      </c>
      <c r="B3239" s="10"/>
      <c r="C3239" s="10"/>
      <c r="D3239" s="10"/>
      <c r="E3239" s="10"/>
      <c r="F3239" s="10"/>
      <c r="G3239" s="11"/>
      <c r="H3239" s="12"/>
      <c r="I3239" s="13"/>
      <c r="J3239" s="12"/>
      <c r="K3239" s="13"/>
      <c r="L3239" s="11"/>
      <c r="M3239" s="13"/>
      <c r="N3239" s="11"/>
      <c r="O3239" s="13"/>
      <c r="P3239" s="11"/>
      <c r="Q3239" s="13"/>
      <c r="R3239" s="10"/>
      <c r="S3239" s="10"/>
      <c r="AB3239"/>
      <c r="AC3239"/>
    </row>
    <row r="3240" spans="1:29" x14ac:dyDescent="0.25">
      <c r="A3240" t="str">
        <f t="shared" si="51"/>
        <v/>
      </c>
      <c r="B3240" s="10"/>
      <c r="C3240" s="10"/>
      <c r="D3240" s="10"/>
      <c r="E3240" s="10"/>
      <c r="F3240" s="10"/>
      <c r="G3240" s="11"/>
      <c r="H3240" s="12"/>
      <c r="I3240" s="13"/>
      <c r="J3240" s="12"/>
      <c r="K3240" s="13"/>
      <c r="L3240" s="11"/>
      <c r="M3240" s="13"/>
      <c r="N3240" s="11"/>
      <c r="O3240" s="13"/>
      <c r="P3240" s="11"/>
      <c r="Q3240" s="13"/>
      <c r="R3240" s="10"/>
      <c r="S3240" s="10"/>
      <c r="AB3240"/>
      <c r="AC3240"/>
    </row>
    <row r="3241" spans="1:29" x14ac:dyDescent="0.25">
      <c r="A3241" t="str">
        <f t="shared" si="51"/>
        <v/>
      </c>
      <c r="B3241" s="10"/>
      <c r="C3241" s="10"/>
      <c r="D3241" s="10"/>
      <c r="E3241" s="10"/>
      <c r="F3241" s="10"/>
      <c r="G3241" s="11"/>
      <c r="H3241" s="12"/>
      <c r="I3241" s="13"/>
      <c r="J3241" s="12"/>
      <c r="K3241" s="13"/>
      <c r="L3241" s="11"/>
      <c r="M3241" s="13"/>
      <c r="N3241" s="11"/>
      <c r="O3241" s="13"/>
      <c r="P3241" s="11"/>
      <c r="Q3241" s="13"/>
      <c r="R3241" s="10"/>
      <c r="S3241" s="10"/>
      <c r="AB3241"/>
      <c r="AC3241"/>
    </row>
    <row r="3242" spans="1:29" x14ac:dyDescent="0.25">
      <c r="A3242" t="str">
        <f t="shared" si="51"/>
        <v/>
      </c>
      <c r="B3242" s="10"/>
      <c r="C3242" s="10"/>
      <c r="D3242" s="10"/>
      <c r="E3242" s="10"/>
      <c r="F3242" s="10"/>
      <c r="G3242" s="11"/>
      <c r="H3242" s="12"/>
      <c r="I3242" s="13"/>
      <c r="J3242" s="12"/>
      <c r="K3242" s="13"/>
      <c r="L3242" s="11"/>
      <c r="M3242" s="13"/>
      <c r="N3242" s="11"/>
      <c r="O3242" s="13"/>
      <c r="P3242" s="11"/>
      <c r="Q3242" s="13"/>
      <c r="R3242" s="10"/>
      <c r="S3242" s="10"/>
      <c r="AB3242"/>
      <c r="AC3242"/>
    </row>
    <row r="3243" spans="1:29" x14ac:dyDescent="0.25">
      <c r="A3243" t="str">
        <f t="shared" si="51"/>
        <v/>
      </c>
      <c r="B3243" s="10"/>
      <c r="C3243" s="10"/>
      <c r="D3243" s="10"/>
      <c r="E3243" s="10"/>
      <c r="F3243" s="10"/>
      <c r="G3243" s="11"/>
      <c r="H3243" s="12"/>
      <c r="I3243" s="13"/>
      <c r="J3243" s="12"/>
      <c r="K3243" s="13"/>
      <c r="L3243" s="11"/>
      <c r="M3243" s="13"/>
      <c r="N3243" s="11"/>
      <c r="O3243" s="13"/>
      <c r="P3243" s="11"/>
      <c r="Q3243" s="13"/>
      <c r="R3243" s="10"/>
      <c r="S3243" s="10"/>
      <c r="AB3243"/>
      <c r="AC3243"/>
    </row>
    <row r="3244" spans="1:29" x14ac:dyDescent="0.25">
      <c r="A3244" t="str">
        <f t="shared" si="51"/>
        <v/>
      </c>
      <c r="B3244" s="10"/>
      <c r="C3244" s="10"/>
      <c r="D3244" s="10"/>
      <c r="E3244" s="10"/>
      <c r="F3244" s="10"/>
      <c r="G3244" s="11"/>
      <c r="H3244" s="12"/>
      <c r="I3244" s="13"/>
      <c r="J3244" s="12"/>
      <c r="K3244" s="13"/>
      <c r="L3244" s="11"/>
      <c r="M3244" s="13"/>
      <c r="N3244" s="11"/>
      <c r="O3244" s="13"/>
      <c r="P3244" s="11"/>
      <c r="Q3244" s="13"/>
      <c r="R3244" s="10"/>
      <c r="S3244" s="10"/>
      <c r="AB3244"/>
      <c r="AC3244"/>
    </row>
    <row r="3245" spans="1:29" x14ac:dyDescent="0.25">
      <c r="A3245" t="str">
        <f t="shared" si="51"/>
        <v/>
      </c>
      <c r="B3245" s="10"/>
      <c r="C3245" s="10"/>
      <c r="D3245" s="10"/>
      <c r="E3245" s="10"/>
      <c r="F3245" s="10"/>
      <c r="G3245" s="11"/>
      <c r="H3245" s="12"/>
      <c r="I3245" s="13"/>
      <c r="J3245" s="12"/>
      <c r="K3245" s="13"/>
      <c r="L3245" s="11"/>
      <c r="M3245" s="13"/>
      <c r="N3245" s="11"/>
      <c r="O3245" s="13"/>
      <c r="P3245" s="11"/>
      <c r="Q3245" s="13"/>
      <c r="R3245" s="10"/>
      <c r="S3245" s="10"/>
      <c r="AB3245"/>
      <c r="AC3245"/>
    </row>
    <row r="3246" spans="1:29" ht="15" customHeight="1" x14ac:dyDescent="0.25">
      <c r="A3246" t="str">
        <f t="shared" si="51"/>
        <v/>
      </c>
      <c r="B3246" s="10"/>
      <c r="C3246" s="10"/>
      <c r="D3246" s="10"/>
      <c r="E3246" s="10"/>
      <c r="F3246" s="10"/>
      <c r="G3246" s="11"/>
      <c r="H3246" s="12"/>
      <c r="I3246" s="13"/>
      <c r="J3246" s="12"/>
      <c r="K3246" s="13"/>
      <c r="L3246" s="11"/>
      <c r="M3246" s="13"/>
      <c r="N3246" s="11"/>
      <c r="O3246" s="13"/>
      <c r="P3246" s="11"/>
      <c r="Q3246" s="13"/>
      <c r="R3246" s="10"/>
      <c r="S3246" s="10"/>
      <c r="AB3246"/>
      <c r="AC3246"/>
    </row>
    <row r="3247" spans="1:29" x14ac:dyDescent="0.25">
      <c r="A3247" t="str">
        <f t="shared" si="51"/>
        <v/>
      </c>
      <c r="B3247" s="10"/>
      <c r="C3247" s="10"/>
      <c r="D3247" s="10"/>
      <c r="E3247" s="10"/>
      <c r="F3247" s="10"/>
      <c r="G3247" s="11"/>
      <c r="H3247" s="12"/>
      <c r="I3247" s="13"/>
      <c r="J3247" s="12"/>
      <c r="K3247" s="13"/>
      <c r="L3247" s="11"/>
      <c r="M3247" s="13"/>
      <c r="N3247" s="11"/>
      <c r="O3247" s="13"/>
      <c r="P3247" s="11"/>
      <c r="Q3247" s="13"/>
      <c r="R3247" s="10"/>
      <c r="S3247" s="10"/>
      <c r="AB3247"/>
      <c r="AC3247"/>
    </row>
    <row r="3248" spans="1:29" x14ac:dyDescent="0.25">
      <c r="A3248" t="str">
        <f t="shared" si="51"/>
        <v/>
      </c>
      <c r="B3248" s="10"/>
      <c r="C3248" s="10"/>
      <c r="D3248" s="10"/>
      <c r="E3248" s="10"/>
      <c r="F3248" s="10"/>
      <c r="G3248" s="11"/>
      <c r="H3248" s="12"/>
      <c r="I3248" s="13"/>
      <c r="J3248" s="12"/>
      <c r="K3248" s="13"/>
      <c r="L3248" s="11"/>
      <c r="M3248" s="13"/>
      <c r="N3248" s="11"/>
      <c r="O3248" s="13"/>
      <c r="P3248" s="11"/>
      <c r="Q3248" s="13"/>
      <c r="R3248" s="10"/>
      <c r="S3248" s="10"/>
      <c r="AB3248"/>
      <c r="AC3248"/>
    </row>
    <row r="3249" spans="1:29" x14ac:dyDescent="0.25">
      <c r="A3249" t="str">
        <f t="shared" si="51"/>
        <v/>
      </c>
      <c r="B3249" s="10"/>
      <c r="C3249" s="10"/>
      <c r="D3249" s="10"/>
      <c r="E3249" s="10"/>
      <c r="F3249" s="10"/>
      <c r="G3249" s="11"/>
      <c r="H3249" s="12"/>
      <c r="I3249" s="13"/>
      <c r="J3249" s="12"/>
      <c r="K3249" s="13"/>
      <c r="L3249" s="11"/>
      <c r="M3249" s="13"/>
      <c r="N3249" s="11"/>
      <c r="O3249" s="13"/>
      <c r="P3249" s="11"/>
      <c r="Q3249" s="13"/>
      <c r="R3249" s="10"/>
      <c r="S3249" s="10"/>
      <c r="AB3249"/>
      <c r="AC3249"/>
    </row>
    <row r="3250" spans="1:29" x14ac:dyDescent="0.25">
      <c r="A3250" t="str">
        <f t="shared" si="51"/>
        <v/>
      </c>
      <c r="B3250" s="10"/>
      <c r="C3250" s="10"/>
      <c r="D3250" s="10"/>
      <c r="E3250" s="10"/>
      <c r="F3250" s="10"/>
      <c r="G3250" s="11"/>
      <c r="H3250" s="12"/>
      <c r="I3250" s="13"/>
      <c r="J3250" s="12"/>
      <c r="K3250" s="13"/>
      <c r="L3250" s="11"/>
      <c r="M3250" s="13"/>
      <c r="N3250" s="11"/>
      <c r="O3250" s="13"/>
      <c r="P3250" s="11"/>
      <c r="Q3250" s="13"/>
      <c r="R3250" s="10"/>
      <c r="S3250" s="10"/>
      <c r="AB3250"/>
      <c r="AC3250"/>
    </row>
    <row r="3251" spans="1:29" x14ac:dyDescent="0.25">
      <c r="A3251" t="str">
        <f t="shared" si="51"/>
        <v/>
      </c>
      <c r="B3251" s="10"/>
      <c r="C3251" s="10"/>
      <c r="D3251" s="10"/>
      <c r="E3251" s="10"/>
      <c r="F3251" s="10"/>
      <c r="G3251" s="11"/>
      <c r="H3251" s="12"/>
      <c r="I3251" s="13"/>
      <c r="J3251" s="12"/>
      <c r="K3251" s="13"/>
      <c r="L3251" s="11"/>
      <c r="M3251" s="13"/>
      <c r="N3251" s="11"/>
      <c r="O3251" s="13"/>
      <c r="P3251" s="11"/>
      <c r="Q3251" s="13"/>
      <c r="R3251" s="10"/>
      <c r="S3251" s="10"/>
      <c r="AB3251"/>
      <c r="AC3251"/>
    </row>
    <row r="3252" spans="1:29" x14ac:dyDescent="0.25">
      <c r="A3252" t="str">
        <f t="shared" si="51"/>
        <v/>
      </c>
      <c r="B3252" s="10"/>
      <c r="C3252" s="10"/>
      <c r="D3252" s="10"/>
      <c r="E3252" s="10"/>
      <c r="F3252" s="10"/>
      <c r="G3252" s="11"/>
      <c r="H3252" s="12"/>
      <c r="I3252" s="13"/>
      <c r="J3252" s="12"/>
      <c r="K3252" s="13"/>
      <c r="L3252" s="11"/>
      <c r="M3252" s="13"/>
      <c r="N3252" s="11"/>
      <c r="O3252" s="13"/>
      <c r="P3252" s="11"/>
      <c r="Q3252" s="13"/>
      <c r="R3252" s="10"/>
      <c r="S3252" s="10"/>
      <c r="AB3252"/>
      <c r="AC3252"/>
    </row>
    <row r="3253" spans="1:29" x14ac:dyDescent="0.25">
      <c r="A3253" t="str">
        <f t="shared" si="51"/>
        <v/>
      </c>
      <c r="B3253" s="10"/>
      <c r="C3253" s="10"/>
      <c r="D3253" s="10"/>
      <c r="E3253" s="10"/>
      <c r="F3253" s="10"/>
      <c r="G3253" s="11"/>
      <c r="H3253" s="12"/>
      <c r="I3253" s="13"/>
      <c r="J3253" s="12"/>
      <c r="K3253" s="13"/>
      <c r="L3253" s="11"/>
      <c r="M3253" s="13"/>
      <c r="N3253" s="11"/>
      <c r="O3253" s="13"/>
      <c r="P3253" s="11"/>
      <c r="Q3253" s="13"/>
      <c r="R3253" s="10"/>
      <c r="S3253" s="10"/>
      <c r="AB3253"/>
      <c r="AC3253"/>
    </row>
    <row r="3254" spans="1:29" x14ac:dyDescent="0.25">
      <c r="A3254" t="str">
        <f t="shared" si="51"/>
        <v/>
      </c>
      <c r="B3254" s="10"/>
      <c r="C3254" s="10"/>
      <c r="D3254" s="10"/>
      <c r="E3254" s="10"/>
      <c r="F3254" s="10"/>
      <c r="G3254" s="11"/>
      <c r="H3254" s="12"/>
      <c r="I3254" s="13"/>
      <c r="J3254" s="12"/>
      <c r="K3254" s="13"/>
      <c r="L3254" s="11"/>
      <c r="M3254" s="13"/>
      <c r="N3254" s="11"/>
      <c r="O3254" s="13"/>
      <c r="P3254" s="11"/>
      <c r="Q3254" s="13"/>
      <c r="R3254" s="10"/>
      <c r="S3254" s="10"/>
      <c r="AB3254"/>
      <c r="AC3254"/>
    </row>
    <row r="3255" spans="1:29" x14ac:dyDescent="0.25">
      <c r="A3255" t="str">
        <f t="shared" si="51"/>
        <v/>
      </c>
      <c r="B3255" s="10"/>
      <c r="C3255" s="10"/>
      <c r="D3255" s="10"/>
      <c r="E3255" s="10"/>
      <c r="F3255" s="10"/>
      <c r="G3255" s="11"/>
      <c r="H3255" s="12"/>
      <c r="I3255" s="13"/>
      <c r="J3255" s="12"/>
      <c r="K3255" s="13"/>
      <c r="L3255" s="11"/>
      <c r="M3255" s="13"/>
      <c r="N3255" s="11"/>
      <c r="O3255" s="13"/>
      <c r="P3255" s="11"/>
      <c r="Q3255" s="13"/>
      <c r="R3255" s="10"/>
      <c r="S3255" s="10"/>
      <c r="AB3255"/>
      <c r="AC3255"/>
    </row>
    <row r="3256" spans="1:29" x14ac:dyDescent="0.25">
      <c r="A3256" t="str">
        <f t="shared" si="51"/>
        <v/>
      </c>
      <c r="B3256" s="10"/>
      <c r="C3256" s="10"/>
      <c r="D3256" s="10"/>
      <c r="E3256" s="10"/>
      <c r="F3256" s="10"/>
      <c r="G3256" s="11"/>
      <c r="H3256" s="12"/>
      <c r="I3256" s="13"/>
      <c r="J3256" s="12"/>
      <c r="K3256" s="13"/>
      <c r="L3256" s="11"/>
      <c r="M3256" s="13"/>
      <c r="N3256" s="11"/>
      <c r="O3256" s="13"/>
      <c r="P3256" s="11"/>
      <c r="Q3256" s="13"/>
      <c r="R3256" s="10"/>
      <c r="S3256" s="10"/>
      <c r="AB3256"/>
      <c r="AC3256"/>
    </row>
    <row r="3257" spans="1:29" x14ac:dyDescent="0.25">
      <c r="A3257" t="str">
        <f t="shared" si="51"/>
        <v/>
      </c>
      <c r="B3257" s="10"/>
      <c r="C3257" s="10"/>
      <c r="D3257" s="10"/>
      <c r="E3257" s="10"/>
      <c r="F3257" s="10"/>
      <c r="G3257" s="11"/>
      <c r="H3257" s="12"/>
      <c r="I3257" s="13"/>
      <c r="J3257" s="12"/>
      <c r="K3257" s="13"/>
      <c r="L3257" s="11"/>
      <c r="M3257" s="13"/>
      <c r="N3257" s="11"/>
      <c r="O3257" s="13"/>
      <c r="P3257" s="11"/>
      <c r="Q3257" s="13"/>
      <c r="R3257" s="10"/>
      <c r="S3257" s="10"/>
      <c r="AB3257"/>
      <c r="AC3257"/>
    </row>
    <row r="3258" spans="1:29" x14ac:dyDescent="0.25">
      <c r="A3258" t="str">
        <f t="shared" si="51"/>
        <v/>
      </c>
      <c r="B3258" s="10"/>
      <c r="C3258" s="10"/>
      <c r="D3258" s="10"/>
      <c r="E3258" s="10"/>
      <c r="F3258" s="10"/>
      <c r="G3258" s="11"/>
      <c r="H3258" s="12"/>
      <c r="I3258" s="13"/>
      <c r="J3258" s="12"/>
      <c r="K3258" s="13"/>
      <c r="L3258" s="11"/>
      <c r="M3258" s="13"/>
      <c r="N3258" s="11"/>
      <c r="O3258" s="13"/>
      <c r="P3258" s="11"/>
      <c r="Q3258" s="13"/>
      <c r="R3258" s="10"/>
      <c r="S3258" s="10"/>
      <c r="AB3258"/>
      <c r="AC3258"/>
    </row>
    <row r="3259" spans="1:29" x14ac:dyDescent="0.25">
      <c r="A3259" t="str">
        <f t="shared" ref="A3259:A3318" si="52">B3257&amp;D3257</f>
        <v/>
      </c>
      <c r="B3259" s="10"/>
      <c r="C3259" s="10"/>
      <c r="D3259" s="10"/>
      <c r="E3259" s="10"/>
      <c r="F3259" s="10"/>
      <c r="G3259" s="11"/>
      <c r="H3259" s="12"/>
      <c r="I3259" s="13"/>
      <c r="J3259" s="12"/>
      <c r="K3259" s="13"/>
      <c r="L3259" s="11"/>
      <c r="M3259" s="13"/>
      <c r="N3259" s="11"/>
      <c r="O3259" s="13"/>
      <c r="P3259" s="11"/>
      <c r="Q3259" s="13"/>
      <c r="R3259" s="10"/>
      <c r="S3259" s="10"/>
      <c r="AB3259"/>
      <c r="AC3259"/>
    </row>
    <row r="3260" spans="1:29" x14ac:dyDescent="0.25">
      <c r="A3260" t="str">
        <f t="shared" si="52"/>
        <v/>
      </c>
      <c r="B3260" s="10"/>
      <c r="C3260" s="10"/>
      <c r="D3260" s="10"/>
      <c r="E3260" s="10"/>
      <c r="F3260" s="10"/>
      <c r="G3260" s="11"/>
      <c r="H3260" s="12"/>
      <c r="I3260" s="13"/>
      <c r="J3260" s="12"/>
      <c r="K3260" s="13"/>
      <c r="L3260" s="11"/>
      <c r="M3260" s="13"/>
      <c r="N3260" s="11"/>
      <c r="O3260" s="13"/>
      <c r="P3260" s="11"/>
      <c r="Q3260" s="13"/>
      <c r="R3260" s="10"/>
      <c r="S3260" s="10"/>
      <c r="AB3260"/>
      <c r="AC3260"/>
    </row>
    <row r="3261" spans="1:29" x14ac:dyDescent="0.25">
      <c r="A3261" t="str">
        <f t="shared" si="52"/>
        <v/>
      </c>
      <c r="B3261" s="10"/>
      <c r="C3261" s="10"/>
      <c r="D3261" s="10"/>
      <c r="E3261" s="10"/>
      <c r="F3261" s="10"/>
      <c r="G3261" s="11"/>
      <c r="H3261" s="12"/>
      <c r="I3261" s="13"/>
      <c r="J3261" s="12"/>
      <c r="K3261" s="13"/>
      <c r="L3261" s="11"/>
      <c r="M3261" s="13"/>
      <c r="N3261" s="11"/>
      <c r="O3261" s="13"/>
      <c r="P3261" s="11"/>
      <c r="Q3261" s="13"/>
      <c r="R3261" s="10"/>
      <c r="S3261" s="10"/>
      <c r="AB3261"/>
      <c r="AC3261"/>
    </row>
    <row r="3262" spans="1:29" x14ac:dyDescent="0.25">
      <c r="A3262" t="str">
        <f t="shared" si="52"/>
        <v/>
      </c>
      <c r="B3262" s="10"/>
      <c r="C3262" s="10"/>
      <c r="D3262" s="10"/>
      <c r="E3262" s="10"/>
      <c r="F3262" s="10"/>
      <c r="G3262" s="11"/>
      <c r="H3262" s="12"/>
      <c r="I3262" s="13"/>
      <c r="J3262" s="12"/>
      <c r="K3262" s="13"/>
      <c r="L3262" s="11"/>
      <c r="M3262" s="13"/>
      <c r="N3262" s="11"/>
      <c r="O3262" s="13"/>
      <c r="P3262" s="11"/>
      <c r="Q3262" s="13"/>
      <c r="R3262" s="10"/>
      <c r="S3262" s="10"/>
      <c r="AB3262"/>
      <c r="AC3262"/>
    </row>
    <row r="3263" spans="1:29" x14ac:dyDescent="0.25">
      <c r="A3263" t="str">
        <f t="shared" si="52"/>
        <v/>
      </c>
      <c r="B3263" s="10"/>
      <c r="C3263" s="10"/>
      <c r="D3263" s="10"/>
      <c r="E3263" s="10"/>
      <c r="F3263" s="10"/>
      <c r="G3263" s="11"/>
      <c r="H3263" s="12"/>
      <c r="I3263" s="13"/>
      <c r="J3263" s="12"/>
      <c r="K3263" s="13"/>
      <c r="L3263" s="11"/>
      <c r="M3263" s="13"/>
      <c r="N3263" s="11"/>
      <c r="O3263" s="13"/>
      <c r="P3263" s="11"/>
      <c r="Q3263" s="13"/>
      <c r="R3263" s="10"/>
      <c r="S3263" s="10"/>
      <c r="AB3263"/>
      <c r="AC3263"/>
    </row>
    <row r="3264" spans="1:29" x14ac:dyDescent="0.25">
      <c r="A3264" t="str">
        <f t="shared" si="52"/>
        <v/>
      </c>
      <c r="B3264" s="10"/>
      <c r="C3264" s="10"/>
      <c r="D3264" s="10"/>
      <c r="E3264" s="10"/>
      <c r="F3264" s="10"/>
      <c r="G3264" s="11"/>
      <c r="H3264" s="12"/>
      <c r="I3264" s="13"/>
      <c r="J3264" s="12"/>
      <c r="K3264" s="13"/>
      <c r="L3264" s="11"/>
      <c r="M3264" s="13"/>
      <c r="N3264" s="11"/>
      <c r="O3264" s="13"/>
      <c r="P3264" s="11"/>
      <c r="Q3264" s="13"/>
      <c r="R3264" s="10"/>
      <c r="S3264" s="10"/>
      <c r="AB3264"/>
      <c r="AC3264"/>
    </row>
    <row r="3265" spans="1:29" x14ac:dyDescent="0.25">
      <c r="A3265" t="str">
        <f t="shared" si="52"/>
        <v/>
      </c>
      <c r="B3265" s="10"/>
      <c r="C3265" s="10"/>
      <c r="D3265" s="10"/>
      <c r="E3265" s="10"/>
      <c r="F3265" s="10"/>
      <c r="G3265" s="11"/>
      <c r="H3265" s="12"/>
      <c r="I3265" s="13"/>
      <c r="J3265" s="12"/>
      <c r="K3265" s="13"/>
      <c r="L3265" s="11"/>
      <c r="M3265" s="13"/>
      <c r="N3265" s="11"/>
      <c r="O3265" s="13"/>
      <c r="P3265" s="11"/>
      <c r="Q3265" s="13"/>
      <c r="R3265" s="10"/>
      <c r="S3265" s="10"/>
      <c r="AB3265"/>
      <c r="AC3265"/>
    </row>
    <row r="3266" spans="1:29" x14ac:dyDescent="0.25">
      <c r="A3266" t="str">
        <f t="shared" si="52"/>
        <v/>
      </c>
      <c r="B3266" s="10"/>
      <c r="C3266" s="10"/>
      <c r="D3266" s="10"/>
      <c r="E3266" s="10"/>
      <c r="F3266" s="10"/>
      <c r="G3266" s="11"/>
      <c r="H3266" s="12"/>
      <c r="I3266" s="13"/>
      <c r="J3266" s="12"/>
      <c r="K3266" s="13"/>
      <c r="L3266" s="11"/>
      <c r="M3266" s="13"/>
      <c r="N3266" s="11"/>
      <c r="O3266" s="13"/>
      <c r="P3266" s="11"/>
      <c r="Q3266" s="13"/>
      <c r="R3266" s="10"/>
      <c r="S3266" s="10"/>
      <c r="AB3266"/>
      <c r="AC3266"/>
    </row>
    <row r="3267" spans="1:29" x14ac:dyDescent="0.25">
      <c r="A3267" t="str">
        <f t="shared" si="52"/>
        <v/>
      </c>
      <c r="B3267" s="10"/>
      <c r="C3267" s="10"/>
      <c r="D3267" s="10"/>
      <c r="E3267" s="10"/>
      <c r="F3267" s="10"/>
      <c r="G3267" s="11"/>
      <c r="H3267" s="12"/>
      <c r="I3267" s="13"/>
      <c r="J3267" s="12"/>
      <c r="K3267" s="13"/>
      <c r="L3267" s="11"/>
      <c r="M3267" s="13"/>
      <c r="N3267" s="11"/>
      <c r="O3267" s="13"/>
      <c r="P3267" s="11"/>
      <c r="Q3267" s="13"/>
      <c r="R3267" s="10"/>
      <c r="S3267" s="10"/>
      <c r="AB3267"/>
      <c r="AC3267"/>
    </row>
    <row r="3268" spans="1:29" x14ac:dyDescent="0.25">
      <c r="A3268" t="str">
        <f t="shared" si="52"/>
        <v/>
      </c>
      <c r="B3268" s="10"/>
      <c r="C3268" s="10"/>
      <c r="D3268" s="10"/>
      <c r="E3268" s="10"/>
      <c r="F3268" s="10"/>
      <c r="G3268" s="11"/>
      <c r="H3268" s="12"/>
      <c r="I3268" s="13"/>
      <c r="J3268" s="12"/>
      <c r="K3268" s="13"/>
      <c r="L3268" s="11"/>
      <c r="M3268" s="13"/>
      <c r="N3268" s="11"/>
      <c r="O3268" s="13"/>
      <c r="P3268" s="11"/>
      <c r="Q3268" s="13"/>
      <c r="R3268" s="10"/>
      <c r="S3268" s="10"/>
      <c r="AB3268"/>
      <c r="AC3268"/>
    </row>
    <row r="3269" spans="1:29" x14ac:dyDescent="0.25">
      <c r="A3269" t="str">
        <f t="shared" si="52"/>
        <v/>
      </c>
      <c r="B3269" s="10"/>
      <c r="C3269" s="10"/>
      <c r="D3269" s="10"/>
      <c r="E3269" s="10"/>
      <c r="F3269" s="10"/>
      <c r="G3269" s="11"/>
      <c r="H3269" s="12"/>
      <c r="I3269" s="13"/>
      <c r="J3269" s="12"/>
      <c r="K3269" s="13"/>
      <c r="L3269" s="11"/>
      <c r="M3269" s="13"/>
      <c r="N3269" s="11"/>
      <c r="O3269" s="13"/>
      <c r="P3269" s="11"/>
      <c r="Q3269" s="13"/>
      <c r="R3269" s="10"/>
      <c r="S3269" s="10"/>
      <c r="AB3269"/>
      <c r="AC3269"/>
    </row>
    <row r="3270" spans="1:29" x14ac:dyDescent="0.25">
      <c r="A3270" t="str">
        <f t="shared" si="52"/>
        <v/>
      </c>
      <c r="B3270" s="10"/>
      <c r="C3270" s="10"/>
      <c r="D3270" s="10"/>
      <c r="E3270" s="10"/>
      <c r="F3270" s="10"/>
      <c r="G3270" s="11"/>
      <c r="H3270" s="12"/>
      <c r="I3270" s="13"/>
      <c r="J3270" s="12"/>
      <c r="K3270" s="13"/>
      <c r="L3270" s="11"/>
      <c r="M3270" s="13"/>
      <c r="N3270" s="11"/>
      <c r="O3270" s="13"/>
      <c r="P3270" s="11"/>
      <c r="Q3270" s="13"/>
      <c r="R3270" s="10"/>
      <c r="S3270" s="10"/>
      <c r="AB3270"/>
      <c r="AC3270"/>
    </row>
    <row r="3271" spans="1:29" x14ac:dyDescent="0.25">
      <c r="A3271" t="str">
        <f t="shared" si="52"/>
        <v/>
      </c>
      <c r="B3271" s="10"/>
      <c r="C3271" s="10"/>
      <c r="D3271" s="10"/>
      <c r="E3271" s="10"/>
      <c r="F3271" s="10"/>
      <c r="G3271" s="11"/>
      <c r="H3271" s="12"/>
      <c r="I3271" s="13"/>
      <c r="J3271" s="12"/>
      <c r="K3271" s="13"/>
      <c r="L3271" s="11"/>
      <c r="M3271" s="13"/>
      <c r="N3271" s="11"/>
      <c r="O3271" s="13"/>
      <c r="P3271" s="11"/>
      <c r="Q3271" s="13"/>
      <c r="R3271" s="10"/>
      <c r="S3271" s="10"/>
      <c r="AB3271"/>
      <c r="AC3271"/>
    </row>
    <row r="3272" spans="1:29" x14ac:dyDescent="0.25">
      <c r="A3272" t="str">
        <f t="shared" si="52"/>
        <v/>
      </c>
      <c r="B3272" s="10"/>
      <c r="C3272" s="10"/>
      <c r="D3272" s="10"/>
      <c r="E3272" s="10"/>
      <c r="F3272" s="10"/>
      <c r="G3272" s="11"/>
      <c r="H3272" s="12"/>
      <c r="I3272" s="13"/>
      <c r="J3272" s="12"/>
      <c r="K3272" s="13"/>
      <c r="L3272" s="11"/>
      <c r="M3272" s="13"/>
      <c r="N3272" s="11"/>
      <c r="O3272" s="13"/>
      <c r="P3272" s="11"/>
      <c r="Q3272" s="13"/>
      <c r="R3272" s="10"/>
      <c r="S3272" s="10"/>
      <c r="AB3272"/>
      <c r="AC3272"/>
    </row>
    <row r="3273" spans="1:29" x14ac:dyDescent="0.25">
      <c r="A3273" t="str">
        <f t="shared" si="52"/>
        <v/>
      </c>
      <c r="B3273" s="10"/>
      <c r="C3273" s="10"/>
      <c r="D3273" s="10"/>
      <c r="E3273" s="10"/>
      <c r="F3273" s="10"/>
      <c r="G3273" s="11"/>
      <c r="H3273" s="12"/>
      <c r="I3273" s="13"/>
      <c r="J3273" s="12"/>
      <c r="K3273" s="13"/>
      <c r="L3273" s="11"/>
      <c r="M3273" s="13"/>
      <c r="N3273" s="11"/>
      <c r="O3273" s="13"/>
      <c r="P3273" s="11"/>
      <c r="Q3273" s="13"/>
      <c r="R3273" s="10"/>
      <c r="S3273" s="10"/>
      <c r="AB3273"/>
      <c r="AC3273"/>
    </row>
    <row r="3274" spans="1:29" x14ac:dyDescent="0.25">
      <c r="A3274" t="str">
        <f t="shared" si="52"/>
        <v/>
      </c>
      <c r="B3274" s="10"/>
      <c r="C3274" s="10"/>
      <c r="D3274" s="10"/>
      <c r="E3274" s="10"/>
      <c r="F3274" s="10"/>
      <c r="G3274" s="11"/>
      <c r="H3274" s="12"/>
      <c r="I3274" s="13"/>
      <c r="J3274" s="12"/>
      <c r="K3274" s="13"/>
      <c r="L3274" s="11"/>
      <c r="M3274" s="13"/>
      <c r="N3274" s="11"/>
      <c r="O3274" s="13"/>
      <c r="P3274" s="11"/>
      <c r="Q3274" s="13"/>
      <c r="R3274" s="10"/>
      <c r="S3274" s="10"/>
      <c r="AB3274"/>
      <c r="AC3274"/>
    </row>
    <row r="3275" spans="1:29" x14ac:dyDescent="0.25">
      <c r="A3275" t="str">
        <f t="shared" si="52"/>
        <v/>
      </c>
      <c r="B3275" s="10"/>
      <c r="C3275" s="10"/>
      <c r="D3275" s="10"/>
      <c r="E3275" s="10"/>
      <c r="F3275" s="10"/>
      <c r="G3275" s="11"/>
      <c r="H3275" s="12"/>
      <c r="I3275" s="13"/>
      <c r="J3275" s="12"/>
      <c r="K3275" s="13"/>
      <c r="L3275" s="11"/>
      <c r="M3275" s="13"/>
      <c r="N3275" s="11"/>
      <c r="O3275" s="13"/>
      <c r="P3275" s="11"/>
      <c r="Q3275" s="13"/>
      <c r="R3275" s="10"/>
      <c r="S3275" s="10"/>
      <c r="AB3275"/>
      <c r="AC3275"/>
    </row>
    <row r="3276" spans="1:29" x14ac:dyDescent="0.25">
      <c r="A3276" t="str">
        <f t="shared" si="52"/>
        <v/>
      </c>
      <c r="B3276" s="10"/>
      <c r="C3276" s="10"/>
      <c r="D3276" s="10"/>
      <c r="E3276" s="10"/>
      <c r="F3276" s="10"/>
      <c r="G3276" s="11"/>
      <c r="H3276" s="12"/>
      <c r="I3276" s="13"/>
      <c r="J3276" s="12"/>
      <c r="K3276" s="13"/>
      <c r="L3276" s="11"/>
      <c r="M3276" s="13"/>
      <c r="N3276" s="11"/>
      <c r="O3276" s="13"/>
      <c r="P3276" s="11"/>
      <c r="Q3276" s="13"/>
      <c r="R3276" s="10"/>
      <c r="S3276" s="10"/>
      <c r="AB3276"/>
      <c r="AC3276"/>
    </row>
    <row r="3277" spans="1:29" x14ac:dyDescent="0.25">
      <c r="A3277" t="str">
        <f t="shared" si="52"/>
        <v/>
      </c>
      <c r="B3277" s="10"/>
      <c r="C3277" s="10"/>
      <c r="D3277" s="10"/>
      <c r="E3277" s="10"/>
      <c r="F3277" s="10"/>
      <c r="G3277" s="11"/>
      <c r="H3277" s="12"/>
      <c r="I3277" s="13"/>
      <c r="J3277" s="12"/>
      <c r="K3277" s="13"/>
      <c r="L3277" s="11"/>
      <c r="M3277" s="13"/>
      <c r="N3277" s="11"/>
      <c r="O3277" s="13"/>
      <c r="P3277" s="11"/>
      <c r="Q3277" s="13"/>
      <c r="R3277" s="10"/>
      <c r="S3277" s="10"/>
      <c r="AB3277"/>
      <c r="AC3277"/>
    </row>
    <row r="3278" spans="1:29" x14ac:dyDescent="0.25">
      <c r="A3278" t="str">
        <f t="shared" si="52"/>
        <v/>
      </c>
      <c r="B3278" s="10"/>
      <c r="C3278" s="10"/>
      <c r="D3278" s="10"/>
      <c r="E3278" s="10"/>
      <c r="F3278" s="10"/>
      <c r="G3278" s="11"/>
      <c r="H3278" s="12"/>
      <c r="I3278" s="13"/>
      <c r="J3278" s="12"/>
      <c r="K3278" s="13"/>
      <c r="L3278" s="11"/>
      <c r="M3278" s="13"/>
      <c r="N3278" s="11"/>
      <c r="O3278" s="13"/>
      <c r="P3278" s="11"/>
      <c r="Q3278" s="13"/>
      <c r="R3278" s="10"/>
      <c r="S3278" s="10"/>
      <c r="AB3278"/>
      <c r="AC3278"/>
    </row>
    <row r="3279" spans="1:29" x14ac:dyDescent="0.25">
      <c r="A3279" t="str">
        <f t="shared" si="52"/>
        <v/>
      </c>
      <c r="B3279" s="10"/>
      <c r="C3279" s="10"/>
      <c r="D3279" s="10"/>
      <c r="E3279" s="10"/>
      <c r="F3279" s="10"/>
      <c r="G3279" s="11"/>
      <c r="H3279" s="12"/>
      <c r="I3279" s="13"/>
      <c r="J3279" s="12"/>
      <c r="K3279" s="13"/>
      <c r="L3279" s="11"/>
      <c r="M3279" s="13"/>
      <c r="N3279" s="11"/>
      <c r="O3279" s="13"/>
      <c r="P3279" s="11"/>
      <c r="Q3279" s="13"/>
      <c r="R3279" s="10"/>
      <c r="S3279" s="10"/>
      <c r="AB3279"/>
      <c r="AC3279"/>
    </row>
    <row r="3280" spans="1:29" x14ac:dyDescent="0.25">
      <c r="A3280" t="str">
        <f t="shared" si="52"/>
        <v/>
      </c>
      <c r="B3280" s="10"/>
      <c r="C3280" s="10"/>
      <c r="D3280" s="10"/>
      <c r="E3280" s="10"/>
      <c r="F3280" s="10"/>
      <c r="G3280" s="11"/>
      <c r="H3280" s="12"/>
      <c r="I3280" s="13"/>
      <c r="J3280" s="12"/>
      <c r="K3280" s="13"/>
      <c r="L3280" s="11"/>
      <c r="M3280" s="13"/>
      <c r="N3280" s="11"/>
      <c r="O3280" s="13"/>
      <c r="P3280" s="11"/>
      <c r="Q3280" s="13"/>
      <c r="R3280" s="10"/>
      <c r="S3280" s="10"/>
      <c r="AB3280"/>
      <c r="AC3280"/>
    </row>
    <row r="3281" spans="1:29" x14ac:dyDescent="0.25">
      <c r="A3281" t="str">
        <f t="shared" si="52"/>
        <v/>
      </c>
      <c r="B3281" s="10"/>
      <c r="C3281" s="10"/>
      <c r="D3281" s="10"/>
      <c r="E3281" s="10"/>
      <c r="F3281" s="10"/>
      <c r="G3281" s="11"/>
      <c r="H3281" s="12"/>
      <c r="I3281" s="13"/>
      <c r="J3281" s="12"/>
      <c r="K3281" s="13"/>
      <c r="L3281" s="11"/>
      <c r="M3281" s="13"/>
      <c r="N3281" s="11"/>
      <c r="O3281" s="13"/>
      <c r="P3281" s="11"/>
      <c r="Q3281" s="13"/>
      <c r="R3281" s="10"/>
      <c r="S3281" s="10"/>
      <c r="AB3281"/>
      <c r="AC3281"/>
    </row>
    <row r="3282" spans="1:29" x14ac:dyDescent="0.25">
      <c r="A3282" t="str">
        <f t="shared" si="52"/>
        <v/>
      </c>
      <c r="B3282" s="10"/>
      <c r="C3282" s="10"/>
      <c r="D3282" s="10"/>
      <c r="E3282" s="10"/>
      <c r="F3282" s="10"/>
      <c r="G3282" s="11"/>
      <c r="H3282" s="12"/>
      <c r="I3282" s="13"/>
      <c r="J3282" s="12"/>
      <c r="K3282" s="13"/>
      <c r="L3282" s="11"/>
      <c r="M3282" s="13"/>
      <c r="N3282" s="11"/>
      <c r="O3282" s="13"/>
      <c r="P3282" s="11"/>
      <c r="Q3282" s="13"/>
      <c r="R3282" s="10"/>
      <c r="S3282" s="10"/>
      <c r="AB3282"/>
      <c r="AC3282"/>
    </row>
    <row r="3283" spans="1:29" x14ac:dyDescent="0.25">
      <c r="A3283" t="str">
        <f t="shared" si="52"/>
        <v/>
      </c>
      <c r="B3283" s="10"/>
      <c r="C3283" s="10"/>
      <c r="D3283" s="10"/>
      <c r="E3283" s="10"/>
      <c r="F3283" s="10"/>
      <c r="G3283" s="11"/>
      <c r="H3283" s="12"/>
      <c r="I3283" s="13"/>
      <c r="J3283" s="12"/>
      <c r="K3283" s="13"/>
      <c r="L3283" s="11"/>
      <c r="M3283" s="13"/>
      <c r="N3283" s="11"/>
      <c r="O3283" s="13"/>
      <c r="P3283" s="11"/>
      <c r="Q3283" s="13"/>
      <c r="R3283" s="10"/>
      <c r="S3283" s="10"/>
      <c r="AB3283"/>
      <c r="AC3283"/>
    </row>
    <row r="3284" spans="1:29" x14ac:dyDescent="0.25">
      <c r="A3284" t="str">
        <f t="shared" si="52"/>
        <v/>
      </c>
      <c r="B3284" s="10"/>
      <c r="C3284" s="10"/>
      <c r="D3284" s="10"/>
      <c r="E3284" s="10"/>
      <c r="F3284" s="10"/>
      <c r="G3284" s="11"/>
      <c r="H3284" s="12"/>
      <c r="I3284" s="13"/>
      <c r="J3284" s="12"/>
      <c r="K3284" s="13"/>
      <c r="L3284" s="11"/>
      <c r="M3284" s="13"/>
      <c r="N3284" s="11"/>
      <c r="O3284" s="13"/>
      <c r="P3284" s="11"/>
      <c r="Q3284" s="13"/>
      <c r="R3284" s="10"/>
      <c r="S3284" s="10"/>
      <c r="AB3284"/>
      <c r="AC3284"/>
    </row>
    <row r="3285" spans="1:29" x14ac:dyDescent="0.25">
      <c r="A3285" t="str">
        <f t="shared" si="52"/>
        <v/>
      </c>
      <c r="B3285" s="10"/>
      <c r="C3285" s="10"/>
      <c r="D3285" s="10"/>
      <c r="E3285" s="10"/>
      <c r="F3285" s="10"/>
      <c r="G3285" s="11"/>
      <c r="H3285" s="12"/>
      <c r="I3285" s="13"/>
      <c r="J3285" s="12"/>
      <c r="K3285" s="13"/>
      <c r="L3285" s="11"/>
      <c r="M3285" s="13"/>
      <c r="N3285" s="11"/>
      <c r="O3285" s="13"/>
      <c r="P3285" s="11"/>
      <c r="Q3285" s="13"/>
      <c r="R3285" s="10"/>
      <c r="S3285" s="10"/>
      <c r="AB3285"/>
      <c r="AC3285"/>
    </row>
    <row r="3286" spans="1:29" x14ac:dyDescent="0.25">
      <c r="A3286" t="str">
        <f t="shared" si="52"/>
        <v/>
      </c>
      <c r="B3286" s="10"/>
      <c r="C3286" s="10"/>
      <c r="D3286" s="10"/>
      <c r="E3286" s="10"/>
      <c r="F3286" s="10"/>
      <c r="G3286" s="11"/>
      <c r="H3286" s="12"/>
      <c r="I3286" s="13"/>
      <c r="J3286" s="12"/>
      <c r="K3286" s="13"/>
      <c r="L3286" s="11"/>
      <c r="M3286" s="13"/>
      <c r="N3286" s="11"/>
      <c r="O3286" s="13"/>
      <c r="P3286" s="11"/>
      <c r="Q3286" s="13"/>
      <c r="R3286" s="10"/>
      <c r="S3286" s="10"/>
      <c r="AB3286"/>
      <c r="AC3286"/>
    </row>
    <row r="3287" spans="1:29" x14ac:dyDescent="0.25">
      <c r="A3287" t="str">
        <f t="shared" si="52"/>
        <v/>
      </c>
      <c r="B3287" s="10"/>
      <c r="C3287" s="10"/>
      <c r="D3287" s="10"/>
      <c r="E3287" s="10"/>
      <c r="F3287" s="10"/>
      <c r="G3287" s="11"/>
      <c r="H3287" s="12"/>
      <c r="I3287" s="13"/>
      <c r="J3287" s="12"/>
      <c r="K3287" s="13"/>
      <c r="L3287" s="11"/>
      <c r="M3287" s="13"/>
      <c r="N3287" s="11"/>
      <c r="O3287" s="13"/>
      <c r="P3287" s="11"/>
      <c r="Q3287" s="13"/>
      <c r="R3287" s="10"/>
      <c r="S3287" s="10"/>
      <c r="AB3287"/>
      <c r="AC3287"/>
    </row>
    <row r="3288" spans="1:29" x14ac:dyDescent="0.25">
      <c r="A3288" t="str">
        <f t="shared" si="52"/>
        <v/>
      </c>
      <c r="B3288" s="10"/>
      <c r="C3288" s="10"/>
      <c r="D3288" s="10"/>
      <c r="E3288" s="10"/>
      <c r="F3288" s="10"/>
      <c r="G3288" s="11"/>
      <c r="H3288" s="12"/>
      <c r="I3288" s="13"/>
      <c r="J3288" s="12"/>
      <c r="K3288" s="13"/>
      <c r="L3288" s="11"/>
      <c r="M3288" s="13"/>
      <c r="N3288" s="11"/>
      <c r="O3288" s="13"/>
      <c r="P3288" s="11"/>
      <c r="Q3288" s="13"/>
      <c r="R3288" s="10"/>
      <c r="S3288" s="10"/>
      <c r="AB3288"/>
      <c r="AC3288"/>
    </row>
    <row r="3289" spans="1:29" x14ac:dyDescent="0.25">
      <c r="A3289" t="str">
        <f t="shared" si="52"/>
        <v/>
      </c>
      <c r="B3289" s="10"/>
      <c r="C3289" s="10"/>
      <c r="D3289" s="10"/>
      <c r="E3289" s="10"/>
      <c r="F3289" s="10"/>
      <c r="G3289" s="11"/>
      <c r="H3289" s="12"/>
      <c r="I3289" s="13"/>
      <c r="J3289" s="12"/>
      <c r="K3289" s="13"/>
      <c r="L3289" s="11"/>
      <c r="M3289" s="13"/>
      <c r="N3289" s="11"/>
      <c r="O3289" s="13"/>
      <c r="P3289" s="11"/>
      <c r="Q3289" s="13"/>
      <c r="R3289" s="10"/>
      <c r="S3289" s="10"/>
      <c r="AB3289"/>
      <c r="AC3289"/>
    </row>
    <row r="3290" spans="1:29" x14ac:dyDescent="0.25">
      <c r="A3290" t="str">
        <f t="shared" si="52"/>
        <v/>
      </c>
      <c r="B3290" s="10"/>
      <c r="C3290" s="10"/>
      <c r="D3290" s="10"/>
      <c r="E3290" s="10"/>
      <c r="F3290" s="10"/>
      <c r="G3290" s="11"/>
      <c r="H3290" s="12"/>
      <c r="I3290" s="13"/>
      <c r="J3290" s="12"/>
      <c r="K3290" s="13"/>
      <c r="L3290" s="11"/>
      <c r="M3290" s="13"/>
      <c r="N3290" s="11"/>
      <c r="O3290" s="13"/>
      <c r="P3290" s="11"/>
      <c r="Q3290" s="13"/>
      <c r="R3290" s="10"/>
      <c r="S3290" s="10"/>
      <c r="AB3290"/>
      <c r="AC3290"/>
    </row>
    <row r="3291" spans="1:29" x14ac:dyDescent="0.25">
      <c r="A3291" t="str">
        <f t="shared" si="52"/>
        <v/>
      </c>
      <c r="B3291" s="10"/>
      <c r="C3291" s="10"/>
      <c r="D3291" s="10"/>
      <c r="E3291" s="10"/>
      <c r="F3291" s="10"/>
      <c r="G3291" s="11"/>
      <c r="H3291" s="12"/>
      <c r="I3291" s="13"/>
      <c r="J3291" s="12"/>
      <c r="K3291" s="13"/>
      <c r="L3291" s="11"/>
      <c r="M3291" s="13"/>
      <c r="N3291" s="11"/>
      <c r="O3291" s="13"/>
      <c r="P3291" s="11"/>
      <c r="Q3291" s="13"/>
      <c r="R3291" s="10"/>
      <c r="S3291" s="10"/>
      <c r="AB3291"/>
      <c r="AC3291"/>
    </row>
    <row r="3292" spans="1:29" x14ac:dyDescent="0.25">
      <c r="A3292" t="str">
        <f t="shared" si="52"/>
        <v/>
      </c>
      <c r="B3292" s="10"/>
      <c r="C3292" s="10"/>
      <c r="D3292" s="10"/>
      <c r="E3292" s="10"/>
      <c r="F3292" s="10"/>
      <c r="G3292" s="11"/>
      <c r="H3292" s="12"/>
      <c r="I3292" s="13"/>
      <c r="J3292" s="12"/>
      <c r="K3292" s="13"/>
      <c r="L3292" s="11"/>
      <c r="M3292" s="13"/>
      <c r="N3292" s="11"/>
      <c r="O3292" s="13"/>
      <c r="P3292" s="11"/>
      <c r="Q3292" s="13"/>
      <c r="R3292" s="10"/>
      <c r="S3292" s="10"/>
      <c r="AB3292"/>
      <c r="AC3292"/>
    </row>
    <row r="3293" spans="1:29" x14ac:dyDescent="0.25">
      <c r="B3293" s="10"/>
      <c r="C3293" s="10"/>
      <c r="D3293" s="10"/>
      <c r="E3293" s="10"/>
      <c r="F3293" s="10"/>
      <c r="G3293" s="11"/>
      <c r="H3293" s="12"/>
      <c r="I3293" s="13"/>
      <c r="J3293" s="12"/>
      <c r="K3293" s="13"/>
      <c r="L3293" s="11"/>
      <c r="M3293" s="13"/>
      <c r="N3293" s="11"/>
      <c r="O3293" s="13"/>
      <c r="P3293" s="11"/>
      <c r="Q3293" s="13"/>
      <c r="R3293" s="10"/>
      <c r="S3293" s="10"/>
      <c r="AB3293"/>
      <c r="AC3293"/>
    </row>
    <row r="3294" spans="1:29" x14ac:dyDescent="0.25">
      <c r="B3294" s="10"/>
      <c r="C3294" s="10"/>
      <c r="D3294" s="10"/>
      <c r="E3294" s="10"/>
      <c r="F3294" s="10"/>
      <c r="G3294" s="11"/>
      <c r="H3294" s="12"/>
      <c r="I3294" s="13"/>
      <c r="J3294" s="12"/>
      <c r="K3294" s="13"/>
      <c r="L3294" s="11"/>
      <c r="M3294" s="13"/>
      <c r="N3294" s="11"/>
      <c r="O3294" s="13"/>
      <c r="P3294" s="11"/>
      <c r="Q3294" s="13"/>
      <c r="R3294" s="10"/>
      <c r="S3294" s="10"/>
      <c r="AB3294"/>
      <c r="AC3294"/>
    </row>
    <row r="3295" spans="1:29" x14ac:dyDescent="0.25">
      <c r="B3295" s="10"/>
      <c r="C3295" s="10"/>
      <c r="D3295" s="10"/>
      <c r="E3295" s="10"/>
      <c r="F3295" s="10"/>
      <c r="G3295" s="11"/>
      <c r="H3295" s="12"/>
      <c r="I3295" s="13"/>
      <c r="J3295" s="12"/>
      <c r="K3295" s="13"/>
      <c r="L3295" s="11"/>
      <c r="M3295" s="13"/>
      <c r="N3295" s="11"/>
      <c r="O3295" s="13"/>
      <c r="P3295" s="11"/>
      <c r="Q3295" s="13"/>
      <c r="R3295" s="10"/>
      <c r="S3295" s="10"/>
      <c r="AB3295"/>
      <c r="AC3295"/>
    </row>
    <row r="3296" spans="1:29" x14ac:dyDescent="0.25">
      <c r="B3296" s="10"/>
      <c r="C3296" s="10"/>
      <c r="D3296" s="10"/>
      <c r="E3296" s="10"/>
      <c r="F3296" s="10"/>
      <c r="G3296" s="11"/>
      <c r="H3296" s="12"/>
      <c r="I3296" s="13"/>
      <c r="J3296" s="12"/>
      <c r="K3296" s="13"/>
      <c r="L3296" s="11"/>
      <c r="M3296" s="13"/>
      <c r="N3296" s="11"/>
      <c r="O3296" s="13"/>
      <c r="P3296" s="11"/>
      <c r="Q3296" s="13"/>
      <c r="R3296" s="10"/>
      <c r="S3296" s="10"/>
      <c r="AB3296"/>
      <c r="AC3296"/>
    </row>
    <row r="3297" spans="1:29" x14ac:dyDescent="0.25">
      <c r="B3297" s="10"/>
      <c r="C3297" s="10"/>
      <c r="D3297" s="10"/>
      <c r="E3297" s="10"/>
      <c r="F3297" s="10"/>
      <c r="G3297" s="11"/>
      <c r="H3297" s="12"/>
      <c r="I3297" s="13"/>
      <c r="J3297" s="12"/>
      <c r="K3297" s="13"/>
      <c r="L3297" s="11"/>
      <c r="M3297" s="13"/>
      <c r="N3297" s="11"/>
      <c r="O3297" s="13"/>
      <c r="P3297" s="11"/>
      <c r="Q3297" s="13"/>
      <c r="R3297" s="10"/>
      <c r="S3297" s="10"/>
      <c r="AB3297"/>
      <c r="AC3297"/>
    </row>
    <row r="3298" spans="1:29" x14ac:dyDescent="0.25">
      <c r="A3298" t="str">
        <f t="shared" si="52"/>
        <v/>
      </c>
      <c r="B3298" s="10"/>
      <c r="C3298" s="10"/>
      <c r="D3298" s="10"/>
      <c r="E3298" s="10"/>
      <c r="F3298" s="10"/>
      <c r="G3298" s="11"/>
      <c r="H3298" s="12"/>
      <c r="I3298" s="13"/>
      <c r="J3298" s="12"/>
      <c r="K3298" s="13"/>
      <c r="L3298" s="11"/>
      <c r="M3298" s="13"/>
      <c r="N3298" s="11"/>
      <c r="O3298" s="13"/>
      <c r="P3298" s="11"/>
      <c r="Q3298" s="13"/>
      <c r="R3298" s="10"/>
      <c r="S3298" s="10"/>
      <c r="AB3298"/>
      <c r="AC3298"/>
    </row>
    <row r="3299" spans="1:29" x14ac:dyDescent="0.25">
      <c r="A3299" t="str">
        <f t="shared" si="52"/>
        <v/>
      </c>
      <c r="B3299" s="10"/>
      <c r="C3299" s="10"/>
      <c r="D3299" s="10"/>
      <c r="E3299" s="10"/>
      <c r="F3299" s="10"/>
      <c r="G3299" s="11"/>
      <c r="H3299" s="12"/>
      <c r="I3299" s="13"/>
      <c r="J3299" s="12"/>
      <c r="K3299" s="13"/>
      <c r="L3299" s="11"/>
      <c r="M3299" s="13"/>
      <c r="N3299" s="11"/>
      <c r="O3299" s="13"/>
      <c r="P3299" s="11"/>
      <c r="Q3299" s="13"/>
      <c r="R3299" s="10"/>
      <c r="S3299" s="10"/>
      <c r="AB3299"/>
      <c r="AC3299"/>
    </row>
    <row r="3300" spans="1:29" x14ac:dyDescent="0.25">
      <c r="A3300" t="str">
        <f t="shared" si="52"/>
        <v/>
      </c>
      <c r="B3300" s="10"/>
      <c r="C3300" s="10"/>
      <c r="D3300" s="10"/>
      <c r="E3300" s="10"/>
      <c r="F3300" s="10"/>
      <c r="G3300" s="11"/>
      <c r="H3300" s="12"/>
      <c r="I3300" s="13"/>
      <c r="J3300" s="12"/>
      <c r="K3300" s="13"/>
      <c r="L3300" s="11"/>
      <c r="M3300" s="13"/>
      <c r="N3300" s="11"/>
      <c r="O3300" s="13"/>
      <c r="P3300" s="11"/>
      <c r="Q3300" s="13"/>
      <c r="R3300" s="10"/>
      <c r="S3300" s="10"/>
      <c r="AB3300"/>
      <c r="AC3300"/>
    </row>
    <row r="3301" spans="1:29" x14ac:dyDescent="0.25">
      <c r="A3301" t="str">
        <f t="shared" si="52"/>
        <v/>
      </c>
      <c r="B3301" s="10"/>
      <c r="C3301" s="10"/>
      <c r="D3301" s="10"/>
      <c r="E3301" s="10"/>
      <c r="F3301" s="10"/>
      <c r="G3301" s="11"/>
      <c r="H3301" s="12"/>
      <c r="I3301" s="13"/>
      <c r="J3301" s="12"/>
      <c r="K3301" s="13"/>
      <c r="L3301" s="11"/>
      <c r="M3301" s="13"/>
      <c r="N3301" s="11"/>
      <c r="O3301" s="13"/>
      <c r="P3301" s="11"/>
      <c r="Q3301" s="13"/>
      <c r="R3301" s="10"/>
      <c r="S3301" s="10"/>
      <c r="AB3301"/>
      <c r="AC3301"/>
    </row>
    <row r="3302" spans="1:29" x14ac:dyDescent="0.25">
      <c r="A3302" t="str">
        <f t="shared" si="52"/>
        <v/>
      </c>
      <c r="B3302" s="10"/>
      <c r="C3302" s="10"/>
      <c r="D3302" s="10"/>
      <c r="E3302" s="10"/>
      <c r="F3302" s="10"/>
      <c r="G3302" s="11"/>
      <c r="H3302" s="12"/>
      <c r="I3302" s="13"/>
      <c r="J3302" s="12"/>
      <c r="K3302" s="13"/>
      <c r="L3302" s="11"/>
      <c r="M3302" s="13"/>
      <c r="N3302" s="11"/>
      <c r="O3302" s="13"/>
      <c r="P3302" s="11"/>
      <c r="Q3302" s="13"/>
      <c r="R3302" s="10"/>
      <c r="S3302" s="10"/>
      <c r="AB3302"/>
      <c r="AC3302"/>
    </row>
    <row r="3303" spans="1:29" x14ac:dyDescent="0.25">
      <c r="A3303" t="str">
        <f t="shared" si="52"/>
        <v/>
      </c>
      <c r="B3303" s="10"/>
      <c r="C3303" s="10"/>
      <c r="D3303" s="10"/>
      <c r="E3303" s="10"/>
      <c r="F3303" s="10"/>
      <c r="G3303" s="11"/>
      <c r="H3303" s="12"/>
      <c r="I3303" s="13"/>
      <c r="J3303" s="12"/>
      <c r="K3303" s="13"/>
      <c r="L3303" s="11"/>
      <c r="M3303" s="13"/>
      <c r="N3303" s="11"/>
      <c r="O3303" s="13"/>
      <c r="P3303" s="11"/>
      <c r="Q3303" s="13"/>
      <c r="R3303" s="10"/>
      <c r="S3303" s="10"/>
      <c r="AB3303"/>
      <c r="AC3303"/>
    </row>
    <row r="3304" spans="1:29" x14ac:dyDescent="0.25">
      <c r="A3304" t="str">
        <f t="shared" si="52"/>
        <v/>
      </c>
      <c r="B3304" s="10"/>
      <c r="C3304" s="10"/>
      <c r="D3304" s="10"/>
      <c r="E3304" s="10"/>
      <c r="F3304" s="10"/>
      <c r="G3304" s="11"/>
      <c r="H3304" s="12"/>
      <c r="I3304" s="13"/>
      <c r="J3304" s="12"/>
      <c r="K3304" s="13"/>
      <c r="L3304" s="11"/>
      <c r="M3304" s="13"/>
      <c r="N3304" s="11"/>
      <c r="O3304" s="13"/>
      <c r="P3304" s="11"/>
      <c r="Q3304" s="13"/>
      <c r="R3304" s="10"/>
      <c r="S3304" s="10"/>
      <c r="AB3304"/>
      <c r="AC3304"/>
    </row>
    <row r="3305" spans="1:29" x14ac:dyDescent="0.25">
      <c r="A3305" t="str">
        <f t="shared" si="52"/>
        <v/>
      </c>
      <c r="B3305" s="10"/>
      <c r="C3305" s="10"/>
      <c r="D3305" s="10"/>
      <c r="E3305" s="10"/>
      <c r="F3305" s="10"/>
      <c r="G3305" s="11"/>
      <c r="H3305" s="12"/>
      <c r="I3305" s="13"/>
      <c r="J3305" s="12"/>
      <c r="K3305" s="13"/>
      <c r="L3305" s="11"/>
      <c r="M3305" s="13"/>
      <c r="N3305" s="11"/>
      <c r="O3305" s="13"/>
      <c r="P3305" s="11"/>
      <c r="Q3305" s="13"/>
      <c r="R3305" s="10"/>
      <c r="S3305" s="10"/>
      <c r="AB3305"/>
      <c r="AC3305"/>
    </row>
    <row r="3306" spans="1:29" x14ac:dyDescent="0.25">
      <c r="A3306" t="str">
        <f t="shared" si="52"/>
        <v/>
      </c>
      <c r="B3306" s="10"/>
      <c r="C3306" s="10"/>
      <c r="D3306" s="10"/>
      <c r="E3306" s="10"/>
      <c r="F3306" s="10"/>
      <c r="G3306" s="11"/>
      <c r="H3306" s="12"/>
      <c r="I3306" s="13"/>
      <c r="J3306" s="12"/>
      <c r="K3306" s="13"/>
      <c r="L3306" s="11"/>
      <c r="M3306" s="13"/>
      <c r="N3306" s="11"/>
      <c r="O3306" s="13"/>
      <c r="P3306" s="11"/>
      <c r="Q3306" s="13"/>
      <c r="R3306" s="10"/>
      <c r="S3306" s="10"/>
      <c r="AB3306"/>
      <c r="AC3306"/>
    </row>
    <row r="3307" spans="1:29" x14ac:dyDescent="0.25">
      <c r="A3307" t="str">
        <f t="shared" si="52"/>
        <v/>
      </c>
      <c r="B3307" s="10"/>
      <c r="C3307" s="10"/>
      <c r="D3307" s="10"/>
      <c r="E3307" s="10"/>
      <c r="F3307" s="10"/>
      <c r="G3307" s="11"/>
      <c r="H3307" s="12"/>
      <c r="I3307" s="13"/>
      <c r="J3307" s="12"/>
      <c r="K3307" s="13"/>
      <c r="L3307" s="11"/>
      <c r="M3307" s="13"/>
      <c r="N3307" s="11"/>
      <c r="O3307" s="13"/>
      <c r="P3307" s="11"/>
      <c r="Q3307" s="13"/>
      <c r="R3307" s="10"/>
      <c r="S3307" s="10"/>
      <c r="AB3307"/>
      <c r="AC3307"/>
    </row>
    <row r="3308" spans="1:29" x14ac:dyDescent="0.25">
      <c r="A3308" t="str">
        <f t="shared" si="52"/>
        <v/>
      </c>
      <c r="B3308" s="10"/>
      <c r="C3308" s="10"/>
      <c r="D3308" s="10"/>
      <c r="E3308" s="10"/>
      <c r="F3308" s="10"/>
      <c r="G3308" s="11"/>
      <c r="H3308" s="12"/>
      <c r="I3308" s="13"/>
      <c r="J3308" s="12"/>
      <c r="K3308" s="13"/>
      <c r="L3308" s="11"/>
      <c r="M3308" s="13"/>
      <c r="N3308" s="11"/>
      <c r="O3308" s="13"/>
      <c r="P3308" s="11"/>
      <c r="Q3308" s="13"/>
      <c r="R3308" s="10"/>
      <c r="S3308" s="10"/>
      <c r="AB3308"/>
      <c r="AC3308"/>
    </row>
    <row r="3309" spans="1:29" x14ac:dyDescent="0.25">
      <c r="A3309" t="str">
        <f t="shared" si="52"/>
        <v/>
      </c>
      <c r="B3309" s="10"/>
      <c r="C3309" s="10"/>
      <c r="D3309" s="10"/>
      <c r="E3309" s="10"/>
      <c r="F3309" s="10"/>
      <c r="G3309" s="11"/>
      <c r="H3309" s="12"/>
      <c r="I3309" s="13"/>
      <c r="J3309" s="12"/>
      <c r="K3309" s="13"/>
      <c r="L3309" s="11"/>
      <c r="M3309" s="13"/>
      <c r="N3309" s="11"/>
      <c r="O3309" s="13"/>
      <c r="P3309" s="11"/>
      <c r="Q3309" s="13"/>
      <c r="R3309" s="10"/>
      <c r="S3309" s="10"/>
      <c r="AB3309"/>
      <c r="AC3309"/>
    </row>
    <row r="3310" spans="1:29" x14ac:dyDescent="0.25">
      <c r="A3310" t="str">
        <f t="shared" si="52"/>
        <v/>
      </c>
      <c r="B3310" s="10"/>
      <c r="C3310" s="10"/>
      <c r="D3310" s="10"/>
      <c r="E3310" s="10"/>
      <c r="F3310" s="10"/>
      <c r="G3310" s="11"/>
      <c r="H3310" s="12"/>
      <c r="I3310" s="13"/>
      <c r="J3310" s="12"/>
      <c r="K3310" s="13"/>
      <c r="L3310" s="11"/>
      <c r="M3310" s="13"/>
      <c r="N3310" s="11"/>
      <c r="O3310" s="13"/>
      <c r="P3310" s="11"/>
      <c r="Q3310" s="13"/>
      <c r="R3310" s="10"/>
      <c r="S3310" s="10"/>
      <c r="AB3310"/>
      <c r="AC3310"/>
    </row>
    <row r="3311" spans="1:29" x14ac:dyDescent="0.25">
      <c r="A3311" t="str">
        <f t="shared" si="52"/>
        <v/>
      </c>
      <c r="B3311" s="10"/>
      <c r="C3311" s="10"/>
      <c r="D3311" s="10"/>
      <c r="E3311" s="10"/>
      <c r="F3311" s="10"/>
      <c r="G3311" s="11"/>
      <c r="H3311" s="12"/>
      <c r="I3311" s="13"/>
      <c r="J3311" s="12"/>
      <c r="K3311" s="13"/>
      <c r="L3311" s="11"/>
      <c r="M3311" s="13"/>
      <c r="N3311" s="11"/>
      <c r="O3311" s="13"/>
      <c r="P3311" s="11"/>
      <c r="Q3311" s="13"/>
      <c r="R3311" s="10"/>
      <c r="S3311" s="10"/>
      <c r="AB3311"/>
      <c r="AC3311"/>
    </row>
    <row r="3312" spans="1:29" x14ac:dyDescent="0.25">
      <c r="A3312" t="str">
        <f t="shared" si="52"/>
        <v/>
      </c>
      <c r="B3312" s="10"/>
      <c r="C3312" s="10"/>
      <c r="D3312" s="10"/>
      <c r="E3312" s="10"/>
      <c r="F3312" s="10"/>
      <c r="G3312" s="11"/>
      <c r="H3312" s="12"/>
      <c r="I3312" s="13"/>
      <c r="J3312" s="12"/>
      <c r="K3312" s="13"/>
      <c r="L3312" s="11"/>
      <c r="M3312" s="13"/>
      <c r="N3312" s="11"/>
      <c r="O3312" s="13"/>
      <c r="P3312" s="11"/>
      <c r="Q3312" s="13"/>
      <c r="R3312" s="10"/>
      <c r="S3312" s="10"/>
      <c r="AB3312"/>
      <c r="AC3312"/>
    </row>
    <row r="3313" spans="1:29" x14ac:dyDescent="0.25">
      <c r="A3313" t="str">
        <f t="shared" si="52"/>
        <v/>
      </c>
      <c r="B3313" s="10"/>
      <c r="C3313" s="10"/>
      <c r="D3313" s="10"/>
      <c r="E3313" s="10"/>
      <c r="F3313" s="10"/>
      <c r="G3313" s="11"/>
      <c r="H3313" s="12"/>
      <c r="I3313" s="13"/>
      <c r="J3313" s="12"/>
      <c r="K3313" s="13"/>
      <c r="L3313" s="11"/>
      <c r="M3313" s="13"/>
      <c r="N3313" s="11"/>
      <c r="O3313" s="13"/>
      <c r="P3313" s="11"/>
      <c r="Q3313" s="13"/>
      <c r="R3313" s="10"/>
      <c r="S3313" s="10"/>
      <c r="AB3313"/>
      <c r="AC3313"/>
    </row>
    <row r="3314" spans="1:29" x14ac:dyDescent="0.25">
      <c r="A3314" t="str">
        <f t="shared" si="52"/>
        <v/>
      </c>
      <c r="B3314" s="10"/>
      <c r="C3314" s="10"/>
      <c r="D3314" s="10"/>
      <c r="E3314" s="10"/>
      <c r="F3314" s="10"/>
      <c r="G3314" s="11"/>
      <c r="H3314" s="12"/>
      <c r="I3314" s="13"/>
      <c r="J3314" s="12"/>
      <c r="K3314" s="13"/>
      <c r="L3314" s="11"/>
      <c r="M3314" s="13"/>
      <c r="N3314" s="11"/>
      <c r="O3314" s="13"/>
      <c r="P3314" s="11"/>
      <c r="Q3314" s="13"/>
      <c r="R3314" s="10"/>
      <c r="S3314" s="10"/>
      <c r="AB3314"/>
      <c r="AC3314"/>
    </row>
    <row r="3315" spans="1:29" x14ac:dyDescent="0.25">
      <c r="A3315" t="str">
        <f t="shared" si="52"/>
        <v/>
      </c>
      <c r="B3315" s="10"/>
      <c r="C3315" s="10"/>
      <c r="D3315" s="10"/>
      <c r="E3315" s="10"/>
      <c r="F3315" s="10"/>
      <c r="G3315" s="11"/>
      <c r="H3315" s="12"/>
      <c r="I3315" s="13"/>
      <c r="J3315" s="12"/>
      <c r="K3315" s="13"/>
      <c r="L3315" s="11"/>
      <c r="M3315" s="13"/>
      <c r="N3315" s="11"/>
      <c r="O3315" s="13"/>
      <c r="P3315" s="11"/>
      <c r="Q3315" s="13"/>
      <c r="R3315" s="10"/>
      <c r="S3315" s="10"/>
      <c r="AB3315"/>
      <c r="AC3315"/>
    </row>
    <row r="3316" spans="1:29" x14ac:dyDescent="0.25">
      <c r="A3316" t="str">
        <f t="shared" si="52"/>
        <v/>
      </c>
      <c r="B3316" s="10"/>
      <c r="C3316" s="10"/>
      <c r="D3316" s="10"/>
      <c r="E3316" s="10"/>
      <c r="F3316" s="10"/>
      <c r="G3316" s="11"/>
      <c r="H3316" s="12"/>
      <c r="I3316" s="13"/>
      <c r="J3316" s="12"/>
      <c r="K3316" s="13"/>
      <c r="L3316" s="11"/>
      <c r="M3316" s="13"/>
      <c r="N3316" s="11"/>
      <c r="O3316" s="13"/>
      <c r="P3316" s="11"/>
      <c r="Q3316" s="13"/>
      <c r="R3316" s="10"/>
      <c r="S3316" s="10"/>
      <c r="AB3316"/>
      <c r="AC3316"/>
    </row>
    <row r="3317" spans="1:29" x14ac:dyDescent="0.25">
      <c r="A3317" t="str">
        <f t="shared" si="52"/>
        <v/>
      </c>
      <c r="B3317" s="10"/>
      <c r="C3317" s="10"/>
      <c r="D3317" s="10"/>
      <c r="E3317" s="10"/>
      <c r="F3317" s="10"/>
      <c r="G3317" s="11"/>
      <c r="H3317" s="12"/>
      <c r="I3317" s="13"/>
      <c r="J3317" s="12"/>
      <c r="K3317" s="13"/>
      <c r="L3317" s="11"/>
      <c r="M3317" s="13"/>
      <c r="N3317" s="11"/>
      <c r="O3317" s="13"/>
      <c r="P3317" s="11"/>
      <c r="Q3317" s="13"/>
      <c r="R3317" s="10"/>
      <c r="S3317" s="10"/>
      <c r="AB3317"/>
      <c r="AC3317"/>
    </row>
    <row r="3318" spans="1:29" x14ac:dyDescent="0.25">
      <c r="A3318" t="str">
        <f t="shared" si="52"/>
        <v/>
      </c>
      <c r="B3318" s="10"/>
      <c r="C3318" s="10"/>
      <c r="D3318" s="10"/>
      <c r="E3318" s="10"/>
      <c r="F3318" s="10"/>
      <c r="G3318" s="11"/>
      <c r="H3318" s="12"/>
      <c r="I3318" s="13"/>
      <c r="J3318" s="12"/>
      <c r="K3318" s="13"/>
      <c r="L3318" s="11"/>
      <c r="M3318" s="13"/>
      <c r="N3318" s="11"/>
      <c r="O3318" s="13"/>
      <c r="P3318" s="11"/>
      <c r="Q3318" s="13"/>
      <c r="R3318" s="10"/>
      <c r="S3318" s="10"/>
      <c r="AB3318"/>
      <c r="AC3318"/>
    </row>
    <row r="3319" spans="1:29" x14ac:dyDescent="0.25">
      <c r="A3319" t="str">
        <f t="shared" ref="A3319:A3380" si="53">B3317&amp;D3317</f>
        <v/>
      </c>
      <c r="B3319" s="10"/>
      <c r="C3319" s="10"/>
      <c r="D3319" s="10"/>
      <c r="E3319" s="10"/>
      <c r="F3319" s="10"/>
      <c r="G3319" s="11"/>
      <c r="H3319" s="12"/>
      <c r="I3319" s="13"/>
      <c r="J3319" s="12"/>
      <c r="K3319" s="13"/>
      <c r="L3319" s="11"/>
      <c r="M3319" s="13"/>
      <c r="N3319" s="11"/>
      <c r="O3319" s="13"/>
      <c r="P3319" s="11"/>
      <c r="Q3319" s="13"/>
      <c r="R3319" s="10"/>
      <c r="S3319" s="10"/>
      <c r="AB3319"/>
      <c r="AC3319"/>
    </row>
    <row r="3320" spans="1:29" x14ac:dyDescent="0.25">
      <c r="A3320" t="str">
        <f t="shared" si="53"/>
        <v/>
      </c>
      <c r="B3320" s="10"/>
      <c r="C3320" s="10"/>
      <c r="D3320" s="10"/>
      <c r="E3320" s="10"/>
      <c r="F3320" s="10"/>
      <c r="G3320" s="11"/>
      <c r="H3320" s="12"/>
      <c r="I3320" s="13"/>
      <c r="J3320" s="12"/>
      <c r="K3320" s="13"/>
      <c r="L3320" s="11"/>
      <c r="M3320" s="13"/>
      <c r="N3320" s="11"/>
      <c r="O3320" s="13"/>
      <c r="P3320" s="11"/>
      <c r="Q3320" s="13"/>
      <c r="R3320" s="10"/>
      <c r="S3320" s="10"/>
      <c r="AB3320"/>
      <c r="AC3320"/>
    </row>
    <row r="3321" spans="1:29" x14ac:dyDescent="0.25">
      <c r="A3321" t="str">
        <f t="shared" si="53"/>
        <v/>
      </c>
      <c r="B3321" s="10"/>
      <c r="C3321" s="10"/>
      <c r="D3321" s="10"/>
      <c r="E3321" s="10"/>
      <c r="F3321" s="10"/>
      <c r="G3321" s="11"/>
      <c r="H3321" s="12"/>
      <c r="I3321" s="13"/>
      <c r="J3321" s="12"/>
      <c r="K3321" s="13"/>
      <c r="L3321" s="11"/>
      <c r="M3321" s="13"/>
      <c r="N3321" s="11"/>
      <c r="O3321" s="13"/>
      <c r="P3321" s="11"/>
      <c r="Q3321" s="13"/>
      <c r="R3321" s="10"/>
      <c r="S3321" s="10"/>
      <c r="AB3321"/>
      <c r="AC3321"/>
    </row>
    <row r="3322" spans="1:29" x14ac:dyDescent="0.25">
      <c r="A3322" t="str">
        <f t="shared" si="53"/>
        <v/>
      </c>
      <c r="B3322" s="10"/>
      <c r="C3322" s="10"/>
      <c r="D3322" s="10"/>
      <c r="E3322" s="10"/>
      <c r="F3322" s="10"/>
      <c r="G3322" s="11"/>
      <c r="H3322" s="12"/>
      <c r="I3322" s="13"/>
      <c r="J3322" s="12"/>
      <c r="K3322" s="13"/>
      <c r="L3322" s="11"/>
      <c r="M3322" s="13"/>
      <c r="N3322" s="11"/>
      <c r="O3322" s="13"/>
      <c r="P3322" s="11"/>
      <c r="Q3322" s="13"/>
      <c r="R3322" s="10"/>
      <c r="S3322" s="10"/>
      <c r="AB3322"/>
      <c r="AC3322"/>
    </row>
    <row r="3323" spans="1:29" x14ac:dyDescent="0.25">
      <c r="A3323" t="str">
        <f t="shared" si="53"/>
        <v/>
      </c>
      <c r="B3323" s="10"/>
      <c r="C3323" s="10"/>
      <c r="D3323" s="10"/>
      <c r="E3323" s="10"/>
      <c r="F3323" s="10"/>
      <c r="G3323" s="11"/>
      <c r="H3323" s="12"/>
      <c r="I3323" s="13"/>
      <c r="J3323" s="12"/>
      <c r="K3323" s="13"/>
      <c r="L3323" s="11"/>
      <c r="M3323" s="13"/>
      <c r="N3323" s="11"/>
      <c r="O3323" s="13"/>
      <c r="P3323" s="11"/>
      <c r="Q3323" s="13"/>
      <c r="R3323" s="10"/>
      <c r="S3323" s="10"/>
      <c r="AB3323"/>
      <c r="AC3323"/>
    </row>
    <row r="3324" spans="1:29" x14ac:dyDescent="0.25">
      <c r="B3324" s="10"/>
      <c r="C3324" s="10"/>
      <c r="D3324" s="10"/>
      <c r="E3324" s="10"/>
      <c r="F3324" s="10"/>
      <c r="G3324" s="11"/>
      <c r="H3324" s="12"/>
      <c r="I3324" s="13"/>
      <c r="J3324" s="12"/>
      <c r="K3324" s="13"/>
      <c r="L3324" s="11"/>
      <c r="M3324" s="13"/>
      <c r="N3324" s="11"/>
      <c r="O3324" s="13"/>
      <c r="P3324" s="11"/>
      <c r="Q3324" s="13"/>
      <c r="R3324" s="10"/>
      <c r="S3324" s="10"/>
      <c r="AB3324"/>
      <c r="AC3324"/>
    </row>
    <row r="3325" spans="1:29" x14ac:dyDescent="0.25">
      <c r="B3325" s="10"/>
      <c r="C3325" s="10"/>
      <c r="D3325" s="10"/>
      <c r="E3325" s="10"/>
      <c r="F3325" s="10"/>
      <c r="G3325" s="11"/>
      <c r="H3325" s="12"/>
      <c r="I3325" s="13"/>
      <c r="J3325" s="12"/>
      <c r="K3325" s="13"/>
      <c r="L3325" s="11"/>
      <c r="M3325" s="13"/>
      <c r="N3325" s="11"/>
      <c r="O3325" s="13"/>
      <c r="P3325" s="11"/>
      <c r="Q3325" s="13"/>
      <c r="R3325" s="10"/>
      <c r="S3325" s="10"/>
      <c r="AB3325"/>
      <c r="AC3325"/>
    </row>
    <row r="3326" spans="1:29" x14ac:dyDescent="0.25">
      <c r="B3326" s="10"/>
      <c r="C3326" s="10"/>
      <c r="D3326" s="10"/>
      <c r="E3326" s="10"/>
      <c r="F3326" s="10"/>
      <c r="G3326" s="11"/>
      <c r="H3326" s="12"/>
      <c r="I3326" s="13"/>
      <c r="J3326" s="12"/>
      <c r="K3326" s="13"/>
      <c r="L3326" s="11"/>
      <c r="M3326" s="13"/>
      <c r="N3326" s="11"/>
      <c r="O3326" s="13"/>
      <c r="P3326" s="11"/>
      <c r="Q3326" s="13"/>
      <c r="R3326" s="10"/>
      <c r="S3326" s="10"/>
      <c r="AB3326"/>
      <c r="AC3326"/>
    </row>
    <row r="3327" spans="1:29" x14ac:dyDescent="0.25">
      <c r="A3327" t="str">
        <f t="shared" si="53"/>
        <v/>
      </c>
      <c r="B3327" s="10"/>
      <c r="C3327" s="10"/>
      <c r="D3327" s="10"/>
      <c r="E3327" s="10"/>
      <c r="F3327" s="10"/>
      <c r="G3327" s="11"/>
      <c r="H3327" s="12"/>
      <c r="I3327" s="13"/>
      <c r="J3327" s="12"/>
      <c r="K3327" s="13"/>
      <c r="L3327" s="11"/>
      <c r="M3327" s="13"/>
      <c r="N3327" s="11"/>
      <c r="O3327" s="13"/>
      <c r="P3327" s="11"/>
      <c r="Q3327" s="13"/>
      <c r="R3327" s="10"/>
      <c r="S3327" s="10"/>
      <c r="AB3327"/>
      <c r="AC3327"/>
    </row>
    <row r="3328" spans="1:29" x14ac:dyDescent="0.25">
      <c r="A3328" t="str">
        <f t="shared" si="53"/>
        <v/>
      </c>
      <c r="B3328" s="10"/>
      <c r="C3328" s="10"/>
      <c r="D3328" s="10"/>
      <c r="E3328" s="10"/>
      <c r="F3328" s="10"/>
      <c r="G3328" s="11"/>
      <c r="H3328" s="12"/>
      <c r="I3328" s="13"/>
      <c r="J3328" s="12"/>
      <c r="K3328" s="13"/>
      <c r="L3328" s="11"/>
      <c r="M3328" s="13"/>
      <c r="N3328" s="11"/>
      <c r="O3328" s="13"/>
      <c r="P3328" s="11"/>
      <c r="Q3328" s="13"/>
      <c r="R3328" s="10"/>
      <c r="S3328" s="10"/>
      <c r="AB3328"/>
      <c r="AC3328"/>
    </row>
    <row r="3329" spans="1:29" x14ac:dyDescent="0.25">
      <c r="A3329" t="str">
        <f t="shared" si="53"/>
        <v/>
      </c>
      <c r="B3329" s="10"/>
      <c r="C3329" s="10"/>
      <c r="D3329" s="10"/>
      <c r="E3329" s="10"/>
      <c r="F3329" s="10"/>
      <c r="G3329" s="11"/>
      <c r="H3329" s="12"/>
      <c r="I3329" s="13"/>
      <c r="J3329" s="12"/>
      <c r="K3329" s="13"/>
      <c r="L3329" s="11"/>
      <c r="M3329" s="13"/>
      <c r="N3329" s="11"/>
      <c r="O3329" s="13"/>
      <c r="P3329" s="11"/>
      <c r="Q3329" s="13"/>
      <c r="R3329" s="10"/>
      <c r="S3329" s="10"/>
      <c r="AB3329"/>
      <c r="AC3329"/>
    </row>
    <row r="3330" spans="1:29" x14ac:dyDescent="0.25">
      <c r="A3330" t="str">
        <f t="shared" si="53"/>
        <v/>
      </c>
      <c r="B3330" s="10"/>
      <c r="C3330" s="10"/>
      <c r="D3330" s="10"/>
      <c r="E3330" s="10"/>
      <c r="F3330" s="10"/>
      <c r="G3330" s="11"/>
      <c r="H3330" s="12"/>
      <c r="I3330" s="13"/>
      <c r="J3330" s="12"/>
      <c r="K3330" s="13"/>
      <c r="L3330" s="11"/>
      <c r="M3330" s="13"/>
      <c r="N3330" s="11"/>
      <c r="O3330" s="13"/>
      <c r="P3330" s="11"/>
      <c r="Q3330" s="13"/>
      <c r="R3330" s="10"/>
      <c r="S3330" s="10"/>
      <c r="AB3330"/>
      <c r="AC3330"/>
    </row>
    <row r="3331" spans="1:29" x14ac:dyDescent="0.25">
      <c r="A3331" t="str">
        <f t="shared" si="53"/>
        <v/>
      </c>
      <c r="B3331" s="10"/>
      <c r="C3331" s="10"/>
      <c r="D3331" s="10"/>
      <c r="E3331" s="10"/>
      <c r="F3331" s="10"/>
      <c r="G3331" s="11"/>
      <c r="H3331" s="12"/>
      <c r="I3331" s="13"/>
      <c r="J3331" s="12"/>
      <c r="K3331" s="13"/>
      <c r="L3331" s="11"/>
      <c r="M3331" s="13"/>
      <c r="N3331" s="11"/>
      <c r="O3331" s="13"/>
      <c r="P3331" s="11"/>
      <c r="Q3331" s="13"/>
      <c r="R3331" s="10"/>
      <c r="S3331" s="10"/>
      <c r="AB3331"/>
      <c r="AC3331"/>
    </row>
    <row r="3332" spans="1:29" x14ac:dyDescent="0.25">
      <c r="A3332" t="str">
        <f t="shared" si="53"/>
        <v/>
      </c>
      <c r="B3332" s="10"/>
      <c r="C3332" s="10"/>
      <c r="D3332" s="10"/>
      <c r="E3332" s="10"/>
      <c r="F3332" s="10"/>
      <c r="G3332" s="11"/>
      <c r="H3332" s="12"/>
      <c r="I3332" s="13"/>
      <c r="J3332" s="12"/>
      <c r="K3332" s="13"/>
      <c r="L3332" s="11"/>
      <c r="M3332" s="13"/>
      <c r="N3332" s="11"/>
      <c r="O3332" s="13"/>
      <c r="P3332" s="11"/>
      <c r="Q3332" s="13"/>
      <c r="R3332" s="10"/>
      <c r="S3332" s="10"/>
      <c r="AB3332"/>
      <c r="AC3332"/>
    </row>
    <row r="3333" spans="1:29" x14ac:dyDescent="0.25">
      <c r="A3333" t="str">
        <f t="shared" si="53"/>
        <v/>
      </c>
      <c r="B3333" s="10"/>
      <c r="C3333" s="10"/>
      <c r="D3333" s="10"/>
      <c r="E3333" s="10"/>
      <c r="F3333" s="10"/>
      <c r="G3333" s="11"/>
      <c r="H3333" s="12"/>
      <c r="I3333" s="13"/>
      <c r="J3333" s="12"/>
      <c r="K3333" s="13"/>
      <c r="L3333" s="11"/>
      <c r="M3333" s="13"/>
      <c r="N3333" s="11"/>
      <c r="O3333" s="13"/>
      <c r="P3333" s="11"/>
      <c r="Q3333" s="13"/>
      <c r="R3333" s="10"/>
      <c r="S3333" s="10"/>
      <c r="AB3333"/>
      <c r="AC3333"/>
    </row>
    <row r="3334" spans="1:29" x14ac:dyDescent="0.25">
      <c r="A3334" t="str">
        <f t="shared" si="53"/>
        <v/>
      </c>
      <c r="B3334" s="10"/>
      <c r="C3334" s="10"/>
      <c r="D3334" s="10"/>
      <c r="E3334" s="10"/>
      <c r="F3334" s="10"/>
      <c r="G3334" s="11"/>
      <c r="H3334" s="12"/>
      <c r="I3334" s="13"/>
      <c r="J3334" s="12"/>
      <c r="K3334" s="13"/>
      <c r="L3334" s="11"/>
      <c r="M3334" s="13"/>
      <c r="N3334" s="11"/>
      <c r="O3334" s="13"/>
      <c r="P3334" s="11"/>
      <c r="Q3334" s="13"/>
      <c r="R3334" s="10"/>
      <c r="S3334" s="10"/>
      <c r="AB3334"/>
      <c r="AC3334"/>
    </row>
    <row r="3335" spans="1:29" x14ac:dyDescent="0.25">
      <c r="A3335" t="str">
        <f t="shared" si="53"/>
        <v/>
      </c>
      <c r="B3335" s="10"/>
      <c r="C3335" s="10"/>
      <c r="D3335" s="10"/>
      <c r="E3335" s="10"/>
      <c r="F3335" s="10"/>
      <c r="G3335" s="11"/>
      <c r="H3335" s="12"/>
      <c r="I3335" s="13"/>
      <c r="J3335" s="12"/>
      <c r="K3335" s="13"/>
      <c r="L3335" s="11"/>
      <c r="M3335" s="13"/>
      <c r="N3335" s="11"/>
      <c r="O3335" s="13"/>
      <c r="P3335" s="11"/>
      <c r="Q3335" s="13"/>
      <c r="R3335" s="10"/>
      <c r="S3335" s="10"/>
      <c r="AB3335"/>
      <c r="AC3335"/>
    </row>
    <row r="3336" spans="1:29" x14ac:dyDescent="0.25">
      <c r="A3336" t="str">
        <f t="shared" si="53"/>
        <v/>
      </c>
      <c r="B3336" s="10"/>
      <c r="C3336" s="10"/>
      <c r="D3336" s="10"/>
      <c r="E3336" s="10"/>
      <c r="F3336" s="10"/>
      <c r="G3336" s="11"/>
      <c r="H3336" s="12"/>
      <c r="I3336" s="13"/>
      <c r="J3336" s="12"/>
      <c r="K3336" s="13"/>
      <c r="L3336" s="11"/>
      <c r="M3336" s="13"/>
      <c r="N3336" s="11"/>
      <c r="O3336" s="13"/>
      <c r="P3336" s="11"/>
      <c r="Q3336" s="13"/>
      <c r="R3336" s="10"/>
      <c r="S3336" s="10"/>
      <c r="AB3336"/>
      <c r="AC3336"/>
    </row>
    <row r="3337" spans="1:29" x14ac:dyDescent="0.25">
      <c r="A3337" t="str">
        <f t="shared" si="53"/>
        <v/>
      </c>
      <c r="B3337" s="10"/>
      <c r="C3337" s="10"/>
      <c r="D3337" s="10"/>
      <c r="E3337" s="10"/>
      <c r="F3337" s="10"/>
      <c r="G3337" s="11"/>
      <c r="H3337" s="12"/>
      <c r="I3337" s="13"/>
      <c r="J3337" s="12"/>
      <c r="K3337" s="13"/>
      <c r="L3337" s="11"/>
      <c r="M3337" s="13"/>
      <c r="N3337" s="11"/>
      <c r="O3337" s="13"/>
      <c r="P3337" s="11"/>
      <c r="Q3337" s="13"/>
      <c r="R3337" s="10"/>
      <c r="S3337" s="10"/>
      <c r="AB3337"/>
      <c r="AC3337"/>
    </row>
    <row r="3338" spans="1:29" x14ac:dyDescent="0.25">
      <c r="A3338" t="str">
        <f t="shared" si="53"/>
        <v/>
      </c>
      <c r="B3338" s="10"/>
      <c r="C3338" s="10"/>
      <c r="D3338" s="10"/>
      <c r="E3338" s="10"/>
      <c r="F3338" s="10"/>
      <c r="G3338" s="11"/>
      <c r="H3338" s="12"/>
      <c r="I3338" s="13"/>
      <c r="J3338" s="12"/>
      <c r="K3338" s="13"/>
      <c r="L3338" s="11"/>
      <c r="M3338" s="13"/>
      <c r="N3338" s="11"/>
      <c r="O3338" s="13"/>
      <c r="P3338" s="11"/>
      <c r="Q3338" s="13"/>
      <c r="R3338" s="10"/>
      <c r="S3338" s="10"/>
      <c r="AB3338"/>
      <c r="AC3338"/>
    </row>
    <row r="3339" spans="1:29" x14ac:dyDescent="0.25">
      <c r="A3339" t="str">
        <f t="shared" si="53"/>
        <v/>
      </c>
      <c r="B3339" s="10"/>
      <c r="C3339" s="10"/>
      <c r="D3339" s="10"/>
      <c r="E3339" s="10"/>
      <c r="F3339" s="10"/>
      <c r="G3339" s="11"/>
      <c r="H3339" s="12"/>
      <c r="I3339" s="13"/>
      <c r="J3339" s="12"/>
      <c r="K3339" s="13"/>
      <c r="L3339" s="11"/>
      <c r="M3339" s="13"/>
      <c r="N3339" s="11"/>
      <c r="O3339" s="13"/>
      <c r="P3339" s="11"/>
      <c r="Q3339" s="13"/>
      <c r="R3339" s="10"/>
      <c r="S3339" s="10"/>
      <c r="AB3339"/>
      <c r="AC3339"/>
    </row>
    <row r="3340" spans="1:29" x14ac:dyDescent="0.25">
      <c r="A3340" t="str">
        <f t="shared" si="53"/>
        <v/>
      </c>
      <c r="B3340" s="10"/>
      <c r="C3340" s="10"/>
      <c r="D3340" s="10"/>
      <c r="E3340" s="10"/>
      <c r="F3340" s="10"/>
      <c r="G3340" s="11"/>
      <c r="H3340" s="12"/>
      <c r="I3340" s="13"/>
      <c r="J3340" s="12"/>
      <c r="K3340" s="13"/>
      <c r="L3340" s="11"/>
      <c r="M3340" s="13"/>
      <c r="N3340" s="11"/>
      <c r="O3340" s="13"/>
      <c r="P3340" s="11"/>
      <c r="Q3340" s="13"/>
      <c r="R3340" s="10"/>
      <c r="S3340" s="10"/>
      <c r="AB3340"/>
      <c r="AC3340"/>
    </row>
    <row r="3341" spans="1:29" x14ac:dyDescent="0.25">
      <c r="A3341" t="str">
        <f t="shared" si="53"/>
        <v/>
      </c>
      <c r="B3341" s="10"/>
      <c r="C3341" s="10"/>
      <c r="D3341" s="10"/>
      <c r="E3341" s="10"/>
      <c r="F3341" s="10"/>
      <c r="G3341" s="11"/>
      <c r="H3341" s="12"/>
      <c r="I3341" s="13"/>
      <c r="J3341" s="12"/>
      <c r="K3341" s="13"/>
      <c r="L3341" s="11"/>
      <c r="M3341" s="13"/>
      <c r="N3341" s="11"/>
      <c r="O3341" s="13"/>
      <c r="P3341" s="11"/>
      <c r="Q3341" s="13"/>
      <c r="R3341" s="10"/>
      <c r="S3341" s="10"/>
      <c r="AB3341"/>
      <c r="AC3341"/>
    </row>
    <row r="3342" spans="1:29" x14ac:dyDescent="0.25">
      <c r="A3342" t="str">
        <f t="shared" si="53"/>
        <v/>
      </c>
      <c r="B3342" s="10"/>
      <c r="C3342" s="10"/>
      <c r="D3342" s="10"/>
      <c r="E3342" s="10"/>
      <c r="F3342" s="10"/>
      <c r="G3342" s="11"/>
      <c r="H3342" s="12"/>
      <c r="I3342" s="13"/>
      <c r="J3342" s="12"/>
      <c r="K3342" s="13"/>
      <c r="L3342" s="11"/>
      <c r="M3342" s="13"/>
      <c r="N3342" s="11"/>
      <c r="O3342" s="13"/>
      <c r="P3342" s="11"/>
      <c r="Q3342" s="13"/>
      <c r="R3342" s="10"/>
      <c r="S3342" s="10"/>
      <c r="AB3342"/>
      <c r="AC3342"/>
    </row>
    <row r="3343" spans="1:29" x14ac:dyDescent="0.25">
      <c r="A3343" t="str">
        <f t="shared" si="53"/>
        <v/>
      </c>
      <c r="B3343" s="10"/>
      <c r="C3343" s="10"/>
      <c r="D3343" s="10"/>
      <c r="E3343" s="10"/>
      <c r="F3343" s="10"/>
      <c r="G3343" s="11"/>
      <c r="H3343" s="12"/>
      <c r="I3343" s="13"/>
      <c r="J3343" s="12"/>
      <c r="K3343" s="13"/>
      <c r="L3343" s="11"/>
      <c r="M3343" s="13"/>
      <c r="N3343" s="11"/>
      <c r="O3343" s="13"/>
      <c r="P3343" s="11"/>
      <c r="Q3343" s="13"/>
      <c r="R3343" s="10"/>
      <c r="S3343" s="10"/>
      <c r="AB3343"/>
      <c r="AC3343"/>
    </row>
    <row r="3344" spans="1:29" x14ac:dyDescent="0.25">
      <c r="A3344" t="str">
        <f t="shared" si="53"/>
        <v/>
      </c>
      <c r="B3344" s="10"/>
      <c r="C3344" s="10"/>
      <c r="D3344" s="10"/>
      <c r="E3344" s="10"/>
      <c r="F3344" s="10"/>
      <c r="G3344" s="11"/>
      <c r="H3344" s="12"/>
      <c r="I3344" s="13"/>
      <c r="J3344" s="12"/>
      <c r="K3344" s="13"/>
      <c r="L3344" s="11"/>
      <c r="M3344" s="13"/>
      <c r="N3344" s="11"/>
      <c r="O3344" s="13"/>
      <c r="P3344" s="11"/>
      <c r="Q3344" s="13"/>
      <c r="R3344" s="10"/>
      <c r="S3344" s="10"/>
      <c r="AB3344"/>
      <c r="AC3344"/>
    </row>
    <row r="3345" spans="1:29" x14ac:dyDescent="0.25">
      <c r="A3345" t="str">
        <f t="shared" si="53"/>
        <v/>
      </c>
      <c r="B3345" s="10"/>
      <c r="C3345" s="10"/>
      <c r="D3345" s="10"/>
      <c r="E3345" s="10"/>
      <c r="F3345" s="10"/>
      <c r="G3345" s="11"/>
      <c r="H3345" s="12"/>
      <c r="I3345" s="13"/>
      <c r="J3345" s="12"/>
      <c r="K3345" s="13"/>
      <c r="L3345" s="11"/>
      <c r="M3345" s="13"/>
      <c r="N3345" s="11"/>
      <c r="O3345" s="13"/>
      <c r="P3345" s="11"/>
      <c r="Q3345" s="13"/>
      <c r="R3345" s="10"/>
      <c r="S3345" s="10"/>
      <c r="AB3345"/>
      <c r="AC3345"/>
    </row>
    <row r="3346" spans="1:29" x14ac:dyDescent="0.25">
      <c r="A3346" t="str">
        <f t="shared" si="53"/>
        <v/>
      </c>
      <c r="B3346" s="10"/>
      <c r="C3346" s="10"/>
      <c r="D3346" s="10"/>
      <c r="E3346" s="10"/>
      <c r="F3346" s="10"/>
      <c r="G3346" s="11"/>
      <c r="H3346" s="12"/>
      <c r="I3346" s="13"/>
      <c r="J3346" s="12"/>
      <c r="K3346" s="13"/>
      <c r="L3346" s="11"/>
      <c r="M3346" s="13"/>
      <c r="N3346" s="11"/>
      <c r="O3346" s="13"/>
      <c r="P3346" s="11"/>
      <c r="Q3346" s="13"/>
      <c r="R3346" s="10"/>
      <c r="S3346" s="10"/>
      <c r="AB3346"/>
      <c r="AC3346"/>
    </row>
    <row r="3347" spans="1:29" x14ac:dyDescent="0.25">
      <c r="A3347" t="str">
        <f t="shared" si="53"/>
        <v/>
      </c>
      <c r="B3347" s="10"/>
      <c r="C3347" s="10"/>
      <c r="D3347" s="10"/>
      <c r="E3347" s="10"/>
      <c r="F3347" s="10"/>
      <c r="G3347" s="11"/>
      <c r="H3347" s="12"/>
      <c r="I3347" s="13"/>
      <c r="J3347" s="12"/>
      <c r="K3347" s="13"/>
      <c r="L3347" s="11"/>
      <c r="M3347" s="13"/>
      <c r="N3347" s="11"/>
      <c r="O3347" s="13"/>
      <c r="P3347" s="11"/>
      <c r="Q3347" s="13"/>
      <c r="R3347" s="10"/>
      <c r="S3347" s="10"/>
      <c r="AB3347"/>
      <c r="AC3347"/>
    </row>
    <row r="3348" spans="1:29" x14ac:dyDescent="0.25">
      <c r="A3348" t="str">
        <f t="shared" si="53"/>
        <v/>
      </c>
      <c r="B3348" s="10"/>
      <c r="C3348" s="10"/>
      <c r="D3348" s="10"/>
      <c r="E3348" s="10"/>
      <c r="F3348" s="10"/>
      <c r="G3348" s="11"/>
      <c r="H3348" s="12"/>
      <c r="I3348" s="13"/>
      <c r="J3348" s="12"/>
      <c r="K3348" s="13"/>
      <c r="L3348" s="11"/>
      <c r="M3348" s="13"/>
      <c r="N3348" s="11"/>
      <c r="O3348" s="13"/>
      <c r="P3348" s="11"/>
      <c r="Q3348" s="13"/>
      <c r="R3348" s="10"/>
      <c r="S3348" s="10"/>
      <c r="AB3348"/>
      <c r="AC3348"/>
    </row>
    <row r="3349" spans="1:29" x14ac:dyDescent="0.25">
      <c r="A3349" t="str">
        <f t="shared" si="53"/>
        <v/>
      </c>
      <c r="B3349" s="10"/>
      <c r="C3349" s="10"/>
      <c r="D3349" s="10"/>
      <c r="E3349" s="10"/>
      <c r="F3349" s="10"/>
      <c r="G3349" s="11"/>
      <c r="H3349" s="12"/>
      <c r="I3349" s="13"/>
      <c r="J3349" s="12"/>
      <c r="K3349" s="13"/>
      <c r="L3349" s="11"/>
      <c r="M3349" s="13"/>
      <c r="N3349" s="11"/>
      <c r="O3349" s="13"/>
      <c r="P3349" s="11"/>
      <c r="Q3349" s="13"/>
      <c r="R3349" s="10"/>
      <c r="S3349" s="10"/>
      <c r="AB3349"/>
      <c r="AC3349"/>
    </row>
    <row r="3350" spans="1:29" x14ac:dyDescent="0.25">
      <c r="A3350" t="str">
        <f t="shared" si="53"/>
        <v/>
      </c>
      <c r="B3350" s="10"/>
      <c r="C3350" s="10"/>
      <c r="D3350" s="10"/>
      <c r="E3350" s="10"/>
      <c r="F3350" s="10"/>
      <c r="G3350" s="11"/>
      <c r="H3350" s="12"/>
      <c r="I3350" s="13"/>
      <c r="J3350" s="12"/>
      <c r="K3350" s="13"/>
      <c r="L3350" s="11"/>
      <c r="M3350" s="13"/>
      <c r="N3350" s="11"/>
      <c r="O3350" s="13"/>
      <c r="P3350" s="11"/>
      <c r="Q3350" s="13"/>
      <c r="R3350" s="10"/>
      <c r="S3350" s="10"/>
      <c r="AB3350"/>
      <c r="AC3350"/>
    </row>
    <row r="3351" spans="1:29" x14ac:dyDescent="0.25">
      <c r="A3351" t="str">
        <f t="shared" si="53"/>
        <v/>
      </c>
      <c r="B3351" s="10"/>
      <c r="C3351" s="10"/>
      <c r="D3351" s="10"/>
      <c r="E3351" s="10"/>
      <c r="F3351" s="10"/>
      <c r="G3351" s="11"/>
      <c r="H3351" s="12"/>
      <c r="I3351" s="13"/>
      <c r="J3351" s="12"/>
      <c r="K3351" s="13"/>
      <c r="L3351" s="11"/>
      <c r="M3351" s="13"/>
      <c r="N3351" s="11"/>
      <c r="O3351" s="13"/>
      <c r="P3351" s="11"/>
      <c r="Q3351" s="13"/>
      <c r="R3351" s="10"/>
      <c r="S3351" s="10"/>
      <c r="AB3351"/>
      <c r="AC3351"/>
    </row>
    <row r="3352" spans="1:29" x14ac:dyDescent="0.25">
      <c r="A3352" t="str">
        <f t="shared" si="53"/>
        <v/>
      </c>
      <c r="B3352" s="10"/>
      <c r="C3352" s="10"/>
      <c r="D3352" s="10"/>
      <c r="E3352" s="10"/>
      <c r="F3352" s="10"/>
      <c r="G3352" s="11"/>
      <c r="H3352" s="12"/>
      <c r="I3352" s="13"/>
      <c r="J3352" s="12"/>
      <c r="K3352" s="13"/>
      <c r="L3352" s="11"/>
      <c r="M3352" s="13"/>
      <c r="N3352" s="11"/>
      <c r="O3352" s="13"/>
      <c r="P3352" s="11"/>
      <c r="Q3352" s="13"/>
      <c r="R3352" s="10"/>
      <c r="S3352" s="10"/>
      <c r="AB3352"/>
      <c r="AC3352"/>
    </row>
    <row r="3353" spans="1:29" x14ac:dyDescent="0.25">
      <c r="A3353" t="str">
        <f t="shared" si="53"/>
        <v/>
      </c>
      <c r="B3353" s="10"/>
      <c r="C3353" s="10"/>
      <c r="D3353" s="10"/>
      <c r="E3353" s="10"/>
      <c r="F3353" s="10"/>
      <c r="G3353" s="11"/>
      <c r="H3353" s="12"/>
      <c r="I3353" s="13"/>
      <c r="J3353" s="12"/>
      <c r="K3353" s="13"/>
      <c r="L3353" s="11"/>
      <c r="M3353" s="13"/>
      <c r="N3353" s="11"/>
      <c r="O3353" s="13"/>
      <c r="P3353" s="11"/>
      <c r="Q3353" s="13"/>
      <c r="R3353" s="10"/>
      <c r="S3353" s="10"/>
      <c r="AB3353"/>
      <c r="AC3353"/>
    </row>
    <row r="3354" spans="1:29" x14ac:dyDescent="0.25">
      <c r="A3354" t="str">
        <f t="shared" si="53"/>
        <v/>
      </c>
      <c r="B3354" s="10"/>
      <c r="C3354" s="10"/>
      <c r="D3354" s="10"/>
      <c r="E3354" s="10"/>
      <c r="F3354" s="10"/>
      <c r="G3354" s="11"/>
      <c r="H3354" s="12"/>
      <c r="I3354" s="13"/>
      <c r="J3354" s="12"/>
      <c r="K3354" s="13"/>
      <c r="L3354" s="11"/>
      <c r="M3354" s="13"/>
      <c r="N3354" s="11"/>
      <c r="O3354" s="13"/>
      <c r="P3354" s="11"/>
      <c r="Q3354" s="13"/>
      <c r="R3354" s="10"/>
      <c r="S3354" s="10"/>
      <c r="AB3354"/>
      <c r="AC3354"/>
    </row>
    <row r="3355" spans="1:29" x14ac:dyDescent="0.25">
      <c r="A3355" t="str">
        <f t="shared" si="53"/>
        <v/>
      </c>
      <c r="B3355" s="10"/>
      <c r="C3355" s="10"/>
      <c r="D3355" s="10"/>
      <c r="E3355" s="10"/>
      <c r="F3355" s="10"/>
      <c r="G3355" s="11"/>
      <c r="H3355" s="12"/>
      <c r="I3355" s="13"/>
      <c r="J3355" s="12"/>
      <c r="K3355" s="13"/>
      <c r="L3355" s="11"/>
      <c r="M3355" s="13"/>
      <c r="N3355" s="11"/>
      <c r="O3355" s="13"/>
      <c r="P3355" s="11"/>
      <c r="Q3355" s="13"/>
      <c r="R3355" s="10"/>
      <c r="S3355" s="10"/>
      <c r="AB3355"/>
      <c r="AC3355"/>
    </row>
    <row r="3356" spans="1:29" x14ac:dyDescent="0.25">
      <c r="A3356" t="str">
        <f t="shared" si="53"/>
        <v/>
      </c>
      <c r="B3356" s="10"/>
      <c r="C3356" s="10"/>
      <c r="D3356" s="10"/>
      <c r="E3356" s="10"/>
      <c r="F3356" s="10"/>
      <c r="G3356" s="11"/>
      <c r="H3356" s="12"/>
      <c r="I3356" s="13"/>
      <c r="J3356" s="12"/>
      <c r="K3356" s="13"/>
      <c r="L3356" s="11"/>
      <c r="M3356" s="13"/>
      <c r="N3356" s="11"/>
      <c r="O3356" s="13"/>
      <c r="P3356" s="11"/>
      <c r="Q3356" s="13"/>
      <c r="R3356" s="10"/>
      <c r="S3356" s="10"/>
      <c r="AB3356"/>
      <c r="AC3356"/>
    </row>
    <row r="3357" spans="1:29" x14ac:dyDescent="0.25">
      <c r="A3357" t="str">
        <f t="shared" si="53"/>
        <v/>
      </c>
      <c r="B3357" s="10"/>
      <c r="C3357" s="10"/>
      <c r="D3357" s="10"/>
      <c r="E3357" s="10"/>
      <c r="F3357" s="10"/>
      <c r="G3357" s="11"/>
      <c r="H3357" s="12"/>
      <c r="I3357" s="13"/>
      <c r="J3357" s="12"/>
      <c r="K3357" s="13"/>
      <c r="L3357" s="11"/>
      <c r="M3357" s="13"/>
      <c r="N3357" s="11"/>
      <c r="O3357" s="13"/>
      <c r="P3357" s="11"/>
      <c r="Q3357" s="13"/>
      <c r="R3357" s="10"/>
      <c r="S3357" s="10"/>
      <c r="AB3357"/>
      <c r="AC3357"/>
    </row>
    <row r="3358" spans="1:29" x14ac:dyDescent="0.25">
      <c r="A3358" t="str">
        <f t="shared" si="53"/>
        <v/>
      </c>
      <c r="B3358" s="10"/>
      <c r="C3358" s="10"/>
      <c r="D3358" s="10"/>
      <c r="E3358" s="10"/>
      <c r="F3358" s="10"/>
      <c r="G3358" s="11"/>
      <c r="H3358" s="12"/>
      <c r="I3358" s="13"/>
      <c r="J3358" s="12"/>
      <c r="K3358" s="13"/>
      <c r="L3358" s="11"/>
      <c r="M3358" s="13"/>
      <c r="N3358" s="11"/>
      <c r="O3358" s="13"/>
      <c r="P3358" s="11"/>
      <c r="Q3358" s="13"/>
      <c r="R3358" s="10"/>
      <c r="S3358" s="10"/>
      <c r="AB3358"/>
      <c r="AC3358"/>
    </row>
    <row r="3359" spans="1:29" x14ac:dyDescent="0.25">
      <c r="A3359" t="str">
        <f t="shared" si="53"/>
        <v/>
      </c>
      <c r="B3359" s="10"/>
      <c r="C3359" s="10"/>
      <c r="D3359" s="10"/>
      <c r="E3359" s="10"/>
      <c r="F3359" s="10"/>
      <c r="G3359" s="11"/>
      <c r="H3359" s="12"/>
      <c r="I3359" s="13"/>
      <c r="J3359" s="12"/>
      <c r="K3359" s="13"/>
      <c r="L3359" s="11"/>
      <c r="M3359" s="13"/>
      <c r="N3359" s="11"/>
      <c r="O3359" s="13"/>
      <c r="P3359" s="11"/>
      <c r="Q3359" s="13"/>
      <c r="R3359" s="10"/>
      <c r="S3359" s="10"/>
      <c r="AB3359"/>
      <c r="AC3359"/>
    </row>
    <row r="3360" spans="1:29" x14ac:dyDescent="0.25">
      <c r="A3360" t="str">
        <f t="shared" si="53"/>
        <v/>
      </c>
      <c r="B3360" s="10"/>
      <c r="C3360" s="10"/>
      <c r="D3360" s="10"/>
      <c r="E3360" s="10"/>
      <c r="F3360" s="10"/>
      <c r="G3360" s="11"/>
      <c r="H3360" s="12"/>
      <c r="I3360" s="13"/>
      <c r="J3360" s="12"/>
      <c r="K3360" s="13"/>
      <c r="L3360" s="11"/>
      <c r="M3360" s="13"/>
      <c r="N3360" s="11"/>
      <c r="O3360" s="13"/>
      <c r="P3360" s="11"/>
      <c r="Q3360" s="13"/>
      <c r="R3360" s="10"/>
      <c r="S3360" s="10"/>
      <c r="AB3360"/>
      <c r="AC3360"/>
    </row>
    <row r="3361" spans="1:29" x14ac:dyDescent="0.25">
      <c r="A3361" t="str">
        <f t="shared" si="53"/>
        <v/>
      </c>
      <c r="B3361" s="10"/>
      <c r="C3361" s="10"/>
      <c r="D3361" s="10"/>
      <c r="E3361" s="10"/>
      <c r="F3361" s="10"/>
      <c r="G3361" s="11"/>
      <c r="H3361" s="12"/>
      <c r="I3361" s="13"/>
      <c r="J3361" s="12"/>
      <c r="K3361" s="13"/>
      <c r="L3361" s="11"/>
      <c r="M3361" s="13"/>
      <c r="N3361" s="11"/>
      <c r="O3361" s="13"/>
      <c r="P3361" s="11"/>
      <c r="Q3361" s="13"/>
      <c r="R3361" s="10"/>
      <c r="S3361" s="10"/>
      <c r="AB3361"/>
      <c r="AC3361"/>
    </row>
    <row r="3362" spans="1:29" x14ac:dyDescent="0.25">
      <c r="A3362" t="str">
        <f t="shared" si="53"/>
        <v/>
      </c>
      <c r="B3362" s="10"/>
      <c r="C3362" s="10"/>
      <c r="D3362" s="10"/>
      <c r="E3362" s="10"/>
      <c r="F3362" s="10"/>
      <c r="G3362" s="11"/>
      <c r="H3362" s="12"/>
      <c r="I3362" s="13"/>
      <c r="J3362" s="12"/>
      <c r="K3362" s="13"/>
      <c r="L3362" s="11"/>
      <c r="M3362" s="13"/>
      <c r="N3362" s="11"/>
      <c r="O3362" s="13"/>
      <c r="P3362" s="11"/>
      <c r="Q3362" s="13"/>
      <c r="R3362" s="10"/>
      <c r="S3362" s="10"/>
      <c r="AB3362"/>
      <c r="AC3362"/>
    </row>
    <row r="3363" spans="1:29" x14ac:dyDescent="0.25">
      <c r="A3363" t="str">
        <f t="shared" si="53"/>
        <v/>
      </c>
      <c r="B3363" s="10"/>
      <c r="C3363" s="10"/>
      <c r="D3363" s="10"/>
      <c r="E3363" s="10"/>
      <c r="F3363" s="10"/>
      <c r="G3363" s="11"/>
      <c r="H3363" s="12"/>
      <c r="I3363" s="13"/>
      <c r="J3363" s="12"/>
      <c r="K3363" s="13"/>
      <c r="L3363" s="11"/>
      <c r="M3363" s="13"/>
      <c r="N3363" s="11"/>
      <c r="O3363" s="13"/>
      <c r="P3363" s="11"/>
      <c r="Q3363" s="13"/>
      <c r="R3363" s="10"/>
      <c r="S3363" s="10"/>
      <c r="AB3363"/>
      <c r="AC3363"/>
    </row>
    <row r="3364" spans="1:29" x14ac:dyDescent="0.25">
      <c r="A3364" t="str">
        <f t="shared" si="53"/>
        <v/>
      </c>
      <c r="B3364" s="10"/>
      <c r="C3364" s="10"/>
      <c r="D3364" s="10"/>
      <c r="E3364" s="10"/>
      <c r="F3364" s="10"/>
      <c r="G3364" s="11"/>
      <c r="H3364" s="12"/>
      <c r="I3364" s="13"/>
      <c r="J3364" s="12"/>
      <c r="K3364" s="13"/>
      <c r="L3364" s="11"/>
      <c r="M3364" s="13"/>
      <c r="N3364" s="11"/>
      <c r="O3364" s="13"/>
      <c r="P3364" s="11"/>
      <c r="Q3364" s="13"/>
      <c r="R3364" s="10"/>
      <c r="S3364" s="10"/>
      <c r="AB3364"/>
      <c r="AC3364"/>
    </row>
    <row r="3365" spans="1:29" x14ac:dyDescent="0.25">
      <c r="A3365" t="str">
        <f t="shared" si="53"/>
        <v/>
      </c>
      <c r="B3365" s="10"/>
      <c r="C3365" s="10"/>
      <c r="D3365" s="10"/>
      <c r="E3365" s="10"/>
      <c r="F3365" s="10"/>
      <c r="G3365" s="11"/>
      <c r="H3365" s="12"/>
      <c r="I3365" s="13"/>
      <c r="J3365" s="12"/>
      <c r="K3365" s="13"/>
      <c r="L3365" s="11"/>
      <c r="M3365" s="13"/>
      <c r="N3365" s="11"/>
      <c r="O3365" s="13"/>
      <c r="P3365" s="11"/>
      <c r="Q3365" s="13"/>
      <c r="R3365" s="10"/>
      <c r="S3365" s="10"/>
      <c r="AB3365"/>
      <c r="AC3365"/>
    </row>
    <row r="3366" spans="1:29" x14ac:dyDescent="0.25">
      <c r="A3366" t="str">
        <f t="shared" si="53"/>
        <v/>
      </c>
      <c r="B3366" s="10"/>
      <c r="C3366" s="10"/>
      <c r="D3366" s="10"/>
      <c r="E3366" s="10"/>
      <c r="F3366" s="10"/>
      <c r="G3366" s="11"/>
      <c r="H3366" s="12"/>
      <c r="I3366" s="13"/>
      <c r="J3366" s="12"/>
      <c r="K3366" s="13"/>
      <c r="L3366" s="11"/>
      <c r="M3366" s="13"/>
      <c r="N3366" s="11"/>
      <c r="O3366" s="13"/>
      <c r="P3366" s="11"/>
      <c r="Q3366" s="13"/>
      <c r="R3366" s="10"/>
      <c r="S3366" s="10"/>
      <c r="AB3366"/>
      <c r="AC3366"/>
    </row>
    <row r="3367" spans="1:29" x14ac:dyDescent="0.25">
      <c r="A3367" t="str">
        <f t="shared" si="53"/>
        <v/>
      </c>
      <c r="B3367" s="10"/>
      <c r="C3367" s="10"/>
      <c r="D3367" s="10"/>
      <c r="E3367" s="10"/>
      <c r="F3367" s="10"/>
      <c r="G3367" s="11"/>
      <c r="H3367" s="12"/>
      <c r="I3367" s="13"/>
      <c r="J3367" s="12"/>
      <c r="K3367" s="13"/>
      <c r="L3367" s="11"/>
      <c r="M3367" s="13"/>
      <c r="N3367" s="11"/>
      <c r="O3367" s="13"/>
      <c r="P3367" s="11"/>
      <c r="Q3367" s="13"/>
      <c r="R3367" s="10"/>
      <c r="S3367" s="10"/>
      <c r="AB3367"/>
      <c r="AC3367"/>
    </row>
    <row r="3368" spans="1:29" x14ac:dyDescent="0.25">
      <c r="A3368" t="str">
        <f t="shared" si="53"/>
        <v/>
      </c>
      <c r="B3368" s="10"/>
      <c r="C3368" s="10"/>
      <c r="D3368" s="10"/>
      <c r="E3368" s="10"/>
      <c r="F3368" s="10"/>
      <c r="G3368" s="11"/>
      <c r="H3368" s="12"/>
      <c r="I3368" s="13"/>
      <c r="J3368" s="12"/>
      <c r="K3368" s="13"/>
      <c r="L3368" s="11"/>
      <c r="M3368" s="13"/>
      <c r="N3368" s="11"/>
      <c r="O3368" s="13"/>
      <c r="P3368" s="11"/>
      <c r="Q3368" s="13"/>
      <c r="R3368" s="10"/>
      <c r="S3368" s="10"/>
      <c r="AB3368"/>
      <c r="AC3368"/>
    </row>
    <row r="3369" spans="1:29" x14ac:dyDescent="0.25">
      <c r="A3369" t="str">
        <f t="shared" si="53"/>
        <v/>
      </c>
      <c r="B3369" s="10"/>
      <c r="C3369" s="10"/>
      <c r="D3369" s="10"/>
      <c r="E3369" s="10"/>
      <c r="F3369" s="10"/>
      <c r="G3369" s="11"/>
      <c r="H3369" s="12"/>
      <c r="I3369" s="13"/>
      <c r="J3369" s="12"/>
      <c r="K3369" s="13"/>
      <c r="L3369" s="11"/>
      <c r="M3369" s="13"/>
      <c r="N3369" s="11"/>
      <c r="O3369" s="13"/>
      <c r="P3369" s="11"/>
      <c r="Q3369" s="13"/>
      <c r="R3369" s="10"/>
      <c r="S3369" s="10"/>
      <c r="AB3369"/>
      <c r="AC3369"/>
    </row>
    <row r="3370" spans="1:29" x14ac:dyDescent="0.25">
      <c r="A3370" t="str">
        <f t="shared" si="53"/>
        <v/>
      </c>
      <c r="B3370" s="10"/>
      <c r="C3370" s="10"/>
      <c r="D3370" s="10"/>
      <c r="E3370" s="10"/>
      <c r="F3370" s="10"/>
      <c r="G3370" s="11"/>
      <c r="H3370" s="12"/>
      <c r="I3370" s="13"/>
      <c r="J3370" s="12"/>
      <c r="K3370" s="13"/>
      <c r="L3370" s="11"/>
      <c r="M3370" s="13"/>
      <c r="N3370" s="11"/>
      <c r="O3370" s="13"/>
      <c r="P3370" s="11"/>
      <c r="Q3370" s="13"/>
      <c r="R3370" s="10"/>
      <c r="S3370" s="10"/>
      <c r="AB3370"/>
      <c r="AC3370"/>
    </row>
    <row r="3371" spans="1:29" x14ac:dyDescent="0.25">
      <c r="A3371" t="str">
        <f t="shared" si="53"/>
        <v/>
      </c>
      <c r="B3371" s="10"/>
      <c r="C3371" s="10"/>
      <c r="D3371" s="10"/>
      <c r="E3371" s="10"/>
      <c r="F3371" s="10"/>
      <c r="G3371" s="11"/>
      <c r="H3371" s="12"/>
      <c r="I3371" s="13"/>
      <c r="J3371" s="12"/>
      <c r="K3371" s="13"/>
      <c r="L3371" s="11"/>
      <c r="M3371" s="13"/>
      <c r="N3371" s="11"/>
      <c r="O3371" s="13"/>
      <c r="P3371" s="11"/>
      <c r="Q3371" s="13"/>
      <c r="R3371" s="10"/>
      <c r="S3371" s="10"/>
      <c r="AB3371"/>
      <c r="AC3371"/>
    </row>
    <row r="3372" spans="1:29" x14ac:dyDescent="0.25">
      <c r="A3372" t="str">
        <f t="shared" si="53"/>
        <v/>
      </c>
      <c r="B3372" s="10"/>
      <c r="C3372" s="10"/>
      <c r="D3372" s="10"/>
      <c r="E3372" s="10"/>
      <c r="F3372" s="10"/>
      <c r="G3372" s="11"/>
      <c r="H3372" s="12"/>
      <c r="I3372" s="13"/>
      <c r="J3372" s="12"/>
      <c r="K3372" s="13"/>
      <c r="L3372" s="11"/>
      <c r="M3372" s="13"/>
      <c r="N3372" s="11"/>
      <c r="O3372" s="13"/>
      <c r="P3372" s="11"/>
      <c r="Q3372" s="13"/>
      <c r="R3372" s="10"/>
      <c r="S3372" s="10"/>
      <c r="AB3372"/>
      <c r="AC3372"/>
    </row>
    <row r="3373" spans="1:29" x14ac:dyDescent="0.25">
      <c r="A3373" t="str">
        <f t="shared" si="53"/>
        <v/>
      </c>
      <c r="B3373" s="10"/>
      <c r="C3373" s="10"/>
      <c r="D3373" s="10"/>
      <c r="E3373" s="10"/>
      <c r="F3373" s="10"/>
      <c r="G3373" s="11"/>
      <c r="H3373" s="12"/>
      <c r="I3373" s="13"/>
      <c r="J3373" s="12"/>
      <c r="K3373" s="13"/>
      <c r="L3373" s="11"/>
      <c r="M3373" s="13"/>
      <c r="N3373" s="11"/>
      <c r="O3373" s="13"/>
      <c r="P3373" s="11"/>
      <c r="Q3373" s="13"/>
      <c r="R3373" s="10"/>
      <c r="S3373" s="10"/>
      <c r="AB3373"/>
      <c r="AC3373"/>
    </row>
    <row r="3374" spans="1:29" x14ac:dyDescent="0.25">
      <c r="A3374" t="str">
        <f t="shared" si="53"/>
        <v/>
      </c>
      <c r="B3374" s="10"/>
      <c r="C3374" s="10"/>
      <c r="D3374" s="10"/>
      <c r="E3374" s="10"/>
      <c r="F3374" s="10"/>
      <c r="G3374" s="11"/>
      <c r="H3374" s="12"/>
      <c r="I3374" s="13"/>
      <c r="J3374" s="12"/>
      <c r="K3374" s="13"/>
      <c r="L3374" s="11"/>
      <c r="M3374" s="13"/>
      <c r="N3374" s="11"/>
      <c r="O3374" s="13"/>
      <c r="P3374" s="11"/>
      <c r="Q3374" s="13"/>
      <c r="R3374" s="10"/>
      <c r="S3374" s="10"/>
      <c r="AB3374"/>
      <c r="AC3374"/>
    </row>
    <row r="3375" spans="1:29" x14ac:dyDescent="0.25">
      <c r="A3375" t="str">
        <f t="shared" si="53"/>
        <v/>
      </c>
      <c r="B3375" s="10"/>
      <c r="C3375" s="10"/>
      <c r="D3375" s="10"/>
      <c r="E3375" s="10"/>
      <c r="F3375" s="10"/>
      <c r="G3375" s="11"/>
      <c r="H3375" s="12"/>
      <c r="I3375" s="13"/>
      <c r="J3375" s="12"/>
      <c r="K3375" s="13"/>
      <c r="L3375" s="11"/>
      <c r="M3375" s="13"/>
      <c r="N3375" s="11"/>
      <c r="O3375" s="13"/>
      <c r="P3375" s="11"/>
      <c r="Q3375" s="13"/>
      <c r="R3375" s="10"/>
      <c r="S3375" s="10"/>
      <c r="AB3375"/>
      <c r="AC3375"/>
    </row>
    <row r="3376" spans="1:29" x14ac:dyDescent="0.25">
      <c r="A3376" t="str">
        <f t="shared" si="53"/>
        <v/>
      </c>
      <c r="B3376" s="10"/>
      <c r="C3376" s="10"/>
      <c r="D3376" s="10"/>
      <c r="E3376" s="10"/>
      <c r="F3376" s="10"/>
      <c r="G3376" s="11"/>
      <c r="H3376" s="12"/>
      <c r="I3376" s="13"/>
      <c r="J3376" s="12"/>
      <c r="K3376" s="13"/>
      <c r="L3376" s="11"/>
      <c r="M3376" s="13"/>
      <c r="N3376" s="11"/>
      <c r="O3376" s="13"/>
      <c r="P3376" s="11"/>
      <c r="Q3376" s="13"/>
      <c r="R3376" s="10"/>
      <c r="S3376" s="10"/>
      <c r="AB3376"/>
      <c r="AC3376"/>
    </row>
    <row r="3377" spans="1:29" x14ac:dyDescent="0.25">
      <c r="A3377" t="str">
        <f t="shared" si="53"/>
        <v/>
      </c>
      <c r="B3377" s="10"/>
      <c r="C3377" s="10"/>
      <c r="D3377" s="10"/>
      <c r="E3377" s="10"/>
      <c r="F3377" s="10"/>
      <c r="G3377" s="11"/>
      <c r="H3377" s="12"/>
      <c r="I3377" s="13"/>
      <c r="J3377" s="12"/>
      <c r="K3377" s="13"/>
      <c r="L3377" s="11"/>
      <c r="M3377" s="13"/>
      <c r="N3377" s="11"/>
      <c r="O3377" s="13"/>
      <c r="P3377" s="11"/>
      <c r="Q3377" s="13"/>
      <c r="R3377" s="10"/>
      <c r="S3377" s="10"/>
      <c r="AB3377"/>
      <c r="AC3377"/>
    </row>
    <row r="3378" spans="1:29" x14ac:dyDescent="0.25">
      <c r="A3378" t="str">
        <f t="shared" si="53"/>
        <v/>
      </c>
      <c r="B3378" s="10"/>
      <c r="C3378" s="10"/>
      <c r="D3378" s="10"/>
      <c r="E3378" s="10"/>
      <c r="F3378" s="10"/>
      <c r="G3378" s="11"/>
      <c r="H3378" s="12"/>
      <c r="I3378" s="13"/>
      <c r="J3378" s="12"/>
      <c r="K3378" s="13"/>
      <c r="L3378" s="11"/>
      <c r="M3378" s="13"/>
      <c r="N3378" s="11"/>
      <c r="O3378" s="13"/>
      <c r="P3378" s="11"/>
      <c r="Q3378" s="13"/>
      <c r="R3378" s="10"/>
      <c r="S3378" s="10"/>
      <c r="AB3378"/>
      <c r="AC3378"/>
    </row>
    <row r="3379" spans="1:29" x14ac:dyDescent="0.25">
      <c r="A3379" t="str">
        <f t="shared" si="53"/>
        <v/>
      </c>
      <c r="B3379" s="10"/>
      <c r="C3379" s="10"/>
      <c r="D3379" s="10"/>
      <c r="E3379" s="10"/>
      <c r="F3379" s="10"/>
      <c r="G3379" s="11"/>
      <c r="H3379" s="12"/>
      <c r="I3379" s="13"/>
      <c r="J3379" s="12"/>
      <c r="K3379" s="13"/>
      <c r="L3379" s="11"/>
      <c r="M3379" s="13"/>
      <c r="N3379" s="11"/>
      <c r="O3379" s="13"/>
      <c r="P3379" s="11"/>
      <c r="Q3379" s="13"/>
      <c r="R3379" s="10"/>
      <c r="S3379" s="10"/>
      <c r="AB3379"/>
      <c r="AC3379"/>
    </row>
    <row r="3380" spans="1:29" x14ac:dyDescent="0.25">
      <c r="A3380" t="str">
        <f t="shared" si="53"/>
        <v/>
      </c>
      <c r="B3380" s="10"/>
      <c r="C3380" s="10"/>
      <c r="D3380" s="10"/>
      <c r="E3380" s="10"/>
      <c r="F3380" s="10"/>
      <c r="G3380" s="11"/>
      <c r="H3380" s="12"/>
      <c r="I3380" s="13"/>
      <c r="J3380" s="12"/>
      <c r="K3380" s="13"/>
      <c r="L3380" s="11"/>
      <c r="M3380" s="13"/>
      <c r="N3380" s="11"/>
      <c r="O3380" s="13"/>
      <c r="P3380" s="11"/>
      <c r="Q3380" s="13"/>
      <c r="R3380" s="10"/>
      <c r="S3380" s="10"/>
      <c r="AB3380"/>
      <c r="AC3380"/>
    </row>
    <row r="3381" spans="1:29" x14ac:dyDescent="0.25">
      <c r="A3381" t="str">
        <f t="shared" ref="A3381:A3444" si="54">B3379&amp;D3379</f>
        <v/>
      </c>
      <c r="B3381" s="10"/>
      <c r="C3381" s="10"/>
      <c r="D3381" s="10"/>
      <c r="E3381" s="10"/>
      <c r="F3381" s="10"/>
      <c r="G3381" s="11"/>
      <c r="H3381" s="12"/>
      <c r="I3381" s="13"/>
      <c r="J3381" s="12"/>
      <c r="K3381" s="13"/>
      <c r="L3381" s="11"/>
      <c r="M3381" s="13"/>
      <c r="N3381" s="11"/>
      <c r="O3381" s="13"/>
      <c r="P3381" s="11"/>
      <c r="Q3381" s="13"/>
      <c r="R3381" s="10"/>
      <c r="S3381" s="10"/>
      <c r="AB3381"/>
      <c r="AC3381"/>
    </row>
    <row r="3382" spans="1:29" x14ac:dyDescent="0.25">
      <c r="A3382" t="str">
        <f t="shared" si="54"/>
        <v/>
      </c>
      <c r="B3382" s="10"/>
      <c r="C3382" s="10"/>
      <c r="D3382" s="10"/>
      <c r="E3382" s="10"/>
      <c r="F3382" s="10"/>
      <c r="G3382" s="11"/>
      <c r="H3382" s="12"/>
      <c r="I3382" s="13"/>
      <c r="J3382" s="12"/>
      <c r="K3382" s="13"/>
      <c r="L3382" s="11"/>
      <c r="M3382" s="13"/>
      <c r="N3382" s="11"/>
      <c r="O3382" s="13"/>
      <c r="P3382" s="11"/>
      <c r="Q3382" s="13"/>
      <c r="R3382" s="10"/>
      <c r="S3382" s="10"/>
      <c r="AB3382"/>
      <c r="AC3382"/>
    </row>
    <row r="3383" spans="1:29" x14ac:dyDescent="0.25">
      <c r="A3383" t="str">
        <f t="shared" si="54"/>
        <v/>
      </c>
      <c r="B3383" s="10"/>
      <c r="C3383" s="10"/>
      <c r="D3383" s="10"/>
      <c r="E3383" s="10"/>
      <c r="F3383" s="10"/>
      <c r="G3383" s="11"/>
      <c r="H3383" s="12"/>
      <c r="I3383" s="13"/>
      <c r="J3383" s="12"/>
      <c r="K3383" s="13"/>
      <c r="L3383" s="11"/>
      <c r="M3383" s="13"/>
      <c r="N3383" s="11"/>
      <c r="O3383" s="13"/>
      <c r="P3383" s="11"/>
      <c r="Q3383" s="13"/>
      <c r="R3383" s="10"/>
      <c r="S3383" s="10"/>
      <c r="AB3383"/>
      <c r="AC3383"/>
    </row>
    <row r="3384" spans="1:29" x14ac:dyDescent="0.25">
      <c r="A3384" t="str">
        <f t="shared" si="54"/>
        <v/>
      </c>
      <c r="B3384" s="10"/>
      <c r="C3384" s="10"/>
      <c r="D3384" s="10"/>
      <c r="E3384" s="10"/>
      <c r="F3384" s="10"/>
      <c r="G3384" s="11"/>
      <c r="H3384" s="12"/>
      <c r="I3384" s="13"/>
      <c r="J3384" s="12"/>
      <c r="K3384" s="13"/>
      <c r="L3384" s="11"/>
      <c r="M3384" s="13"/>
      <c r="N3384" s="11"/>
      <c r="O3384" s="13"/>
      <c r="P3384" s="11"/>
      <c r="Q3384" s="13"/>
      <c r="R3384" s="10"/>
      <c r="S3384" s="10"/>
      <c r="AB3384"/>
      <c r="AC3384"/>
    </row>
    <row r="3385" spans="1:29" x14ac:dyDescent="0.25">
      <c r="A3385" t="str">
        <f t="shared" si="54"/>
        <v/>
      </c>
      <c r="B3385" s="10"/>
      <c r="C3385" s="10"/>
      <c r="D3385" s="10"/>
      <c r="E3385" s="10"/>
      <c r="F3385" s="10"/>
      <c r="G3385" s="11"/>
      <c r="H3385" s="12"/>
      <c r="I3385" s="13"/>
      <c r="J3385" s="12"/>
      <c r="K3385" s="13"/>
      <c r="L3385" s="11"/>
      <c r="M3385" s="13"/>
      <c r="N3385" s="11"/>
      <c r="O3385" s="13"/>
      <c r="P3385" s="11"/>
      <c r="Q3385" s="13"/>
      <c r="R3385" s="10"/>
      <c r="S3385" s="10"/>
      <c r="AB3385"/>
      <c r="AC3385"/>
    </row>
    <row r="3386" spans="1:29" x14ac:dyDescent="0.25">
      <c r="A3386" t="str">
        <f t="shared" si="54"/>
        <v/>
      </c>
      <c r="B3386" s="10"/>
      <c r="C3386" s="10"/>
      <c r="D3386" s="10"/>
      <c r="E3386" s="10"/>
      <c r="F3386" s="10"/>
      <c r="G3386" s="11"/>
      <c r="H3386" s="12"/>
      <c r="I3386" s="13"/>
      <c r="J3386" s="12"/>
      <c r="K3386" s="13"/>
      <c r="L3386" s="11"/>
      <c r="M3386" s="13"/>
      <c r="N3386" s="11"/>
      <c r="O3386" s="13"/>
      <c r="P3386" s="11"/>
      <c r="Q3386" s="13"/>
      <c r="R3386" s="10"/>
      <c r="S3386" s="10"/>
      <c r="AB3386"/>
      <c r="AC3386"/>
    </row>
    <row r="3387" spans="1:29" x14ac:dyDescent="0.25">
      <c r="A3387" t="str">
        <f t="shared" si="54"/>
        <v/>
      </c>
      <c r="B3387" s="10"/>
      <c r="C3387" s="10"/>
      <c r="D3387" s="10"/>
      <c r="E3387" s="10"/>
      <c r="F3387" s="10"/>
      <c r="G3387" s="11"/>
      <c r="H3387" s="12"/>
      <c r="I3387" s="13"/>
      <c r="J3387" s="12"/>
      <c r="K3387" s="13"/>
      <c r="L3387" s="11"/>
      <c r="M3387" s="13"/>
      <c r="N3387" s="11"/>
      <c r="O3387" s="13"/>
      <c r="P3387" s="11"/>
      <c r="Q3387" s="13"/>
      <c r="R3387" s="10"/>
      <c r="S3387" s="10"/>
      <c r="AB3387"/>
      <c r="AC3387"/>
    </row>
    <row r="3388" spans="1:29" x14ac:dyDescent="0.25">
      <c r="A3388" t="str">
        <f t="shared" si="54"/>
        <v/>
      </c>
      <c r="B3388" s="10"/>
      <c r="C3388" s="10"/>
      <c r="D3388" s="10"/>
      <c r="E3388" s="10"/>
      <c r="F3388" s="10"/>
      <c r="G3388" s="11"/>
      <c r="H3388" s="12"/>
      <c r="I3388" s="13"/>
      <c r="J3388" s="12"/>
      <c r="K3388" s="13"/>
      <c r="L3388" s="11"/>
      <c r="M3388" s="13"/>
      <c r="N3388" s="11"/>
      <c r="O3388" s="13"/>
      <c r="P3388" s="11"/>
      <c r="Q3388" s="13"/>
      <c r="R3388" s="10"/>
      <c r="S3388" s="10"/>
      <c r="AB3388"/>
      <c r="AC3388"/>
    </row>
    <row r="3389" spans="1:29" x14ac:dyDescent="0.25">
      <c r="A3389" t="str">
        <f t="shared" si="54"/>
        <v/>
      </c>
      <c r="B3389" s="10"/>
      <c r="C3389" s="10"/>
      <c r="D3389" s="10"/>
      <c r="E3389" s="10"/>
      <c r="F3389" s="10"/>
      <c r="G3389" s="11"/>
      <c r="H3389" s="12"/>
      <c r="I3389" s="13"/>
      <c r="J3389" s="12"/>
      <c r="K3389" s="13"/>
      <c r="L3389" s="11"/>
      <c r="M3389" s="13"/>
      <c r="N3389" s="11"/>
      <c r="O3389" s="13"/>
      <c r="P3389" s="11"/>
      <c r="Q3389" s="13"/>
      <c r="R3389" s="10"/>
      <c r="S3389" s="10"/>
      <c r="AB3389"/>
      <c r="AC3389"/>
    </row>
    <row r="3390" spans="1:29" x14ac:dyDescent="0.25">
      <c r="A3390" t="str">
        <f t="shared" si="54"/>
        <v/>
      </c>
      <c r="B3390" s="10"/>
      <c r="C3390" s="10"/>
      <c r="D3390" s="10"/>
      <c r="E3390" s="10"/>
      <c r="F3390" s="10"/>
      <c r="G3390" s="11"/>
      <c r="H3390" s="12"/>
      <c r="I3390" s="13"/>
      <c r="J3390" s="12"/>
      <c r="K3390" s="13"/>
      <c r="L3390" s="11"/>
      <c r="M3390" s="13"/>
      <c r="N3390" s="11"/>
      <c r="O3390" s="13"/>
      <c r="P3390" s="11"/>
      <c r="Q3390" s="13"/>
      <c r="R3390" s="10"/>
      <c r="S3390" s="10"/>
      <c r="AB3390"/>
      <c r="AC3390"/>
    </row>
    <row r="3391" spans="1:29" x14ac:dyDescent="0.25">
      <c r="A3391" t="str">
        <f t="shared" si="54"/>
        <v/>
      </c>
      <c r="B3391" s="10"/>
      <c r="C3391" s="10"/>
      <c r="D3391" s="10"/>
      <c r="E3391" s="10"/>
      <c r="F3391" s="10"/>
      <c r="G3391" s="11"/>
      <c r="H3391" s="12"/>
      <c r="I3391" s="13"/>
      <c r="J3391" s="12"/>
      <c r="K3391" s="13"/>
      <c r="L3391" s="11"/>
      <c r="M3391" s="13"/>
      <c r="N3391" s="11"/>
      <c r="O3391" s="13"/>
      <c r="P3391" s="11"/>
      <c r="Q3391" s="13"/>
      <c r="R3391" s="10"/>
      <c r="S3391" s="10"/>
      <c r="AB3391"/>
      <c r="AC3391"/>
    </row>
    <row r="3392" spans="1:29" x14ac:dyDescent="0.25">
      <c r="A3392" t="str">
        <f t="shared" si="54"/>
        <v/>
      </c>
      <c r="B3392" s="10"/>
      <c r="C3392" s="10"/>
      <c r="D3392" s="10"/>
      <c r="E3392" s="10"/>
      <c r="F3392" s="10"/>
      <c r="G3392" s="11"/>
      <c r="H3392" s="12"/>
      <c r="I3392" s="13"/>
      <c r="J3392" s="12"/>
      <c r="K3392" s="13"/>
      <c r="L3392" s="11"/>
      <c r="M3392" s="13"/>
      <c r="N3392" s="11"/>
      <c r="O3392" s="13"/>
      <c r="P3392" s="11"/>
      <c r="Q3392" s="13"/>
      <c r="R3392" s="10"/>
      <c r="S3392" s="10"/>
      <c r="AB3392"/>
      <c r="AC3392"/>
    </row>
    <row r="3393" spans="1:29" x14ac:dyDescent="0.25">
      <c r="A3393" t="str">
        <f t="shared" si="54"/>
        <v/>
      </c>
      <c r="B3393" s="10"/>
      <c r="C3393" s="10"/>
      <c r="D3393" s="10"/>
      <c r="E3393" s="10"/>
      <c r="F3393" s="10"/>
      <c r="G3393" s="11"/>
      <c r="H3393" s="12"/>
      <c r="I3393" s="13"/>
      <c r="J3393" s="12"/>
      <c r="K3393" s="13"/>
      <c r="L3393" s="11"/>
      <c r="M3393" s="13"/>
      <c r="N3393" s="11"/>
      <c r="O3393" s="13"/>
      <c r="P3393" s="11"/>
      <c r="Q3393" s="13"/>
      <c r="R3393" s="10"/>
      <c r="S3393" s="10"/>
      <c r="AB3393"/>
      <c r="AC3393"/>
    </row>
    <row r="3394" spans="1:29" x14ac:dyDescent="0.25">
      <c r="A3394" t="str">
        <f t="shared" si="54"/>
        <v/>
      </c>
      <c r="B3394" s="10"/>
      <c r="C3394" s="10"/>
      <c r="D3394" s="10"/>
      <c r="E3394" s="10"/>
      <c r="F3394" s="10"/>
      <c r="G3394" s="11"/>
      <c r="H3394" s="12"/>
      <c r="I3394" s="13"/>
      <c r="J3394" s="12"/>
      <c r="K3394" s="13"/>
      <c r="L3394" s="11"/>
      <c r="M3394" s="13"/>
      <c r="N3394" s="11"/>
      <c r="O3394" s="13"/>
      <c r="P3394" s="11"/>
      <c r="Q3394" s="13"/>
      <c r="R3394" s="10"/>
      <c r="S3394" s="10"/>
      <c r="AB3394"/>
      <c r="AC3394"/>
    </row>
    <row r="3395" spans="1:29" x14ac:dyDescent="0.25">
      <c r="A3395" t="str">
        <f t="shared" si="54"/>
        <v/>
      </c>
      <c r="B3395" s="10"/>
      <c r="C3395" s="10"/>
      <c r="D3395" s="10"/>
      <c r="E3395" s="10"/>
      <c r="F3395" s="10"/>
      <c r="G3395" s="11"/>
      <c r="H3395" s="12"/>
      <c r="I3395" s="13"/>
      <c r="J3395" s="12"/>
      <c r="K3395" s="13"/>
      <c r="L3395" s="11"/>
      <c r="M3395" s="13"/>
      <c r="N3395" s="11"/>
      <c r="O3395" s="13"/>
      <c r="P3395" s="11"/>
      <c r="Q3395" s="13"/>
      <c r="R3395" s="10"/>
      <c r="S3395" s="10"/>
      <c r="AB3395"/>
      <c r="AC3395"/>
    </row>
    <row r="3396" spans="1:29" x14ac:dyDescent="0.25">
      <c r="A3396" t="str">
        <f t="shared" si="54"/>
        <v/>
      </c>
      <c r="B3396" s="10"/>
      <c r="C3396" s="10"/>
      <c r="D3396" s="10"/>
      <c r="E3396" s="10"/>
      <c r="F3396" s="10"/>
      <c r="G3396" s="11"/>
      <c r="H3396" s="12"/>
      <c r="I3396" s="13"/>
      <c r="J3396" s="12"/>
      <c r="K3396" s="13"/>
      <c r="L3396" s="11"/>
      <c r="M3396" s="13"/>
      <c r="N3396" s="11"/>
      <c r="O3396" s="13"/>
      <c r="P3396" s="11"/>
      <c r="Q3396" s="13"/>
      <c r="R3396" s="10"/>
      <c r="S3396" s="10"/>
      <c r="AB3396"/>
      <c r="AC3396"/>
    </row>
    <row r="3397" spans="1:29" x14ac:dyDescent="0.25">
      <c r="A3397" t="str">
        <f t="shared" si="54"/>
        <v/>
      </c>
      <c r="B3397" s="10"/>
      <c r="C3397" s="10"/>
      <c r="D3397" s="10"/>
      <c r="E3397" s="10"/>
      <c r="F3397" s="10"/>
      <c r="G3397" s="11"/>
      <c r="H3397" s="12"/>
      <c r="I3397" s="13"/>
      <c r="J3397" s="12"/>
      <c r="K3397" s="13"/>
      <c r="L3397" s="11"/>
      <c r="M3397" s="13"/>
      <c r="N3397" s="11"/>
      <c r="O3397" s="13"/>
      <c r="P3397" s="11"/>
      <c r="Q3397" s="13"/>
      <c r="R3397" s="10"/>
      <c r="S3397" s="10"/>
      <c r="AB3397"/>
      <c r="AC3397"/>
    </row>
    <row r="3398" spans="1:29" x14ac:dyDescent="0.25">
      <c r="A3398" t="str">
        <f t="shared" si="54"/>
        <v/>
      </c>
      <c r="B3398" s="10"/>
      <c r="C3398" s="10"/>
      <c r="D3398" s="10"/>
      <c r="E3398" s="10"/>
      <c r="F3398" s="10"/>
      <c r="G3398" s="11"/>
      <c r="H3398" s="12"/>
      <c r="I3398" s="13"/>
      <c r="J3398" s="12"/>
      <c r="K3398" s="13"/>
      <c r="L3398" s="11"/>
      <c r="M3398" s="13"/>
      <c r="N3398" s="11"/>
      <c r="O3398" s="13"/>
      <c r="P3398" s="11"/>
      <c r="Q3398" s="13"/>
      <c r="R3398" s="10"/>
      <c r="S3398" s="10"/>
      <c r="AB3398"/>
      <c r="AC3398"/>
    </row>
    <row r="3399" spans="1:29" x14ac:dyDescent="0.25">
      <c r="A3399" t="str">
        <f t="shared" si="54"/>
        <v/>
      </c>
      <c r="B3399" s="10"/>
      <c r="C3399" s="10"/>
      <c r="D3399" s="10"/>
      <c r="E3399" s="10"/>
      <c r="F3399" s="10"/>
      <c r="G3399" s="11"/>
      <c r="H3399" s="12"/>
      <c r="I3399" s="13"/>
      <c r="J3399" s="12"/>
      <c r="K3399" s="13"/>
      <c r="L3399" s="11"/>
      <c r="M3399" s="13"/>
      <c r="N3399" s="11"/>
      <c r="O3399" s="13"/>
      <c r="P3399" s="11"/>
      <c r="Q3399" s="13"/>
      <c r="R3399" s="10"/>
      <c r="S3399" s="10"/>
      <c r="AB3399"/>
      <c r="AC3399"/>
    </row>
    <row r="3400" spans="1:29" x14ac:dyDescent="0.25">
      <c r="A3400" t="str">
        <f t="shared" si="54"/>
        <v/>
      </c>
      <c r="B3400" s="10"/>
      <c r="C3400" s="10"/>
      <c r="D3400" s="10"/>
      <c r="E3400" s="10"/>
      <c r="F3400" s="10"/>
      <c r="G3400" s="11"/>
      <c r="H3400" s="12"/>
      <c r="I3400" s="13"/>
      <c r="J3400" s="12"/>
      <c r="K3400" s="13"/>
      <c r="L3400" s="11"/>
      <c r="M3400" s="13"/>
      <c r="N3400" s="11"/>
      <c r="O3400" s="13"/>
      <c r="P3400" s="11"/>
      <c r="Q3400" s="13"/>
      <c r="R3400" s="10"/>
      <c r="S3400" s="10"/>
      <c r="AB3400"/>
      <c r="AC3400"/>
    </row>
    <row r="3401" spans="1:29" x14ac:dyDescent="0.25">
      <c r="A3401" t="str">
        <f t="shared" si="54"/>
        <v/>
      </c>
      <c r="B3401" s="10"/>
      <c r="C3401" s="10"/>
      <c r="D3401" s="10"/>
      <c r="E3401" s="10"/>
      <c r="F3401" s="10"/>
      <c r="G3401" s="11"/>
      <c r="H3401" s="12"/>
      <c r="I3401" s="13"/>
      <c r="J3401" s="12"/>
      <c r="K3401" s="13"/>
      <c r="L3401" s="11"/>
      <c r="M3401" s="13"/>
      <c r="N3401" s="11"/>
      <c r="O3401" s="13"/>
      <c r="P3401" s="11"/>
      <c r="Q3401" s="13"/>
      <c r="R3401" s="10"/>
      <c r="S3401" s="10"/>
      <c r="AB3401"/>
      <c r="AC3401"/>
    </row>
    <row r="3402" spans="1:29" x14ac:dyDescent="0.25">
      <c r="A3402" t="str">
        <f t="shared" si="54"/>
        <v/>
      </c>
      <c r="B3402" s="10"/>
      <c r="C3402" s="10"/>
      <c r="D3402" s="10"/>
      <c r="E3402" s="10"/>
      <c r="F3402" s="10"/>
      <c r="G3402" s="11"/>
      <c r="H3402" s="12"/>
      <c r="I3402" s="13"/>
      <c r="J3402" s="12"/>
      <c r="K3402" s="13"/>
      <c r="L3402" s="11"/>
      <c r="M3402" s="13"/>
      <c r="N3402" s="11"/>
      <c r="O3402" s="13"/>
      <c r="P3402" s="11"/>
      <c r="Q3402" s="13"/>
      <c r="R3402" s="10"/>
      <c r="S3402" s="10"/>
      <c r="AB3402"/>
      <c r="AC3402"/>
    </row>
    <row r="3403" spans="1:29" x14ac:dyDescent="0.25">
      <c r="A3403" t="str">
        <f t="shared" si="54"/>
        <v/>
      </c>
      <c r="B3403" s="10"/>
      <c r="C3403" s="10"/>
      <c r="D3403" s="10"/>
      <c r="E3403" s="10"/>
      <c r="F3403" s="10"/>
      <c r="G3403" s="11"/>
      <c r="H3403" s="12"/>
      <c r="I3403" s="13"/>
      <c r="J3403" s="12"/>
      <c r="K3403" s="13"/>
      <c r="L3403" s="11"/>
      <c r="M3403" s="13"/>
      <c r="N3403" s="11"/>
      <c r="O3403" s="13"/>
      <c r="P3403" s="11"/>
      <c r="Q3403" s="13"/>
      <c r="R3403" s="10"/>
      <c r="S3403" s="10"/>
      <c r="AB3403"/>
      <c r="AC3403"/>
    </row>
    <row r="3404" spans="1:29" x14ac:dyDescent="0.25">
      <c r="A3404" t="str">
        <f t="shared" si="54"/>
        <v/>
      </c>
      <c r="B3404" s="10"/>
      <c r="C3404" s="10"/>
      <c r="D3404" s="10"/>
      <c r="E3404" s="10"/>
      <c r="F3404" s="10"/>
      <c r="G3404" s="11"/>
      <c r="H3404" s="12"/>
      <c r="I3404" s="13"/>
      <c r="J3404" s="12"/>
      <c r="K3404" s="13"/>
      <c r="L3404" s="11"/>
      <c r="M3404" s="13"/>
      <c r="N3404" s="11"/>
      <c r="O3404" s="13"/>
      <c r="P3404" s="11"/>
      <c r="Q3404" s="13"/>
      <c r="R3404" s="10"/>
      <c r="S3404" s="10"/>
      <c r="AB3404"/>
      <c r="AC3404"/>
    </row>
    <row r="3405" spans="1:29" x14ac:dyDescent="0.25">
      <c r="A3405" t="str">
        <f t="shared" si="54"/>
        <v/>
      </c>
      <c r="B3405" s="10"/>
      <c r="C3405" s="10"/>
      <c r="D3405" s="10"/>
      <c r="E3405" s="10"/>
      <c r="F3405" s="10"/>
      <c r="G3405" s="11"/>
      <c r="H3405" s="12"/>
      <c r="I3405" s="13"/>
      <c r="J3405" s="12"/>
      <c r="K3405" s="13"/>
      <c r="L3405" s="11"/>
      <c r="M3405" s="13"/>
      <c r="N3405" s="11"/>
      <c r="O3405" s="13"/>
      <c r="P3405" s="11"/>
      <c r="Q3405" s="13"/>
      <c r="R3405" s="10"/>
      <c r="S3405" s="10"/>
      <c r="AB3405"/>
      <c r="AC3405"/>
    </row>
    <row r="3406" spans="1:29" x14ac:dyDescent="0.25">
      <c r="A3406" t="str">
        <f t="shared" si="54"/>
        <v/>
      </c>
      <c r="B3406" s="10"/>
      <c r="C3406" s="10"/>
      <c r="D3406" s="10"/>
      <c r="E3406" s="10"/>
      <c r="F3406" s="10"/>
      <c r="G3406" s="11"/>
      <c r="H3406" s="12"/>
      <c r="I3406" s="13"/>
      <c r="J3406" s="12"/>
      <c r="K3406" s="13"/>
      <c r="L3406" s="11"/>
      <c r="M3406" s="13"/>
      <c r="N3406" s="11"/>
      <c r="O3406" s="13"/>
      <c r="P3406" s="11"/>
      <c r="Q3406" s="13"/>
      <c r="R3406" s="10"/>
      <c r="S3406" s="10"/>
      <c r="AB3406"/>
      <c r="AC3406"/>
    </row>
    <row r="3407" spans="1:29" x14ac:dyDescent="0.25">
      <c r="A3407" t="str">
        <f t="shared" si="54"/>
        <v/>
      </c>
      <c r="B3407" s="10"/>
      <c r="C3407" s="10"/>
      <c r="D3407" s="10"/>
      <c r="E3407" s="10"/>
      <c r="F3407" s="10"/>
      <c r="G3407" s="11"/>
      <c r="H3407" s="12"/>
      <c r="I3407" s="13"/>
      <c r="J3407" s="12"/>
      <c r="K3407" s="13"/>
      <c r="L3407" s="11"/>
      <c r="M3407" s="13"/>
      <c r="N3407" s="11"/>
      <c r="O3407" s="13"/>
      <c r="P3407" s="11"/>
      <c r="Q3407" s="13"/>
      <c r="R3407" s="10"/>
      <c r="S3407" s="10"/>
      <c r="AB3407"/>
      <c r="AC3407"/>
    </row>
    <row r="3408" spans="1:29" x14ac:dyDescent="0.25">
      <c r="A3408" t="str">
        <f t="shared" si="54"/>
        <v/>
      </c>
      <c r="B3408" s="10"/>
      <c r="C3408" s="10"/>
      <c r="D3408" s="10"/>
      <c r="E3408" s="10"/>
      <c r="F3408" s="10"/>
      <c r="G3408" s="11"/>
      <c r="H3408" s="12"/>
      <c r="I3408" s="13"/>
      <c r="J3408" s="12"/>
      <c r="K3408" s="13"/>
      <c r="L3408" s="11"/>
      <c r="M3408" s="13"/>
      <c r="N3408" s="11"/>
      <c r="O3408" s="13"/>
      <c r="P3408" s="11"/>
      <c r="Q3408" s="13"/>
      <c r="R3408" s="10"/>
      <c r="S3408" s="10"/>
      <c r="AB3408"/>
      <c r="AC3408"/>
    </row>
    <row r="3409" spans="1:29" x14ac:dyDescent="0.25">
      <c r="A3409" t="str">
        <f t="shared" si="54"/>
        <v/>
      </c>
      <c r="B3409" s="10"/>
      <c r="C3409" s="10"/>
      <c r="D3409" s="10"/>
      <c r="E3409" s="10"/>
      <c r="F3409" s="10"/>
      <c r="G3409" s="11"/>
      <c r="H3409" s="12"/>
      <c r="I3409" s="13"/>
      <c r="J3409" s="12"/>
      <c r="K3409" s="13"/>
      <c r="L3409" s="11"/>
      <c r="M3409" s="13"/>
      <c r="N3409" s="11"/>
      <c r="O3409" s="13"/>
      <c r="P3409" s="11"/>
      <c r="Q3409" s="13"/>
      <c r="R3409" s="10"/>
      <c r="S3409" s="10"/>
      <c r="AB3409"/>
      <c r="AC3409"/>
    </row>
    <row r="3410" spans="1:29" x14ac:dyDescent="0.25">
      <c r="A3410" t="str">
        <f t="shared" si="54"/>
        <v/>
      </c>
      <c r="B3410" s="10"/>
      <c r="C3410" s="10"/>
      <c r="D3410" s="10"/>
      <c r="E3410" s="10"/>
      <c r="F3410" s="10"/>
      <c r="G3410" s="11"/>
      <c r="H3410" s="12"/>
      <c r="I3410" s="13"/>
      <c r="J3410" s="12"/>
      <c r="K3410" s="13"/>
      <c r="L3410" s="11"/>
      <c r="M3410" s="13"/>
      <c r="N3410" s="11"/>
      <c r="O3410" s="13"/>
      <c r="P3410" s="11"/>
      <c r="Q3410" s="13"/>
      <c r="R3410" s="10"/>
      <c r="S3410" s="10"/>
      <c r="AB3410"/>
      <c r="AC3410"/>
    </row>
    <row r="3411" spans="1:29" x14ac:dyDescent="0.25">
      <c r="A3411" t="str">
        <f t="shared" si="54"/>
        <v/>
      </c>
      <c r="B3411" s="10"/>
      <c r="C3411" s="10"/>
      <c r="D3411" s="10"/>
      <c r="E3411" s="10"/>
      <c r="F3411" s="10"/>
      <c r="G3411" s="11"/>
      <c r="H3411" s="12"/>
      <c r="I3411" s="13"/>
      <c r="J3411" s="12"/>
      <c r="K3411" s="13"/>
      <c r="L3411" s="11"/>
      <c r="M3411" s="13"/>
      <c r="N3411" s="11"/>
      <c r="O3411" s="13"/>
      <c r="P3411" s="11"/>
      <c r="Q3411" s="13"/>
      <c r="R3411" s="10"/>
      <c r="S3411" s="10"/>
      <c r="AB3411"/>
      <c r="AC3411"/>
    </row>
    <row r="3412" spans="1:29" x14ac:dyDescent="0.25">
      <c r="A3412" t="str">
        <f t="shared" si="54"/>
        <v/>
      </c>
      <c r="B3412" s="10"/>
      <c r="C3412" s="10"/>
      <c r="D3412" s="10"/>
      <c r="E3412" s="10"/>
      <c r="F3412" s="10"/>
      <c r="G3412" s="11"/>
      <c r="H3412" s="12"/>
      <c r="I3412" s="13"/>
      <c r="J3412" s="12"/>
      <c r="K3412" s="13"/>
      <c r="L3412" s="11"/>
      <c r="M3412" s="13"/>
      <c r="N3412" s="11"/>
      <c r="O3412" s="13"/>
      <c r="P3412" s="11"/>
      <c r="Q3412" s="13"/>
      <c r="R3412" s="10"/>
      <c r="S3412" s="10"/>
      <c r="AB3412"/>
      <c r="AC3412"/>
    </row>
    <row r="3413" spans="1:29" x14ac:dyDescent="0.25">
      <c r="A3413" t="str">
        <f t="shared" si="54"/>
        <v/>
      </c>
      <c r="B3413" s="10"/>
      <c r="C3413" s="10"/>
      <c r="D3413" s="10"/>
      <c r="E3413" s="10"/>
      <c r="F3413" s="10"/>
      <c r="G3413" s="11"/>
      <c r="H3413" s="12"/>
      <c r="I3413" s="13"/>
      <c r="J3413" s="12"/>
      <c r="K3413" s="13"/>
      <c r="L3413" s="11"/>
      <c r="M3413" s="13"/>
      <c r="N3413" s="11"/>
      <c r="O3413" s="13"/>
      <c r="P3413" s="11"/>
      <c r="Q3413" s="13"/>
      <c r="R3413" s="10"/>
      <c r="S3413" s="10"/>
      <c r="AB3413"/>
      <c r="AC3413"/>
    </row>
    <row r="3414" spans="1:29" x14ac:dyDescent="0.25">
      <c r="A3414" t="str">
        <f t="shared" si="54"/>
        <v/>
      </c>
      <c r="B3414" s="10"/>
      <c r="C3414" s="10"/>
      <c r="D3414" s="10"/>
      <c r="E3414" s="10"/>
      <c r="F3414" s="10"/>
      <c r="G3414" s="11"/>
      <c r="H3414" s="12"/>
      <c r="I3414" s="13"/>
      <c r="J3414" s="12"/>
      <c r="K3414" s="13"/>
      <c r="L3414" s="11"/>
      <c r="M3414" s="13"/>
      <c r="N3414" s="11"/>
      <c r="O3414" s="13"/>
      <c r="P3414" s="11"/>
      <c r="Q3414" s="13"/>
      <c r="R3414" s="10"/>
      <c r="S3414" s="10"/>
      <c r="AB3414"/>
      <c r="AC3414"/>
    </row>
    <row r="3415" spans="1:29" x14ac:dyDescent="0.25">
      <c r="A3415" t="str">
        <f t="shared" si="54"/>
        <v/>
      </c>
      <c r="B3415" s="10"/>
      <c r="C3415" s="10"/>
      <c r="D3415" s="10"/>
      <c r="E3415" s="10"/>
      <c r="F3415" s="10"/>
      <c r="G3415" s="11"/>
      <c r="H3415" s="12"/>
      <c r="I3415" s="13"/>
      <c r="J3415" s="12"/>
      <c r="K3415" s="13"/>
      <c r="L3415" s="11"/>
      <c r="M3415" s="13"/>
      <c r="N3415" s="11"/>
      <c r="O3415" s="13"/>
      <c r="P3415" s="11"/>
      <c r="Q3415" s="13"/>
      <c r="R3415" s="10"/>
      <c r="S3415" s="10"/>
      <c r="AB3415"/>
      <c r="AC3415"/>
    </row>
    <row r="3416" spans="1:29" x14ac:dyDescent="0.25">
      <c r="A3416" t="str">
        <f t="shared" si="54"/>
        <v/>
      </c>
      <c r="B3416" s="10"/>
      <c r="C3416" s="10"/>
      <c r="D3416" s="10"/>
      <c r="E3416" s="10"/>
      <c r="F3416" s="10"/>
      <c r="G3416" s="11"/>
      <c r="H3416" s="12"/>
      <c r="I3416" s="13"/>
      <c r="J3416" s="12"/>
      <c r="K3416" s="13"/>
      <c r="L3416" s="11"/>
      <c r="M3416" s="13"/>
      <c r="N3416" s="11"/>
      <c r="O3416" s="13"/>
      <c r="P3416" s="11"/>
      <c r="Q3416" s="13"/>
      <c r="R3416" s="10"/>
      <c r="S3416" s="10"/>
    </row>
    <row r="3417" spans="1:29" x14ac:dyDescent="0.25">
      <c r="A3417" t="str">
        <f t="shared" si="54"/>
        <v/>
      </c>
      <c r="B3417" s="10"/>
      <c r="C3417" s="10"/>
      <c r="D3417" s="10"/>
      <c r="E3417" s="10"/>
      <c r="F3417" s="10"/>
      <c r="G3417" s="11"/>
      <c r="H3417" s="12"/>
      <c r="I3417" s="13"/>
      <c r="J3417" s="12"/>
      <c r="K3417" s="13"/>
      <c r="L3417" s="11"/>
      <c r="M3417" s="13"/>
      <c r="N3417" s="11"/>
      <c r="O3417" s="13"/>
      <c r="P3417" s="11"/>
      <c r="Q3417" s="13"/>
      <c r="R3417" s="10"/>
      <c r="S3417" s="10"/>
    </row>
    <row r="3418" spans="1:29" x14ac:dyDescent="0.25">
      <c r="A3418" t="str">
        <f t="shared" si="54"/>
        <v/>
      </c>
      <c r="B3418" s="10"/>
      <c r="C3418" s="10"/>
      <c r="D3418" s="10"/>
      <c r="E3418" s="10"/>
      <c r="F3418" s="10"/>
      <c r="G3418" s="11"/>
      <c r="H3418" s="12"/>
      <c r="I3418" s="13"/>
      <c r="J3418" s="12"/>
      <c r="K3418" s="13"/>
      <c r="L3418" s="11"/>
      <c r="M3418" s="13"/>
      <c r="N3418" s="11"/>
      <c r="O3418" s="13"/>
      <c r="P3418" s="11"/>
      <c r="Q3418" s="13"/>
      <c r="R3418" s="10"/>
      <c r="S3418" s="10"/>
    </row>
    <row r="3419" spans="1:29" x14ac:dyDescent="0.25">
      <c r="A3419" t="str">
        <f t="shared" si="54"/>
        <v/>
      </c>
      <c r="B3419" s="10"/>
      <c r="C3419" s="10"/>
      <c r="D3419" s="10"/>
      <c r="E3419" s="10"/>
      <c r="F3419" s="10"/>
      <c r="G3419" s="11"/>
      <c r="H3419" s="12"/>
      <c r="I3419" s="13"/>
      <c r="J3419" s="12"/>
      <c r="K3419" s="13"/>
      <c r="L3419" s="11"/>
      <c r="M3419" s="13"/>
      <c r="N3419" s="11"/>
      <c r="O3419" s="13"/>
      <c r="P3419" s="11"/>
      <c r="Q3419" s="13"/>
      <c r="R3419" s="10"/>
      <c r="S3419" s="10"/>
    </row>
    <row r="3420" spans="1:29" x14ac:dyDescent="0.25">
      <c r="A3420" t="str">
        <f t="shared" si="54"/>
        <v/>
      </c>
      <c r="B3420" s="10"/>
      <c r="C3420" s="10"/>
      <c r="D3420" s="10"/>
      <c r="E3420" s="10"/>
      <c r="F3420" s="10"/>
      <c r="G3420" s="11"/>
      <c r="H3420" s="12"/>
      <c r="I3420" s="13"/>
      <c r="J3420" s="12"/>
      <c r="K3420" s="13"/>
      <c r="L3420" s="11"/>
      <c r="M3420" s="13"/>
      <c r="N3420" s="11"/>
      <c r="O3420" s="13"/>
      <c r="P3420" s="11"/>
      <c r="Q3420" s="13"/>
      <c r="R3420" s="10"/>
      <c r="S3420" s="10"/>
    </row>
    <row r="3421" spans="1:29" x14ac:dyDescent="0.25">
      <c r="A3421" t="str">
        <f t="shared" si="54"/>
        <v/>
      </c>
      <c r="B3421" s="10"/>
      <c r="C3421" s="10"/>
      <c r="D3421" s="10"/>
      <c r="E3421" s="10"/>
      <c r="F3421" s="10"/>
      <c r="G3421" s="11"/>
      <c r="H3421" s="12"/>
      <c r="I3421" s="13"/>
      <c r="J3421" s="12"/>
      <c r="K3421" s="13"/>
      <c r="L3421" s="11"/>
      <c r="M3421" s="13"/>
      <c r="N3421" s="11"/>
      <c r="O3421" s="13"/>
      <c r="P3421" s="11"/>
      <c r="Q3421" s="13"/>
      <c r="R3421" s="10"/>
      <c r="S3421" s="10"/>
    </row>
    <row r="3422" spans="1:29" x14ac:dyDescent="0.25">
      <c r="A3422" t="str">
        <f t="shared" si="54"/>
        <v/>
      </c>
      <c r="B3422" s="10"/>
      <c r="C3422" s="10"/>
      <c r="D3422" s="10"/>
      <c r="E3422" s="10"/>
      <c r="F3422" s="10"/>
      <c r="G3422" s="11"/>
      <c r="H3422" s="12"/>
      <c r="I3422" s="13"/>
      <c r="J3422" s="12"/>
      <c r="K3422" s="13"/>
      <c r="L3422" s="11"/>
      <c r="M3422" s="13"/>
      <c r="N3422" s="11"/>
      <c r="O3422" s="13"/>
      <c r="P3422" s="11"/>
      <c r="Q3422" s="13"/>
      <c r="R3422" s="10"/>
      <c r="S3422" s="10"/>
    </row>
    <row r="3423" spans="1:29" x14ac:dyDescent="0.25">
      <c r="A3423" t="str">
        <f t="shared" si="54"/>
        <v/>
      </c>
      <c r="B3423" s="10"/>
      <c r="C3423" s="10"/>
      <c r="D3423" s="10"/>
      <c r="E3423" s="10"/>
      <c r="F3423" s="10"/>
      <c r="G3423" s="11"/>
      <c r="H3423" s="12"/>
      <c r="I3423" s="13"/>
      <c r="J3423" s="12"/>
      <c r="K3423" s="13"/>
      <c r="L3423" s="11"/>
      <c r="M3423" s="13"/>
      <c r="N3423" s="11"/>
      <c r="O3423" s="13"/>
      <c r="P3423" s="11"/>
      <c r="Q3423" s="13"/>
      <c r="R3423" s="10"/>
      <c r="S3423" s="10"/>
    </row>
    <row r="3424" spans="1:29" x14ac:dyDescent="0.25">
      <c r="A3424" t="str">
        <f t="shared" si="54"/>
        <v/>
      </c>
      <c r="B3424" s="10"/>
      <c r="C3424" s="10"/>
      <c r="D3424" s="10"/>
      <c r="E3424" s="10"/>
      <c r="F3424" s="10"/>
      <c r="G3424" s="11"/>
      <c r="H3424" s="12"/>
      <c r="I3424" s="13"/>
      <c r="J3424" s="12"/>
      <c r="K3424" s="13"/>
      <c r="L3424" s="11"/>
      <c r="M3424" s="13"/>
      <c r="N3424" s="11"/>
      <c r="O3424" s="13"/>
      <c r="P3424" s="11"/>
      <c r="Q3424" s="13"/>
      <c r="R3424" s="10"/>
      <c r="S3424" s="10"/>
    </row>
    <row r="3425" spans="1:19" x14ac:dyDescent="0.25">
      <c r="A3425" t="str">
        <f t="shared" si="54"/>
        <v/>
      </c>
      <c r="B3425" s="10"/>
      <c r="C3425" s="10"/>
      <c r="D3425" s="10"/>
      <c r="E3425" s="10"/>
      <c r="F3425" s="10"/>
      <c r="G3425" s="11"/>
      <c r="H3425" s="12"/>
      <c r="I3425" s="13"/>
      <c r="J3425" s="12"/>
      <c r="K3425" s="13"/>
      <c r="L3425" s="11"/>
      <c r="M3425" s="13"/>
      <c r="N3425" s="11"/>
      <c r="O3425" s="13"/>
      <c r="P3425" s="11"/>
      <c r="Q3425" s="13"/>
      <c r="R3425" s="10"/>
      <c r="S3425" s="10"/>
    </row>
    <row r="3426" spans="1:19" x14ac:dyDescent="0.25">
      <c r="A3426" t="str">
        <f t="shared" si="54"/>
        <v/>
      </c>
      <c r="B3426" s="10"/>
      <c r="C3426" s="10"/>
      <c r="D3426" s="10"/>
      <c r="E3426" s="10"/>
      <c r="F3426" s="10"/>
      <c r="G3426" s="11"/>
      <c r="H3426" s="12"/>
      <c r="I3426" s="13"/>
      <c r="J3426" s="12"/>
      <c r="K3426" s="13"/>
      <c r="L3426" s="11"/>
      <c r="M3426" s="13"/>
      <c r="N3426" s="11"/>
      <c r="O3426" s="13"/>
      <c r="P3426" s="11"/>
      <c r="Q3426" s="13"/>
      <c r="R3426" s="10"/>
      <c r="S3426" s="10"/>
    </row>
    <row r="3427" spans="1:19" x14ac:dyDescent="0.25">
      <c r="A3427" t="str">
        <f t="shared" si="54"/>
        <v/>
      </c>
      <c r="B3427" s="10"/>
      <c r="C3427" s="10"/>
      <c r="D3427" s="10"/>
      <c r="E3427" s="10"/>
      <c r="F3427" s="10"/>
      <c r="G3427" s="11"/>
      <c r="H3427" s="12"/>
      <c r="I3427" s="13"/>
      <c r="J3427" s="12"/>
      <c r="K3427" s="13"/>
      <c r="L3427" s="11"/>
      <c r="M3427" s="13"/>
      <c r="N3427" s="11"/>
      <c r="O3427" s="13"/>
      <c r="P3427" s="11"/>
      <c r="Q3427" s="13"/>
      <c r="R3427" s="10"/>
      <c r="S3427" s="10"/>
    </row>
    <row r="3428" spans="1:19" x14ac:dyDescent="0.25">
      <c r="A3428" t="str">
        <f t="shared" si="54"/>
        <v/>
      </c>
      <c r="B3428" s="10"/>
      <c r="C3428" s="10"/>
      <c r="D3428" s="10"/>
      <c r="E3428" s="10"/>
      <c r="F3428" s="10"/>
      <c r="G3428" s="11"/>
      <c r="H3428" s="12"/>
      <c r="I3428" s="13"/>
      <c r="J3428" s="12"/>
      <c r="K3428" s="13"/>
      <c r="L3428" s="11"/>
      <c r="M3428" s="13"/>
      <c r="N3428" s="11"/>
      <c r="O3428" s="13"/>
      <c r="P3428" s="11"/>
      <c r="Q3428" s="13"/>
      <c r="R3428" s="10"/>
      <c r="S3428" s="10"/>
    </row>
    <row r="3429" spans="1:19" x14ac:dyDescent="0.25">
      <c r="A3429" t="str">
        <f t="shared" si="54"/>
        <v/>
      </c>
      <c r="B3429" s="10"/>
      <c r="C3429" s="10"/>
      <c r="D3429" s="10"/>
      <c r="E3429" s="10"/>
      <c r="F3429" s="10"/>
      <c r="G3429" s="11"/>
      <c r="H3429" s="12"/>
      <c r="I3429" s="13"/>
      <c r="J3429" s="12"/>
      <c r="K3429" s="13"/>
      <c r="L3429" s="11"/>
      <c r="M3429" s="13"/>
      <c r="N3429" s="11"/>
      <c r="O3429" s="13"/>
      <c r="P3429" s="11"/>
      <c r="Q3429" s="13"/>
      <c r="R3429" s="10"/>
      <c r="S3429" s="10"/>
    </row>
    <row r="3430" spans="1:19" x14ac:dyDescent="0.25">
      <c r="A3430" t="str">
        <f t="shared" si="54"/>
        <v/>
      </c>
      <c r="B3430" s="10"/>
      <c r="C3430" s="10"/>
      <c r="D3430" s="10"/>
      <c r="E3430" s="10"/>
      <c r="F3430" s="10"/>
      <c r="G3430" s="11"/>
      <c r="H3430" s="12"/>
      <c r="I3430" s="13"/>
      <c r="J3430" s="12"/>
      <c r="K3430" s="13"/>
      <c r="L3430" s="11"/>
      <c r="M3430" s="13"/>
      <c r="N3430" s="11"/>
      <c r="O3430" s="13"/>
      <c r="P3430" s="11"/>
      <c r="Q3430" s="13"/>
      <c r="R3430" s="10"/>
      <c r="S3430" s="10"/>
    </row>
    <row r="3431" spans="1:19" x14ac:dyDescent="0.25">
      <c r="A3431" t="str">
        <f t="shared" si="54"/>
        <v/>
      </c>
      <c r="B3431" s="10"/>
      <c r="C3431" s="10"/>
      <c r="D3431" s="10"/>
      <c r="E3431" s="10"/>
      <c r="F3431" s="10"/>
      <c r="G3431" s="11"/>
      <c r="H3431" s="12"/>
      <c r="I3431" s="13"/>
      <c r="J3431" s="12"/>
      <c r="K3431" s="13"/>
      <c r="L3431" s="11"/>
      <c r="M3431" s="13"/>
      <c r="N3431" s="11"/>
      <c r="O3431" s="13"/>
      <c r="P3431" s="11"/>
      <c r="Q3431" s="13"/>
      <c r="R3431" s="10"/>
      <c r="S3431" s="10"/>
    </row>
    <row r="3432" spans="1:19" x14ac:dyDescent="0.25">
      <c r="A3432" t="str">
        <f t="shared" si="54"/>
        <v/>
      </c>
      <c r="B3432" s="10"/>
      <c r="C3432" s="10"/>
      <c r="D3432" s="10"/>
      <c r="E3432" s="10"/>
      <c r="F3432" s="10"/>
      <c r="G3432" s="11"/>
      <c r="H3432" s="12"/>
      <c r="I3432" s="13"/>
      <c r="J3432" s="12"/>
      <c r="K3432" s="13"/>
      <c r="L3432" s="11"/>
      <c r="M3432" s="13"/>
      <c r="N3432" s="11"/>
      <c r="O3432" s="13"/>
      <c r="P3432" s="11"/>
      <c r="Q3432" s="13"/>
      <c r="R3432" s="10"/>
      <c r="S3432" s="10"/>
    </row>
    <row r="3433" spans="1:19" x14ac:dyDescent="0.25">
      <c r="A3433" t="str">
        <f t="shared" si="54"/>
        <v/>
      </c>
      <c r="B3433" s="10"/>
      <c r="C3433" s="10"/>
      <c r="D3433" s="10"/>
      <c r="E3433" s="10"/>
      <c r="F3433" s="10"/>
      <c r="G3433" s="11"/>
      <c r="H3433" s="12"/>
      <c r="I3433" s="13"/>
      <c r="J3433" s="12"/>
      <c r="K3433" s="13"/>
      <c r="L3433" s="11"/>
      <c r="M3433" s="13"/>
      <c r="N3433" s="11"/>
      <c r="O3433" s="13"/>
      <c r="P3433" s="11"/>
      <c r="Q3433" s="13"/>
      <c r="R3433" s="10"/>
      <c r="S3433" s="10"/>
    </row>
    <row r="3434" spans="1:19" x14ac:dyDescent="0.25">
      <c r="A3434" t="str">
        <f t="shared" si="54"/>
        <v/>
      </c>
      <c r="B3434" s="10"/>
      <c r="C3434" s="10"/>
      <c r="D3434" s="10"/>
      <c r="E3434" s="10"/>
      <c r="F3434" s="10"/>
      <c r="G3434" s="11"/>
      <c r="H3434" s="12"/>
      <c r="I3434" s="13"/>
      <c r="J3434" s="12"/>
      <c r="K3434" s="13"/>
      <c r="L3434" s="11"/>
      <c r="M3434" s="13"/>
      <c r="N3434" s="11"/>
      <c r="O3434" s="13"/>
      <c r="P3434" s="11"/>
      <c r="Q3434" s="13"/>
      <c r="R3434" s="10"/>
      <c r="S3434" s="10"/>
    </row>
    <row r="3435" spans="1:19" x14ac:dyDescent="0.25">
      <c r="A3435" t="str">
        <f t="shared" si="54"/>
        <v/>
      </c>
      <c r="B3435" s="10"/>
      <c r="C3435" s="10"/>
      <c r="D3435" s="10"/>
      <c r="E3435" s="10"/>
      <c r="F3435" s="10"/>
      <c r="G3435" s="11"/>
      <c r="H3435" s="12"/>
      <c r="I3435" s="13"/>
      <c r="J3435" s="12"/>
      <c r="K3435" s="13"/>
      <c r="L3435" s="11"/>
      <c r="M3435" s="13"/>
      <c r="N3435" s="11"/>
      <c r="O3435" s="13"/>
      <c r="P3435" s="11"/>
      <c r="Q3435" s="13"/>
      <c r="R3435" s="10"/>
      <c r="S3435" s="10"/>
    </row>
    <row r="3436" spans="1:19" x14ac:dyDescent="0.25">
      <c r="A3436" t="str">
        <f t="shared" si="54"/>
        <v/>
      </c>
      <c r="B3436" s="10"/>
      <c r="C3436" s="10"/>
      <c r="D3436" s="10"/>
      <c r="E3436" s="10"/>
      <c r="F3436" s="10"/>
      <c r="G3436" s="11"/>
      <c r="H3436" s="12"/>
      <c r="I3436" s="13"/>
      <c r="J3436" s="12"/>
      <c r="K3436" s="13"/>
      <c r="L3436" s="11"/>
      <c r="M3436" s="13"/>
      <c r="N3436" s="11"/>
      <c r="O3436" s="13"/>
      <c r="P3436" s="11"/>
      <c r="Q3436" s="13"/>
      <c r="R3436" s="10"/>
      <c r="S3436" s="10"/>
    </row>
    <row r="3437" spans="1:19" x14ac:dyDescent="0.25">
      <c r="A3437" t="str">
        <f t="shared" si="54"/>
        <v/>
      </c>
      <c r="B3437" s="10"/>
      <c r="C3437" s="10"/>
      <c r="D3437" s="10"/>
      <c r="E3437" s="10"/>
      <c r="F3437" s="10"/>
      <c r="G3437" s="11"/>
      <c r="H3437" s="12"/>
      <c r="I3437" s="13"/>
      <c r="J3437" s="12"/>
      <c r="K3437" s="13"/>
      <c r="L3437" s="11"/>
      <c r="M3437" s="13"/>
      <c r="N3437" s="11"/>
      <c r="O3437" s="13"/>
      <c r="P3437" s="11"/>
      <c r="Q3437" s="13"/>
      <c r="R3437" s="10"/>
      <c r="S3437" s="10"/>
    </row>
    <row r="3438" spans="1:19" x14ac:dyDescent="0.25">
      <c r="A3438" t="str">
        <f t="shared" si="54"/>
        <v/>
      </c>
      <c r="B3438" s="10"/>
      <c r="C3438" s="10"/>
      <c r="D3438" s="10"/>
      <c r="E3438" s="10"/>
      <c r="F3438" s="10"/>
      <c r="G3438" s="11"/>
      <c r="H3438" s="12"/>
      <c r="I3438" s="13"/>
      <c r="J3438" s="12"/>
      <c r="K3438" s="13"/>
      <c r="L3438" s="11"/>
      <c r="M3438" s="13"/>
      <c r="N3438" s="11"/>
      <c r="O3438" s="13"/>
      <c r="P3438" s="11"/>
      <c r="Q3438" s="13"/>
      <c r="R3438" s="10"/>
      <c r="S3438" s="10"/>
    </row>
    <row r="3439" spans="1:19" x14ac:dyDescent="0.25">
      <c r="A3439" t="str">
        <f t="shared" si="54"/>
        <v/>
      </c>
      <c r="B3439" s="10"/>
      <c r="C3439" s="10"/>
      <c r="D3439" s="10"/>
      <c r="E3439" s="10"/>
      <c r="F3439" s="10"/>
      <c r="G3439" s="11"/>
      <c r="H3439" s="12"/>
      <c r="I3439" s="13"/>
      <c r="J3439" s="12"/>
      <c r="K3439" s="13"/>
      <c r="L3439" s="11"/>
      <c r="M3439" s="13"/>
      <c r="N3439" s="11"/>
      <c r="O3439" s="13"/>
      <c r="P3439" s="11"/>
      <c r="Q3439" s="13"/>
      <c r="R3439" s="10"/>
      <c r="S3439" s="10"/>
    </row>
    <row r="3440" spans="1:19" x14ac:dyDescent="0.25">
      <c r="A3440" t="str">
        <f t="shared" si="54"/>
        <v/>
      </c>
      <c r="B3440" s="10"/>
      <c r="C3440" s="10"/>
      <c r="D3440" s="10"/>
      <c r="E3440" s="10"/>
      <c r="F3440" s="10"/>
      <c r="G3440" s="11"/>
      <c r="H3440" s="12"/>
      <c r="I3440" s="13"/>
      <c r="J3440" s="12"/>
      <c r="K3440" s="13"/>
      <c r="L3440" s="11"/>
      <c r="M3440" s="13"/>
      <c r="N3440" s="11"/>
      <c r="O3440" s="13"/>
      <c r="P3440" s="11"/>
      <c r="Q3440" s="13"/>
      <c r="R3440" s="10"/>
      <c r="S3440" s="10"/>
    </row>
    <row r="3441" spans="1:19" x14ac:dyDescent="0.25">
      <c r="A3441" t="str">
        <f t="shared" si="54"/>
        <v/>
      </c>
      <c r="B3441" s="10"/>
      <c r="C3441" s="10"/>
      <c r="D3441" s="10"/>
      <c r="E3441" s="10"/>
      <c r="F3441" s="10"/>
      <c r="G3441" s="11"/>
      <c r="H3441" s="12"/>
      <c r="I3441" s="13"/>
      <c r="J3441" s="12"/>
      <c r="K3441" s="13"/>
      <c r="L3441" s="11"/>
      <c r="M3441" s="13"/>
      <c r="N3441" s="11"/>
      <c r="O3441" s="13"/>
      <c r="P3441" s="11"/>
      <c r="Q3441" s="13"/>
      <c r="R3441" s="10"/>
      <c r="S3441" s="10"/>
    </row>
    <row r="3442" spans="1:19" x14ac:dyDescent="0.25">
      <c r="A3442" t="str">
        <f t="shared" si="54"/>
        <v/>
      </c>
      <c r="B3442" s="10"/>
      <c r="C3442" s="10"/>
      <c r="D3442" s="10"/>
      <c r="E3442" s="10"/>
      <c r="F3442" s="10"/>
      <c r="G3442" s="11"/>
      <c r="H3442" s="12"/>
      <c r="I3442" s="13"/>
      <c r="J3442" s="12"/>
      <c r="K3442" s="13"/>
      <c r="L3442" s="11"/>
      <c r="M3442" s="13"/>
      <c r="N3442" s="11"/>
      <c r="O3442" s="13"/>
      <c r="P3442" s="11"/>
      <c r="Q3442" s="13"/>
      <c r="R3442" s="10"/>
      <c r="S3442" s="10"/>
    </row>
    <row r="3443" spans="1:19" x14ac:dyDescent="0.25">
      <c r="A3443" t="str">
        <f t="shared" si="54"/>
        <v/>
      </c>
      <c r="B3443" s="10"/>
      <c r="C3443" s="10"/>
      <c r="D3443" s="10"/>
      <c r="E3443" s="10"/>
      <c r="F3443" s="10"/>
      <c r="G3443" s="11"/>
      <c r="H3443" s="12"/>
      <c r="I3443" s="13"/>
      <c r="J3443" s="12"/>
      <c r="K3443" s="13"/>
      <c r="L3443" s="11"/>
      <c r="M3443" s="13"/>
      <c r="N3443" s="11"/>
      <c r="O3443" s="13"/>
      <c r="P3443" s="11"/>
      <c r="Q3443" s="13"/>
      <c r="R3443" s="10"/>
      <c r="S3443" s="10"/>
    </row>
    <row r="3444" spans="1:19" x14ac:dyDescent="0.25">
      <c r="A3444" t="str">
        <f t="shared" si="54"/>
        <v/>
      </c>
      <c r="B3444" s="10"/>
      <c r="C3444" s="10"/>
      <c r="D3444" s="10"/>
      <c r="E3444" s="10"/>
      <c r="F3444" s="10"/>
      <c r="G3444" s="11"/>
      <c r="H3444" s="12"/>
      <c r="I3444" s="13"/>
      <c r="J3444" s="12"/>
      <c r="K3444" s="13"/>
      <c r="L3444" s="11"/>
      <c r="M3444" s="13"/>
      <c r="N3444" s="11"/>
      <c r="O3444" s="13"/>
      <c r="P3444" s="11"/>
      <c r="Q3444" s="13"/>
      <c r="R3444" s="10"/>
      <c r="S3444" s="10"/>
    </row>
    <row r="3445" spans="1:19" x14ac:dyDescent="0.25">
      <c r="A3445" t="str">
        <f t="shared" ref="A3445:A3508" si="55">B3443&amp;D3443</f>
        <v/>
      </c>
      <c r="B3445" s="10"/>
      <c r="C3445" s="10"/>
      <c r="D3445" s="10"/>
      <c r="E3445" s="10"/>
      <c r="F3445" s="10"/>
      <c r="G3445" s="11"/>
      <c r="H3445" s="12"/>
      <c r="I3445" s="13"/>
      <c r="J3445" s="12"/>
      <c r="K3445" s="13"/>
      <c r="L3445" s="11"/>
      <c r="M3445" s="13"/>
      <c r="N3445" s="11"/>
      <c r="O3445" s="13"/>
      <c r="P3445" s="11"/>
      <c r="Q3445" s="13"/>
      <c r="R3445" s="10"/>
      <c r="S3445" s="10"/>
    </row>
    <row r="3446" spans="1:19" x14ac:dyDescent="0.25">
      <c r="A3446" t="str">
        <f t="shared" si="55"/>
        <v/>
      </c>
      <c r="B3446" s="10"/>
      <c r="C3446" s="10"/>
      <c r="D3446" s="10"/>
      <c r="E3446" s="10"/>
      <c r="F3446" s="10"/>
      <c r="G3446" s="11"/>
      <c r="H3446" s="12"/>
      <c r="I3446" s="13"/>
      <c r="J3446" s="12"/>
      <c r="K3446" s="13"/>
      <c r="L3446" s="11"/>
      <c r="M3446" s="13"/>
      <c r="N3446" s="11"/>
      <c r="O3446" s="13"/>
      <c r="P3446" s="11"/>
      <c r="Q3446" s="13"/>
      <c r="R3446" s="10"/>
      <c r="S3446" s="10"/>
    </row>
    <row r="3447" spans="1:19" x14ac:dyDescent="0.25">
      <c r="A3447" t="str">
        <f t="shared" si="55"/>
        <v/>
      </c>
      <c r="B3447" s="10"/>
      <c r="C3447" s="10"/>
      <c r="D3447" s="10"/>
      <c r="E3447" s="10"/>
      <c r="F3447" s="10"/>
      <c r="G3447" s="11"/>
      <c r="H3447" s="12"/>
      <c r="I3447" s="13"/>
      <c r="J3447" s="12"/>
      <c r="K3447" s="13"/>
      <c r="L3447" s="11"/>
      <c r="M3447" s="13"/>
      <c r="N3447" s="11"/>
      <c r="O3447" s="13"/>
      <c r="P3447" s="11"/>
      <c r="Q3447" s="13"/>
      <c r="R3447" s="10"/>
      <c r="S3447" s="10"/>
    </row>
    <row r="3448" spans="1:19" x14ac:dyDescent="0.25">
      <c r="A3448" t="str">
        <f t="shared" si="55"/>
        <v/>
      </c>
      <c r="B3448" s="10"/>
      <c r="C3448" s="10"/>
      <c r="D3448" s="10"/>
      <c r="E3448" s="10"/>
      <c r="F3448" s="10"/>
      <c r="G3448" s="11"/>
      <c r="H3448" s="12"/>
      <c r="I3448" s="13"/>
      <c r="J3448" s="12"/>
      <c r="K3448" s="13"/>
      <c r="L3448" s="11"/>
      <c r="M3448" s="13"/>
      <c r="N3448" s="11"/>
      <c r="O3448" s="13"/>
      <c r="P3448" s="11"/>
      <c r="Q3448" s="13"/>
      <c r="R3448" s="10"/>
      <c r="S3448" s="10"/>
    </row>
    <row r="3449" spans="1:19" x14ac:dyDescent="0.25">
      <c r="A3449" t="str">
        <f t="shared" si="55"/>
        <v/>
      </c>
      <c r="B3449" s="10"/>
      <c r="C3449" s="10"/>
      <c r="D3449" s="10"/>
      <c r="E3449" s="10"/>
      <c r="F3449" s="10"/>
      <c r="G3449" s="11"/>
      <c r="H3449" s="12"/>
      <c r="I3449" s="13"/>
      <c r="J3449" s="12"/>
      <c r="K3449" s="13"/>
      <c r="L3449" s="11"/>
      <c r="M3449" s="13"/>
      <c r="N3449" s="11"/>
      <c r="O3449" s="13"/>
      <c r="P3449" s="11"/>
      <c r="Q3449" s="13"/>
      <c r="R3449" s="10"/>
      <c r="S3449" s="10"/>
    </row>
    <row r="3450" spans="1:19" x14ac:dyDescent="0.25">
      <c r="A3450" t="str">
        <f t="shared" si="55"/>
        <v/>
      </c>
      <c r="B3450" s="10"/>
      <c r="C3450" s="10"/>
      <c r="D3450" s="10"/>
      <c r="E3450" s="10"/>
      <c r="F3450" s="10"/>
      <c r="G3450" s="11"/>
      <c r="H3450" s="12"/>
      <c r="I3450" s="13"/>
      <c r="J3450" s="12"/>
      <c r="K3450" s="13"/>
      <c r="L3450" s="11"/>
      <c r="M3450" s="13"/>
      <c r="N3450" s="11"/>
      <c r="O3450" s="13"/>
      <c r="P3450" s="11"/>
      <c r="Q3450" s="13"/>
      <c r="R3450" s="10"/>
      <c r="S3450" s="10"/>
    </row>
    <row r="3451" spans="1:19" x14ac:dyDescent="0.25">
      <c r="A3451" t="str">
        <f t="shared" si="55"/>
        <v/>
      </c>
      <c r="B3451" s="10"/>
      <c r="C3451" s="10"/>
      <c r="D3451" s="10"/>
      <c r="E3451" s="10"/>
      <c r="F3451" s="10"/>
      <c r="G3451" s="11"/>
      <c r="H3451" s="12"/>
      <c r="I3451" s="13"/>
      <c r="J3451" s="12"/>
      <c r="K3451" s="13"/>
      <c r="L3451" s="11"/>
      <c r="M3451" s="13"/>
      <c r="N3451" s="11"/>
      <c r="O3451" s="13"/>
      <c r="P3451" s="11"/>
      <c r="Q3451" s="13"/>
      <c r="R3451" s="10"/>
      <c r="S3451" s="10"/>
    </row>
    <row r="3452" spans="1:19" x14ac:dyDescent="0.25">
      <c r="A3452" t="str">
        <f t="shared" si="55"/>
        <v/>
      </c>
      <c r="B3452" s="10"/>
      <c r="C3452" s="10"/>
      <c r="D3452" s="10"/>
      <c r="E3452" s="10"/>
      <c r="F3452" s="10"/>
      <c r="G3452" s="11"/>
      <c r="H3452" s="12"/>
      <c r="I3452" s="13"/>
      <c r="J3452" s="12"/>
      <c r="K3452" s="13"/>
      <c r="L3452" s="11"/>
      <c r="M3452" s="13"/>
      <c r="N3452" s="11"/>
      <c r="O3452" s="13"/>
      <c r="P3452" s="11"/>
      <c r="Q3452" s="13"/>
      <c r="R3452" s="10"/>
      <c r="S3452" s="10"/>
    </row>
    <row r="3453" spans="1:19" x14ac:dyDescent="0.25">
      <c r="A3453" t="str">
        <f t="shared" si="55"/>
        <v/>
      </c>
      <c r="B3453" s="10"/>
      <c r="C3453" s="10"/>
      <c r="D3453" s="10"/>
      <c r="E3453" s="10"/>
      <c r="F3453" s="10"/>
      <c r="G3453" s="11"/>
      <c r="H3453" s="12"/>
      <c r="I3453" s="13"/>
      <c r="J3453" s="12"/>
      <c r="K3453" s="13"/>
      <c r="L3453" s="11"/>
      <c r="M3453" s="13"/>
      <c r="N3453" s="11"/>
      <c r="O3453" s="13"/>
      <c r="P3453" s="11"/>
      <c r="Q3453" s="13"/>
      <c r="R3453" s="10"/>
      <c r="S3453" s="10"/>
    </row>
    <row r="3454" spans="1:19" x14ac:dyDescent="0.25">
      <c r="A3454" t="str">
        <f t="shared" si="55"/>
        <v/>
      </c>
      <c r="B3454" s="10"/>
      <c r="C3454" s="10"/>
      <c r="D3454" s="10"/>
      <c r="E3454" s="10"/>
      <c r="F3454" s="10"/>
      <c r="G3454" s="11"/>
      <c r="H3454" s="12"/>
      <c r="I3454" s="13"/>
      <c r="J3454" s="12"/>
      <c r="K3454" s="13"/>
      <c r="L3454" s="11"/>
      <c r="M3454" s="13"/>
      <c r="N3454" s="11"/>
      <c r="O3454" s="13"/>
      <c r="P3454" s="11"/>
      <c r="Q3454" s="13"/>
      <c r="R3454" s="10"/>
      <c r="S3454" s="10"/>
    </row>
    <row r="3455" spans="1:19" x14ac:dyDescent="0.25">
      <c r="A3455" t="str">
        <f t="shared" si="55"/>
        <v/>
      </c>
      <c r="B3455" s="10"/>
      <c r="C3455" s="10"/>
      <c r="D3455" s="10"/>
      <c r="E3455" s="10"/>
      <c r="F3455" s="10"/>
      <c r="G3455" s="11"/>
      <c r="H3455" s="12"/>
      <c r="I3455" s="13"/>
      <c r="J3455" s="12"/>
      <c r="K3455" s="13"/>
      <c r="L3455" s="11"/>
      <c r="M3455" s="13"/>
      <c r="N3455" s="11"/>
      <c r="O3455" s="13"/>
      <c r="P3455" s="11"/>
      <c r="Q3455" s="13"/>
      <c r="R3455" s="10"/>
      <c r="S3455" s="10"/>
    </row>
    <row r="3456" spans="1:19" x14ac:dyDescent="0.25">
      <c r="A3456" t="str">
        <f t="shared" si="55"/>
        <v/>
      </c>
      <c r="B3456" s="10"/>
      <c r="C3456" s="10"/>
      <c r="D3456" s="10"/>
      <c r="E3456" s="10"/>
      <c r="F3456" s="10"/>
      <c r="G3456" s="11"/>
      <c r="H3456" s="12"/>
      <c r="I3456" s="13"/>
      <c r="J3456" s="12"/>
      <c r="K3456" s="13"/>
      <c r="L3456" s="11"/>
      <c r="M3456" s="13"/>
      <c r="N3456" s="11"/>
      <c r="O3456" s="13"/>
      <c r="P3456" s="11"/>
      <c r="Q3456" s="13"/>
      <c r="R3456" s="10"/>
      <c r="S3456" s="10"/>
    </row>
    <row r="3457" spans="1:19" x14ac:dyDescent="0.25">
      <c r="A3457" t="str">
        <f t="shared" si="55"/>
        <v/>
      </c>
      <c r="B3457" s="10"/>
      <c r="C3457" s="10"/>
      <c r="D3457" s="10"/>
      <c r="E3457" s="10"/>
      <c r="F3457" s="10"/>
      <c r="G3457" s="11"/>
      <c r="H3457" s="12"/>
      <c r="I3457" s="13"/>
      <c r="J3457" s="12"/>
      <c r="K3457" s="13"/>
      <c r="L3457" s="11"/>
      <c r="M3457" s="13"/>
      <c r="N3457" s="11"/>
      <c r="O3457" s="13"/>
      <c r="P3457" s="11"/>
      <c r="Q3457" s="13"/>
      <c r="R3457" s="10"/>
      <c r="S3457" s="10"/>
    </row>
    <row r="3458" spans="1:19" x14ac:dyDescent="0.25">
      <c r="A3458" t="str">
        <f t="shared" si="55"/>
        <v/>
      </c>
      <c r="B3458" s="10"/>
      <c r="C3458" s="10"/>
      <c r="D3458" s="10"/>
      <c r="E3458" s="10"/>
      <c r="F3458" s="10"/>
      <c r="G3458" s="11"/>
      <c r="H3458" s="12"/>
      <c r="I3458" s="13"/>
      <c r="J3458" s="12"/>
      <c r="K3458" s="13"/>
      <c r="L3458" s="11"/>
      <c r="M3458" s="13"/>
      <c r="N3458" s="11"/>
      <c r="O3458" s="13"/>
      <c r="P3458" s="11"/>
      <c r="Q3458" s="13"/>
      <c r="R3458" s="10"/>
      <c r="S3458" s="10"/>
    </row>
    <row r="3459" spans="1:19" x14ac:dyDescent="0.25">
      <c r="A3459" t="str">
        <f t="shared" si="55"/>
        <v/>
      </c>
      <c r="B3459" s="10"/>
      <c r="C3459" s="10"/>
      <c r="D3459" s="10"/>
      <c r="E3459" s="10"/>
      <c r="F3459" s="10"/>
      <c r="G3459" s="11"/>
      <c r="H3459" s="12"/>
      <c r="I3459" s="13"/>
      <c r="J3459" s="12"/>
      <c r="K3459" s="13"/>
      <c r="L3459" s="11"/>
      <c r="M3459" s="13"/>
      <c r="N3459" s="11"/>
      <c r="O3459" s="13"/>
      <c r="P3459" s="11"/>
      <c r="Q3459" s="13"/>
      <c r="R3459" s="10"/>
      <c r="S3459" s="10"/>
    </row>
    <row r="3460" spans="1:19" x14ac:dyDescent="0.25">
      <c r="A3460" t="str">
        <f t="shared" si="55"/>
        <v/>
      </c>
      <c r="B3460" s="10"/>
      <c r="C3460" s="10"/>
      <c r="D3460" s="10"/>
      <c r="E3460" s="10"/>
      <c r="F3460" s="10"/>
      <c r="G3460" s="11"/>
      <c r="H3460" s="12"/>
      <c r="I3460" s="13"/>
      <c r="J3460" s="12"/>
      <c r="K3460" s="13"/>
      <c r="L3460" s="11"/>
      <c r="M3460" s="13"/>
      <c r="N3460" s="11"/>
      <c r="O3460" s="13"/>
      <c r="P3460" s="11"/>
      <c r="Q3460" s="13"/>
      <c r="R3460" s="10"/>
      <c r="S3460" s="10"/>
    </row>
    <row r="3461" spans="1:19" x14ac:dyDescent="0.25">
      <c r="A3461" t="str">
        <f t="shared" si="55"/>
        <v/>
      </c>
      <c r="B3461" s="10"/>
      <c r="C3461" s="10"/>
      <c r="D3461" s="10"/>
      <c r="E3461" s="10"/>
      <c r="F3461" s="10"/>
      <c r="G3461" s="11"/>
      <c r="H3461" s="12"/>
      <c r="I3461" s="13"/>
      <c r="J3461" s="12"/>
      <c r="K3461" s="13"/>
      <c r="L3461" s="11"/>
      <c r="M3461" s="13"/>
      <c r="N3461" s="11"/>
      <c r="O3461" s="13"/>
      <c r="P3461" s="11"/>
      <c r="Q3461" s="13"/>
      <c r="R3461" s="10"/>
      <c r="S3461" s="10"/>
    </row>
    <row r="3462" spans="1:19" x14ac:dyDescent="0.25">
      <c r="A3462" t="str">
        <f t="shared" si="55"/>
        <v/>
      </c>
      <c r="B3462" s="10"/>
      <c r="C3462" s="10"/>
      <c r="D3462" s="10"/>
      <c r="E3462" s="10"/>
      <c r="F3462" s="10"/>
      <c r="G3462" s="11"/>
      <c r="H3462" s="12"/>
      <c r="I3462" s="13"/>
      <c r="J3462" s="12"/>
      <c r="K3462" s="13"/>
      <c r="L3462" s="11"/>
      <c r="M3462" s="13"/>
      <c r="N3462" s="11"/>
      <c r="O3462" s="13"/>
      <c r="P3462" s="11"/>
      <c r="Q3462" s="13"/>
      <c r="R3462" s="10"/>
      <c r="S3462" s="10"/>
    </row>
    <row r="3463" spans="1:19" x14ac:dyDescent="0.25">
      <c r="A3463" t="str">
        <f t="shared" si="55"/>
        <v/>
      </c>
      <c r="B3463" s="10"/>
      <c r="C3463" s="10"/>
      <c r="D3463" s="10"/>
      <c r="E3463" s="10"/>
      <c r="F3463" s="10"/>
      <c r="G3463" s="11"/>
      <c r="H3463" s="12"/>
      <c r="I3463" s="13"/>
      <c r="J3463" s="12"/>
      <c r="K3463" s="13"/>
      <c r="L3463" s="11"/>
      <c r="M3463" s="13"/>
      <c r="N3463" s="11"/>
      <c r="O3463" s="13"/>
      <c r="P3463" s="11"/>
      <c r="Q3463" s="13"/>
      <c r="R3463" s="10"/>
      <c r="S3463" s="10"/>
    </row>
    <row r="3464" spans="1:19" x14ac:dyDescent="0.25">
      <c r="A3464" t="str">
        <f t="shared" si="55"/>
        <v/>
      </c>
      <c r="B3464" s="10"/>
      <c r="C3464" s="10"/>
      <c r="D3464" s="10"/>
      <c r="E3464" s="10"/>
      <c r="F3464" s="10"/>
      <c r="G3464" s="11"/>
      <c r="H3464" s="12"/>
      <c r="I3464" s="13"/>
      <c r="J3464" s="12"/>
      <c r="K3464" s="13"/>
      <c r="L3464" s="11"/>
      <c r="M3464" s="13"/>
      <c r="N3464" s="11"/>
      <c r="O3464" s="13"/>
      <c r="P3464" s="11"/>
      <c r="Q3464" s="13"/>
      <c r="R3464" s="10"/>
      <c r="S3464" s="10"/>
    </row>
    <row r="3465" spans="1:19" x14ac:dyDescent="0.25">
      <c r="A3465" t="str">
        <f t="shared" si="55"/>
        <v/>
      </c>
      <c r="B3465" s="10"/>
      <c r="C3465" s="10"/>
      <c r="D3465" s="10"/>
      <c r="E3465" s="10"/>
      <c r="F3465" s="10"/>
      <c r="G3465" s="11"/>
      <c r="H3465" s="12"/>
      <c r="I3465" s="13"/>
      <c r="J3465" s="12"/>
      <c r="K3465" s="13"/>
      <c r="L3465" s="11"/>
      <c r="M3465" s="13"/>
      <c r="N3465" s="11"/>
      <c r="O3465" s="13"/>
      <c r="P3465" s="11"/>
      <c r="Q3465" s="13"/>
      <c r="R3465" s="10"/>
      <c r="S3465" s="10"/>
    </row>
    <row r="3466" spans="1:19" x14ac:dyDescent="0.25">
      <c r="A3466" t="str">
        <f t="shared" si="55"/>
        <v/>
      </c>
      <c r="B3466" s="10"/>
      <c r="C3466" s="10"/>
      <c r="D3466" s="10"/>
      <c r="E3466" s="10"/>
      <c r="F3466" s="10"/>
      <c r="G3466" s="11"/>
      <c r="H3466" s="12"/>
      <c r="I3466" s="13"/>
      <c r="J3466" s="12"/>
      <c r="K3466" s="13"/>
      <c r="L3466" s="11"/>
      <c r="M3466" s="13"/>
      <c r="N3466" s="11"/>
      <c r="O3466" s="13"/>
      <c r="P3466" s="11"/>
      <c r="Q3466" s="13"/>
      <c r="R3466" s="10"/>
      <c r="S3466" s="10"/>
    </row>
    <row r="3467" spans="1:19" x14ac:dyDescent="0.25">
      <c r="A3467" t="str">
        <f t="shared" si="55"/>
        <v/>
      </c>
      <c r="B3467" s="10"/>
      <c r="C3467" s="10"/>
      <c r="D3467" s="10"/>
      <c r="E3467" s="10"/>
      <c r="F3467" s="10"/>
      <c r="G3467" s="11"/>
      <c r="H3467" s="12"/>
      <c r="I3467" s="13"/>
      <c r="J3467" s="12"/>
      <c r="K3467" s="13"/>
      <c r="L3467" s="11"/>
      <c r="M3467" s="13"/>
      <c r="N3467" s="11"/>
      <c r="O3467" s="13"/>
      <c r="P3467" s="11"/>
      <c r="Q3467" s="13"/>
      <c r="R3467" s="10"/>
      <c r="S3467" s="10"/>
    </row>
    <row r="3468" spans="1:19" x14ac:dyDescent="0.25">
      <c r="A3468" t="str">
        <f t="shared" si="55"/>
        <v/>
      </c>
      <c r="B3468" s="10"/>
      <c r="C3468" s="10"/>
      <c r="D3468" s="10"/>
      <c r="E3468" s="10"/>
      <c r="F3468" s="10"/>
      <c r="G3468" s="11"/>
      <c r="H3468" s="12"/>
      <c r="I3468" s="13"/>
      <c r="J3468" s="12"/>
      <c r="K3468" s="13"/>
      <c r="L3468" s="11"/>
      <c r="M3468" s="13"/>
      <c r="N3468" s="11"/>
      <c r="O3468" s="13"/>
      <c r="P3468" s="11"/>
      <c r="Q3468" s="13"/>
      <c r="R3468" s="10"/>
      <c r="S3468" s="10"/>
    </row>
    <row r="3469" spans="1:19" x14ac:dyDescent="0.25">
      <c r="A3469" t="str">
        <f t="shared" si="55"/>
        <v/>
      </c>
      <c r="B3469" s="10"/>
      <c r="C3469" s="10"/>
      <c r="D3469" s="10"/>
      <c r="E3469" s="10"/>
      <c r="F3469" s="10"/>
      <c r="G3469" s="11"/>
      <c r="H3469" s="12"/>
      <c r="I3469" s="13"/>
      <c r="J3469" s="12"/>
      <c r="K3469" s="13"/>
      <c r="L3469" s="11"/>
      <c r="M3469" s="13"/>
      <c r="N3469" s="11"/>
      <c r="O3469" s="13"/>
      <c r="P3469" s="11"/>
      <c r="Q3469" s="13"/>
      <c r="R3469" s="10"/>
      <c r="S3469" s="10"/>
    </row>
    <row r="3470" spans="1:19" x14ac:dyDescent="0.25">
      <c r="A3470" t="str">
        <f t="shared" si="55"/>
        <v/>
      </c>
      <c r="B3470" s="10"/>
      <c r="C3470" s="10"/>
      <c r="D3470" s="10"/>
      <c r="E3470" s="10"/>
      <c r="F3470" s="10"/>
      <c r="G3470" s="11"/>
      <c r="H3470" s="12"/>
      <c r="I3470" s="13"/>
      <c r="J3470" s="12"/>
      <c r="K3470" s="13"/>
      <c r="L3470" s="11"/>
      <c r="M3470" s="13"/>
      <c r="N3470" s="11"/>
      <c r="O3470" s="13"/>
      <c r="P3470" s="11"/>
      <c r="Q3470" s="13"/>
      <c r="R3470" s="10"/>
      <c r="S3470" s="10"/>
    </row>
    <row r="3471" spans="1:19" x14ac:dyDescent="0.25">
      <c r="A3471" t="str">
        <f t="shared" si="55"/>
        <v/>
      </c>
      <c r="B3471" s="10"/>
      <c r="C3471" s="10"/>
      <c r="D3471" s="10"/>
      <c r="E3471" s="10"/>
      <c r="F3471" s="10"/>
      <c r="G3471" s="11"/>
      <c r="H3471" s="12"/>
      <c r="I3471" s="13"/>
      <c r="J3471" s="12"/>
      <c r="K3471" s="13"/>
      <c r="L3471" s="11"/>
      <c r="M3471" s="13"/>
      <c r="N3471" s="11"/>
      <c r="O3471" s="13"/>
      <c r="P3471" s="11"/>
      <c r="Q3471" s="13"/>
      <c r="R3471" s="10"/>
      <c r="S3471" s="10"/>
    </row>
    <row r="3472" spans="1:19" x14ac:dyDescent="0.25">
      <c r="A3472" t="str">
        <f t="shared" si="55"/>
        <v/>
      </c>
      <c r="B3472" s="10"/>
      <c r="C3472" s="10"/>
      <c r="D3472" s="10"/>
      <c r="E3472" s="10"/>
      <c r="F3472" s="10"/>
      <c r="G3472" s="11"/>
      <c r="H3472" s="12"/>
      <c r="I3472" s="13"/>
      <c r="J3472" s="12"/>
      <c r="K3472" s="13"/>
      <c r="L3472" s="11"/>
      <c r="M3472" s="13"/>
      <c r="N3472" s="11"/>
      <c r="O3472" s="13"/>
      <c r="P3472" s="11"/>
      <c r="Q3472" s="13"/>
      <c r="R3472" s="10"/>
      <c r="S3472" s="10"/>
    </row>
    <row r="3473" spans="1:19" x14ac:dyDescent="0.25">
      <c r="A3473" t="str">
        <f t="shared" si="55"/>
        <v/>
      </c>
      <c r="B3473" s="10"/>
      <c r="C3473" s="10"/>
      <c r="D3473" s="10"/>
      <c r="E3473" s="10"/>
      <c r="F3473" s="10"/>
      <c r="G3473" s="11"/>
      <c r="H3473" s="12"/>
      <c r="I3473" s="13"/>
      <c r="J3473" s="12"/>
      <c r="K3473" s="13"/>
      <c r="L3473" s="11"/>
      <c r="M3473" s="13"/>
      <c r="N3473" s="11"/>
      <c r="O3473" s="13"/>
      <c r="P3473" s="11"/>
      <c r="Q3473" s="13"/>
      <c r="R3473" s="10"/>
      <c r="S3473" s="10"/>
    </row>
    <row r="3474" spans="1:19" x14ac:dyDescent="0.25">
      <c r="A3474" t="str">
        <f t="shared" si="55"/>
        <v/>
      </c>
      <c r="B3474" s="10"/>
      <c r="C3474" s="10"/>
      <c r="D3474" s="10"/>
      <c r="E3474" s="10"/>
      <c r="F3474" s="10"/>
      <c r="G3474" s="11"/>
      <c r="H3474" s="12"/>
      <c r="I3474" s="13"/>
      <c r="J3474" s="12"/>
      <c r="K3474" s="13"/>
      <c r="L3474" s="11"/>
      <c r="M3474" s="13"/>
      <c r="N3474" s="11"/>
      <c r="O3474" s="13"/>
      <c r="P3474" s="11"/>
      <c r="Q3474" s="13"/>
      <c r="R3474" s="10"/>
      <c r="S3474" s="10"/>
    </row>
    <row r="3475" spans="1:19" x14ac:dyDescent="0.25">
      <c r="A3475" t="str">
        <f t="shared" si="55"/>
        <v/>
      </c>
      <c r="B3475" s="10"/>
      <c r="C3475" s="10"/>
      <c r="D3475" s="10"/>
      <c r="E3475" s="10"/>
      <c r="F3475" s="10"/>
      <c r="G3475" s="11"/>
      <c r="H3475" s="12"/>
      <c r="I3475" s="13"/>
      <c r="J3475" s="12"/>
      <c r="K3475" s="13"/>
      <c r="L3475" s="11"/>
      <c r="M3475" s="13"/>
      <c r="N3475" s="11"/>
      <c r="O3475" s="13"/>
      <c r="P3475" s="11"/>
      <c r="Q3475" s="13"/>
      <c r="R3475" s="10"/>
      <c r="S3475" s="10"/>
    </row>
    <row r="3476" spans="1:19" x14ac:dyDescent="0.25">
      <c r="A3476" t="str">
        <f t="shared" si="55"/>
        <v/>
      </c>
      <c r="B3476" s="10"/>
      <c r="C3476" s="10"/>
      <c r="D3476" s="10"/>
      <c r="E3476" s="10"/>
      <c r="F3476" s="10"/>
      <c r="G3476" s="11"/>
      <c r="H3476" s="12"/>
      <c r="I3476" s="13"/>
      <c r="J3476" s="12"/>
      <c r="K3476" s="13"/>
      <c r="L3476" s="11"/>
      <c r="M3476" s="13"/>
      <c r="N3476" s="11"/>
      <c r="O3476" s="13"/>
      <c r="P3476" s="11"/>
      <c r="Q3476" s="13"/>
      <c r="R3476" s="10"/>
      <c r="S3476" s="10"/>
    </row>
    <row r="3477" spans="1:19" x14ac:dyDescent="0.25">
      <c r="A3477" t="str">
        <f t="shared" si="55"/>
        <v/>
      </c>
      <c r="B3477" s="10"/>
      <c r="C3477" s="10"/>
      <c r="D3477" s="10"/>
      <c r="E3477" s="10"/>
      <c r="F3477" s="10"/>
      <c r="G3477" s="11"/>
      <c r="H3477" s="12"/>
      <c r="I3477" s="13"/>
      <c r="J3477" s="12"/>
      <c r="K3477" s="13"/>
      <c r="L3477" s="11"/>
      <c r="M3477" s="13"/>
      <c r="N3477" s="11"/>
      <c r="O3477" s="13"/>
      <c r="P3477" s="11"/>
      <c r="Q3477" s="13"/>
      <c r="R3477" s="10"/>
      <c r="S3477" s="10"/>
    </row>
    <row r="3478" spans="1:19" x14ac:dyDescent="0.25">
      <c r="A3478" t="str">
        <f t="shared" si="55"/>
        <v/>
      </c>
      <c r="B3478" s="10"/>
      <c r="C3478" s="10"/>
      <c r="D3478" s="10"/>
      <c r="E3478" s="10"/>
      <c r="F3478" s="10"/>
      <c r="G3478" s="11"/>
      <c r="H3478" s="12"/>
      <c r="I3478" s="13"/>
      <c r="J3478" s="12"/>
      <c r="K3478" s="13"/>
      <c r="L3478" s="11"/>
      <c r="M3478" s="13"/>
      <c r="N3478" s="11"/>
      <c r="O3478" s="13"/>
      <c r="P3478" s="11"/>
      <c r="Q3478" s="13"/>
      <c r="R3478" s="10"/>
      <c r="S3478" s="10"/>
    </row>
    <row r="3479" spans="1:19" x14ac:dyDescent="0.25">
      <c r="A3479" t="str">
        <f t="shared" si="55"/>
        <v/>
      </c>
      <c r="B3479" s="10"/>
      <c r="C3479" s="10"/>
      <c r="D3479" s="10"/>
      <c r="E3479" s="10"/>
      <c r="F3479" s="10"/>
      <c r="G3479" s="11"/>
      <c r="H3479" s="12"/>
      <c r="I3479" s="13"/>
      <c r="J3479" s="12"/>
      <c r="K3479" s="13"/>
      <c r="L3479" s="11"/>
      <c r="M3479" s="13"/>
      <c r="N3479" s="11"/>
      <c r="O3479" s="13"/>
      <c r="P3479" s="11"/>
      <c r="Q3479" s="13"/>
      <c r="R3479" s="10"/>
      <c r="S3479" s="10"/>
    </row>
    <row r="3480" spans="1:19" x14ac:dyDescent="0.25">
      <c r="A3480" t="str">
        <f t="shared" si="55"/>
        <v/>
      </c>
      <c r="B3480" s="10"/>
      <c r="C3480" s="10"/>
      <c r="D3480" s="10"/>
      <c r="E3480" s="10"/>
      <c r="F3480" s="10"/>
      <c r="G3480" s="11"/>
      <c r="H3480" s="12"/>
      <c r="I3480" s="13"/>
      <c r="J3480" s="12"/>
      <c r="K3480" s="13"/>
      <c r="L3480" s="11"/>
      <c r="M3480" s="13"/>
      <c r="N3480" s="11"/>
      <c r="O3480" s="13"/>
      <c r="P3480" s="11"/>
      <c r="Q3480" s="13"/>
      <c r="R3480" s="10"/>
      <c r="S3480" s="10"/>
    </row>
    <row r="3481" spans="1:19" x14ac:dyDescent="0.25">
      <c r="A3481" t="str">
        <f t="shared" si="55"/>
        <v/>
      </c>
      <c r="B3481" s="10"/>
      <c r="C3481" s="10"/>
      <c r="D3481" s="10"/>
      <c r="E3481" s="10"/>
      <c r="F3481" s="10"/>
      <c r="G3481" s="11"/>
      <c r="H3481" s="12"/>
      <c r="I3481" s="13"/>
      <c r="J3481" s="12"/>
      <c r="K3481" s="13"/>
      <c r="L3481" s="11"/>
      <c r="M3481" s="13"/>
      <c r="N3481" s="11"/>
      <c r="O3481" s="13"/>
      <c r="P3481" s="11"/>
      <c r="Q3481" s="13"/>
      <c r="R3481" s="10"/>
      <c r="S3481" s="10"/>
    </row>
    <row r="3482" spans="1:19" x14ac:dyDescent="0.25">
      <c r="A3482" t="str">
        <f t="shared" si="55"/>
        <v/>
      </c>
      <c r="B3482" s="10"/>
      <c r="C3482" s="10"/>
      <c r="D3482" s="10"/>
      <c r="E3482" s="10"/>
      <c r="F3482" s="10"/>
      <c r="G3482" s="11"/>
      <c r="H3482" s="12"/>
      <c r="I3482" s="13"/>
      <c r="J3482" s="12"/>
      <c r="K3482" s="13"/>
      <c r="L3482" s="11"/>
      <c r="M3482" s="13"/>
      <c r="N3482" s="11"/>
      <c r="O3482" s="13"/>
      <c r="P3482" s="11"/>
      <c r="Q3482" s="13"/>
      <c r="R3482" s="10"/>
      <c r="S3482" s="10"/>
    </row>
    <row r="3483" spans="1:19" x14ac:dyDescent="0.25">
      <c r="A3483" t="str">
        <f t="shared" si="55"/>
        <v/>
      </c>
      <c r="B3483" s="10"/>
      <c r="C3483" s="10"/>
      <c r="D3483" s="10"/>
      <c r="E3483" s="10"/>
      <c r="F3483" s="10"/>
      <c r="G3483" s="11"/>
      <c r="H3483" s="12"/>
      <c r="I3483" s="13"/>
      <c r="J3483" s="12"/>
      <c r="K3483" s="13"/>
      <c r="L3483" s="11"/>
      <c r="M3483" s="13"/>
      <c r="N3483" s="11"/>
      <c r="O3483" s="13"/>
      <c r="P3483" s="11"/>
      <c r="Q3483" s="13"/>
      <c r="R3483" s="10"/>
      <c r="S3483" s="10"/>
    </row>
    <row r="3484" spans="1:19" x14ac:dyDescent="0.25">
      <c r="A3484" t="str">
        <f t="shared" si="55"/>
        <v/>
      </c>
      <c r="B3484" s="10"/>
      <c r="C3484" s="10"/>
      <c r="D3484" s="10"/>
      <c r="E3484" s="10"/>
      <c r="F3484" s="10"/>
      <c r="G3484" s="11"/>
      <c r="H3484" s="12"/>
      <c r="I3484" s="13"/>
      <c r="J3484" s="12"/>
      <c r="K3484" s="13"/>
      <c r="L3484" s="11"/>
      <c r="M3484" s="13"/>
      <c r="N3484" s="11"/>
      <c r="O3484" s="13"/>
      <c r="P3484" s="11"/>
      <c r="Q3484" s="13"/>
      <c r="R3484" s="10"/>
      <c r="S3484" s="10"/>
    </row>
    <row r="3485" spans="1:19" x14ac:dyDescent="0.25">
      <c r="A3485" t="str">
        <f t="shared" si="55"/>
        <v/>
      </c>
      <c r="B3485" s="10"/>
      <c r="C3485" s="10"/>
      <c r="D3485" s="10"/>
      <c r="E3485" s="10"/>
      <c r="F3485" s="10"/>
      <c r="G3485" s="11"/>
      <c r="H3485" s="12"/>
      <c r="I3485" s="13"/>
      <c r="J3485" s="12"/>
      <c r="K3485" s="13"/>
      <c r="L3485" s="11"/>
      <c r="M3485" s="13"/>
      <c r="N3485" s="11"/>
      <c r="O3485" s="13"/>
      <c r="P3485" s="11"/>
      <c r="Q3485" s="13"/>
      <c r="R3485" s="10"/>
      <c r="S3485" s="10"/>
    </row>
    <row r="3486" spans="1:19" x14ac:dyDescent="0.25">
      <c r="A3486" t="str">
        <f t="shared" si="55"/>
        <v/>
      </c>
      <c r="B3486" s="10"/>
      <c r="C3486" s="10"/>
      <c r="D3486" s="10"/>
      <c r="E3486" s="10"/>
      <c r="F3486" s="10"/>
      <c r="G3486" s="11"/>
      <c r="H3486" s="12"/>
      <c r="I3486" s="13"/>
      <c r="J3486" s="12"/>
      <c r="K3486" s="13"/>
      <c r="L3486" s="11"/>
      <c r="M3486" s="13"/>
      <c r="N3486" s="11"/>
      <c r="O3486" s="13"/>
      <c r="P3486" s="11"/>
      <c r="Q3486" s="13"/>
      <c r="R3486" s="10"/>
      <c r="S3486" s="10"/>
    </row>
    <row r="3487" spans="1:19" x14ac:dyDescent="0.25">
      <c r="A3487" t="str">
        <f t="shared" si="55"/>
        <v/>
      </c>
      <c r="B3487" s="10"/>
      <c r="C3487" s="10"/>
      <c r="D3487" s="10"/>
      <c r="E3487" s="10"/>
      <c r="F3487" s="10"/>
      <c r="G3487" s="11"/>
      <c r="H3487" s="12"/>
      <c r="I3487" s="13"/>
      <c r="J3487" s="12"/>
      <c r="K3487" s="13"/>
      <c r="L3487" s="11"/>
      <c r="M3487" s="13"/>
      <c r="N3487" s="11"/>
      <c r="O3487" s="13"/>
      <c r="P3487" s="11"/>
      <c r="Q3487" s="13"/>
      <c r="R3487" s="10"/>
      <c r="S3487" s="10"/>
    </row>
    <row r="3488" spans="1:19" x14ac:dyDescent="0.25">
      <c r="A3488" t="str">
        <f t="shared" si="55"/>
        <v/>
      </c>
      <c r="B3488" s="10"/>
      <c r="C3488" s="10"/>
      <c r="D3488" s="10"/>
      <c r="E3488" s="10"/>
      <c r="F3488" s="10"/>
      <c r="G3488" s="11"/>
      <c r="H3488" s="12"/>
      <c r="I3488" s="13"/>
      <c r="J3488" s="12"/>
      <c r="K3488" s="13"/>
      <c r="L3488" s="11"/>
      <c r="M3488" s="13"/>
      <c r="N3488" s="11"/>
      <c r="O3488" s="13"/>
      <c r="P3488" s="11"/>
      <c r="Q3488" s="13"/>
      <c r="R3488" s="10"/>
      <c r="S3488" s="10"/>
    </row>
    <row r="3489" spans="1:19" x14ac:dyDescent="0.25">
      <c r="A3489" t="str">
        <f t="shared" si="55"/>
        <v/>
      </c>
      <c r="B3489" s="10"/>
      <c r="C3489" s="10"/>
      <c r="D3489" s="10"/>
      <c r="E3489" s="10"/>
      <c r="F3489" s="10"/>
      <c r="G3489" s="11"/>
      <c r="H3489" s="12"/>
      <c r="I3489" s="13"/>
      <c r="J3489" s="12"/>
      <c r="K3489" s="13"/>
      <c r="L3489" s="11"/>
      <c r="M3489" s="13"/>
      <c r="N3489" s="11"/>
      <c r="O3489" s="13"/>
      <c r="P3489" s="11"/>
      <c r="Q3489" s="13"/>
      <c r="R3489" s="10"/>
      <c r="S3489" s="10"/>
    </row>
    <row r="3490" spans="1:19" x14ac:dyDescent="0.25">
      <c r="A3490" t="str">
        <f t="shared" si="55"/>
        <v/>
      </c>
      <c r="B3490" s="10"/>
      <c r="C3490" s="10"/>
      <c r="D3490" s="10"/>
      <c r="E3490" s="10"/>
      <c r="F3490" s="10"/>
      <c r="G3490" s="11"/>
      <c r="H3490" s="12"/>
      <c r="I3490" s="13"/>
      <c r="J3490" s="12"/>
      <c r="K3490" s="13"/>
      <c r="L3490" s="11"/>
      <c r="M3490" s="13"/>
      <c r="N3490" s="11"/>
      <c r="O3490" s="13"/>
      <c r="P3490" s="11"/>
      <c r="Q3490" s="13"/>
      <c r="R3490" s="10"/>
      <c r="S3490" s="10"/>
    </row>
    <row r="3491" spans="1:19" x14ac:dyDescent="0.25">
      <c r="A3491" t="str">
        <f t="shared" si="55"/>
        <v/>
      </c>
      <c r="B3491" s="10"/>
      <c r="C3491" s="10"/>
      <c r="D3491" s="10"/>
      <c r="E3491" s="10"/>
      <c r="F3491" s="10"/>
      <c r="G3491" s="11"/>
      <c r="H3491" s="12"/>
      <c r="I3491" s="13"/>
      <c r="J3491" s="12"/>
      <c r="K3491" s="13"/>
      <c r="L3491" s="11"/>
      <c r="M3491" s="13"/>
      <c r="N3491" s="11"/>
      <c r="O3491" s="13"/>
      <c r="P3491" s="11"/>
      <c r="Q3491" s="13"/>
      <c r="R3491" s="10"/>
      <c r="S3491" s="10"/>
    </row>
    <row r="3492" spans="1:19" x14ac:dyDescent="0.25">
      <c r="A3492" t="str">
        <f t="shared" si="55"/>
        <v/>
      </c>
      <c r="B3492" s="10"/>
      <c r="C3492" s="10"/>
      <c r="D3492" s="10"/>
      <c r="E3492" s="10"/>
      <c r="F3492" s="10"/>
      <c r="G3492" s="11"/>
      <c r="H3492" s="12"/>
      <c r="I3492" s="13"/>
      <c r="J3492" s="12"/>
      <c r="K3492" s="13"/>
      <c r="L3492" s="11"/>
      <c r="M3492" s="13"/>
      <c r="N3492" s="11"/>
      <c r="O3492" s="13"/>
      <c r="P3492" s="11"/>
      <c r="Q3492" s="13"/>
      <c r="R3492" s="10"/>
      <c r="S3492" s="10"/>
    </row>
    <row r="3493" spans="1:19" x14ac:dyDescent="0.25">
      <c r="A3493" t="str">
        <f t="shared" si="55"/>
        <v/>
      </c>
      <c r="B3493" s="10"/>
      <c r="C3493" s="10"/>
      <c r="D3493" s="10"/>
      <c r="E3493" s="10"/>
      <c r="F3493" s="10"/>
      <c r="G3493" s="11"/>
      <c r="H3493" s="12"/>
      <c r="I3493" s="13"/>
      <c r="J3493" s="12"/>
      <c r="K3493" s="13"/>
      <c r="L3493" s="11"/>
      <c r="M3493" s="13"/>
      <c r="N3493" s="11"/>
      <c r="O3493" s="13"/>
      <c r="P3493" s="11"/>
      <c r="Q3493" s="13"/>
      <c r="R3493" s="10"/>
      <c r="S3493" s="10"/>
    </row>
    <row r="3494" spans="1:19" x14ac:dyDescent="0.25">
      <c r="A3494" t="str">
        <f t="shared" si="55"/>
        <v/>
      </c>
      <c r="B3494" s="10"/>
      <c r="C3494" s="10"/>
      <c r="D3494" s="10"/>
      <c r="E3494" s="10"/>
      <c r="F3494" s="10"/>
      <c r="G3494" s="11"/>
      <c r="H3494" s="12"/>
      <c r="I3494" s="13"/>
      <c r="J3494" s="12"/>
      <c r="K3494" s="13"/>
      <c r="L3494" s="11"/>
      <c r="M3494" s="13"/>
      <c r="N3494" s="11"/>
      <c r="O3494" s="13"/>
      <c r="P3494" s="11"/>
      <c r="Q3494" s="13"/>
      <c r="R3494" s="10"/>
      <c r="S3494" s="10"/>
    </row>
    <row r="3495" spans="1:19" x14ac:dyDescent="0.25">
      <c r="A3495" t="str">
        <f t="shared" si="55"/>
        <v/>
      </c>
      <c r="B3495" s="10"/>
      <c r="C3495" s="10"/>
      <c r="D3495" s="10"/>
      <c r="E3495" s="10"/>
      <c r="F3495" s="10"/>
      <c r="G3495" s="11"/>
      <c r="H3495" s="12"/>
      <c r="I3495" s="13"/>
      <c r="J3495" s="12"/>
      <c r="K3495" s="13"/>
      <c r="L3495" s="11"/>
      <c r="M3495" s="13"/>
      <c r="N3495" s="11"/>
      <c r="O3495" s="13"/>
      <c r="P3495" s="11"/>
      <c r="Q3495" s="13"/>
      <c r="R3495" s="10"/>
      <c r="S3495" s="10"/>
    </row>
    <row r="3496" spans="1:19" x14ac:dyDescent="0.25">
      <c r="A3496" t="str">
        <f t="shared" si="55"/>
        <v/>
      </c>
      <c r="B3496" s="10"/>
      <c r="C3496" s="10"/>
      <c r="D3496" s="10"/>
      <c r="E3496" s="10"/>
      <c r="F3496" s="10"/>
      <c r="G3496" s="11"/>
      <c r="H3496" s="12"/>
      <c r="I3496" s="13"/>
      <c r="J3496" s="12"/>
      <c r="K3496" s="13"/>
      <c r="L3496" s="11"/>
      <c r="M3496" s="13"/>
      <c r="N3496" s="11"/>
      <c r="O3496" s="13"/>
      <c r="P3496" s="11"/>
      <c r="Q3496" s="13"/>
      <c r="R3496" s="10"/>
      <c r="S3496" s="10"/>
    </row>
    <row r="3497" spans="1:19" x14ac:dyDescent="0.25">
      <c r="A3497" t="str">
        <f t="shared" si="55"/>
        <v/>
      </c>
      <c r="B3497" s="10"/>
      <c r="C3497" s="10"/>
      <c r="D3497" s="10"/>
      <c r="E3497" s="10"/>
      <c r="F3497" s="10"/>
      <c r="G3497" s="11"/>
      <c r="H3497" s="12"/>
      <c r="I3497" s="13"/>
      <c r="J3497" s="12"/>
      <c r="K3497" s="13"/>
      <c r="L3497" s="11"/>
      <c r="M3497" s="13"/>
      <c r="N3497" s="11"/>
      <c r="O3497" s="13"/>
      <c r="P3497" s="11"/>
      <c r="Q3497" s="13"/>
      <c r="R3497" s="10"/>
      <c r="S3497" s="10"/>
    </row>
    <row r="3498" spans="1:19" x14ac:dyDescent="0.25">
      <c r="A3498" t="str">
        <f t="shared" si="55"/>
        <v/>
      </c>
      <c r="B3498" s="10"/>
      <c r="C3498" s="10"/>
      <c r="D3498" s="10"/>
      <c r="E3498" s="10"/>
      <c r="F3498" s="10"/>
      <c r="G3498" s="11"/>
      <c r="H3498" s="12"/>
      <c r="I3498" s="13"/>
      <c r="J3498" s="12"/>
      <c r="K3498" s="13"/>
      <c r="L3498" s="11"/>
      <c r="M3498" s="13"/>
      <c r="N3498" s="11"/>
      <c r="O3498" s="13"/>
      <c r="P3498" s="11"/>
      <c r="Q3498" s="13"/>
      <c r="R3498" s="10"/>
      <c r="S3498" s="10"/>
    </row>
    <row r="3499" spans="1:19" x14ac:dyDescent="0.25">
      <c r="A3499" t="str">
        <f t="shared" si="55"/>
        <v/>
      </c>
      <c r="B3499" s="10"/>
      <c r="C3499" s="10"/>
      <c r="D3499" s="10"/>
      <c r="E3499" s="10"/>
      <c r="F3499" s="10"/>
      <c r="G3499" s="11"/>
      <c r="H3499" s="12"/>
      <c r="I3499" s="13"/>
      <c r="J3499" s="12"/>
      <c r="K3499" s="13"/>
      <c r="L3499" s="11"/>
      <c r="M3499" s="13"/>
      <c r="N3499" s="11"/>
      <c r="O3499" s="13"/>
      <c r="P3499" s="11"/>
      <c r="Q3499" s="13"/>
      <c r="R3499" s="10"/>
      <c r="S3499" s="10"/>
    </row>
    <row r="3500" spans="1:19" x14ac:dyDescent="0.25">
      <c r="A3500" t="str">
        <f t="shared" si="55"/>
        <v/>
      </c>
      <c r="B3500" s="10"/>
      <c r="C3500" s="10"/>
      <c r="D3500" s="10"/>
      <c r="E3500" s="10"/>
      <c r="F3500" s="10"/>
      <c r="G3500" s="11"/>
      <c r="H3500" s="12"/>
      <c r="I3500" s="13"/>
      <c r="J3500" s="12"/>
      <c r="K3500" s="13"/>
      <c r="L3500" s="11"/>
      <c r="M3500" s="13"/>
      <c r="N3500" s="11"/>
      <c r="O3500" s="13"/>
      <c r="P3500" s="11"/>
      <c r="Q3500" s="13"/>
      <c r="R3500" s="10"/>
      <c r="S3500" s="10"/>
    </row>
    <row r="3501" spans="1:19" x14ac:dyDescent="0.25">
      <c r="A3501" t="str">
        <f t="shared" si="55"/>
        <v/>
      </c>
      <c r="B3501" s="10"/>
      <c r="C3501" s="10"/>
      <c r="D3501" s="10"/>
      <c r="E3501" s="10"/>
      <c r="F3501" s="10"/>
      <c r="G3501" s="11"/>
      <c r="H3501" s="12"/>
      <c r="I3501" s="13"/>
      <c r="J3501" s="12"/>
      <c r="K3501" s="13"/>
      <c r="L3501" s="11"/>
      <c r="M3501" s="13"/>
      <c r="N3501" s="11"/>
      <c r="O3501" s="13"/>
      <c r="P3501" s="11"/>
      <c r="Q3501" s="13"/>
      <c r="R3501" s="10"/>
      <c r="S3501" s="10"/>
    </row>
    <row r="3502" spans="1:19" x14ac:dyDescent="0.25">
      <c r="A3502" t="str">
        <f t="shared" si="55"/>
        <v/>
      </c>
      <c r="B3502" s="10"/>
      <c r="C3502" s="10"/>
      <c r="D3502" s="10"/>
      <c r="E3502" s="10"/>
      <c r="F3502" s="10"/>
      <c r="G3502" s="11"/>
      <c r="H3502" s="12"/>
      <c r="I3502" s="13"/>
      <c r="J3502" s="12"/>
      <c r="K3502" s="13"/>
      <c r="L3502" s="11"/>
      <c r="M3502" s="13"/>
      <c r="N3502" s="11"/>
      <c r="O3502" s="13"/>
      <c r="P3502" s="11"/>
      <c r="Q3502" s="13"/>
      <c r="R3502" s="10"/>
      <c r="S3502" s="10"/>
    </row>
    <row r="3503" spans="1:19" x14ac:dyDescent="0.25">
      <c r="A3503" t="str">
        <f t="shared" si="55"/>
        <v/>
      </c>
      <c r="B3503" s="10"/>
      <c r="C3503" s="10"/>
      <c r="D3503" s="10"/>
      <c r="E3503" s="10"/>
      <c r="F3503" s="10"/>
      <c r="G3503" s="11"/>
      <c r="H3503" s="12"/>
      <c r="I3503" s="13"/>
      <c r="J3503" s="12"/>
      <c r="K3503" s="13"/>
      <c r="L3503" s="11"/>
      <c r="M3503" s="13"/>
      <c r="N3503" s="11"/>
      <c r="O3503" s="13"/>
      <c r="P3503" s="11"/>
      <c r="Q3503" s="13"/>
      <c r="R3503" s="10"/>
      <c r="S3503" s="10"/>
    </row>
    <row r="3504" spans="1:19" x14ac:dyDescent="0.25">
      <c r="A3504" t="str">
        <f t="shared" si="55"/>
        <v/>
      </c>
      <c r="B3504" s="10"/>
      <c r="C3504" s="10"/>
      <c r="D3504" s="10"/>
      <c r="E3504" s="10"/>
      <c r="F3504" s="10"/>
      <c r="G3504" s="11"/>
      <c r="H3504" s="12"/>
      <c r="I3504" s="13"/>
      <c r="J3504" s="12"/>
      <c r="K3504" s="13"/>
      <c r="L3504" s="11"/>
      <c r="M3504" s="13"/>
      <c r="N3504" s="11"/>
      <c r="O3504" s="13"/>
      <c r="P3504" s="11"/>
      <c r="Q3504" s="13"/>
      <c r="R3504" s="10"/>
      <c r="S3504" s="10"/>
    </row>
    <row r="3505" spans="1:19" x14ac:dyDescent="0.25">
      <c r="A3505" t="str">
        <f t="shared" si="55"/>
        <v/>
      </c>
      <c r="B3505" s="10"/>
      <c r="C3505" s="10"/>
      <c r="D3505" s="10"/>
      <c r="E3505" s="10"/>
      <c r="F3505" s="10"/>
      <c r="G3505" s="11"/>
      <c r="H3505" s="12"/>
      <c r="I3505" s="13"/>
      <c r="J3505" s="12"/>
      <c r="K3505" s="13"/>
      <c r="L3505" s="11"/>
      <c r="M3505" s="13"/>
      <c r="N3505" s="11"/>
      <c r="O3505" s="13"/>
      <c r="P3505" s="11"/>
      <c r="Q3505" s="13"/>
      <c r="R3505" s="10"/>
      <c r="S3505" s="10"/>
    </row>
    <row r="3506" spans="1:19" x14ac:dyDescent="0.25">
      <c r="A3506" t="str">
        <f t="shared" si="55"/>
        <v/>
      </c>
      <c r="B3506" s="10"/>
      <c r="C3506" s="10"/>
      <c r="D3506" s="10"/>
      <c r="E3506" s="10"/>
      <c r="F3506" s="10"/>
      <c r="G3506" s="11"/>
      <c r="H3506" s="12"/>
      <c r="I3506" s="13"/>
      <c r="J3506" s="12"/>
      <c r="K3506" s="13"/>
      <c r="L3506" s="11"/>
      <c r="M3506" s="13"/>
      <c r="N3506" s="11"/>
      <c r="O3506" s="13"/>
      <c r="P3506" s="11"/>
      <c r="Q3506" s="13"/>
      <c r="R3506" s="10"/>
      <c r="S3506" s="10"/>
    </row>
    <row r="3507" spans="1:19" x14ac:dyDescent="0.25">
      <c r="A3507" t="str">
        <f t="shared" si="55"/>
        <v/>
      </c>
      <c r="B3507" s="10"/>
      <c r="C3507" s="10"/>
      <c r="D3507" s="10"/>
      <c r="E3507" s="10"/>
      <c r="F3507" s="10"/>
      <c r="G3507" s="11"/>
      <c r="H3507" s="12"/>
      <c r="I3507" s="13"/>
      <c r="J3507" s="12"/>
      <c r="K3507" s="13"/>
      <c r="L3507" s="11"/>
      <c r="M3507" s="13"/>
      <c r="N3507" s="11"/>
      <c r="O3507" s="13"/>
      <c r="P3507" s="11"/>
      <c r="Q3507" s="13"/>
      <c r="R3507" s="10"/>
      <c r="S3507" s="10"/>
    </row>
    <row r="3508" spans="1:19" x14ac:dyDescent="0.25">
      <c r="A3508" t="str">
        <f t="shared" si="55"/>
        <v/>
      </c>
      <c r="B3508" s="10"/>
      <c r="C3508" s="10"/>
      <c r="D3508" s="10"/>
      <c r="E3508" s="10"/>
      <c r="F3508" s="10"/>
      <c r="G3508" s="11"/>
      <c r="H3508" s="12"/>
      <c r="I3508" s="13"/>
      <c r="J3508" s="12"/>
      <c r="K3508" s="13"/>
      <c r="L3508" s="11"/>
      <c r="M3508" s="13"/>
      <c r="N3508" s="11"/>
      <c r="O3508" s="13"/>
      <c r="P3508" s="11"/>
      <c r="Q3508" s="13"/>
      <c r="R3508" s="10"/>
      <c r="S3508" s="10"/>
    </row>
    <row r="3509" spans="1:19" x14ac:dyDescent="0.25">
      <c r="A3509" t="str">
        <f t="shared" ref="A3509:A3572" si="56">B3507&amp;D3507</f>
        <v/>
      </c>
      <c r="B3509" s="10"/>
      <c r="C3509" s="10"/>
      <c r="D3509" s="10"/>
      <c r="E3509" s="10"/>
      <c r="F3509" s="10"/>
      <c r="G3509" s="11"/>
      <c r="H3509" s="12"/>
      <c r="I3509" s="13"/>
      <c r="J3509" s="12"/>
      <c r="K3509" s="13"/>
      <c r="L3509" s="11"/>
      <c r="M3509" s="13"/>
      <c r="N3509" s="11"/>
      <c r="O3509" s="13"/>
      <c r="P3509" s="11"/>
      <c r="Q3509" s="13"/>
      <c r="R3509" s="10"/>
      <c r="S3509" s="10"/>
    </row>
    <row r="3510" spans="1:19" x14ac:dyDescent="0.25">
      <c r="A3510" t="str">
        <f t="shared" si="56"/>
        <v/>
      </c>
      <c r="B3510" s="10"/>
      <c r="C3510" s="10"/>
      <c r="D3510" s="10"/>
      <c r="E3510" s="10"/>
      <c r="F3510" s="10"/>
      <c r="G3510" s="11"/>
      <c r="H3510" s="12"/>
      <c r="I3510" s="13"/>
      <c r="J3510" s="12"/>
      <c r="K3510" s="13"/>
      <c r="L3510" s="11"/>
      <c r="M3510" s="13"/>
      <c r="N3510" s="11"/>
      <c r="O3510" s="13"/>
      <c r="P3510" s="11"/>
      <c r="Q3510" s="13"/>
      <c r="R3510" s="10"/>
      <c r="S3510" s="10"/>
    </row>
    <row r="3511" spans="1:19" x14ac:dyDescent="0.25">
      <c r="A3511" t="str">
        <f t="shared" si="56"/>
        <v/>
      </c>
      <c r="B3511" s="10"/>
      <c r="C3511" s="10"/>
      <c r="D3511" s="10"/>
      <c r="E3511" s="10"/>
      <c r="F3511" s="10"/>
      <c r="G3511" s="11"/>
      <c r="H3511" s="12"/>
      <c r="I3511" s="13"/>
      <c r="J3511" s="12"/>
      <c r="K3511" s="13"/>
      <c r="L3511" s="11"/>
      <c r="M3511" s="13"/>
      <c r="N3511" s="11"/>
      <c r="O3511" s="13"/>
      <c r="P3511" s="11"/>
      <c r="Q3511" s="13"/>
      <c r="R3511" s="10"/>
      <c r="S3511" s="10"/>
    </row>
    <row r="3512" spans="1:19" x14ac:dyDescent="0.25">
      <c r="A3512" t="str">
        <f t="shared" si="56"/>
        <v/>
      </c>
      <c r="B3512" s="10"/>
      <c r="C3512" s="10"/>
      <c r="D3512" s="10"/>
      <c r="E3512" s="10"/>
      <c r="F3512" s="10"/>
      <c r="G3512" s="11"/>
      <c r="H3512" s="12"/>
      <c r="I3512" s="13"/>
      <c r="J3512" s="12"/>
      <c r="K3512" s="13"/>
      <c r="L3512" s="11"/>
      <c r="M3512" s="13"/>
      <c r="N3512" s="11"/>
      <c r="O3512" s="13"/>
      <c r="P3512" s="11"/>
      <c r="Q3512" s="13"/>
      <c r="R3512" s="10"/>
      <c r="S3512" s="10"/>
    </row>
    <row r="3513" spans="1:19" x14ac:dyDescent="0.25">
      <c r="A3513" t="str">
        <f t="shared" si="56"/>
        <v/>
      </c>
      <c r="B3513" s="10"/>
      <c r="C3513" s="10"/>
      <c r="D3513" s="10"/>
      <c r="E3513" s="10"/>
      <c r="F3513" s="10"/>
      <c r="G3513" s="11"/>
      <c r="H3513" s="12"/>
      <c r="I3513" s="13"/>
      <c r="J3513" s="12"/>
      <c r="K3513" s="13"/>
      <c r="L3513" s="11"/>
      <c r="M3513" s="13"/>
      <c r="N3513" s="11"/>
      <c r="O3513" s="13"/>
      <c r="P3513" s="11"/>
      <c r="Q3513" s="13"/>
      <c r="R3513" s="10"/>
      <c r="S3513" s="10"/>
    </row>
    <row r="3514" spans="1:19" x14ac:dyDescent="0.25">
      <c r="A3514" t="str">
        <f t="shared" si="56"/>
        <v/>
      </c>
      <c r="B3514" s="10"/>
      <c r="C3514" s="10"/>
      <c r="D3514" s="10"/>
      <c r="E3514" s="10"/>
      <c r="F3514" s="10"/>
      <c r="G3514" s="11"/>
      <c r="H3514" s="12"/>
      <c r="I3514" s="13"/>
      <c r="J3514" s="12"/>
      <c r="K3514" s="13"/>
      <c r="L3514" s="11"/>
      <c r="M3514" s="13"/>
      <c r="N3514" s="11"/>
      <c r="O3514" s="13"/>
      <c r="P3514" s="11"/>
      <c r="Q3514" s="13"/>
      <c r="R3514" s="10"/>
      <c r="S3514" s="10"/>
    </row>
    <row r="3515" spans="1:19" x14ac:dyDescent="0.25">
      <c r="A3515" t="str">
        <f t="shared" si="56"/>
        <v/>
      </c>
      <c r="B3515" s="10"/>
      <c r="C3515" s="10"/>
      <c r="D3515" s="10"/>
      <c r="E3515" s="10"/>
      <c r="F3515" s="10"/>
      <c r="G3515" s="11"/>
      <c r="H3515" s="12"/>
      <c r="I3515" s="13"/>
      <c r="J3515" s="12"/>
      <c r="K3515" s="13"/>
      <c r="L3515" s="11"/>
      <c r="M3515" s="13"/>
      <c r="N3515" s="11"/>
      <c r="O3515" s="13"/>
      <c r="P3515" s="11"/>
      <c r="Q3515" s="13"/>
      <c r="R3515" s="10"/>
      <c r="S3515" s="10"/>
    </row>
    <row r="3516" spans="1:19" x14ac:dyDescent="0.25">
      <c r="A3516" t="str">
        <f t="shared" si="56"/>
        <v/>
      </c>
      <c r="B3516" s="10"/>
      <c r="C3516" s="10"/>
      <c r="D3516" s="10"/>
      <c r="E3516" s="10"/>
      <c r="F3516" s="10"/>
      <c r="G3516" s="11"/>
      <c r="H3516" s="12"/>
      <c r="I3516" s="13"/>
      <c r="J3516" s="12"/>
      <c r="K3516" s="13"/>
      <c r="L3516" s="11"/>
      <c r="M3516" s="13"/>
      <c r="N3516" s="11"/>
      <c r="O3516" s="13"/>
      <c r="P3516" s="11"/>
      <c r="Q3516" s="13"/>
      <c r="R3516" s="10"/>
      <c r="S3516" s="10"/>
    </row>
    <row r="3517" spans="1:19" x14ac:dyDescent="0.25">
      <c r="A3517" t="str">
        <f t="shared" si="56"/>
        <v/>
      </c>
      <c r="B3517" s="10"/>
      <c r="C3517" s="10"/>
      <c r="D3517" s="10"/>
      <c r="E3517" s="10"/>
      <c r="F3517" s="10"/>
      <c r="G3517" s="11"/>
      <c r="H3517" s="12"/>
      <c r="I3517" s="13"/>
      <c r="J3517" s="12"/>
      <c r="K3517" s="13"/>
      <c r="L3517" s="11"/>
      <c r="M3517" s="13"/>
      <c r="N3517" s="11"/>
      <c r="O3517" s="13"/>
      <c r="P3517" s="11"/>
      <c r="Q3517" s="13"/>
      <c r="R3517" s="10"/>
      <c r="S3517" s="10"/>
    </row>
    <row r="3518" spans="1:19" x14ac:dyDescent="0.25">
      <c r="A3518" t="str">
        <f t="shared" si="56"/>
        <v/>
      </c>
      <c r="B3518" s="10"/>
      <c r="C3518" s="10"/>
      <c r="D3518" s="10"/>
      <c r="E3518" s="10"/>
      <c r="F3518" s="10"/>
      <c r="G3518" s="11"/>
      <c r="H3518" s="12"/>
      <c r="I3518" s="13"/>
      <c r="J3518" s="12"/>
      <c r="K3518" s="13"/>
      <c r="L3518" s="11"/>
      <c r="M3518" s="13"/>
      <c r="N3518" s="11"/>
      <c r="O3518" s="13"/>
      <c r="P3518" s="11"/>
      <c r="Q3518" s="13"/>
      <c r="R3518" s="10"/>
      <c r="S3518" s="10"/>
    </row>
    <row r="3519" spans="1:19" x14ac:dyDescent="0.25">
      <c r="A3519" t="str">
        <f t="shared" si="56"/>
        <v/>
      </c>
      <c r="B3519" s="10"/>
      <c r="C3519" s="10"/>
      <c r="D3519" s="10"/>
      <c r="E3519" s="10"/>
      <c r="F3519" s="10"/>
      <c r="G3519" s="11"/>
      <c r="H3519" s="12"/>
      <c r="I3519" s="13"/>
      <c r="J3519" s="12"/>
      <c r="K3519" s="13"/>
      <c r="L3519" s="11"/>
      <c r="M3519" s="13"/>
      <c r="N3519" s="11"/>
      <c r="O3519" s="13"/>
      <c r="P3519" s="11"/>
      <c r="Q3519" s="13"/>
      <c r="R3519" s="10"/>
      <c r="S3519" s="10"/>
    </row>
    <row r="3520" spans="1:19" x14ac:dyDescent="0.25">
      <c r="A3520" t="str">
        <f t="shared" si="56"/>
        <v/>
      </c>
      <c r="B3520" s="10"/>
      <c r="C3520" s="10"/>
      <c r="D3520" s="10"/>
      <c r="E3520" s="10"/>
      <c r="F3520" s="10"/>
      <c r="G3520" s="11"/>
      <c r="H3520" s="12"/>
      <c r="I3520" s="13"/>
      <c r="J3520" s="12"/>
      <c r="K3520" s="13"/>
      <c r="L3520" s="11"/>
      <c r="M3520" s="13"/>
      <c r="N3520" s="11"/>
      <c r="O3520" s="13"/>
      <c r="P3520" s="11"/>
      <c r="Q3520" s="13"/>
      <c r="R3520" s="10"/>
      <c r="S3520" s="10"/>
    </row>
    <row r="3521" spans="1:19" x14ac:dyDescent="0.25">
      <c r="A3521" t="str">
        <f t="shared" si="56"/>
        <v/>
      </c>
      <c r="B3521" s="10"/>
      <c r="C3521" s="10"/>
      <c r="D3521" s="10"/>
      <c r="E3521" s="10"/>
      <c r="F3521" s="10"/>
      <c r="G3521" s="11"/>
      <c r="H3521" s="12"/>
      <c r="I3521" s="13"/>
      <c r="J3521" s="12"/>
      <c r="K3521" s="13"/>
      <c r="L3521" s="11"/>
      <c r="M3521" s="13"/>
      <c r="N3521" s="11"/>
      <c r="O3521" s="13"/>
      <c r="P3521" s="11"/>
      <c r="Q3521" s="13"/>
      <c r="R3521" s="10"/>
      <c r="S3521" s="10"/>
    </row>
    <row r="3522" spans="1:19" x14ac:dyDescent="0.25">
      <c r="A3522" t="str">
        <f t="shared" si="56"/>
        <v/>
      </c>
      <c r="B3522" s="10"/>
      <c r="C3522" s="10"/>
      <c r="D3522" s="10"/>
      <c r="E3522" s="10"/>
      <c r="F3522" s="10"/>
      <c r="G3522" s="11"/>
      <c r="H3522" s="12"/>
      <c r="I3522" s="13"/>
      <c r="J3522" s="12"/>
      <c r="K3522" s="13"/>
      <c r="L3522" s="11"/>
      <c r="M3522" s="13"/>
      <c r="N3522" s="11"/>
      <c r="O3522" s="13"/>
      <c r="P3522" s="11"/>
      <c r="Q3522" s="13"/>
      <c r="R3522" s="10"/>
      <c r="S3522" s="10"/>
    </row>
    <row r="3523" spans="1:19" x14ac:dyDescent="0.25">
      <c r="A3523" t="str">
        <f t="shared" si="56"/>
        <v/>
      </c>
      <c r="B3523" s="10"/>
      <c r="C3523" s="10"/>
      <c r="D3523" s="10"/>
      <c r="E3523" s="10"/>
      <c r="F3523" s="10"/>
      <c r="G3523" s="11"/>
      <c r="H3523" s="12"/>
      <c r="I3523" s="13"/>
      <c r="J3523" s="12"/>
      <c r="K3523" s="13"/>
      <c r="L3523" s="11"/>
      <c r="M3523" s="13"/>
      <c r="N3523" s="11"/>
      <c r="O3523" s="13"/>
      <c r="P3523" s="11"/>
      <c r="Q3523" s="13"/>
      <c r="R3523" s="10"/>
      <c r="S3523" s="10"/>
    </row>
    <row r="3524" spans="1:19" x14ac:dyDescent="0.25">
      <c r="A3524" t="str">
        <f t="shared" si="56"/>
        <v/>
      </c>
      <c r="B3524" s="10"/>
      <c r="C3524" s="10"/>
      <c r="D3524" s="10"/>
      <c r="E3524" s="10"/>
      <c r="F3524" s="10"/>
      <c r="G3524" s="11"/>
      <c r="H3524" s="12"/>
      <c r="I3524" s="13"/>
      <c r="J3524" s="12"/>
      <c r="K3524" s="13"/>
      <c r="L3524" s="11"/>
      <c r="M3524" s="13"/>
      <c r="N3524" s="11"/>
      <c r="O3524" s="13"/>
      <c r="P3524" s="11"/>
      <c r="Q3524" s="13"/>
      <c r="R3524" s="10"/>
      <c r="S3524" s="10"/>
    </row>
    <row r="3525" spans="1:19" x14ac:dyDescent="0.25">
      <c r="A3525" t="str">
        <f t="shared" si="56"/>
        <v/>
      </c>
      <c r="B3525" s="10"/>
      <c r="C3525" s="10"/>
      <c r="D3525" s="10"/>
      <c r="E3525" s="10"/>
      <c r="F3525" s="10"/>
      <c r="G3525" s="11"/>
      <c r="H3525" s="12"/>
      <c r="I3525" s="13"/>
      <c r="J3525" s="12"/>
      <c r="K3525" s="13"/>
      <c r="L3525" s="11"/>
      <c r="M3525" s="13"/>
      <c r="N3525" s="11"/>
      <c r="O3525" s="13"/>
      <c r="P3525" s="11"/>
      <c r="Q3525" s="13"/>
      <c r="R3525" s="10"/>
      <c r="S3525" s="10"/>
    </row>
    <row r="3526" spans="1:19" x14ac:dyDescent="0.25">
      <c r="A3526" t="str">
        <f t="shared" si="56"/>
        <v/>
      </c>
      <c r="B3526" s="10"/>
      <c r="C3526" s="10"/>
      <c r="D3526" s="10"/>
      <c r="E3526" s="10"/>
      <c r="F3526" s="10"/>
      <c r="G3526" s="11"/>
      <c r="H3526" s="12"/>
      <c r="I3526" s="13"/>
      <c r="J3526" s="12"/>
      <c r="K3526" s="13"/>
      <c r="L3526" s="11"/>
      <c r="M3526" s="13"/>
      <c r="N3526" s="11"/>
      <c r="O3526" s="13"/>
      <c r="P3526" s="11"/>
      <c r="Q3526" s="13"/>
      <c r="R3526" s="10"/>
      <c r="S3526" s="10"/>
    </row>
    <row r="3527" spans="1:19" x14ac:dyDescent="0.25">
      <c r="A3527" t="str">
        <f t="shared" si="56"/>
        <v/>
      </c>
      <c r="B3527" s="10"/>
      <c r="C3527" s="10"/>
      <c r="D3527" s="10"/>
      <c r="E3527" s="10"/>
      <c r="F3527" s="10"/>
      <c r="G3527" s="11"/>
      <c r="H3527" s="12"/>
      <c r="I3527" s="13"/>
      <c r="J3527" s="12"/>
      <c r="K3527" s="13"/>
      <c r="L3527" s="11"/>
      <c r="M3527" s="13"/>
      <c r="N3527" s="11"/>
      <c r="O3527" s="13"/>
      <c r="P3527" s="11"/>
      <c r="Q3527" s="13"/>
      <c r="R3527" s="10"/>
      <c r="S3527" s="10"/>
    </row>
    <row r="3528" spans="1:19" x14ac:dyDescent="0.25">
      <c r="A3528" t="str">
        <f t="shared" si="56"/>
        <v/>
      </c>
      <c r="B3528" s="10"/>
      <c r="C3528" s="10"/>
      <c r="D3528" s="10"/>
      <c r="E3528" s="10"/>
      <c r="F3528" s="10"/>
      <c r="G3528" s="11"/>
      <c r="H3528" s="12"/>
      <c r="I3528" s="13"/>
      <c r="J3528" s="12"/>
      <c r="K3528" s="13"/>
      <c r="L3528" s="11"/>
      <c r="M3528" s="13"/>
      <c r="N3528" s="11"/>
      <c r="O3528" s="13"/>
      <c r="P3528" s="11"/>
      <c r="Q3528" s="13"/>
      <c r="R3528" s="10"/>
      <c r="S3528" s="10"/>
    </row>
    <row r="3529" spans="1:19" x14ac:dyDescent="0.25">
      <c r="A3529" t="str">
        <f t="shared" si="56"/>
        <v/>
      </c>
      <c r="B3529" s="10"/>
      <c r="C3529" s="10"/>
      <c r="D3529" s="10"/>
      <c r="E3529" s="10"/>
      <c r="F3529" s="10"/>
      <c r="G3529" s="11"/>
      <c r="H3529" s="12"/>
      <c r="I3529" s="13"/>
      <c r="J3529" s="12"/>
      <c r="K3529" s="13"/>
      <c r="L3529" s="11"/>
      <c r="M3529" s="13"/>
      <c r="N3529" s="11"/>
      <c r="O3529" s="13"/>
      <c r="P3529" s="11"/>
      <c r="Q3529" s="13"/>
      <c r="R3529" s="10"/>
      <c r="S3529" s="10"/>
    </row>
    <row r="3530" spans="1:19" x14ac:dyDescent="0.25">
      <c r="A3530" t="str">
        <f t="shared" si="56"/>
        <v/>
      </c>
      <c r="B3530" s="10"/>
      <c r="C3530" s="10"/>
      <c r="D3530" s="10"/>
      <c r="E3530" s="10"/>
      <c r="F3530" s="10"/>
      <c r="G3530" s="11"/>
      <c r="H3530" s="12"/>
      <c r="I3530" s="13"/>
      <c r="J3530" s="12"/>
      <c r="K3530" s="13"/>
      <c r="L3530" s="11"/>
      <c r="M3530" s="13"/>
      <c r="N3530" s="11"/>
      <c r="O3530" s="13"/>
      <c r="P3530" s="11"/>
      <c r="Q3530" s="13"/>
      <c r="R3530" s="10"/>
      <c r="S3530" s="10"/>
    </row>
    <row r="3531" spans="1:19" x14ac:dyDescent="0.25">
      <c r="A3531" t="str">
        <f t="shared" si="56"/>
        <v/>
      </c>
      <c r="B3531" s="10"/>
      <c r="C3531" s="10"/>
      <c r="D3531" s="10"/>
      <c r="E3531" s="10"/>
      <c r="F3531" s="10"/>
      <c r="G3531" s="11"/>
      <c r="H3531" s="12"/>
      <c r="I3531" s="13"/>
      <c r="J3531" s="12"/>
      <c r="K3531" s="13"/>
      <c r="L3531" s="11"/>
      <c r="M3531" s="13"/>
      <c r="N3531" s="11"/>
      <c r="O3531" s="13"/>
      <c r="P3531" s="11"/>
      <c r="Q3531" s="13"/>
      <c r="R3531" s="10"/>
      <c r="S3531" s="10"/>
    </row>
    <row r="3532" spans="1:19" x14ac:dyDescent="0.25">
      <c r="A3532" t="str">
        <f t="shared" si="56"/>
        <v/>
      </c>
      <c r="B3532" s="10"/>
      <c r="C3532" s="10"/>
      <c r="D3532" s="10"/>
      <c r="E3532" s="10"/>
      <c r="F3532" s="10"/>
      <c r="G3532" s="11"/>
      <c r="H3532" s="12"/>
      <c r="I3532" s="13"/>
      <c r="J3532" s="12"/>
      <c r="K3532" s="13"/>
      <c r="L3532" s="11"/>
      <c r="M3532" s="13"/>
      <c r="N3532" s="11"/>
      <c r="O3532" s="13"/>
      <c r="P3532" s="11"/>
      <c r="Q3532" s="13"/>
      <c r="R3532" s="10"/>
      <c r="S3532" s="10"/>
    </row>
    <row r="3533" spans="1:19" x14ac:dyDescent="0.25">
      <c r="A3533" t="str">
        <f t="shared" si="56"/>
        <v/>
      </c>
      <c r="B3533" s="10"/>
      <c r="C3533" s="10"/>
      <c r="D3533" s="10"/>
      <c r="E3533" s="10"/>
      <c r="F3533" s="10"/>
      <c r="G3533" s="11"/>
      <c r="H3533" s="12"/>
      <c r="I3533" s="13"/>
      <c r="J3533" s="12"/>
      <c r="K3533" s="13"/>
      <c r="L3533" s="11"/>
      <c r="M3533" s="13"/>
      <c r="N3533" s="11"/>
      <c r="O3533" s="13"/>
      <c r="P3533" s="11"/>
      <c r="Q3533" s="13"/>
      <c r="R3533" s="10"/>
      <c r="S3533" s="10"/>
    </row>
    <row r="3534" spans="1:19" x14ac:dyDescent="0.25">
      <c r="A3534" t="str">
        <f t="shared" si="56"/>
        <v/>
      </c>
      <c r="B3534" s="10"/>
      <c r="C3534" s="10"/>
      <c r="D3534" s="10"/>
      <c r="E3534" s="10"/>
      <c r="F3534" s="10"/>
      <c r="G3534" s="11"/>
      <c r="H3534" s="12"/>
      <c r="I3534" s="13"/>
      <c r="J3534" s="12"/>
      <c r="K3534" s="13"/>
      <c r="L3534" s="11"/>
      <c r="M3534" s="13"/>
      <c r="N3534" s="11"/>
      <c r="O3534" s="13"/>
      <c r="P3534" s="11"/>
      <c r="Q3534" s="13"/>
      <c r="R3534" s="10"/>
      <c r="S3534" s="10"/>
    </row>
    <row r="3535" spans="1:19" x14ac:dyDescent="0.25">
      <c r="A3535" t="str">
        <f t="shared" si="56"/>
        <v/>
      </c>
      <c r="B3535" s="10"/>
      <c r="C3535" s="10"/>
      <c r="D3535" s="10"/>
      <c r="E3535" s="10"/>
      <c r="F3535" s="10"/>
      <c r="G3535" s="11"/>
      <c r="H3535" s="12"/>
      <c r="I3535" s="13"/>
      <c r="J3535" s="12"/>
      <c r="K3535" s="13"/>
      <c r="L3535" s="11"/>
      <c r="M3535" s="13"/>
      <c r="N3535" s="11"/>
      <c r="O3535" s="13"/>
      <c r="P3535" s="11"/>
      <c r="Q3535" s="13"/>
      <c r="R3535" s="10"/>
      <c r="S3535" s="10"/>
    </row>
    <row r="3536" spans="1:19" x14ac:dyDescent="0.25">
      <c r="A3536" t="str">
        <f t="shared" si="56"/>
        <v/>
      </c>
      <c r="B3536" s="10"/>
      <c r="C3536" s="10"/>
      <c r="D3536" s="10"/>
      <c r="E3536" s="10"/>
      <c r="F3536" s="10"/>
      <c r="G3536" s="11"/>
      <c r="H3536" s="12"/>
      <c r="I3536" s="13"/>
      <c r="J3536" s="12"/>
      <c r="K3536" s="13"/>
      <c r="L3536" s="11"/>
      <c r="M3536" s="13"/>
      <c r="N3536" s="11"/>
      <c r="O3536" s="13"/>
      <c r="P3536" s="11"/>
      <c r="Q3536" s="13"/>
      <c r="R3536" s="10"/>
      <c r="S3536" s="10"/>
    </row>
    <row r="3537" spans="1:19" x14ac:dyDescent="0.25">
      <c r="A3537" t="str">
        <f t="shared" si="56"/>
        <v/>
      </c>
      <c r="B3537" s="10"/>
      <c r="C3537" s="10"/>
      <c r="D3537" s="10"/>
      <c r="E3537" s="10"/>
      <c r="F3537" s="10"/>
      <c r="G3537" s="11"/>
      <c r="H3537" s="12"/>
      <c r="I3537" s="13"/>
      <c r="J3537" s="12"/>
      <c r="K3537" s="13"/>
      <c r="L3537" s="11"/>
      <c r="M3537" s="13"/>
      <c r="N3537" s="11"/>
      <c r="O3537" s="13"/>
      <c r="P3537" s="11"/>
      <c r="Q3537" s="13"/>
      <c r="R3537" s="10"/>
      <c r="S3537" s="10"/>
    </row>
    <row r="3538" spans="1:19" x14ac:dyDescent="0.25">
      <c r="A3538" t="str">
        <f t="shared" si="56"/>
        <v/>
      </c>
      <c r="B3538" s="10"/>
      <c r="C3538" s="10"/>
      <c r="D3538" s="10"/>
      <c r="E3538" s="10"/>
      <c r="F3538" s="10"/>
      <c r="G3538" s="11"/>
      <c r="H3538" s="12"/>
      <c r="I3538" s="13"/>
      <c r="J3538" s="12"/>
      <c r="K3538" s="13"/>
      <c r="L3538" s="11"/>
      <c r="M3538" s="13"/>
      <c r="N3538" s="11"/>
      <c r="O3538" s="13"/>
      <c r="P3538" s="11"/>
      <c r="Q3538" s="13"/>
      <c r="R3538" s="10"/>
      <c r="S3538" s="10"/>
    </row>
    <row r="3539" spans="1:19" x14ac:dyDescent="0.25">
      <c r="A3539" t="str">
        <f t="shared" si="56"/>
        <v/>
      </c>
      <c r="B3539" s="10"/>
      <c r="C3539" s="10"/>
      <c r="D3539" s="10"/>
      <c r="E3539" s="10"/>
      <c r="F3539" s="10"/>
      <c r="G3539" s="11"/>
      <c r="H3539" s="12"/>
      <c r="I3539" s="13"/>
      <c r="J3539" s="12"/>
      <c r="K3539" s="13"/>
      <c r="L3539" s="11"/>
      <c r="M3539" s="13"/>
      <c r="N3539" s="11"/>
      <c r="O3539" s="13"/>
      <c r="P3539" s="11"/>
      <c r="Q3539" s="13"/>
      <c r="R3539" s="10"/>
      <c r="S3539" s="10"/>
    </row>
    <row r="3540" spans="1:19" x14ac:dyDescent="0.25">
      <c r="A3540" t="str">
        <f t="shared" si="56"/>
        <v/>
      </c>
      <c r="B3540" s="10"/>
      <c r="C3540" s="10"/>
      <c r="D3540" s="10"/>
      <c r="E3540" s="10"/>
      <c r="F3540" s="10"/>
      <c r="G3540" s="11"/>
      <c r="H3540" s="12"/>
      <c r="I3540" s="13"/>
      <c r="J3540" s="12"/>
      <c r="K3540" s="13"/>
      <c r="L3540" s="11"/>
      <c r="M3540" s="13"/>
      <c r="N3540" s="11"/>
      <c r="O3540" s="13"/>
      <c r="P3540" s="11"/>
      <c r="Q3540" s="13"/>
      <c r="R3540" s="10"/>
      <c r="S3540" s="10"/>
    </row>
    <row r="3541" spans="1:19" x14ac:dyDescent="0.25">
      <c r="A3541" t="str">
        <f t="shared" si="56"/>
        <v/>
      </c>
      <c r="B3541" s="10"/>
      <c r="C3541" s="10"/>
      <c r="D3541" s="10"/>
      <c r="E3541" s="10"/>
      <c r="F3541" s="10"/>
      <c r="G3541" s="11"/>
      <c r="H3541" s="12"/>
      <c r="I3541" s="13"/>
      <c r="J3541" s="12"/>
      <c r="K3541" s="13"/>
      <c r="L3541" s="11"/>
      <c r="M3541" s="13"/>
      <c r="N3541" s="11"/>
      <c r="O3541" s="13"/>
      <c r="P3541" s="11"/>
      <c r="Q3541" s="13"/>
      <c r="R3541" s="10"/>
      <c r="S3541" s="10"/>
    </row>
    <row r="3542" spans="1:19" x14ac:dyDescent="0.25">
      <c r="A3542" t="str">
        <f t="shared" si="56"/>
        <v/>
      </c>
      <c r="B3542" s="10"/>
      <c r="C3542" s="10"/>
      <c r="D3542" s="10"/>
      <c r="E3542" s="10"/>
      <c r="F3542" s="10"/>
      <c r="G3542" s="11"/>
      <c r="H3542" s="12"/>
      <c r="I3542" s="13"/>
      <c r="J3542" s="12"/>
      <c r="K3542" s="13"/>
      <c r="L3542" s="11"/>
      <c r="M3542" s="13"/>
      <c r="N3542" s="11"/>
      <c r="O3542" s="13"/>
      <c r="P3542" s="11"/>
      <c r="Q3542" s="13"/>
      <c r="R3542" s="10"/>
      <c r="S3542" s="10"/>
    </row>
    <row r="3543" spans="1:19" x14ac:dyDescent="0.25">
      <c r="A3543" t="str">
        <f t="shared" si="56"/>
        <v/>
      </c>
      <c r="B3543" s="10"/>
      <c r="C3543" s="10"/>
      <c r="D3543" s="10"/>
      <c r="E3543" s="10"/>
      <c r="F3543" s="10"/>
      <c r="G3543" s="11"/>
      <c r="H3543" s="12"/>
      <c r="I3543" s="13"/>
      <c r="J3543" s="12"/>
      <c r="K3543" s="13"/>
      <c r="L3543" s="11"/>
      <c r="M3543" s="13"/>
      <c r="N3543" s="11"/>
      <c r="O3543" s="13"/>
      <c r="P3543" s="11"/>
      <c r="Q3543" s="13"/>
      <c r="R3543" s="10"/>
      <c r="S3543" s="10"/>
    </row>
    <row r="3544" spans="1:19" x14ac:dyDescent="0.25">
      <c r="A3544" t="str">
        <f t="shared" si="56"/>
        <v/>
      </c>
      <c r="B3544" s="10"/>
      <c r="C3544" s="10"/>
      <c r="D3544" s="10"/>
      <c r="E3544" s="10"/>
      <c r="F3544" s="10"/>
      <c r="G3544" s="11"/>
      <c r="H3544" s="12"/>
      <c r="I3544" s="13"/>
      <c r="J3544" s="12"/>
      <c r="K3544" s="13"/>
      <c r="L3544" s="11"/>
      <c r="M3544" s="13"/>
      <c r="N3544" s="11"/>
      <c r="O3544" s="13"/>
      <c r="P3544" s="11"/>
      <c r="Q3544" s="13"/>
      <c r="R3544" s="10"/>
      <c r="S3544" s="10"/>
    </row>
    <row r="3545" spans="1:19" x14ac:dyDescent="0.25">
      <c r="A3545" t="str">
        <f t="shared" si="56"/>
        <v/>
      </c>
      <c r="B3545" s="10"/>
      <c r="C3545" s="10"/>
      <c r="D3545" s="10"/>
      <c r="E3545" s="10"/>
      <c r="F3545" s="10"/>
      <c r="G3545" s="11"/>
      <c r="H3545" s="12"/>
      <c r="I3545" s="13"/>
      <c r="J3545" s="12"/>
      <c r="K3545" s="13"/>
      <c r="L3545" s="11"/>
      <c r="M3545" s="13"/>
      <c r="N3545" s="11"/>
      <c r="O3545" s="13"/>
      <c r="P3545" s="11"/>
      <c r="Q3545" s="13"/>
      <c r="R3545" s="10"/>
      <c r="S3545" s="10"/>
    </row>
    <row r="3546" spans="1:19" x14ac:dyDescent="0.25">
      <c r="A3546" t="str">
        <f t="shared" si="56"/>
        <v/>
      </c>
      <c r="B3546" s="10"/>
      <c r="C3546" s="10"/>
      <c r="D3546" s="10"/>
      <c r="E3546" s="10"/>
      <c r="F3546" s="10"/>
      <c r="G3546" s="11"/>
      <c r="H3546" s="12"/>
      <c r="I3546" s="13"/>
      <c r="J3546" s="12"/>
      <c r="K3546" s="13"/>
      <c r="L3546" s="11"/>
      <c r="M3546" s="13"/>
      <c r="N3546" s="11"/>
      <c r="O3546" s="13"/>
      <c r="P3546" s="11"/>
      <c r="Q3546" s="13"/>
      <c r="R3546" s="10"/>
      <c r="S3546" s="10"/>
    </row>
    <row r="3547" spans="1:19" x14ac:dyDescent="0.25">
      <c r="A3547" t="str">
        <f t="shared" si="56"/>
        <v/>
      </c>
      <c r="B3547" s="10"/>
      <c r="C3547" s="10"/>
      <c r="D3547" s="10"/>
      <c r="E3547" s="10"/>
      <c r="F3547" s="10"/>
      <c r="G3547" s="11"/>
      <c r="H3547" s="12"/>
      <c r="I3547" s="13"/>
      <c r="J3547" s="12"/>
      <c r="K3547" s="13"/>
      <c r="L3547" s="11"/>
      <c r="M3547" s="13"/>
      <c r="N3547" s="11"/>
      <c r="O3547" s="13"/>
      <c r="P3547" s="11"/>
      <c r="Q3547" s="13"/>
      <c r="R3547" s="10"/>
      <c r="S3547" s="10"/>
    </row>
    <row r="3548" spans="1:19" x14ac:dyDescent="0.25">
      <c r="A3548" t="str">
        <f t="shared" si="56"/>
        <v/>
      </c>
      <c r="B3548" s="10"/>
      <c r="C3548" s="10"/>
      <c r="D3548" s="10"/>
      <c r="E3548" s="10"/>
      <c r="F3548" s="10"/>
      <c r="G3548" s="11"/>
      <c r="H3548" s="12"/>
      <c r="I3548" s="13"/>
      <c r="J3548" s="12"/>
      <c r="K3548" s="13"/>
      <c r="L3548" s="11"/>
      <c r="M3548" s="13"/>
      <c r="N3548" s="11"/>
      <c r="O3548" s="13"/>
      <c r="P3548" s="11"/>
      <c r="Q3548" s="13"/>
      <c r="R3548" s="10"/>
      <c r="S3548" s="10"/>
    </row>
    <row r="3549" spans="1:19" x14ac:dyDescent="0.25">
      <c r="A3549" t="str">
        <f t="shared" si="56"/>
        <v/>
      </c>
      <c r="B3549" s="10"/>
      <c r="C3549" s="10"/>
      <c r="D3549" s="10"/>
      <c r="E3549" s="10"/>
      <c r="F3549" s="10"/>
      <c r="G3549" s="11"/>
      <c r="H3549" s="12"/>
      <c r="I3549" s="13"/>
      <c r="J3549" s="12"/>
      <c r="K3549" s="13"/>
      <c r="L3549" s="11"/>
      <c r="M3549" s="13"/>
      <c r="N3549" s="11"/>
      <c r="O3549" s="13"/>
      <c r="P3549" s="11"/>
      <c r="Q3549" s="13"/>
      <c r="R3549" s="10"/>
      <c r="S3549" s="10"/>
    </row>
    <row r="3550" spans="1:19" x14ac:dyDescent="0.25">
      <c r="A3550" t="str">
        <f t="shared" si="56"/>
        <v/>
      </c>
      <c r="B3550" s="10"/>
      <c r="C3550" s="10"/>
      <c r="D3550" s="10"/>
      <c r="E3550" s="10"/>
      <c r="F3550" s="10"/>
      <c r="G3550" s="11"/>
      <c r="H3550" s="12"/>
      <c r="I3550" s="13"/>
      <c r="J3550" s="12"/>
      <c r="K3550" s="13"/>
      <c r="L3550" s="11"/>
      <c r="M3550" s="13"/>
      <c r="N3550" s="11"/>
      <c r="O3550" s="13"/>
      <c r="P3550" s="11"/>
      <c r="Q3550" s="13"/>
      <c r="R3550" s="10"/>
      <c r="S3550" s="10"/>
    </row>
    <row r="3551" spans="1:19" x14ac:dyDescent="0.25">
      <c r="A3551" t="str">
        <f t="shared" si="56"/>
        <v/>
      </c>
      <c r="B3551" s="10"/>
      <c r="C3551" s="10"/>
      <c r="D3551" s="10"/>
      <c r="E3551" s="10"/>
      <c r="F3551" s="10"/>
      <c r="G3551" s="11"/>
      <c r="H3551" s="12"/>
      <c r="I3551" s="13"/>
      <c r="J3551" s="12"/>
      <c r="K3551" s="13"/>
      <c r="L3551" s="11"/>
      <c r="M3551" s="13"/>
      <c r="N3551" s="11"/>
      <c r="O3551" s="13"/>
      <c r="P3551" s="11"/>
      <c r="Q3551" s="13"/>
      <c r="R3551" s="10"/>
      <c r="S3551" s="10"/>
    </row>
    <row r="3552" spans="1:19" x14ac:dyDescent="0.25">
      <c r="A3552" t="str">
        <f t="shared" si="56"/>
        <v/>
      </c>
      <c r="B3552" s="10"/>
      <c r="C3552" s="10"/>
      <c r="D3552" s="10"/>
      <c r="E3552" s="10"/>
      <c r="F3552" s="10"/>
      <c r="G3552" s="11"/>
      <c r="H3552" s="12"/>
      <c r="I3552" s="13"/>
      <c r="J3552" s="12"/>
      <c r="K3552" s="13"/>
      <c r="L3552" s="11"/>
      <c r="M3552" s="13"/>
      <c r="N3552" s="11"/>
      <c r="O3552" s="13"/>
      <c r="P3552" s="11"/>
      <c r="Q3552" s="13"/>
      <c r="R3552" s="10"/>
      <c r="S3552" s="10"/>
    </row>
    <row r="3553" spans="1:19" x14ac:dyDescent="0.25">
      <c r="A3553" t="str">
        <f t="shared" si="56"/>
        <v/>
      </c>
      <c r="B3553" s="10"/>
      <c r="C3553" s="10"/>
      <c r="D3553" s="10"/>
      <c r="E3553" s="10"/>
      <c r="F3553" s="10"/>
      <c r="G3553" s="11"/>
      <c r="H3553" s="12"/>
      <c r="I3553" s="13"/>
      <c r="J3553" s="12"/>
      <c r="K3553" s="13"/>
      <c r="L3553" s="11"/>
      <c r="M3553" s="13"/>
      <c r="N3553" s="11"/>
      <c r="O3553" s="13"/>
      <c r="P3553" s="11"/>
      <c r="Q3553" s="13"/>
      <c r="R3553" s="10"/>
      <c r="S3553" s="10"/>
    </row>
    <row r="3554" spans="1:19" x14ac:dyDescent="0.25">
      <c r="A3554" t="str">
        <f t="shared" si="56"/>
        <v/>
      </c>
      <c r="B3554" s="10"/>
      <c r="C3554" s="10"/>
      <c r="D3554" s="10"/>
      <c r="E3554" s="10"/>
      <c r="F3554" s="10"/>
      <c r="G3554" s="11"/>
      <c r="H3554" s="12"/>
      <c r="I3554" s="13"/>
      <c r="J3554" s="12"/>
      <c r="K3554" s="13"/>
      <c r="L3554" s="11"/>
      <c r="M3554" s="13"/>
      <c r="N3554" s="11"/>
      <c r="O3554" s="13"/>
      <c r="P3554" s="11"/>
      <c r="Q3554" s="13"/>
      <c r="R3554" s="10"/>
      <c r="S3554" s="10"/>
    </row>
    <row r="3555" spans="1:19" x14ac:dyDescent="0.25">
      <c r="A3555" t="str">
        <f t="shared" si="56"/>
        <v/>
      </c>
      <c r="B3555" s="10"/>
      <c r="C3555" s="10"/>
      <c r="D3555" s="10"/>
      <c r="E3555" s="10"/>
      <c r="F3555" s="10"/>
      <c r="G3555" s="11"/>
      <c r="H3555" s="12"/>
      <c r="I3555" s="13"/>
      <c r="J3555" s="12"/>
      <c r="K3555" s="13"/>
      <c r="L3555" s="11"/>
      <c r="M3555" s="13"/>
      <c r="N3555" s="11"/>
      <c r="O3555" s="13"/>
      <c r="P3555" s="11"/>
      <c r="Q3555" s="13"/>
      <c r="R3555" s="10"/>
      <c r="S3555" s="10"/>
    </row>
    <row r="3556" spans="1:19" x14ac:dyDescent="0.25">
      <c r="A3556" t="str">
        <f t="shared" si="56"/>
        <v/>
      </c>
      <c r="B3556" s="10"/>
      <c r="C3556" s="10"/>
      <c r="D3556" s="10"/>
      <c r="E3556" s="10"/>
      <c r="F3556" s="10"/>
      <c r="G3556" s="11"/>
      <c r="H3556" s="12"/>
      <c r="I3556" s="13"/>
      <c r="J3556" s="12"/>
      <c r="K3556" s="13"/>
      <c r="L3556" s="11"/>
      <c r="M3556" s="13"/>
      <c r="N3556" s="11"/>
      <c r="O3556" s="13"/>
      <c r="P3556" s="11"/>
      <c r="Q3556" s="13"/>
      <c r="R3556" s="10"/>
      <c r="S3556" s="10"/>
    </row>
    <row r="3557" spans="1:19" x14ac:dyDescent="0.25">
      <c r="A3557" t="str">
        <f t="shared" si="56"/>
        <v/>
      </c>
      <c r="B3557" s="10"/>
      <c r="C3557" s="10"/>
      <c r="D3557" s="10"/>
      <c r="E3557" s="10"/>
      <c r="F3557" s="10"/>
      <c r="G3557" s="11"/>
      <c r="H3557" s="12"/>
      <c r="I3557" s="13"/>
      <c r="J3557" s="12"/>
      <c r="K3557" s="13"/>
      <c r="L3557" s="11"/>
      <c r="M3557" s="13"/>
      <c r="N3557" s="11"/>
      <c r="O3557" s="13"/>
      <c r="P3557" s="11"/>
      <c r="Q3557" s="13"/>
      <c r="R3557" s="10"/>
      <c r="S3557" s="10"/>
    </row>
    <row r="3558" spans="1:19" x14ac:dyDescent="0.25">
      <c r="A3558" t="str">
        <f t="shared" si="56"/>
        <v/>
      </c>
      <c r="B3558" s="10"/>
      <c r="C3558" s="10"/>
      <c r="D3558" s="10"/>
      <c r="E3558" s="10"/>
      <c r="F3558" s="10"/>
      <c r="G3558" s="11"/>
      <c r="H3558" s="12"/>
      <c r="I3558" s="13"/>
      <c r="J3558" s="12"/>
      <c r="K3558" s="13"/>
      <c r="L3558" s="11"/>
      <c r="M3558" s="13"/>
      <c r="N3558" s="11"/>
      <c r="O3558" s="13"/>
      <c r="P3558" s="11"/>
      <c r="Q3558" s="13"/>
      <c r="R3558" s="10"/>
      <c r="S3558" s="10"/>
    </row>
    <row r="3559" spans="1:19" x14ac:dyDescent="0.25">
      <c r="A3559" t="str">
        <f t="shared" si="56"/>
        <v/>
      </c>
      <c r="B3559" s="10"/>
      <c r="C3559" s="10"/>
      <c r="D3559" s="10"/>
      <c r="E3559" s="10"/>
      <c r="F3559" s="10"/>
      <c r="G3559" s="11"/>
      <c r="H3559" s="12"/>
      <c r="I3559" s="13"/>
      <c r="J3559" s="12"/>
      <c r="K3559" s="13"/>
      <c r="L3559" s="11"/>
      <c r="M3559" s="13"/>
      <c r="N3559" s="11"/>
      <c r="O3559" s="13"/>
      <c r="P3559" s="11"/>
      <c r="Q3559" s="13"/>
      <c r="R3559" s="10"/>
      <c r="S3559" s="10"/>
    </row>
    <row r="3560" spans="1:19" x14ac:dyDescent="0.25">
      <c r="A3560" t="str">
        <f t="shared" si="56"/>
        <v/>
      </c>
      <c r="B3560" s="10"/>
      <c r="C3560" s="10"/>
      <c r="D3560" s="10"/>
      <c r="E3560" s="10"/>
      <c r="F3560" s="10"/>
      <c r="G3560" s="11"/>
      <c r="H3560" s="12"/>
      <c r="I3560" s="13"/>
      <c r="J3560" s="12"/>
      <c r="K3560" s="13"/>
      <c r="L3560" s="11"/>
      <c r="M3560" s="13"/>
      <c r="N3560" s="11"/>
      <c r="O3560" s="13"/>
      <c r="P3560" s="11"/>
      <c r="Q3560" s="13"/>
      <c r="R3560" s="10"/>
      <c r="S3560" s="10"/>
    </row>
    <row r="3561" spans="1:19" x14ac:dyDescent="0.25">
      <c r="A3561" t="str">
        <f t="shared" si="56"/>
        <v/>
      </c>
      <c r="B3561" s="10"/>
      <c r="C3561" s="10"/>
      <c r="D3561" s="10"/>
      <c r="E3561" s="10"/>
      <c r="F3561" s="10"/>
      <c r="G3561" s="11"/>
      <c r="H3561" s="12"/>
      <c r="I3561" s="13"/>
      <c r="J3561" s="12"/>
      <c r="K3561" s="13"/>
      <c r="L3561" s="11"/>
      <c r="M3561" s="13"/>
      <c r="N3561" s="11"/>
      <c r="O3561" s="13"/>
      <c r="P3561" s="11"/>
      <c r="Q3561" s="13"/>
      <c r="R3561" s="10"/>
      <c r="S3561" s="10"/>
    </row>
    <row r="3562" spans="1:19" x14ac:dyDescent="0.25">
      <c r="A3562" t="str">
        <f t="shared" si="56"/>
        <v/>
      </c>
      <c r="B3562" s="10"/>
      <c r="C3562" s="10"/>
      <c r="D3562" s="10"/>
      <c r="E3562" s="10"/>
      <c r="F3562" s="10"/>
      <c r="G3562" s="11"/>
      <c r="H3562" s="12"/>
      <c r="I3562" s="13"/>
      <c r="J3562" s="12"/>
      <c r="K3562" s="13"/>
      <c r="L3562" s="11"/>
      <c r="M3562" s="13"/>
      <c r="N3562" s="11"/>
      <c r="O3562" s="13"/>
      <c r="P3562" s="11"/>
      <c r="Q3562" s="13"/>
      <c r="R3562" s="10"/>
      <c r="S3562" s="10"/>
    </row>
    <row r="3563" spans="1:19" x14ac:dyDescent="0.25">
      <c r="A3563" t="str">
        <f t="shared" si="56"/>
        <v/>
      </c>
      <c r="B3563" s="10"/>
      <c r="C3563" s="10"/>
      <c r="D3563" s="10"/>
      <c r="E3563" s="10"/>
      <c r="F3563" s="10"/>
      <c r="G3563" s="11"/>
      <c r="H3563" s="12"/>
      <c r="I3563" s="13"/>
      <c r="J3563" s="12"/>
      <c r="K3563" s="13"/>
      <c r="L3563" s="11"/>
      <c r="M3563" s="13"/>
      <c r="N3563" s="11"/>
      <c r="O3563" s="13"/>
      <c r="P3563" s="11"/>
      <c r="Q3563" s="13"/>
      <c r="R3563" s="10"/>
      <c r="S3563" s="10"/>
    </row>
    <row r="3564" spans="1:19" x14ac:dyDescent="0.25">
      <c r="A3564" t="str">
        <f t="shared" si="56"/>
        <v/>
      </c>
      <c r="B3564" s="10"/>
      <c r="C3564" s="10"/>
      <c r="D3564" s="10"/>
      <c r="E3564" s="10"/>
      <c r="F3564" s="10"/>
      <c r="G3564" s="11"/>
      <c r="H3564" s="12"/>
      <c r="I3564" s="13"/>
      <c r="J3564" s="12"/>
      <c r="K3564" s="13"/>
      <c r="L3564" s="11"/>
      <c r="M3564" s="13"/>
      <c r="N3564" s="11"/>
      <c r="O3564" s="13"/>
      <c r="P3564" s="11"/>
      <c r="Q3564" s="13"/>
      <c r="R3564" s="10"/>
      <c r="S3564" s="10"/>
    </row>
    <row r="3565" spans="1:19" x14ac:dyDescent="0.25">
      <c r="A3565" t="str">
        <f t="shared" si="56"/>
        <v/>
      </c>
      <c r="B3565" s="10"/>
      <c r="C3565" s="10"/>
      <c r="D3565" s="10"/>
      <c r="E3565" s="10"/>
      <c r="F3565" s="10"/>
      <c r="G3565" s="11"/>
      <c r="H3565" s="12"/>
      <c r="I3565" s="13"/>
      <c r="J3565" s="12"/>
      <c r="K3565" s="13"/>
      <c r="L3565" s="11"/>
      <c r="M3565" s="13"/>
      <c r="N3565" s="11"/>
      <c r="O3565" s="13"/>
      <c r="P3565" s="11"/>
      <c r="Q3565" s="13"/>
      <c r="R3565" s="10"/>
      <c r="S3565" s="10"/>
    </row>
    <row r="3566" spans="1:19" x14ac:dyDescent="0.25">
      <c r="A3566" t="str">
        <f t="shared" si="56"/>
        <v/>
      </c>
      <c r="B3566" s="10"/>
      <c r="C3566" s="10"/>
      <c r="D3566" s="10"/>
      <c r="E3566" s="10"/>
      <c r="F3566" s="10"/>
      <c r="G3566" s="11"/>
      <c r="H3566" s="12"/>
      <c r="I3566" s="13"/>
      <c r="J3566" s="12"/>
      <c r="K3566" s="13"/>
      <c r="L3566" s="11"/>
      <c r="M3566" s="13"/>
      <c r="N3566" s="11"/>
      <c r="O3566" s="13"/>
      <c r="P3566" s="11"/>
      <c r="Q3566" s="13"/>
      <c r="R3566" s="10"/>
      <c r="S3566" s="10"/>
    </row>
    <row r="3567" spans="1:19" x14ac:dyDescent="0.25">
      <c r="A3567" t="str">
        <f t="shared" si="56"/>
        <v/>
      </c>
      <c r="B3567" s="10"/>
      <c r="C3567" s="10"/>
      <c r="D3567" s="10"/>
      <c r="E3567" s="10"/>
      <c r="F3567" s="10"/>
      <c r="G3567" s="11"/>
      <c r="H3567" s="12"/>
      <c r="I3567" s="13"/>
      <c r="J3567" s="12"/>
      <c r="K3567" s="13"/>
      <c r="L3567" s="11"/>
      <c r="M3567" s="13"/>
      <c r="N3567" s="11"/>
      <c r="O3567" s="13"/>
      <c r="P3567" s="11"/>
      <c r="Q3567" s="13"/>
      <c r="R3567" s="10"/>
      <c r="S3567" s="10"/>
    </row>
    <row r="3568" spans="1:19" x14ac:dyDescent="0.25">
      <c r="A3568" t="str">
        <f t="shared" si="56"/>
        <v/>
      </c>
      <c r="B3568" s="10"/>
      <c r="C3568" s="10"/>
      <c r="D3568" s="10"/>
      <c r="E3568" s="10"/>
      <c r="F3568" s="10"/>
      <c r="G3568" s="11"/>
      <c r="H3568" s="12"/>
      <c r="I3568" s="13"/>
      <c r="J3568" s="12"/>
      <c r="K3568" s="13"/>
      <c r="L3568" s="11"/>
      <c r="M3568" s="13"/>
      <c r="N3568" s="11"/>
      <c r="O3568" s="13"/>
      <c r="P3568" s="11"/>
      <c r="Q3568" s="13"/>
      <c r="R3568" s="10"/>
      <c r="S3568" s="10"/>
    </row>
    <row r="3569" spans="1:19" x14ac:dyDescent="0.25">
      <c r="A3569" t="str">
        <f t="shared" si="56"/>
        <v/>
      </c>
      <c r="B3569" s="10"/>
      <c r="C3569" s="10"/>
      <c r="D3569" s="10"/>
      <c r="E3569" s="10"/>
      <c r="F3569" s="10"/>
      <c r="G3569" s="11"/>
      <c r="H3569" s="12"/>
      <c r="I3569" s="13"/>
      <c r="J3569" s="12"/>
      <c r="K3569" s="13"/>
      <c r="L3569" s="11"/>
      <c r="M3569" s="13"/>
      <c r="N3569" s="11"/>
      <c r="O3569" s="13"/>
      <c r="P3569" s="11"/>
      <c r="Q3569" s="13"/>
      <c r="R3569" s="10"/>
      <c r="S3569" s="10"/>
    </row>
    <row r="3570" spans="1:19" x14ac:dyDescent="0.25">
      <c r="A3570" t="str">
        <f t="shared" si="56"/>
        <v/>
      </c>
      <c r="B3570" s="10"/>
      <c r="C3570" s="10"/>
      <c r="D3570" s="10"/>
      <c r="E3570" s="10"/>
      <c r="F3570" s="10"/>
      <c r="G3570" s="11"/>
      <c r="H3570" s="12"/>
      <c r="I3570" s="13"/>
      <c r="J3570" s="12"/>
      <c r="K3570" s="13"/>
      <c r="L3570" s="11"/>
      <c r="M3570" s="13"/>
      <c r="N3570" s="11"/>
      <c r="O3570" s="13"/>
      <c r="P3570" s="11"/>
      <c r="Q3570" s="13"/>
      <c r="R3570" s="10"/>
      <c r="S3570" s="10"/>
    </row>
    <row r="3571" spans="1:19" x14ac:dyDescent="0.25">
      <c r="A3571" t="str">
        <f t="shared" si="56"/>
        <v/>
      </c>
      <c r="B3571" s="10"/>
      <c r="C3571" s="10"/>
      <c r="D3571" s="10"/>
      <c r="E3571" s="10"/>
      <c r="F3571" s="10"/>
      <c r="G3571" s="11"/>
      <c r="H3571" s="12"/>
      <c r="I3571" s="13"/>
      <c r="J3571" s="12"/>
      <c r="K3571" s="13"/>
      <c r="L3571" s="11"/>
      <c r="M3571" s="13"/>
      <c r="N3571" s="11"/>
      <c r="O3571" s="13"/>
      <c r="P3571" s="11"/>
      <c r="Q3571" s="13"/>
      <c r="R3571" s="10"/>
      <c r="S3571" s="10"/>
    </row>
    <row r="3572" spans="1:19" x14ac:dyDescent="0.25">
      <c r="A3572" t="str">
        <f t="shared" si="56"/>
        <v/>
      </c>
      <c r="B3572" s="10"/>
      <c r="C3572" s="10"/>
      <c r="D3572" s="10"/>
      <c r="E3572" s="10"/>
      <c r="F3572" s="10"/>
      <c r="G3572" s="11"/>
      <c r="H3572" s="12"/>
      <c r="I3572" s="13"/>
      <c r="J3572" s="12"/>
      <c r="K3572" s="13"/>
      <c r="L3572" s="11"/>
      <c r="M3572" s="13"/>
      <c r="N3572" s="11"/>
      <c r="O3572" s="13"/>
      <c r="P3572" s="11"/>
      <c r="Q3572" s="13"/>
      <c r="R3572" s="10"/>
      <c r="S3572" s="10"/>
    </row>
    <row r="3573" spans="1:19" x14ac:dyDescent="0.25">
      <c r="A3573" t="str">
        <f t="shared" ref="A3573:A3636" si="57">B3571&amp;D3571</f>
        <v/>
      </c>
      <c r="B3573" s="10"/>
      <c r="C3573" s="10"/>
      <c r="D3573" s="10"/>
      <c r="E3573" s="10"/>
      <c r="F3573" s="10"/>
      <c r="G3573" s="11"/>
      <c r="H3573" s="12"/>
      <c r="I3573" s="13"/>
      <c r="J3573" s="12"/>
      <c r="K3573" s="13"/>
      <c r="L3573" s="11"/>
      <c r="M3573" s="13"/>
      <c r="N3573" s="11"/>
      <c r="O3573" s="13"/>
      <c r="P3573" s="11"/>
      <c r="Q3573" s="13"/>
      <c r="R3573" s="10"/>
      <c r="S3573" s="10"/>
    </row>
    <row r="3574" spans="1:19" x14ac:dyDescent="0.25">
      <c r="A3574" t="str">
        <f t="shared" si="57"/>
        <v/>
      </c>
      <c r="B3574" s="10"/>
      <c r="C3574" s="10"/>
      <c r="D3574" s="10"/>
      <c r="E3574" s="10"/>
      <c r="F3574" s="10"/>
      <c r="G3574" s="11"/>
      <c r="H3574" s="12"/>
      <c r="I3574" s="13"/>
      <c r="J3574" s="12"/>
      <c r="K3574" s="13"/>
      <c r="L3574" s="11"/>
      <c r="M3574" s="13"/>
      <c r="N3574" s="11"/>
      <c r="O3574" s="13"/>
      <c r="P3574" s="11"/>
      <c r="Q3574" s="13"/>
      <c r="R3574" s="10"/>
      <c r="S3574" s="10"/>
    </row>
    <row r="3575" spans="1:19" x14ac:dyDescent="0.25">
      <c r="A3575" t="str">
        <f t="shared" si="57"/>
        <v/>
      </c>
      <c r="B3575" s="10"/>
      <c r="C3575" s="10"/>
      <c r="D3575" s="10"/>
      <c r="E3575" s="10"/>
      <c r="F3575" s="10"/>
      <c r="G3575" s="11"/>
      <c r="H3575" s="12"/>
      <c r="I3575" s="13"/>
      <c r="J3575" s="12"/>
      <c r="K3575" s="13"/>
      <c r="L3575" s="11"/>
      <c r="M3575" s="13"/>
      <c r="N3575" s="11"/>
      <c r="O3575" s="13"/>
      <c r="P3575" s="11"/>
      <c r="Q3575" s="13"/>
      <c r="R3575" s="10"/>
      <c r="S3575" s="10"/>
    </row>
    <row r="3576" spans="1:19" x14ac:dyDescent="0.25">
      <c r="A3576" t="str">
        <f t="shared" si="57"/>
        <v/>
      </c>
      <c r="B3576" s="10"/>
      <c r="C3576" s="10"/>
      <c r="D3576" s="10"/>
      <c r="E3576" s="10"/>
      <c r="F3576" s="10"/>
      <c r="G3576" s="11"/>
      <c r="H3576" s="12"/>
      <c r="I3576" s="13"/>
      <c r="J3576" s="12"/>
      <c r="K3576" s="13"/>
      <c r="L3576" s="11"/>
      <c r="M3576" s="13"/>
      <c r="N3576" s="11"/>
      <c r="O3576" s="13"/>
      <c r="P3576" s="11"/>
      <c r="Q3576" s="13"/>
      <c r="R3576" s="10"/>
      <c r="S3576" s="10"/>
    </row>
    <row r="3577" spans="1:19" x14ac:dyDescent="0.25">
      <c r="A3577" t="str">
        <f t="shared" si="57"/>
        <v/>
      </c>
      <c r="B3577" s="10"/>
      <c r="C3577" s="10"/>
      <c r="D3577" s="10"/>
      <c r="E3577" s="10"/>
      <c r="F3577" s="10"/>
      <c r="G3577" s="11"/>
      <c r="H3577" s="12"/>
      <c r="I3577" s="13"/>
      <c r="J3577" s="12"/>
      <c r="K3577" s="13"/>
      <c r="L3577" s="11"/>
      <c r="M3577" s="13"/>
      <c r="N3577" s="11"/>
      <c r="O3577" s="13"/>
      <c r="P3577" s="11"/>
      <c r="Q3577" s="13"/>
      <c r="R3577" s="10"/>
      <c r="S3577" s="10"/>
    </row>
    <row r="3578" spans="1:19" x14ac:dyDescent="0.25">
      <c r="A3578" t="str">
        <f t="shared" si="57"/>
        <v/>
      </c>
      <c r="B3578" s="10"/>
      <c r="C3578" s="10"/>
      <c r="D3578" s="10"/>
      <c r="E3578" s="10"/>
      <c r="F3578" s="10"/>
      <c r="G3578" s="11"/>
      <c r="H3578" s="12"/>
      <c r="I3578" s="13"/>
      <c r="J3578" s="12"/>
      <c r="K3578" s="13"/>
      <c r="L3578" s="11"/>
      <c r="M3578" s="13"/>
      <c r="N3578" s="11"/>
      <c r="O3578" s="13"/>
      <c r="P3578" s="11"/>
      <c r="Q3578" s="13"/>
      <c r="R3578" s="10"/>
      <c r="S3578" s="10"/>
    </row>
    <row r="3579" spans="1:19" x14ac:dyDescent="0.25">
      <c r="A3579" t="str">
        <f t="shared" si="57"/>
        <v/>
      </c>
      <c r="B3579" s="10"/>
      <c r="C3579" s="10"/>
      <c r="D3579" s="10"/>
      <c r="E3579" s="10"/>
      <c r="F3579" s="10"/>
      <c r="G3579" s="11"/>
      <c r="H3579" s="12"/>
      <c r="I3579" s="13"/>
      <c r="J3579" s="12"/>
      <c r="K3579" s="13"/>
      <c r="L3579" s="11"/>
      <c r="M3579" s="13"/>
      <c r="N3579" s="11"/>
      <c r="O3579" s="13"/>
      <c r="P3579" s="11"/>
      <c r="Q3579" s="13"/>
      <c r="R3579" s="10"/>
      <c r="S3579" s="10"/>
    </row>
    <row r="3580" spans="1:19" x14ac:dyDescent="0.25">
      <c r="A3580" t="str">
        <f t="shared" si="57"/>
        <v/>
      </c>
      <c r="B3580" s="10"/>
      <c r="C3580" s="10"/>
      <c r="D3580" s="10"/>
      <c r="E3580" s="10"/>
      <c r="F3580" s="10"/>
      <c r="G3580" s="11"/>
      <c r="H3580" s="12"/>
      <c r="I3580" s="13"/>
      <c r="J3580" s="12"/>
      <c r="K3580" s="13"/>
      <c r="L3580" s="11"/>
      <c r="M3580" s="13"/>
      <c r="N3580" s="11"/>
      <c r="O3580" s="13"/>
      <c r="P3580" s="11"/>
      <c r="Q3580" s="13"/>
      <c r="R3580" s="10"/>
      <c r="S3580" s="10"/>
    </row>
    <row r="3581" spans="1:19" x14ac:dyDescent="0.25">
      <c r="A3581" t="str">
        <f t="shared" si="57"/>
        <v/>
      </c>
      <c r="B3581" s="10"/>
      <c r="C3581" s="10"/>
      <c r="D3581" s="10"/>
      <c r="E3581" s="10"/>
      <c r="F3581" s="10"/>
      <c r="G3581" s="11"/>
      <c r="H3581" s="12"/>
      <c r="I3581" s="13"/>
      <c r="J3581" s="12"/>
      <c r="K3581" s="13"/>
      <c r="L3581" s="11"/>
      <c r="M3581" s="13"/>
      <c r="N3581" s="11"/>
      <c r="O3581" s="13"/>
      <c r="P3581" s="11"/>
      <c r="Q3581" s="13"/>
      <c r="R3581" s="10"/>
      <c r="S3581" s="10"/>
    </row>
    <row r="3582" spans="1:19" x14ac:dyDescent="0.25">
      <c r="A3582" t="str">
        <f t="shared" si="57"/>
        <v/>
      </c>
      <c r="B3582" s="10"/>
      <c r="C3582" s="10"/>
      <c r="D3582" s="10"/>
      <c r="E3582" s="10"/>
      <c r="F3582" s="10"/>
      <c r="G3582" s="11"/>
      <c r="H3582" s="12"/>
      <c r="I3582" s="13"/>
      <c r="J3582" s="12"/>
      <c r="K3582" s="13"/>
      <c r="L3582" s="11"/>
      <c r="M3582" s="13"/>
      <c r="N3582" s="11"/>
      <c r="O3582" s="13"/>
      <c r="P3582" s="11"/>
      <c r="Q3582" s="13"/>
      <c r="R3582" s="10"/>
      <c r="S3582" s="10"/>
    </row>
    <row r="3583" spans="1:19" x14ac:dyDescent="0.25">
      <c r="A3583" t="str">
        <f t="shared" si="57"/>
        <v/>
      </c>
      <c r="B3583" s="10"/>
      <c r="C3583" s="10"/>
      <c r="D3583" s="10"/>
      <c r="E3583" s="10"/>
      <c r="F3583" s="10"/>
      <c r="G3583" s="11"/>
      <c r="H3583" s="12"/>
      <c r="I3583" s="13"/>
      <c r="J3583" s="12"/>
      <c r="K3583" s="13"/>
      <c r="L3583" s="11"/>
      <c r="M3583" s="13"/>
      <c r="N3583" s="11"/>
      <c r="O3583" s="13"/>
      <c r="P3583" s="11"/>
      <c r="Q3583" s="13"/>
      <c r="R3583" s="10"/>
      <c r="S3583" s="10"/>
    </row>
    <row r="3584" spans="1:19" x14ac:dyDescent="0.25">
      <c r="A3584" t="str">
        <f t="shared" si="57"/>
        <v/>
      </c>
      <c r="B3584" s="10"/>
      <c r="C3584" s="10"/>
      <c r="D3584" s="10"/>
      <c r="E3584" s="10"/>
      <c r="F3584" s="10"/>
      <c r="G3584" s="11"/>
      <c r="H3584" s="12"/>
      <c r="I3584" s="13"/>
      <c r="J3584" s="12"/>
      <c r="K3584" s="13"/>
      <c r="L3584" s="11"/>
      <c r="M3584" s="13"/>
      <c r="N3584" s="11"/>
      <c r="O3584" s="13"/>
      <c r="P3584" s="11"/>
      <c r="Q3584" s="13"/>
      <c r="R3584" s="10"/>
      <c r="S3584" s="10"/>
    </row>
    <row r="3585" spans="1:19" x14ac:dyDescent="0.25">
      <c r="A3585" t="str">
        <f t="shared" si="57"/>
        <v/>
      </c>
      <c r="B3585" s="10"/>
      <c r="C3585" s="10"/>
      <c r="D3585" s="10"/>
      <c r="E3585" s="10"/>
      <c r="F3585" s="10"/>
      <c r="G3585" s="11"/>
      <c r="H3585" s="12"/>
      <c r="I3585" s="13"/>
      <c r="J3585" s="12"/>
      <c r="K3585" s="13"/>
      <c r="L3585" s="11"/>
      <c r="M3585" s="13"/>
      <c r="N3585" s="11"/>
      <c r="O3585" s="13"/>
      <c r="P3585" s="11"/>
      <c r="Q3585" s="13"/>
      <c r="R3585" s="10"/>
      <c r="S3585" s="10"/>
    </row>
    <row r="3586" spans="1:19" x14ac:dyDescent="0.25">
      <c r="A3586" t="str">
        <f t="shared" si="57"/>
        <v/>
      </c>
      <c r="B3586" s="10"/>
      <c r="C3586" s="10"/>
      <c r="D3586" s="10"/>
      <c r="E3586" s="10"/>
      <c r="F3586" s="10"/>
      <c r="G3586" s="11"/>
      <c r="H3586" s="12"/>
      <c r="I3586" s="13"/>
      <c r="J3586" s="12"/>
      <c r="K3586" s="13"/>
      <c r="L3586" s="11"/>
      <c r="M3586" s="13"/>
      <c r="N3586" s="11"/>
      <c r="O3586" s="13"/>
      <c r="P3586" s="11"/>
      <c r="Q3586" s="13"/>
      <c r="R3586" s="10"/>
      <c r="S3586" s="10"/>
    </row>
    <row r="3587" spans="1:19" x14ac:dyDescent="0.25">
      <c r="A3587" t="str">
        <f t="shared" si="57"/>
        <v/>
      </c>
      <c r="B3587" s="10"/>
      <c r="C3587" s="10"/>
      <c r="D3587" s="10"/>
      <c r="E3587" s="10"/>
      <c r="F3587" s="10"/>
      <c r="G3587" s="11"/>
      <c r="H3587" s="12"/>
      <c r="I3587" s="13"/>
      <c r="J3587" s="12"/>
      <c r="K3587" s="13"/>
      <c r="L3587" s="11"/>
      <c r="M3587" s="13"/>
      <c r="N3587" s="11"/>
      <c r="O3587" s="13"/>
      <c r="P3587" s="11"/>
      <c r="Q3587" s="13"/>
      <c r="R3587" s="10"/>
      <c r="S3587" s="10"/>
    </row>
    <row r="3588" spans="1:19" x14ac:dyDescent="0.25">
      <c r="A3588" t="str">
        <f t="shared" si="57"/>
        <v/>
      </c>
      <c r="B3588" s="10"/>
      <c r="C3588" s="10"/>
      <c r="D3588" s="10"/>
      <c r="E3588" s="10"/>
      <c r="F3588" s="10"/>
      <c r="G3588" s="11"/>
      <c r="H3588" s="12"/>
      <c r="I3588" s="13"/>
      <c r="J3588" s="12"/>
      <c r="K3588" s="13"/>
      <c r="L3588" s="11"/>
      <c r="M3588" s="13"/>
      <c r="N3588" s="11"/>
      <c r="O3588" s="13"/>
      <c r="P3588" s="11"/>
      <c r="Q3588" s="13"/>
      <c r="R3588" s="10"/>
      <c r="S3588" s="10"/>
    </row>
    <row r="3589" spans="1:19" x14ac:dyDescent="0.25">
      <c r="A3589" t="str">
        <f t="shared" si="57"/>
        <v/>
      </c>
      <c r="B3589" s="10"/>
      <c r="C3589" s="10"/>
      <c r="D3589" s="10"/>
      <c r="E3589" s="10"/>
      <c r="F3589" s="10"/>
      <c r="G3589" s="11"/>
      <c r="H3589" s="12"/>
      <c r="I3589" s="13"/>
      <c r="J3589" s="12"/>
      <c r="K3589" s="13"/>
      <c r="L3589" s="11"/>
      <c r="M3589" s="13"/>
      <c r="N3589" s="11"/>
      <c r="O3589" s="13"/>
      <c r="P3589" s="11"/>
      <c r="Q3589" s="13"/>
      <c r="R3589" s="10"/>
      <c r="S3589" s="10"/>
    </row>
    <row r="3590" spans="1:19" x14ac:dyDescent="0.25">
      <c r="A3590" t="str">
        <f t="shared" si="57"/>
        <v/>
      </c>
      <c r="B3590" s="10"/>
      <c r="C3590" s="10"/>
      <c r="D3590" s="10"/>
      <c r="E3590" s="10"/>
      <c r="F3590" s="10"/>
      <c r="G3590" s="11"/>
      <c r="H3590" s="12"/>
      <c r="I3590" s="13"/>
      <c r="J3590" s="12"/>
      <c r="K3590" s="13"/>
      <c r="L3590" s="11"/>
      <c r="M3590" s="13"/>
      <c r="N3590" s="11"/>
      <c r="O3590" s="13"/>
      <c r="P3590" s="11"/>
      <c r="Q3590" s="13"/>
      <c r="R3590" s="10"/>
      <c r="S3590" s="10"/>
    </row>
    <row r="3591" spans="1:19" x14ac:dyDescent="0.25">
      <c r="A3591" t="str">
        <f t="shared" si="57"/>
        <v/>
      </c>
      <c r="B3591" s="10"/>
      <c r="C3591" s="10"/>
      <c r="D3591" s="10"/>
      <c r="E3591" s="10"/>
      <c r="F3591" s="10"/>
      <c r="G3591" s="11"/>
      <c r="H3591" s="12"/>
      <c r="I3591" s="13"/>
      <c r="J3591" s="12"/>
      <c r="K3591" s="13"/>
      <c r="L3591" s="11"/>
      <c r="M3591" s="13"/>
      <c r="N3591" s="11"/>
      <c r="O3591" s="13"/>
      <c r="P3591" s="11"/>
      <c r="Q3591" s="13"/>
      <c r="R3591" s="10"/>
      <c r="S3591" s="10"/>
    </row>
    <row r="3592" spans="1:19" x14ac:dyDescent="0.25">
      <c r="A3592" t="str">
        <f t="shared" si="57"/>
        <v/>
      </c>
      <c r="B3592" s="10"/>
      <c r="C3592" s="10"/>
      <c r="D3592" s="10"/>
      <c r="E3592" s="10"/>
      <c r="F3592" s="10"/>
      <c r="G3592" s="11"/>
      <c r="H3592" s="12"/>
      <c r="I3592" s="13"/>
      <c r="J3592" s="12"/>
      <c r="K3592" s="13"/>
      <c r="L3592" s="11"/>
      <c r="M3592" s="13"/>
      <c r="N3592" s="11"/>
      <c r="O3592" s="13"/>
      <c r="P3592" s="11"/>
      <c r="Q3592" s="13"/>
      <c r="R3592" s="10"/>
      <c r="S3592" s="10"/>
    </row>
    <row r="3593" spans="1:19" x14ac:dyDescent="0.25">
      <c r="A3593" t="str">
        <f t="shared" si="57"/>
        <v/>
      </c>
      <c r="B3593" s="10"/>
      <c r="C3593" s="10"/>
      <c r="D3593" s="10"/>
      <c r="E3593" s="10"/>
      <c r="F3593" s="10"/>
      <c r="G3593" s="11"/>
      <c r="H3593" s="12"/>
      <c r="I3593" s="13"/>
      <c r="J3593" s="12"/>
      <c r="K3593" s="13"/>
      <c r="L3593" s="11"/>
      <c r="M3593" s="13"/>
      <c r="N3593" s="11"/>
      <c r="O3593" s="13"/>
      <c r="P3593" s="11"/>
      <c r="Q3593" s="13"/>
      <c r="R3593" s="10"/>
      <c r="S3593" s="10"/>
    </row>
    <row r="3594" spans="1:19" x14ac:dyDescent="0.25">
      <c r="A3594" t="str">
        <f t="shared" si="57"/>
        <v/>
      </c>
      <c r="B3594" s="10"/>
      <c r="C3594" s="10"/>
      <c r="D3594" s="10"/>
      <c r="E3594" s="10"/>
      <c r="F3594" s="10"/>
      <c r="G3594" s="11"/>
      <c r="H3594" s="12"/>
      <c r="I3594" s="13"/>
      <c r="J3594" s="12"/>
      <c r="K3594" s="13"/>
      <c r="L3594" s="11"/>
      <c r="M3594" s="13"/>
      <c r="N3594" s="11"/>
      <c r="O3594" s="13"/>
      <c r="P3594" s="11"/>
      <c r="Q3594" s="13"/>
      <c r="R3594" s="10"/>
      <c r="S3594" s="10"/>
    </row>
    <row r="3595" spans="1:19" x14ac:dyDescent="0.25">
      <c r="A3595" t="str">
        <f t="shared" si="57"/>
        <v/>
      </c>
      <c r="B3595" s="10"/>
      <c r="C3595" s="10"/>
      <c r="D3595" s="10"/>
      <c r="E3595" s="10"/>
      <c r="F3595" s="10"/>
      <c r="G3595" s="11"/>
      <c r="H3595" s="12"/>
      <c r="I3595" s="13"/>
      <c r="J3595" s="12"/>
      <c r="K3595" s="13"/>
      <c r="L3595" s="11"/>
      <c r="M3595" s="13"/>
      <c r="N3595" s="11"/>
      <c r="O3595" s="13"/>
      <c r="P3595" s="11"/>
      <c r="Q3595" s="13"/>
      <c r="R3595" s="10"/>
      <c r="S3595" s="10"/>
    </row>
    <row r="3596" spans="1:19" x14ac:dyDescent="0.25">
      <c r="A3596" t="str">
        <f t="shared" si="57"/>
        <v/>
      </c>
      <c r="B3596" s="10"/>
      <c r="C3596" s="10"/>
      <c r="D3596" s="10"/>
      <c r="E3596" s="10"/>
      <c r="F3596" s="10"/>
      <c r="G3596" s="11"/>
      <c r="H3596" s="12"/>
      <c r="I3596" s="13"/>
      <c r="J3596" s="12"/>
      <c r="K3596" s="13"/>
      <c r="L3596" s="11"/>
      <c r="M3596" s="13"/>
      <c r="N3596" s="11"/>
      <c r="O3596" s="13"/>
      <c r="P3596" s="11"/>
      <c r="Q3596" s="13"/>
      <c r="R3596" s="10"/>
      <c r="S3596" s="10"/>
    </row>
    <row r="3597" spans="1:19" x14ac:dyDescent="0.25">
      <c r="A3597" t="str">
        <f t="shared" si="57"/>
        <v/>
      </c>
      <c r="B3597" s="10"/>
      <c r="C3597" s="10"/>
      <c r="D3597" s="10"/>
      <c r="E3597" s="10"/>
      <c r="F3597" s="10"/>
      <c r="G3597" s="11"/>
      <c r="H3597" s="12"/>
      <c r="I3597" s="13"/>
      <c r="J3597" s="12"/>
      <c r="K3597" s="13"/>
      <c r="L3597" s="11"/>
      <c r="M3597" s="13"/>
      <c r="N3597" s="11"/>
      <c r="O3597" s="13"/>
      <c r="P3597" s="11"/>
      <c r="Q3597" s="13"/>
      <c r="R3597" s="10"/>
      <c r="S3597" s="10"/>
    </row>
    <row r="3598" spans="1:19" x14ac:dyDescent="0.25">
      <c r="A3598" t="str">
        <f t="shared" si="57"/>
        <v/>
      </c>
      <c r="B3598" s="10"/>
      <c r="C3598" s="10"/>
      <c r="D3598" s="10"/>
      <c r="E3598" s="10"/>
      <c r="F3598" s="10"/>
      <c r="G3598" s="11"/>
      <c r="H3598" s="12"/>
      <c r="I3598" s="13"/>
      <c r="J3598" s="12"/>
      <c r="K3598" s="13"/>
      <c r="L3598" s="11"/>
      <c r="M3598" s="13"/>
      <c r="N3598" s="11"/>
      <c r="O3598" s="13"/>
      <c r="P3598" s="11"/>
      <c r="Q3598" s="13"/>
      <c r="R3598" s="10"/>
      <c r="S3598" s="10"/>
    </row>
    <row r="3599" spans="1:19" x14ac:dyDescent="0.25">
      <c r="A3599" t="str">
        <f t="shared" si="57"/>
        <v/>
      </c>
      <c r="B3599" s="10"/>
      <c r="C3599" s="10"/>
      <c r="D3599" s="10"/>
      <c r="E3599" s="10"/>
      <c r="F3599" s="10"/>
      <c r="G3599" s="11"/>
      <c r="H3599" s="12"/>
      <c r="I3599" s="13"/>
      <c r="J3599" s="12"/>
      <c r="K3599" s="13"/>
      <c r="L3599" s="11"/>
      <c r="M3599" s="13"/>
      <c r="N3599" s="11"/>
      <c r="O3599" s="13"/>
      <c r="P3599" s="11"/>
      <c r="Q3599" s="13"/>
      <c r="R3599" s="10"/>
      <c r="S3599" s="10"/>
    </row>
    <row r="3600" spans="1:19" x14ac:dyDescent="0.25">
      <c r="A3600" t="str">
        <f t="shared" si="57"/>
        <v/>
      </c>
      <c r="B3600" s="10"/>
      <c r="C3600" s="10"/>
      <c r="D3600" s="10"/>
      <c r="E3600" s="10"/>
      <c r="F3600" s="10"/>
      <c r="G3600" s="11"/>
      <c r="H3600" s="12"/>
      <c r="I3600" s="13"/>
      <c r="J3600" s="12"/>
      <c r="K3600" s="13"/>
      <c r="L3600" s="11"/>
      <c r="M3600" s="13"/>
      <c r="N3600" s="11"/>
      <c r="O3600" s="13"/>
      <c r="P3600" s="11"/>
      <c r="Q3600" s="13"/>
      <c r="R3600" s="10"/>
      <c r="S3600" s="10"/>
    </row>
    <row r="3601" spans="1:19" x14ac:dyDescent="0.25">
      <c r="A3601" t="str">
        <f t="shared" si="57"/>
        <v/>
      </c>
      <c r="B3601" s="10"/>
      <c r="C3601" s="10"/>
      <c r="D3601" s="10"/>
      <c r="E3601" s="10"/>
      <c r="F3601" s="10"/>
      <c r="G3601" s="11"/>
      <c r="H3601" s="12"/>
      <c r="I3601" s="13"/>
      <c r="J3601" s="12"/>
      <c r="K3601" s="13"/>
      <c r="L3601" s="11"/>
      <c r="M3601" s="13"/>
      <c r="N3601" s="11"/>
      <c r="O3601" s="13"/>
      <c r="P3601" s="11"/>
      <c r="Q3601" s="13"/>
      <c r="R3601" s="10"/>
      <c r="S3601" s="10"/>
    </row>
    <row r="3602" spans="1:19" x14ac:dyDescent="0.25">
      <c r="A3602" t="str">
        <f t="shared" si="57"/>
        <v/>
      </c>
      <c r="B3602" s="10"/>
      <c r="C3602" s="10"/>
      <c r="D3602" s="10"/>
      <c r="E3602" s="10"/>
      <c r="F3602" s="10"/>
      <c r="G3602" s="11"/>
      <c r="H3602" s="12"/>
      <c r="I3602" s="13"/>
      <c r="J3602" s="12"/>
      <c r="K3602" s="13"/>
      <c r="L3602" s="11"/>
      <c r="M3602" s="13"/>
      <c r="N3602" s="11"/>
      <c r="O3602" s="13"/>
      <c r="P3602" s="11"/>
      <c r="Q3602" s="13"/>
      <c r="R3602" s="10"/>
      <c r="S3602" s="10"/>
    </row>
    <row r="3603" spans="1:19" x14ac:dyDescent="0.25">
      <c r="A3603" t="str">
        <f t="shared" si="57"/>
        <v/>
      </c>
      <c r="B3603" s="10"/>
      <c r="C3603" s="10"/>
      <c r="D3603" s="10"/>
      <c r="E3603" s="10"/>
      <c r="F3603" s="10"/>
      <c r="G3603" s="11"/>
      <c r="H3603" s="12"/>
      <c r="I3603" s="13"/>
      <c r="J3603" s="12"/>
      <c r="K3603" s="13"/>
      <c r="L3603" s="11"/>
      <c r="M3603" s="13"/>
      <c r="N3603" s="11"/>
      <c r="O3603" s="13"/>
      <c r="P3603" s="11"/>
      <c r="Q3603" s="13"/>
      <c r="R3603" s="10"/>
      <c r="S3603" s="10"/>
    </row>
    <row r="3604" spans="1:19" x14ac:dyDescent="0.25">
      <c r="A3604" t="str">
        <f t="shared" si="57"/>
        <v/>
      </c>
      <c r="B3604" s="10"/>
      <c r="C3604" s="10"/>
      <c r="D3604" s="10"/>
      <c r="E3604" s="10"/>
      <c r="F3604" s="10"/>
      <c r="G3604" s="11"/>
      <c r="H3604" s="12"/>
      <c r="I3604" s="13"/>
      <c r="J3604" s="12"/>
      <c r="K3604" s="13"/>
      <c r="L3604" s="11"/>
      <c r="M3604" s="13"/>
      <c r="N3604" s="11"/>
      <c r="O3604" s="13"/>
      <c r="P3604" s="11"/>
      <c r="Q3604" s="13"/>
      <c r="R3604" s="10"/>
      <c r="S3604" s="10"/>
    </row>
    <row r="3605" spans="1:19" x14ac:dyDescent="0.25">
      <c r="A3605" t="str">
        <f t="shared" si="57"/>
        <v/>
      </c>
      <c r="B3605" s="10"/>
      <c r="C3605" s="10"/>
      <c r="D3605" s="10"/>
      <c r="E3605" s="10"/>
      <c r="F3605" s="10"/>
      <c r="G3605" s="11"/>
      <c r="H3605" s="12"/>
      <c r="I3605" s="13"/>
      <c r="J3605" s="12"/>
      <c r="K3605" s="13"/>
      <c r="L3605" s="11"/>
      <c r="M3605" s="13"/>
      <c r="N3605" s="11"/>
      <c r="O3605" s="13"/>
      <c r="P3605" s="11"/>
      <c r="Q3605" s="13"/>
      <c r="R3605" s="10"/>
      <c r="S3605" s="10"/>
    </row>
    <row r="3606" spans="1:19" x14ac:dyDescent="0.25">
      <c r="A3606" t="str">
        <f t="shared" si="57"/>
        <v/>
      </c>
      <c r="B3606" s="10"/>
      <c r="C3606" s="10"/>
      <c r="D3606" s="10"/>
      <c r="E3606" s="10"/>
      <c r="F3606" s="10"/>
      <c r="G3606" s="11"/>
      <c r="H3606" s="12"/>
      <c r="I3606" s="13"/>
      <c r="J3606" s="12"/>
      <c r="K3606" s="13"/>
      <c r="L3606" s="11"/>
      <c r="M3606" s="13"/>
      <c r="N3606" s="11"/>
      <c r="O3606" s="13"/>
      <c r="P3606" s="11"/>
      <c r="Q3606" s="13"/>
      <c r="R3606" s="10"/>
      <c r="S3606" s="10"/>
    </row>
    <row r="3607" spans="1:19" x14ac:dyDescent="0.25">
      <c r="A3607" t="str">
        <f t="shared" si="57"/>
        <v/>
      </c>
      <c r="B3607" s="10"/>
      <c r="C3607" s="10"/>
      <c r="D3607" s="10"/>
      <c r="E3607" s="10"/>
      <c r="F3607" s="10"/>
      <c r="G3607" s="11"/>
      <c r="H3607" s="12"/>
      <c r="I3607" s="13"/>
      <c r="J3607" s="12"/>
      <c r="K3607" s="13"/>
      <c r="L3607" s="11"/>
      <c r="M3607" s="13"/>
      <c r="N3607" s="11"/>
      <c r="O3607" s="13"/>
      <c r="P3607" s="11"/>
      <c r="Q3607" s="13"/>
      <c r="R3607" s="10"/>
      <c r="S3607" s="10"/>
    </row>
    <row r="3608" spans="1:19" x14ac:dyDescent="0.25">
      <c r="A3608" t="str">
        <f t="shared" si="57"/>
        <v/>
      </c>
      <c r="B3608" s="10"/>
      <c r="C3608" s="10"/>
      <c r="D3608" s="10"/>
      <c r="E3608" s="10"/>
      <c r="F3608" s="10"/>
      <c r="G3608" s="11"/>
      <c r="H3608" s="12"/>
      <c r="I3608" s="13"/>
      <c r="J3608" s="12"/>
      <c r="K3608" s="13"/>
      <c r="L3608" s="11"/>
      <c r="M3608" s="13"/>
      <c r="N3608" s="11"/>
      <c r="O3608" s="13"/>
      <c r="P3608" s="11"/>
      <c r="Q3608" s="13"/>
      <c r="R3608" s="10"/>
      <c r="S3608" s="10"/>
    </row>
    <row r="3609" spans="1:19" x14ac:dyDescent="0.25">
      <c r="A3609" t="str">
        <f t="shared" si="57"/>
        <v/>
      </c>
      <c r="B3609" s="10"/>
      <c r="C3609" s="10"/>
      <c r="D3609" s="10"/>
      <c r="E3609" s="10"/>
      <c r="F3609" s="10"/>
      <c r="G3609" s="11"/>
      <c r="H3609" s="12"/>
      <c r="I3609" s="13"/>
      <c r="J3609" s="12"/>
      <c r="K3609" s="13"/>
      <c r="L3609" s="11"/>
      <c r="M3609" s="13"/>
      <c r="N3609" s="11"/>
      <c r="O3609" s="13"/>
      <c r="P3609" s="11"/>
      <c r="Q3609" s="13"/>
      <c r="R3609" s="10"/>
      <c r="S3609" s="10"/>
    </row>
    <row r="3610" spans="1:19" x14ac:dyDescent="0.25">
      <c r="A3610" t="str">
        <f t="shared" si="57"/>
        <v/>
      </c>
      <c r="B3610" s="10"/>
      <c r="C3610" s="10"/>
      <c r="D3610" s="10"/>
      <c r="E3610" s="10"/>
      <c r="F3610" s="10"/>
      <c r="G3610" s="11"/>
      <c r="H3610" s="12"/>
      <c r="I3610" s="13"/>
      <c r="J3610" s="12"/>
      <c r="K3610" s="13"/>
      <c r="L3610" s="11"/>
      <c r="M3610" s="13"/>
      <c r="N3610" s="11"/>
      <c r="O3610" s="13"/>
      <c r="P3610" s="11"/>
      <c r="Q3610" s="13"/>
      <c r="R3610" s="10"/>
      <c r="S3610" s="10"/>
    </row>
    <row r="3611" spans="1:19" x14ac:dyDescent="0.25">
      <c r="A3611" t="str">
        <f t="shared" si="57"/>
        <v/>
      </c>
      <c r="B3611" s="10"/>
      <c r="C3611" s="10"/>
      <c r="D3611" s="10"/>
      <c r="E3611" s="10"/>
      <c r="F3611" s="10"/>
      <c r="G3611" s="11"/>
      <c r="H3611" s="12"/>
      <c r="I3611" s="13"/>
      <c r="J3611" s="12"/>
      <c r="K3611" s="13"/>
      <c r="L3611" s="11"/>
      <c r="M3611" s="13"/>
      <c r="N3611" s="11"/>
      <c r="O3611" s="13"/>
      <c r="P3611" s="11"/>
      <c r="Q3611" s="13"/>
      <c r="R3611" s="10"/>
      <c r="S3611" s="10"/>
    </row>
    <row r="3612" spans="1:19" x14ac:dyDescent="0.25">
      <c r="A3612" t="str">
        <f t="shared" si="57"/>
        <v/>
      </c>
      <c r="B3612" s="10"/>
      <c r="C3612" s="10"/>
      <c r="D3612" s="10"/>
      <c r="E3612" s="10"/>
      <c r="F3612" s="10"/>
      <c r="G3612" s="11"/>
      <c r="H3612" s="12"/>
      <c r="I3612" s="13"/>
      <c r="J3612" s="12"/>
      <c r="K3612" s="13"/>
      <c r="L3612" s="11"/>
      <c r="M3612" s="13"/>
      <c r="N3612" s="11"/>
      <c r="O3612" s="13"/>
      <c r="P3612" s="11"/>
      <c r="Q3612" s="13"/>
      <c r="R3612" s="10"/>
      <c r="S3612" s="10"/>
    </row>
    <row r="3613" spans="1:19" x14ac:dyDescent="0.25">
      <c r="A3613" t="str">
        <f t="shared" si="57"/>
        <v/>
      </c>
      <c r="B3613" s="10"/>
      <c r="C3613" s="10"/>
      <c r="D3613" s="10"/>
      <c r="E3613" s="10"/>
      <c r="F3613" s="10"/>
      <c r="G3613" s="11"/>
      <c r="H3613" s="12"/>
      <c r="I3613" s="13"/>
      <c r="J3613" s="12"/>
      <c r="K3613" s="13"/>
      <c r="L3613" s="11"/>
      <c r="M3613" s="13"/>
      <c r="N3613" s="11"/>
      <c r="O3613" s="13"/>
      <c r="P3613" s="11"/>
      <c r="Q3613" s="13"/>
      <c r="R3613" s="10"/>
      <c r="S3613" s="10"/>
    </row>
    <row r="3614" spans="1:19" x14ac:dyDescent="0.25">
      <c r="A3614" t="str">
        <f t="shared" si="57"/>
        <v/>
      </c>
      <c r="B3614" s="10"/>
      <c r="C3614" s="10"/>
      <c r="D3614" s="10"/>
      <c r="E3614" s="10"/>
      <c r="F3614" s="10"/>
      <c r="G3614" s="11"/>
      <c r="H3614" s="12"/>
      <c r="I3614" s="13"/>
      <c r="J3614" s="12"/>
      <c r="K3614" s="13"/>
      <c r="L3614" s="11"/>
      <c r="M3614" s="13"/>
      <c r="N3614" s="11"/>
      <c r="O3614" s="13"/>
      <c r="P3614" s="11"/>
      <c r="Q3614" s="13"/>
      <c r="R3614" s="10"/>
      <c r="S3614" s="10"/>
    </row>
    <row r="3615" spans="1:19" x14ac:dyDescent="0.25">
      <c r="A3615" t="str">
        <f t="shared" si="57"/>
        <v/>
      </c>
      <c r="B3615" s="10"/>
      <c r="C3615" s="10"/>
      <c r="D3615" s="10"/>
      <c r="E3615" s="10"/>
      <c r="F3615" s="10"/>
      <c r="G3615" s="11"/>
      <c r="H3615" s="12"/>
      <c r="I3615" s="13"/>
      <c r="J3615" s="12"/>
      <c r="K3615" s="13"/>
      <c r="L3615" s="11"/>
      <c r="M3615" s="13"/>
      <c r="N3615" s="11"/>
      <c r="O3615" s="13"/>
      <c r="P3615" s="11"/>
      <c r="Q3615" s="13"/>
      <c r="R3615" s="10"/>
      <c r="S3615" s="10"/>
    </row>
    <row r="3616" spans="1:19" x14ac:dyDescent="0.25">
      <c r="A3616" t="str">
        <f t="shared" si="57"/>
        <v/>
      </c>
      <c r="B3616" s="10"/>
      <c r="C3616" s="10"/>
      <c r="D3616" s="10"/>
      <c r="E3616" s="10"/>
      <c r="F3616" s="10"/>
      <c r="G3616" s="11"/>
      <c r="H3616" s="12"/>
      <c r="I3616" s="13"/>
      <c r="J3616" s="12"/>
      <c r="K3616" s="13"/>
      <c r="L3616" s="11"/>
      <c r="M3616" s="13"/>
      <c r="N3616" s="11"/>
      <c r="O3616" s="13"/>
      <c r="P3616" s="11"/>
      <c r="Q3616" s="13"/>
      <c r="R3616" s="10"/>
      <c r="S3616" s="10"/>
    </row>
    <row r="3617" spans="1:19" x14ac:dyDescent="0.25">
      <c r="A3617" t="str">
        <f t="shared" si="57"/>
        <v/>
      </c>
      <c r="B3617" s="10"/>
      <c r="C3617" s="10"/>
      <c r="D3617" s="10"/>
      <c r="E3617" s="10"/>
      <c r="F3617" s="10"/>
      <c r="G3617" s="11"/>
      <c r="H3617" s="12"/>
      <c r="I3617" s="13"/>
      <c r="J3617" s="12"/>
      <c r="K3617" s="13"/>
      <c r="L3617" s="11"/>
      <c r="M3617" s="13"/>
      <c r="N3617" s="11"/>
      <c r="O3617" s="13"/>
      <c r="P3617" s="11"/>
      <c r="Q3617" s="13"/>
      <c r="R3617" s="10"/>
      <c r="S3617" s="10"/>
    </row>
    <row r="3618" spans="1:19" x14ac:dyDescent="0.25">
      <c r="A3618" t="str">
        <f t="shared" si="57"/>
        <v/>
      </c>
      <c r="B3618" s="10"/>
      <c r="C3618" s="10"/>
      <c r="D3618" s="10"/>
      <c r="E3618" s="10"/>
      <c r="F3618" s="10"/>
      <c r="G3618" s="11"/>
      <c r="H3618" s="12"/>
      <c r="I3618" s="13"/>
      <c r="J3618" s="12"/>
      <c r="K3618" s="13"/>
      <c r="L3618" s="11"/>
      <c r="M3618" s="13"/>
      <c r="N3618" s="11"/>
      <c r="O3618" s="13"/>
      <c r="P3618" s="11"/>
      <c r="Q3618" s="13"/>
      <c r="R3618" s="10"/>
      <c r="S3618" s="10"/>
    </row>
    <row r="3619" spans="1:19" x14ac:dyDescent="0.25">
      <c r="A3619" t="str">
        <f t="shared" si="57"/>
        <v/>
      </c>
      <c r="B3619" s="10"/>
      <c r="C3619" s="10"/>
      <c r="D3619" s="10"/>
      <c r="E3619" s="10"/>
      <c r="F3619" s="10"/>
      <c r="G3619" s="11"/>
      <c r="H3619" s="12"/>
      <c r="I3619" s="13"/>
      <c r="J3619" s="12"/>
      <c r="K3619" s="13"/>
      <c r="L3619" s="11"/>
      <c r="M3619" s="13"/>
      <c r="N3619" s="11"/>
      <c r="O3619" s="13"/>
      <c r="P3619" s="11"/>
      <c r="Q3619" s="13"/>
      <c r="R3619" s="10"/>
      <c r="S3619" s="10"/>
    </row>
    <row r="3620" spans="1:19" x14ac:dyDescent="0.25">
      <c r="A3620" t="str">
        <f t="shared" si="57"/>
        <v/>
      </c>
      <c r="B3620" s="10"/>
      <c r="C3620" s="10"/>
      <c r="D3620" s="10"/>
      <c r="E3620" s="10"/>
      <c r="F3620" s="10"/>
      <c r="G3620" s="11"/>
      <c r="H3620" s="12"/>
      <c r="I3620" s="13"/>
      <c r="J3620" s="12"/>
      <c r="K3620" s="13"/>
      <c r="L3620" s="11"/>
      <c r="M3620" s="13"/>
      <c r="N3620" s="11"/>
      <c r="O3620" s="13"/>
      <c r="P3620" s="11"/>
      <c r="Q3620" s="13"/>
      <c r="R3620" s="10"/>
      <c r="S3620" s="10"/>
    </row>
    <row r="3621" spans="1:19" x14ac:dyDescent="0.25">
      <c r="A3621" t="str">
        <f t="shared" si="57"/>
        <v/>
      </c>
      <c r="B3621" s="10"/>
      <c r="C3621" s="10"/>
      <c r="D3621" s="10"/>
      <c r="E3621" s="10"/>
      <c r="F3621" s="10"/>
      <c r="G3621" s="11"/>
      <c r="H3621" s="12"/>
      <c r="I3621" s="13"/>
      <c r="J3621" s="12"/>
      <c r="K3621" s="13"/>
      <c r="L3621" s="11"/>
      <c r="M3621" s="13"/>
      <c r="N3621" s="11"/>
      <c r="O3621" s="13"/>
      <c r="P3621" s="11"/>
      <c r="Q3621" s="13"/>
      <c r="R3621" s="10"/>
      <c r="S3621" s="10"/>
    </row>
    <row r="3622" spans="1:19" x14ac:dyDescent="0.25">
      <c r="A3622" t="str">
        <f t="shared" si="57"/>
        <v/>
      </c>
      <c r="B3622" s="10"/>
      <c r="C3622" s="10"/>
      <c r="D3622" s="10"/>
      <c r="E3622" s="10"/>
      <c r="F3622" s="10"/>
      <c r="G3622" s="11"/>
      <c r="H3622" s="12"/>
      <c r="I3622" s="13"/>
      <c r="J3622" s="12"/>
      <c r="K3622" s="13"/>
      <c r="L3622" s="11"/>
      <c r="M3622" s="13"/>
      <c r="N3622" s="11"/>
      <c r="O3622" s="13"/>
      <c r="P3622" s="11"/>
      <c r="Q3622" s="13"/>
      <c r="R3622" s="10"/>
      <c r="S3622" s="10"/>
    </row>
    <row r="3623" spans="1:19" x14ac:dyDescent="0.25">
      <c r="A3623" t="str">
        <f t="shared" si="57"/>
        <v/>
      </c>
      <c r="B3623" s="10"/>
      <c r="C3623" s="10"/>
      <c r="D3623" s="10"/>
      <c r="E3623" s="10"/>
      <c r="F3623" s="10"/>
      <c r="G3623" s="11"/>
      <c r="H3623" s="12"/>
      <c r="I3623" s="13"/>
      <c r="J3623" s="12"/>
      <c r="K3623" s="13"/>
      <c r="L3623" s="11"/>
      <c r="M3623" s="13"/>
      <c r="N3623" s="11"/>
      <c r="O3623" s="13"/>
      <c r="P3623" s="11"/>
      <c r="Q3623" s="13"/>
      <c r="R3623" s="10"/>
      <c r="S3623" s="10"/>
    </row>
    <row r="3624" spans="1:19" x14ac:dyDescent="0.25">
      <c r="A3624" t="str">
        <f t="shared" si="57"/>
        <v/>
      </c>
      <c r="B3624" s="10"/>
      <c r="C3624" s="10"/>
      <c r="D3624" s="10"/>
      <c r="E3624" s="10"/>
      <c r="F3624" s="10"/>
      <c r="G3624" s="11"/>
      <c r="H3624" s="12"/>
      <c r="I3624" s="13"/>
      <c r="J3624" s="12"/>
      <c r="K3624" s="13"/>
      <c r="L3624" s="11"/>
      <c r="M3624" s="13"/>
      <c r="N3624" s="11"/>
      <c r="O3624" s="13"/>
      <c r="P3624" s="11"/>
      <c r="Q3624" s="13"/>
      <c r="R3624" s="10"/>
      <c r="S3624" s="10"/>
    </row>
    <row r="3625" spans="1:19" x14ac:dyDescent="0.25">
      <c r="A3625" t="str">
        <f t="shared" si="57"/>
        <v/>
      </c>
      <c r="B3625" s="10"/>
      <c r="C3625" s="10"/>
      <c r="D3625" s="10"/>
      <c r="E3625" s="10"/>
      <c r="F3625" s="10"/>
      <c r="G3625" s="11"/>
      <c r="H3625" s="12"/>
      <c r="I3625" s="13"/>
      <c r="J3625" s="12"/>
      <c r="K3625" s="13"/>
      <c r="L3625" s="11"/>
      <c r="M3625" s="13"/>
      <c r="N3625" s="11"/>
      <c r="O3625" s="13"/>
      <c r="P3625" s="11"/>
      <c r="Q3625" s="13"/>
      <c r="R3625" s="10"/>
      <c r="S3625" s="10"/>
    </row>
    <row r="3626" spans="1:19" x14ac:dyDescent="0.25">
      <c r="A3626" t="str">
        <f t="shared" si="57"/>
        <v/>
      </c>
      <c r="B3626" s="10"/>
      <c r="C3626" s="10"/>
      <c r="D3626" s="10"/>
      <c r="E3626" s="10"/>
      <c r="F3626" s="10"/>
      <c r="G3626" s="11"/>
      <c r="H3626" s="12"/>
      <c r="I3626" s="13"/>
      <c r="J3626" s="12"/>
      <c r="K3626" s="13"/>
      <c r="L3626" s="11"/>
      <c r="M3626" s="13"/>
      <c r="N3626" s="11"/>
      <c r="O3626" s="13"/>
      <c r="P3626" s="11"/>
      <c r="Q3626" s="13"/>
      <c r="R3626" s="10"/>
      <c r="S3626" s="10"/>
    </row>
    <row r="3627" spans="1:19" x14ac:dyDescent="0.25">
      <c r="A3627" t="str">
        <f t="shared" si="57"/>
        <v/>
      </c>
      <c r="B3627" s="10"/>
      <c r="C3627" s="10"/>
      <c r="D3627" s="10"/>
      <c r="E3627" s="10"/>
      <c r="F3627" s="10"/>
      <c r="G3627" s="11"/>
      <c r="H3627" s="12"/>
      <c r="I3627" s="13"/>
      <c r="J3627" s="12"/>
      <c r="K3627" s="13"/>
      <c r="L3627" s="11"/>
      <c r="M3627" s="13"/>
      <c r="N3627" s="11"/>
      <c r="O3627" s="13"/>
      <c r="P3627" s="11"/>
      <c r="Q3627" s="13"/>
      <c r="R3627" s="10"/>
      <c r="S3627" s="10"/>
    </row>
    <row r="3628" spans="1:19" x14ac:dyDescent="0.25">
      <c r="A3628" t="str">
        <f t="shared" si="57"/>
        <v/>
      </c>
      <c r="B3628" s="10"/>
      <c r="C3628" s="10"/>
      <c r="D3628" s="10"/>
      <c r="E3628" s="10"/>
      <c r="F3628" s="10"/>
      <c r="G3628" s="11"/>
      <c r="H3628" s="12"/>
      <c r="I3628" s="13"/>
      <c r="J3628" s="12"/>
      <c r="K3628" s="13"/>
      <c r="L3628" s="11"/>
      <c r="M3628" s="13"/>
      <c r="N3628" s="11"/>
      <c r="O3628" s="13"/>
      <c r="P3628" s="11"/>
      <c r="Q3628" s="13"/>
      <c r="R3628" s="10"/>
      <c r="S3628" s="10"/>
    </row>
    <row r="3629" spans="1:19" x14ac:dyDescent="0.25">
      <c r="A3629" t="str">
        <f t="shared" si="57"/>
        <v/>
      </c>
      <c r="B3629" s="10"/>
      <c r="C3629" s="10"/>
      <c r="D3629" s="10"/>
      <c r="E3629" s="10"/>
      <c r="F3629" s="10"/>
      <c r="G3629" s="11"/>
      <c r="H3629" s="12"/>
      <c r="I3629" s="13"/>
      <c r="J3629" s="12"/>
      <c r="K3629" s="13"/>
      <c r="L3629" s="11"/>
      <c r="M3629" s="13"/>
      <c r="N3629" s="11"/>
      <c r="O3629" s="13"/>
      <c r="P3629" s="11"/>
      <c r="Q3629" s="13"/>
      <c r="R3629" s="10"/>
      <c r="S3629" s="10"/>
    </row>
    <row r="3630" spans="1:19" x14ac:dyDescent="0.25">
      <c r="A3630" t="str">
        <f t="shared" si="57"/>
        <v/>
      </c>
      <c r="B3630" s="10"/>
      <c r="C3630" s="10"/>
      <c r="D3630" s="10"/>
      <c r="E3630" s="10"/>
      <c r="F3630" s="10"/>
      <c r="G3630" s="11"/>
      <c r="H3630" s="12"/>
      <c r="I3630" s="13"/>
      <c r="J3630" s="12"/>
      <c r="K3630" s="13"/>
      <c r="L3630" s="11"/>
      <c r="M3630" s="13"/>
      <c r="N3630" s="11"/>
      <c r="O3630" s="13"/>
      <c r="P3630" s="11"/>
      <c r="Q3630" s="13"/>
      <c r="R3630" s="10"/>
      <c r="S3630" s="10"/>
    </row>
    <row r="3631" spans="1:19" x14ac:dyDescent="0.25">
      <c r="A3631" t="str">
        <f t="shared" si="57"/>
        <v/>
      </c>
      <c r="B3631" s="10"/>
      <c r="C3631" s="10"/>
      <c r="D3631" s="10"/>
      <c r="E3631" s="10"/>
      <c r="F3631" s="10"/>
      <c r="G3631" s="11"/>
      <c r="H3631" s="12"/>
      <c r="I3631" s="13"/>
      <c r="J3631" s="12"/>
      <c r="K3631" s="13"/>
      <c r="L3631" s="11"/>
      <c r="M3631" s="13"/>
      <c r="N3631" s="11"/>
      <c r="O3631" s="13"/>
      <c r="P3631" s="11"/>
      <c r="Q3631" s="13"/>
      <c r="R3631" s="10"/>
      <c r="S3631" s="10"/>
    </row>
    <row r="3632" spans="1:19" x14ac:dyDescent="0.25">
      <c r="A3632" t="str">
        <f t="shared" si="57"/>
        <v/>
      </c>
      <c r="B3632" s="10"/>
      <c r="C3632" s="10"/>
      <c r="D3632" s="10"/>
      <c r="E3632" s="10"/>
      <c r="F3632" s="10"/>
      <c r="G3632" s="11"/>
      <c r="H3632" s="12"/>
      <c r="I3632" s="13"/>
      <c r="J3632" s="12"/>
      <c r="K3632" s="13"/>
      <c r="L3632" s="11"/>
      <c r="M3632" s="13"/>
      <c r="N3632" s="11"/>
      <c r="O3632" s="13"/>
      <c r="P3632" s="11"/>
      <c r="Q3632" s="13"/>
      <c r="R3632" s="10"/>
      <c r="S3632" s="10"/>
    </row>
    <row r="3633" spans="1:19" x14ac:dyDescent="0.25">
      <c r="A3633" t="str">
        <f t="shared" si="57"/>
        <v/>
      </c>
      <c r="B3633" s="10"/>
      <c r="C3633" s="10"/>
      <c r="D3633" s="10"/>
      <c r="E3633" s="10"/>
      <c r="F3633" s="10"/>
      <c r="G3633" s="11"/>
      <c r="H3633" s="12"/>
      <c r="I3633" s="13"/>
      <c r="J3633" s="12"/>
      <c r="K3633" s="13"/>
      <c r="L3633" s="11"/>
      <c r="M3633" s="13"/>
      <c r="N3633" s="11"/>
      <c r="O3633" s="13"/>
      <c r="P3633" s="11"/>
      <c r="Q3633" s="13"/>
      <c r="R3633" s="10"/>
      <c r="S3633" s="10"/>
    </row>
    <row r="3634" spans="1:19" x14ac:dyDescent="0.25">
      <c r="A3634" t="str">
        <f t="shared" si="57"/>
        <v/>
      </c>
      <c r="B3634" s="10"/>
      <c r="C3634" s="10"/>
      <c r="D3634" s="10"/>
      <c r="E3634" s="10"/>
      <c r="F3634" s="10"/>
      <c r="G3634" s="11"/>
      <c r="H3634" s="12"/>
      <c r="I3634" s="13"/>
      <c r="J3634" s="12"/>
      <c r="K3634" s="13"/>
      <c r="L3634" s="11"/>
      <c r="M3634" s="13"/>
      <c r="N3634" s="11"/>
      <c r="O3634" s="13"/>
      <c r="P3634" s="11"/>
      <c r="Q3634" s="13"/>
      <c r="R3634" s="10"/>
      <c r="S3634" s="10"/>
    </row>
    <row r="3635" spans="1:19" x14ac:dyDescent="0.25">
      <c r="A3635" t="str">
        <f t="shared" si="57"/>
        <v/>
      </c>
      <c r="B3635" s="10"/>
      <c r="C3635" s="10"/>
      <c r="D3635" s="10"/>
      <c r="E3635" s="10"/>
      <c r="F3635" s="10"/>
      <c r="G3635" s="11"/>
      <c r="H3635" s="12"/>
      <c r="I3635" s="13"/>
      <c r="J3635" s="12"/>
      <c r="K3635" s="13"/>
      <c r="L3635" s="11"/>
      <c r="M3635" s="13"/>
      <c r="N3635" s="11"/>
      <c r="O3635" s="13"/>
      <c r="P3635" s="11"/>
      <c r="Q3635" s="13"/>
      <c r="R3635" s="10"/>
      <c r="S3635" s="10"/>
    </row>
    <row r="3636" spans="1:19" x14ac:dyDescent="0.25">
      <c r="A3636" t="str">
        <f t="shared" si="57"/>
        <v/>
      </c>
      <c r="B3636" s="10"/>
      <c r="C3636" s="10"/>
      <c r="D3636" s="10"/>
      <c r="E3636" s="10"/>
      <c r="F3636" s="10"/>
      <c r="G3636" s="11"/>
      <c r="H3636" s="12"/>
      <c r="I3636" s="13"/>
      <c r="J3636" s="12"/>
      <c r="K3636" s="13"/>
      <c r="L3636" s="11"/>
      <c r="M3636" s="13"/>
      <c r="N3636" s="11"/>
      <c r="O3636" s="13"/>
      <c r="P3636" s="11"/>
      <c r="Q3636" s="13"/>
      <c r="R3636" s="10"/>
      <c r="S3636" s="10"/>
    </row>
    <row r="3637" spans="1:19" x14ac:dyDescent="0.25">
      <c r="A3637" t="str">
        <f t="shared" ref="A3637:A3700" si="58">B3635&amp;D3635</f>
        <v/>
      </c>
      <c r="B3637" s="10"/>
      <c r="C3637" s="10"/>
      <c r="D3637" s="10"/>
      <c r="E3637" s="10"/>
      <c r="F3637" s="10"/>
      <c r="G3637" s="11"/>
      <c r="H3637" s="12"/>
      <c r="I3637" s="13"/>
      <c r="J3637" s="12"/>
      <c r="K3637" s="13"/>
      <c r="L3637" s="11"/>
      <c r="M3637" s="13"/>
      <c r="N3637" s="11"/>
      <c r="O3637" s="13"/>
      <c r="P3637" s="11"/>
      <c r="Q3637" s="13"/>
      <c r="R3637" s="10"/>
      <c r="S3637" s="10"/>
    </row>
    <row r="3638" spans="1:19" x14ac:dyDescent="0.25">
      <c r="A3638" t="str">
        <f t="shared" si="58"/>
        <v/>
      </c>
      <c r="B3638" s="10"/>
      <c r="C3638" s="10"/>
      <c r="D3638" s="10"/>
      <c r="E3638" s="10"/>
      <c r="F3638" s="10"/>
      <c r="G3638" s="11"/>
      <c r="H3638" s="12"/>
      <c r="I3638" s="13"/>
      <c r="J3638" s="12"/>
      <c r="K3638" s="13"/>
      <c r="L3638" s="11"/>
      <c r="M3638" s="13"/>
      <c r="N3638" s="11"/>
      <c r="O3638" s="13"/>
      <c r="P3638" s="11"/>
      <c r="Q3638" s="13"/>
      <c r="R3638" s="10"/>
      <c r="S3638" s="10"/>
    </row>
    <row r="3639" spans="1:19" x14ac:dyDescent="0.25">
      <c r="A3639" t="str">
        <f t="shared" si="58"/>
        <v/>
      </c>
      <c r="B3639" s="10"/>
      <c r="C3639" s="10"/>
      <c r="D3639" s="10"/>
      <c r="E3639" s="10"/>
      <c r="F3639" s="10"/>
      <c r="G3639" s="11"/>
      <c r="H3639" s="12"/>
      <c r="I3639" s="13"/>
      <c r="J3639" s="12"/>
      <c r="K3639" s="13"/>
      <c r="L3639" s="11"/>
      <c r="M3639" s="13"/>
      <c r="N3639" s="11"/>
      <c r="O3639" s="13"/>
      <c r="P3639" s="11"/>
      <c r="Q3639" s="13"/>
      <c r="R3639" s="10"/>
      <c r="S3639" s="10"/>
    </row>
    <row r="3640" spans="1:19" x14ac:dyDescent="0.25">
      <c r="A3640" t="str">
        <f t="shared" si="58"/>
        <v/>
      </c>
      <c r="B3640" s="10"/>
      <c r="C3640" s="10"/>
      <c r="D3640" s="10"/>
      <c r="E3640" s="10"/>
      <c r="F3640" s="10"/>
      <c r="G3640" s="11"/>
      <c r="H3640" s="12"/>
      <c r="I3640" s="13"/>
      <c r="J3640" s="12"/>
      <c r="K3640" s="13"/>
      <c r="L3640" s="11"/>
      <c r="M3640" s="13"/>
      <c r="N3640" s="11"/>
      <c r="O3640" s="13"/>
      <c r="P3640" s="11"/>
      <c r="Q3640" s="13"/>
      <c r="R3640" s="10"/>
      <c r="S3640" s="10"/>
    </row>
    <row r="3641" spans="1:19" x14ac:dyDescent="0.25">
      <c r="A3641" t="str">
        <f t="shared" si="58"/>
        <v/>
      </c>
      <c r="B3641" s="10"/>
      <c r="C3641" s="10"/>
      <c r="D3641" s="10"/>
      <c r="E3641" s="10"/>
      <c r="F3641" s="10"/>
      <c r="G3641" s="11"/>
      <c r="H3641" s="12"/>
      <c r="I3641" s="13"/>
      <c r="J3641" s="12"/>
      <c r="K3641" s="13"/>
      <c r="L3641" s="11"/>
      <c r="M3641" s="13"/>
      <c r="N3641" s="11"/>
      <c r="O3641" s="13"/>
      <c r="P3641" s="11"/>
      <c r="Q3641" s="13"/>
      <c r="R3641" s="10"/>
      <c r="S3641" s="10"/>
    </row>
    <row r="3642" spans="1:19" x14ac:dyDescent="0.25">
      <c r="A3642" t="str">
        <f t="shared" si="58"/>
        <v/>
      </c>
      <c r="B3642" s="10"/>
      <c r="C3642" s="10"/>
      <c r="D3642" s="10"/>
      <c r="E3642" s="10"/>
      <c r="F3642" s="10"/>
      <c r="G3642" s="11"/>
      <c r="H3642" s="12"/>
      <c r="I3642" s="13"/>
      <c r="J3642" s="12"/>
      <c r="K3642" s="13"/>
      <c r="L3642" s="11"/>
      <c r="M3642" s="13"/>
      <c r="N3642" s="11"/>
      <c r="O3642" s="13"/>
      <c r="P3642" s="11"/>
      <c r="Q3642" s="13"/>
      <c r="R3642" s="10"/>
      <c r="S3642" s="10"/>
    </row>
    <row r="3643" spans="1:19" x14ac:dyDescent="0.25">
      <c r="A3643" t="str">
        <f t="shared" si="58"/>
        <v/>
      </c>
      <c r="B3643" s="10"/>
      <c r="C3643" s="10"/>
      <c r="D3643" s="10"/>
      <c r="E3643" s="10"/>
      <c r="F3643" s="10"/>
      <c r="G3643" s="11"/>
      <c r="H3643" s="12"/>
      <c r="I3643" s="13"/>
      <c r="J3643" s="12"/>
      <c r="K3643" s="13"/>
      <c r="L3643" s="11"/>
      <c r="M3643" s="13"/>
      <c r="N3643" s="11"/>
      <c r="O3643" s="13"/>
      <c r="P3643" s="11"/>
      <c r="Q3643" s="13"/>
      <c r="R3643" s="10"/>
      <c r="S3643" s="10"/>
    </row>
    <row r="3644" spans="1:19" x14ac:dyDescent="0.25">
      <c r="A3644" t="str">
        <f t="shared" si="58"/>
        <v/>
      </c>
      <c r="B3644" s="10"/>
      <c r="C3644" s="10"/>
      <c r="D3644" s="10"/>
      <c r="E3644" s="10"/>
      <c r="F3644" s="10"/>
      <c r="G3644" s="11"/>
      <c r="H3644" s="12"/>
      <c r="I3644" s="13"/>
      <c r="J3644" s="12"/>
      <c r="K3644" s="13"/>
      <c r="L3644" s="11"/>
      <c r="M3644" s="13"/>
      <c r="N3644" s="11"/>
      <c r="O3644" s="13"/>
      <c r="P3644" s="11"/>
      <c r="Q3644" s="13"/>
      <c r="R3644" s="10"/>
      <c r="S3644" s="10"/>
    </row>
    <row r="3645" spans="1:19" x14ac:dyDescent="0.25">
      <c r="A3645" t="str">
        <f t="shared" si="58"/>
        <v/>
      </c>
      <c r="B3645" s="10"/>
      <c r="C3645" s="10"/>
      <c r="D3645" s="10"/>
      <c r="E3645" s="10"/>
      <c r="F3645" s="10"/>
      <c r="G3645" s="11"/>
      <c r="H3645" s="12"/>
      <c r="I3645" s="13"/>
      <c r="J3645" s="12"/>
      <c r="K3645" s="13"/>
      <c r="L3645" s="11"/>
      <c r="M3645" s="13"/>
      <c r="N3645" s="11"/>
      <c r="O3645" s="13"/>
      <c r="P3645" s="11"/>
      <c r="Q3645" s="13"/>
      <c r="R3645" s="10"/>
      <c r="S3645" s="10"/>
    </row>
    <row r="3646" spans="1:19" x14ac:dyDescent="0.25">
      <c r="A3646" t="str">
        <f t="shared" si="58"/>
        <v/>
      </c>
      <c r="B3646" s="10"/>
      <c r="C3646" s="10"/>
      <c r="D3646" s="10"/>
      <c r="E3646" s="10"/>
      <c r="F3646" s="10"/>
      <c r="G3646" s="11"/>
      <c r="H3646" s="12"/>
      <c r="I3646" s="13"/>
      <c r="J3646" s="12"/>
      <c r="K3646" s="13"/>
      <c r="L3646" s="11"/>
      <c r="M3646" s="13"/>
      <c r="N3646" s="11"/>
      <c r="O3646" s="13"/>
      <c r="P3646" s="11"/>
      <c r="Q3646" s="13"/>
      <c r="R3646" s="10"/>
      <c r="S3646" s="10"/>
    </row>
    <row r="3647" spans="1:19" x14ac:dyDescent="0.25">
      <c r="A3647" t="str">
        <f t="shared" si="58"/>
        <v/>
      </c>
      <c r="B3647" s="10"/>
      <c r="C3647" s="10"/>
      <c r="D3647" s="10"/>
      <c r="E3647" s="10"/>
      <c r="F3647" s="10"/>
      <c r="G3647" s="11"/>
      <c r="H3647" s="12"/>
      <c r="I3647" s="13"/>
      <c r="J3647" s="12"/>
      <c r="K3647" s="13"/>
      <c r="L3647" s="11"/>
      <c r="M3647" s="13"/>
      <c r="N3647" s="11"/>
      <c r="O3647" s="13"/>
      <c r="P3647" s="11"/>
      <c r="Q3647" s="13"/>
      <c r="R3647" s="10"/>
      <c r="S3647" s="10"/>
    </row>
    <row r="3648" spans="1:19" x14ac:dyDescent="0.25">
      <c r="A3648" t="str">
        <f t="shared" si="58"/>
        <v/>
      </c>
      <c r="B3648" s="10"/>
      <c r="C3648" s="10"/>
      <c r="D3648" s="10"/>
      <c r="E3648" s="10"/>
      <c r="F3648" s="10"/>
      <c r="G3648" s="11"/>
      <c r="H3648" s="12"/>
      <c r="I3648" s="13"/>
      <c r="J3648" s="12"/>
      <c r="K3648" s="13"/>
      <c r="L3648" s="11"/>
      <c r="M3648" s="13"/>
      <c r="N3648" s="11"/>
      <c r="O3648" s="13"/>
      <c r="P3648" s="11"/>
      <c r="Q3648" s="13"/>
      <c r="R3648" s="10"/>
      <c r="S3648" s="10"/>
    </row>
    <row r="3649" spans="1:19" x14ac:dyDescent="0.25">
      <c r="A3649" t="str">
        <f t="shared" si="58"/>
        <v/>
      </c>
      <c r="B3649" s="10"/>
      <c r="C3649" s="10"/>
      <c r="D3649" s="10"/>
      <c r="E3649" s="10"/>
      <c r="F3649" s="10"/>
      <c r="G3649" s="11"/>
      <c r="H3649" s="12"/>
      <c r="I3649" s="13"/>
      <c r="J3649" s="12"/>
      <c r="K3649" s="13"/>
      <c r="L3649" s="11"/>
      <c r="M3649" s="13"/>
      <c r="N3649" s="11"/>
      <c r="O3649" s="13"/>
      <c r="P3649" s="11"/>
      <c r="Q3649" s="13"/>
      <c r="R3649" s="10"/>
      <c r="S3649" s="10"/>
    </row>
    <row r="3650" spans="1:19" x14ac:dyDescent="0.25">
      <c r="A3650" t="str">
        <f t="shared" si="58"/>
        <v/>
      </c>
      <c r="B3650" s="10"/>
      <c r="C3650" s="10"/>
      <c r="D3650" s="10"/>
      <c r="E3650" s="10"/>
      <c r="F3650" s="10"/>
      <c r="G3650" s="11"/>
      <c r="H3650" s="12"/>
      <c r="I3650" s="13"/>
      <c r="J3650" s="12"/>
      <c r="K3650" s="13"/>
      <c r="L3650" s="11"/>
      <c r="M3650" s="13"/>
      <c r="N3650" s="11"/>
      <c r="O3650" s="13"/>
      <c r="P3650" s="11"/>
      <c r="Q3650" s="13"/>
      <c r="R3650" s="10"/>
      <c r="S3650" s="10"/>
    </row>
    <row r="3651" spans="1:19" x14ac:dyDescent="0.25">
      <c r="A3651" t="str">
        <f t="shared" si="58"/>
        <v/>
      </c>
      <c r="B3651" s="10"/>
      <c r="C3651" s="10"/>
      <c r="D3651" s="10"/>
      <c r="E3651" s="10"/>
      <c r="F3651" s="10"/>
      <c r="G3651" s="11"/>
      <c r="H3651" s="12"/>
      <c r="I3651" s="13"/>
      <c r="J3651" s="12"/>
      <c r="K3651" s="13"/>
      <c r="L3651" s="11"/>
      <c r="M3651" s="13"/>
      <c r="N3651" s="11"/>
      <c r="O3651" s="13"/>
      <c r="P3651" s="11"/>
      <c r="Q3651" s="13"/>
      <c r="R3651" s="10"/>
      <c r="S3651" s="10"/>
    </row>
    <row r="3652" spans="1:19" x14ac:dyDescent="0.25">
      <c r="A3652" t="str">
        <f t="shared" si="58"/>
        <v/>
      </c>
      <c r="B3652" s="10"/>
      <c r="C3652" s="10"/>
      <c r="D3652" s="10"/>
      <c r="E3652" s="10"/>
      <c r="F3652" s="10"/>
      <c r="G3652" s="11"/>
      <c r="H3652" s="12"/>
      <c r="I3652" s="13"/>
      <c r="J3652" s="12"/>
      <c r="K3652" s="13"/>
      <c r="L3652" s="11"/>
      <c r="M3652" s="13"/>
      <c r="N3652" s="11"/>
      <c r="O3652" s="13"/>
      <c r="P3652" s="11"/>
      <c r="Q3652" s="13"/>
      <c r="R3652" s="10"/>
      <c r="S3652" s="10"/>
    </row>
    <row r="3653" spans="1:19" x14ac:dyDescent="0.25">
      <c r="A3653" t="str">
        <f t="shared" si="58"/>
        <v/>
      </c>
      <c r="B3653" s="10"/>
      <c r="C3653" s="10"/>
      <c r="D3653" s="10"/>
      <c r="E3653" s="10"/>
      <c r="F3653" s="10"/>
      <c r="G3653" s="11"/>
      <c r="H3653" s="12"/>
      <c r="I3653" s="13"/>
      <c r="J3653" s="12"/>
      <c r="K3653" s="13"/>
      <c r="L3653" s="11"/>
      <c r="M3653" s="13"/>
      <c r="N3653" s="11"/>
      <c r="O3653" s="13"/>
      <c r="P3653" s="11"/>
      <c r="Q3653" s="13"/>
      <c r="R3653" s="10"/>
      <c r="S3653" s="10"/>
    </row>
    <row r="3654" spans="1:19" x14ac:dyDescent="0.25">
      <c r="A3654" t="str">
        <f t="shared" si="58"/>
        <v/>
      </c>
      <c r="B3654" s="10"/>
      <c r="C3654" s="10"/>
      <c r="D3654" s="10"/>
      <c r="E3654" s="10"/>
      <c r="F3654" s="10"/>
      <c r="G3654" s="11"/>
      <c r="H3654" s="12"/>
      <c r="I3654" s="13"/>
      <c r="J3654" s="12"/>
      <c r="K3654" s="13"/>
      <c r="L3654" s="11"/>
      <c r="M3654" s="13"/>
      <c r="N3654" s="11"/>
      <c r="O3654" s="13"/>
      <c r="P3654" s="11"/>
      <c r="Q3654" s="13"/>
      <c r="R3654" s="10"/>
      <c r="S3654" s="10"/>
    </row>
    <row r="3655" spans="1:19" x14ac:dyDescent="0.25">
      <c r="A3655" t="str">
        <f t="shared" si="58"/>
        <v/>
      </c>
      <c r="B3655" s="10"/>
      <c r="C3655" s="10"/>
      <c r="D3655" s="10"/>
      <c r="E3655" s="10"/>
      <c r="F3655" s="10"/>
      <c r="G3655" s="11"/>
      <c r="H3655" s="12"/>
      <c r="I3655" s="13"/>
      <c r="J3655" s="12"/>
      <c r="K3655" s="13"/>
      <c r="L3655" s="11"/>
      <c r="M3655" s="13"/>
      <c r="N3655" s="11"/>
      <c r="O3655" s="13"/>
      <c r="P3655" s="11"/>
      <c r="Q3655" s="13"/>
      <c r="R3655" s="10"/>
      <c r="S3655" s="10"/>
    </row>
    <row r="3656" spans="1:19" x14ac:dyDescent="0.25">
      <c r="A3656" t="str">
        <f t="shared" si="58"/>
        <v/>
      </c>
      <c r="B3656" s="10"/>
      <c r="C3656" s="10"/>
      <c r="D3656" s="10"/>
      <c r="E3656" s="10"/>
      <c r="F3656" s="10"/>
      <c r="G3656" s="11"/>
      <c r="H3656" s="12"/>
      <c r="I3656" s="13"/>
      <c r="J3656" s="12"/>
      <c r="K3656" s="13"/>
      <c r="L3656" s="11"/>
      <c r="M3656" s="13"/>
      <c r="N3656" s="11"/>
      <c r="O3656" s="13"/>
      <c r="P3656" s="11"/>
      <c r="Q3656" s="13"/>
      <c r="R3656" s="10"/>
      <c r="S3656" s="10"/>
    </row>
    <row r="3657" spans="1:19" x14ac:dyDescent="0.25">
      <c r="A3657" t="str">
        <f t="shared" si="58"/>
        <v/>
      </c>
      <c r="B3657" s="10"/>
      <c r="C3657" s="10"/>
      <c r="D3657" s="10"/>
      <c r="E3657" s="10"/>
      <c r="F3657" s="10"/>
      <c r="G3657" s="11"/>
      <c r="H3657" s="12"/>
      <c r="I3657" s="13"/>
      <c r="J3657" s="12"/>
      <c r="K3657" s="13"/>
      <c r="L3657" s="11"/>
      <c r="M3657" s="13"/>
      <c r="N3657" s="11"/>
      <c r="O3657" s="13"/>
      <c r="P3657" s="11"/>
      <c r="Q3657" s="13"/>
      <c r="R3657" s="10"/>
      <c r="S3657" s="10"/>
    </row>
    <row r="3658" spans="1:19" x14ac:dyDescent="0.25">
      <c r="A3658" t="str">
        <f t="shared" si="58"/>
        <v/>
      </c>
      <c r="B3658" s="10"/>
      <c r="C3658" s="10"/>
      <c r="D3658" s="10"/>
      <c r="E3658" s="10"/>
      <c r="F3658" s="10"/>
      <c r="G3658" s="11"/>
      <c r="H3658" s="12"/>
      <c r="I3658" s="13"/>
      <c r="J3658" s="12"/>
      <c r="K3658" s="13"/>
      <c r="L3658" s="11"/>
      <c r="M3658" s="13"/>
      <c r="N3658" s="11"/>
      <c r="O3658" s="13"/>
      <c r="P3658" s="11"/>
      <c r="Q3658" s="13"/>
      <c r="R3658" s="10"/>
      <c r="S3658" s="10"/>
    </row>
    <row r="3659" spans="1:19" x14ac:dyDescent="0.25">
      <c r="A3659" t="str">
        <f t="shared" si="58"/>
        <v/>
      </c>
      <c r="B3659" s="10"/>
      <c r="C3659" s="10"/>
      <c r="D3659" s="10"/>
      <c r="E3659" s="10"/>
      <c r="F3659" s="10"/>
      <c r="G3659" s="11"/>
      <c r="H3659" s="12"/>
      <c r="I3659" s="13"/>
      <c r="J3659" s="12"/>
      <c r="K3659" s="13"/>
      <c r="L3659" s="11"/>
      <c r="M3659" s="13"/>
      <c r="N3659" s="11"/>
      <c r="O3659" s="13"/>
      <c r="P3659" s="11"/>
      <c r="Q3659" s="13"/>
      <c r="R3659" s="10"/>
      <c r="S3659" s="10"/>
    </row>
    <row r="3660" spans="1:19" x14ac:dyDescent="0.25">
      <c r="A3660" t="str">
        <f t="shared" si="58"/>
        <v/>
      </c>
      <c r="B3660" s="10"/>
      <c r="C3660" s="10"/>
      <c r="D3660" s="10"/>
      <c r="E3660" s="10"/>
      <c r="F3660" s="10"/>
      <c r="G3660" s="11"/>
      <c r="H3660" s="12"/>
      <c r="I3660" s="13"/>
      <c r="J3660" s="12"/>
      <c r="K3660" s="13"/>
      <c r="L3660" s="11"/>
      <c r="M3660" s="13"/>
      <c r="N3660" s="11"/>
      <c r="O3660" s="13"/>
      <c r="P3660" s="11"/>
      <c r="Q3660" s="13"/>
      <c r="R3660" s="10"/>
      <c r="S3660" s="10"/>
    </row>
    <row r="3661" spans="1:19" x14ac:dyDescent="0.25">
      <c r="A3661" t="str">
        <f t="shared" si="58"/>
        <v/>
      </c>
      <c r="B3661" s="10"/>
      <c r="C3661" s="10"/>
      <c r="D3661" s="10"/>
      <c r="E3661" s="10"/>
      <c r="F3661" s="10"/>
      <c r="G3661" s="11"/>
      <c r="H3661" s="12"/>
      <c r="I3661" s="13"/>
      <c r="J3661" s="12"/>
      <c r="K3661" s="13"/>
      <c r="L3661" s="11"/>
      <c r="M3661" s="13"/>
      <c r="N3661" s="11"/>
      <c r="O3661" s="13"/>
      <c r="P3661" s="11"/>
      <c r="Q3661" s="13"/>
      <c r="R3661" s="10"/>
      <c r="S3661" s="10"/>
    </row>
    <row r="3662" spans="1:19" x14ac:dyDescent="0.25">
      <c r="A3662" t="str">
        <f t="shared" si="58"/>
        <v/>
      </c>
      <c r="B3662" s="10"/>
      <c r="C3662" s="10"/>
      <c r="D3662" s="10"/>
      <c r="E3662" s="10"/>
      <c r="F3662" s="10"/>
      <c r="G3662" s="11"/>
      <c r="H3662" s="12"/>
      <c r="I3662" s="13"/>
      <c r="J3662" s="12"/>
      <c r="K3662" s="13"/>
      <c r="L3662" s="11"/>
      <c r="M3662" s="13"/>
      <c r="N3662" s="11"/>
      <c r="O3662" s="13"/>
      <c r="P3662" s="11"/>
      <c r="Q3662" s="13"/>
      <c r="R3662" s="10"/>
      <c r="S3662" s="10"/>
    </row>
    <row r="3663" spans="1:19" x14ac:dyDescent="0.25">
      <c r="A3663" t="str">
        <f t="shared" si="58"/>
        <v/>
      </c>
      <c r="B3663" s="10"/>
      <c r="C3663" s="10"/>
      <c r="D3663" s="10"/>
      <c r="E3663" s="10"/>
      <c r="F3663" s="10"/>
      <c r="G3663" s="11"/>
      <c r="H3663" s="12"/>
      <c r="I3663" s="13"/>
      <c r="J3663" s="12"/>
      <c r="K3663" s="13"/>
      <c r="L3663" s="11"/>
      <c r="M3663" s="13"/>
      <c r="N3663" s="11"/>
      <c r="O3663" s="13"/>
      <c r="P3663" s="11"/>
      <c r="Q3663" s="13"/>
      <c r="R3663" s="10"/>
      <c r="S3663" s="10"/>
    </row>
    <row r="3664" spans="1:19" x14ac:dyDescent="0.25">
      <c r="A3664" t="str">
        <f t="shared" si="58"/>
        <v/>
      </c>
      <c r="B3664" s="10"/>
      <c r="C3664" s="10"/>
      <c r="D3664" s="10"/>
      <c r="E3664" s="10"/>
      <c r="F3664" s="10"/>
      <c r="G3664" s="11"/>
      <c r="H3664" s="12"/>
      <c r="I3664" s="13"/>
      <c r="J3664" s="12"/>
      <c r="K3664" s="13"/>
      <c r="L3664" s="11"/>
      <c r="M3664" s="13"/>
      <c r="N3664" s="11"/>
      <c r="O3664" s="13"/>
      <c r="P3664" s="11"/>
      <c r="Q3664" s="13"/>
      <c r="R3664" s="10"/>
      <c r="S3664" s="10"/>
    </row>
    <row r="3665" spans="1:19" x14ac:dyDescent="0.25">
      <c r="A3665" t="str">
        <f t="shared" si="58"/>
        <v/>
      </c>
      <c r="B3665" s="10"/>
      <c r="C3665" s="10"/>
      <c r="D3665" s="10"/>
      <c r="E3665" s="10"/>
      <c r="F3665" s="10"/>
      <c r="G3665" s="11"/>
      <c r="H3665" s="12"/>
      <c r="I3665" s="13"/>
      <c r="J3665" s="12"/>
      <c r="K3665" s="13"/>
      <c r="L3665" s="11"/>
      <c r="M3665" s="13"/>
      <c r="N3665" s="11"/>
      <c r="O3665" s="13"/>
      <c r="P3665" s="11"/>
      <c r="Q3665" s="13"/>
      <c r="R3665" s="10"/>
      <c r="S3665" s="10"/>
    </row>
    <row r="3666" spans="1:19" x14ac:dyDescent="0.25">
      <c r="A3666" t="str">
        <f t="shared" si="58"/>
        <v/>
      </c>
      <c r="B3666" s="10"/>
      <c r="C3666" s="10"/>
      <c r="D3666" s="10"/>
      <c r="E3666" s="10"/>
      <c r="F3666" s="10"/>
      <c r="G3666" s="11"/>
      <c r="H3666" s="12"/>
      <c r="I3666" s="13"/>
      <c r="J3666" s="12"/>
      <c r="K3666" s="13"/>
      <c r="L3666" s="11"/>
      <c r="M3666" s="13"/>
      <c r="N3666" s="11"/>
      <c r="O3666" s="13"/>
      <c r="P3666" s="11"/>
      <c r="Q3666" s="13"/>
      <c r="R3666" s="10"/>
      <c r="S3666" s="10"/>
    </row>
    <row r="3667" spans="1:19" x14ac:dyDescent="0.25">
      <c r="A3667" t="str">
        <f t="shared" si="58"/>
        <v/>
      </c>
      <c r="B3667" s="10"/>
      <c r="C3667" s="10"/>
      <c r="D3667" s="10"/>
      <c r="E3667" s="10"/>
      <c r="F3667" s="10"/>
      <c r="G3667" s="11"/>
      <c r="H3667" s="12"/>
      <c r="I3667" s="13"/>
      <c r="J3667" s="12"/>
      <c r="K3667" s="13"/>
      <c r="L3667" s="11"/>
      <c r="M3667" s="13"/>
      <c r="N3667" s="11"/>
      <c r="O3667" s="13"/>
      <c r="P3667" s="11"/>
      <c r="Q3667" s="13"/>
      <c r="R3667" s="10"/>
      <c r="S3667" s="10"/>
    </row>
    <row r="3668" spans="1:19" x14ac:dyDescent="0.25">
      <c r="A3668" t="str">
        <f t="shared" si="58"/>
        <v/>
      </c>
      <c r="B3668" s="10"/>
      <c r="C3668" s="10"/>
      <c r="D3668" s="10"/>
      <c r="E3668" s="10"/>
      <c r="F3668" s="10"/>
      <c r="G3668" s="11"/>
      <c r="H3668" s="12"/>
      <c r="I3668" s="13"/>
      <c r="J3668" s="12"/>
      <c r="K3668" s="13"/>
      <c r="L3668" s="11"/>
      <c r="M3668" s="13"/>
      <c r="N3668" s="11"/>
      <c r="O3668" s="13"/>
      <c r="P3668" s="11"/>
      <c r="Q3668" s="13"/>
      <c r="R3668" s="10"/>
      <c r="S3668" s="10"/>
    </row>
    <row r="3669" spans="1:19" x14ac:dyDescent="0.25">
      <c r="A3669" t="str">
        <f t="shared" si="58"/>
        <v/>
      </c>
      <c r="B3669" s="10"/>
      <c r="C3669" s="10"/>
      <c r="D3669" s="10"/>
      <c r="E3669" s="10"/>
      <c r="F3669" s="10"/>
      <c r="G3669" s="11"/>
      <c r="H3669" s="12"/>
      <c r="I3669" s="13"/>
      <c r="J3669" s="12"/>
      <c r="K3669" s="13"/>
      <c r="L3669" s="11"/>
      <c r="M3669" s="13"/>
      <c r="N3669" s="11"/>
      <c r="O3669" s="13"/>
      <c r="P3669" s="11"/>
      <c r="Q3669" s="13"/>
      <c r="R3669" s="10"/>
      <c r="S3669" s="10"/>
    </row>
    <row r="3670" spans="1:19" x14ac:dyDescent="0.25">
      <c r="A3670" t="str">
        <f t="shared" si="58"/>
        <v/>
      </c>
      <c r="B3670" s="10"/>
      <c r="C3670" s="10"/>
      <c r="D3670" s="10"/>
      <c r="E3670" s="10"/>
      <c r="F3670" s="10"/>
      <c r="G3670" s="11"/>
      <c r="H3670" s="12"/>
      <c r="I3670" s="13"/>
      <c r="J3670" s="12"/>
      <c r="K3670" s="13"/>
      <c r="L3670" s="11"/>
      <c r="M3670" s="13"/>
      <c r="N3670" s="11"/>
      <c r="O3670" s="13"/>
      <c r="P3670" s="11"/>
      <c r="Q3670" s="13"/>
      <c r="R3670" s="10"/>
      <c r="S3670" s="10"/>
    </row>
    <row r="3671" spans="1:19" x14ac:dyDescent="0.25">
      <c r="A3671" t="str">
        <f t="shared" si="58"/>
        <v/>
      </c>
      <c r="B3671" s="10"/>
      <c r="C3671" s="10"/>
      <c r="D3671" s="10"/>
      <c r="E3671" s="10"/>
      <c r="F3671" s="10"/>
      <c r="G3671" s="11"/>
      <c r="H3671" s="12"/>
      <c r="I3671" s="13"/>
      <c r="J3671" s="12"/>
      <c r="K3671" s="13"/>
      <c r="L3671" s="11"/>
      <c r="M3671" s="13"/>
      <c r="N3671" s="11"/>
      <c r="O3671" s="13"/>
      <c r="P3671" s="11"/>
      <c r="Q3671" s="13"/>
      <c r="R3671" s="10"/>
      <c r="S3671" s="10"/>
    </row>
    <row r="3672" spans="1:19" x14ac:dyDescent="0.25">
      <c r="A3672" t="str">
        <f t="shared" si="58"/>
        <v/>
      </c>
      <c r="B3672" s="10"/>
      <c r="C3672" s="10"/>
      <c r="D3672" s="10"/>
      <c r="E3672" s="10"/>
      <c r="F3672" s="10"/>
      <c r="G3672" s="11"/>
      <c r="H3672" s="12"/>
      <c r="I3672" s="13"/>
      <c r="J3672" s="12"/>
      <c r="K3672" s="13"/>
      <c r="L3672" s="11"/>
      <c r="M3672" s="13"/>
      <c r="N3672" s="11"/>
      <c r="O3672" s="13"/>
      <c r="P3672" s="11"/>
      <c r="Q3672" s="13"/>
      <c r="R3672" s="10"/>
      <c r="S3672" s="10"/>
    </row>
    <row r="3673" spans="1:19" x14ac:dyDescent="0.25">
      <c r="A3673" t="str">
        <f t="shared" si="58"/>
        <v/>
      </c>
      <c r="B3673" s="10"/>
      <c r="C3673" s="10"/>
      <c r="D3673" s="10"/>
      <c r="E3673" s="10"/>
      <c r="F3673" s="10"/>
      <c r="G3673" s="11"/>
      <c r="H3673" s="12"/>
      <c r="I3673" s="13"/>
      <c r="J3673" s="12"/>
      <c r="K3673" s="13"/>
      <c r="L3673" s="11"/>
      <c r="M3673" s="13"/>
      <c r="N3673" s="11"/>
      <c r="O3673" s="13"/>
      <c r="P3673" s="11"/>
      <c r="Q3673" s="13"/>
      <c r="R3673" s="10"/>
      <c r="S3673" s="10"/>
    </row>
    <row r="3674" spans="1:19" x14ac:dyDescent="0.25">
      <c r="A3674" t="str">
        <f t="shared" si="58"/>
        <v/>
      </c>
      <c r="B3674" s="10"/>
      <c r="C3674" s="10"/>
      <c r="D3674" s="10"/>
      <c r="E3674" s="10"/>
      <c r="F3674" s="10"/>
      <c r="G3674" s="11"/>
      <c r="H3674" s="12"/>
      <c r="I3674" s="13"/>
      <c r="J3674" s="12"/>
      <c r="K3674" s="13"/>
      <c r="L3674" s="11"/>
      <c r="M3674" s="13"/>
      <c r="N3674" s="11"/>
      <c r="O3674" s="13"/>
      <c r="P3674" s="11"/>
      <c r="Q3674" s="13"/>
      <c r="R3674" s="10"/>
      <c r="S3674" s="10"/>
    </row>
    <row r="3675" spans="1:19" x14ac:dyDescent="0.25">
      <c r="A3675" t="str">
        <f t="shared" si="58"/>
        <v/>
      </c>
      <c r="B3675" s="10"/>
      <c r="C3675" s="10"/>
      <c r="D3675" s="10"/>
      <c r="E3675" s="10"/>
      <c r="F3675" s="10"/>
      <c r="G3675" s="11"/>
      <c r="H3675" s="12"/>
      <c r="I3675" s="13"/>
      <c r="J3675" s="12"/>
      <c r="K3675" s="13"/>
      <c r="L3675" s="11"/>
      <c r="M3675" s="13"/>
      <c r="N3675" s="11"/>
      <c r="O3675" s="13"/>
      <c r="P3675" s="11"/>
      <c r="Q3675" s="13"/>
      <c r="R3675" s="10"/>
      <c r="S3675" s="10"/>
    </row>
    <row r="3676" spans="1:19" x14ac:dyDescent="0.25">
      <c r="A3676" t="str">
        <f t="shared" si="58"/>
        <v/>
      </c>
      <c r="B3676" s="10"/>
      <c r="C3676" s="10"/>
      <c r="D3676" s="10"/>
      <c r="E3676" s="10"/>
      <c r="F3676" s="10"/>
      <c r="G3676" s="11"/>
      <c r="H3676" s="12"/>
      <c r="I3676" s="13"/>
      <c r="J3676" s="12"/>
      <c r="K3676" s="13"/>
      <c r="L3676" s="11"/>
      <c r="M3676" s="13"/>
      <c r="N3676" s="11"/>
      <c r="O3676" s="13"/>
      <c r="P3676" s="11"/>
      <c r="Q3676" s="13"/>
      <c r="R3676" s="10"/>
      <c r="S3676" s="10"/>
    </row>
    <row r="3677" spans="1:19" x14ac:dyDescent="0.25">
      <c r="A3677" t="str">
        <f t="shared" si="58"/>
        <v/>
      </c>
      <c r="B3677" s="10"/>
      <c r="C3677" s="10"/>
      <c r="D3677" s="10"/>
      <c r="E3677" s="10"/>
      <c r="F3677" s="10"/>
      <c r="G3677" s="11"/>
      <c r="H3677" s="12"/>
      <c r="I3677" s="13"/>
      <c r="J3677" s="12"/>
      <c r="K3677" s="13"/>
      <c r="L3677" s="11"/>
      <c r="M3677" s="13"/>
      <c r="N3677" s="11"/>
      <c r="O3677" s="13"/>
      <c r="P3677" s="11"/>
      <c r="Q3677" s="13"/>
      <c r="R3677" s="10"/>
      <c r="S3677" s="10"/>
    </row>
    <row r="3678" spans="1:19" x14ac:dyDescent="0.25">
      <c r="A3678" t="str">
        <f t="shared" si="58"/>
        <v/>
      </c>
      <c r="B3678" s="10"/>
      <c r="C3678" s="10"/>
      <c r="D3678" s="10"/>
      <c r="E3678" s="10"/>
      <c r="F3678" s="10"/>
      <c r="G3678" s="11"/>
      <c r="H3678" s="12"/>
      <c r="I3678" s="13"/>
      <c r="J3678" s="12"/>
      <c r="K3678" s="13"/>
      <c r="L3678" s="11"/>
      <c r="M3678" s="13"/>
      <c r="N3678" s="11"/>
      <c r="O3678" s="13"/>
      <c r="P3678" s="11"/>
      <c r="Q3678" s="13"/>
      <c r="R3678" s="10"/>
      <c r="S3678" s="10"/>
    </row>
    <row r="3679" spans="1:19" x14ac:dyDescent="0.25">
      <c r="A3679" t="str">
        <f t="shared" si="58"/>
        <v/>
      </c>
      <c r="B3679" s="10"/>
      <c r="C3679" s="10"/>
      <c r="D3679" s="10"/>
      <c r="E3679" s="10"/>
      <c r="F3679" s="10"/>
      <c r="G3679" s="11"/>
      <c r="H3679" s="12"/>
      <c r="I3679" s="13"/>
      <c r="J3679" s="12"/>
      <c r="K3679" s="13"/>
      <c r="L3679" s="11"/>
      <c r="M3679" s="13"/>
      <c r="N3679" s="11"/>
      <c r="O3679" s="13"/>
      <c r="P3679" s="11"/>
      <c r="Q3679" s="13"/>
      <c r="R3679" s="10"/>
      <c r="S3679" s="10"/>
    </row>
    <row r="3680" spans="1:19" x14ac:dyDescent="0.25">
      <c r="A3680" t="str">
        <f t="shared" si="58"/>
        <v/>
      </c>
      <c r="B3680" s="10"/>
      <c r="C3680" s="10"/>
      <c r="D3680" s="10"/>
      <c r="E3680" s="10"/>
      <c r="F3680" s="10"/>
      <c r="G3680" s="11"/>
      <c r="H3680" s="12"/>
      <c r="I3680" s="13"/>
      <c r="J3680" s="12"/>
      <c r="K3680" s="13"/>
      <c r="L3680" s="11"/>
      <c r="M3680" s="13"/>
      <c r="N3680" s="11"/>
      <c r="O3680" s="13"/>
      <c r="P3680" s="11"/>
      <c r="Q3680" s="13"/>
      <c r="R3680" s="10"/>
      <c r="S3680" s="10"/>
    </row>
    <row r="3681" spans="1:19" x14ac:dyDescent="0.25">
      <c r="A3681" t="str">
        <f t="shared" si="58"/>
        <v/>
      </c>
      <c r="B3681" s="10"/>
      <c r="C3681" s="10"/>
      <c r="D3681" s="10"/>
      <c r="E3681" s="10"/>
      <c r="F3681" s="10"/>
      <c r="G3681" s="11"/>
      <c r="H3681" s="12"/>
      <c r="I3681" s="13"/>
      <c r="J3681" s="12"/>
      <c r="K3681" s="13"/>
      <c r="L3681" s="11"/>
      <c r="M3681" s="13"/>
      <c r="N3681" s="11"/>
      <c r="O3681" s="13"/>
      <c r="P3681" s="11"/>
      <c r="Q3681" s="13"/>
      <c r="R3681" s="10"/>
      <c r="S3681" s="10"/>
    </row>
    <row r="3682" spans="1:19" x14ac:dyDescent="0.25">
      <c r="A3682" t="str">
        <f t="shared" si="58"/>
        <v/>
      </c>
      <c r="B3682" s="10"/>
      <c r="C3682" s="10"/>
      <c r="D3682" s="10"/>
      <c r="E3682" s="10"/>
      <c r="F3682" s="10"/>
      <c r="G3682" s="11"/>
      <c r="H3682" s="12"/>
      <c r="I3682" s="13"/>
      <c r="J3682" s="12"/>
      <c r="K3682" s="13"/>
      <c r="L3682" s="11"/>
      <c r="M3682" s="13"/>
      <c r="N3682" s="11"/>
      <c r="O3682" s="13"/>
      <c r="P3682" s="11"/>
      <c r="Q3682" s="13"/>
      <c r="R3682" s="10"/>
      <c r="S3682" s="10"/>
    </row>
    <row r="3683" spans="1:19" x14ac:dyDescent="0.25">
      <c r="A3683" t="str">
        <f t="shared" si="58"/>
        <v/>
      </c>
      <c r="B3683" s="10"/>
      <c r="C3683" s="10"/>
      <c r="D3683" s="10"/>
      <c r="E3683" s="10"/>
      <c r="F3683" s="10"/>
      <c r="G3683" s="11"/>
      <c r="H3683" s="12"/>
      <c r="I3683" s="13"/>
      <c r="J3683" s="12"/>
      <c r="K3683" s="13"/>
      <c r="L3683" s="11"/>
      <c r="M3683" s="13"/>
      <c r="N3683" s="11"/>
      <c r="O3683" s="13"/>
      <c r="P3683" s="11"/>
      <c r="Q3683" s="13"/>
      <c r="R3683" s="10"/>
      <c r="S3683" s="10"/>
    </row>
    <row r="3684" spans="1:19" x14ac:dyDescent="0.25">
      <c r="A3684" t="str">
        <f t="shared" si="58"/>
        <v/>
      </c>
      <c r="B3684" s="10"/>
      <c r="C3684" s="10"/>
      <c r="D3684" s="10"/>
      <c r="E3684" s="10"/>
      <c r="F3684" s="10"/>
      <c r="G3684" s="11"/>
      <c r="H3684" s="12"/>
      <c r="I3684" s="13"/>
      <c r="J3684" s="12"/>
      <c r="K3684" s="13"/>
      <c r="L3684" s="11"/>
      <c r="M3684" s="13"/>
      <c r="N3684" s="11"/>
      <c r="O3684" s="13"/>
      <c r="P3684" s="11"/>
      <c r="Q3684" s="13"/>
      <c r="R3684" s="10"/>
      <c r="S3684" s="10"/>
    </row>
    <row r="3685" spans="1:19" x14ac:dyDescent="0.25">
      <c r="A3685" t="str">
        <f t="shared" si="58"/>
        <v/>
      </c>
      <c r="B3685" s="10"/>
      <c r="C3685" s="10"/>
      <c r="D3685" s="10"/>
      <c r="E3685" s="10"/>
      <c r="F3685" s="10"/>
      <c r="G3685" s="11"/>
      <c r="H3685" s="12"/>
      <c r="I3685" s="13"/>
      <c r="J3685" s="12"/>
      <c r="K3685" s="13"/>
      <c r="L3685" s="11"/>
      <c r="M3685" s="13"/>
      <c r="N3685" s="11"/>
      <c r="O3685" s="13"/>
      <c r="P3685" s="11"/>
      <c r="Q3685" s="13"/>
      <c r="R3685" s="10"/>
      <c r="S3685" s="10"/>
    </row>
    <row r="3686" spans="1:19" x14ac:dyDescent="0.25">
      <c r="A3686" t="str">
        <f t="shared" si="58"/>
        <v/>
      </c>
      <c r="B3686" s="10"/>
      <c r="C3686" s="10"/>
      <c r="D3686" s="10"/>
      <c r="E3686" s="10"/>
      <c r="F3686" s="10"/>
      <c r="G3686" s="11"/>
      <c r="H3686" s="12"/>
      <c r="I3686" s="13"/>
      <c r="J3686" s="12"/>
      <c r="K3686" s="13"/>
      <c r="L3686" s="11"/>
      <c r="M3686" s="13"/>
      <c r="N3686" s="11"/>
      <c r="O3686" s="13"/>
      <c r="P3686" s="11"/>
      <c r="Q3686" s="13"/>
      <c r="R3686" s="10"/>
      <c r="S3686" s="10"/>
    </row>
    <row r="3687" spans="1:19" x14ac:dyDescent="0.25">
      <c r="A3687" t="str">
        <f t="shared" si="58"/>
        <v/>
      </c>
      <c r="B3687" s="10"/>
      <c r="C3687" s="10"/>
      <c r="D3687" s="10"/>
      <c r="E3687" s="10"/>
      <c r="F3687" s="10"/>
      <c r="G3687" s="11"/>
      <c r="H3687" s="12"/>
      <c r="I3687" s="13"/>
      <c r="J3687" s="12"/>
      <c r="K3687" s="13"/>
      <c r="L3687" s="11"/>
      <c r="M3687" s="13"/>
      <c r="N3687" s="11"/>
      <c r="O3687" s="13"/>
      <c r="P3687" s="11"/>
      <c r="Q3687" s="13"/>
      <c r="R3687" s="10"/>
      <c r="S3687" s="10"/>
    </row>
    <row r="3688" spans="1:19" x14ac:dyDescent="0.25">
      <c r="A3688" t="str">
        <f t="shared" si="58"/>
        <v/>
      </c>
      <c r="B3688" s="10"/>
      <c r="C3688" s="10"/>
      <c r="D3688" s="10"/>
      <c r="E3688" s="10"/>
      <c r="F3688" s="10"/>
      <c r="G3688" s="11"/>
      <c r="H3688" s="12"/>
      <c r="I3688" s="13"/>
      <c r="J3688" s="12"/>
      <c r="K3688" s="13"/>
      <c r="L3688" s="11"/>
      <c r="M3688" s="13"/>
      <c r="N3688" s="11"/>
      <c r="O3688" s="13"/>
      <c r="P3688" s="11"/>
      <c r="Q3688" s="13"/>
      <c r="R3688" s="10"/>
      <c r="S3688" s="10"/>
    </row>
    <row r="3689" spans="1:19" x14ac:dyDescent="0.25">
      <c r="A3689" t="str">
        <f t="shared" si="58"/>
        <v/>
      </c>
      <c r="B3689" s="10"/>
      <c r="C3689" s="10"/>
      <c r="D3689" s="10"/>
      <c r="E3689" s="10"/>
      <c r="F3689" s="10"/>
      <c r="G3689" s="11"/>
      <c r="H3689" s="12"/>
      <c r="I3689" s="13"/>
      <c r="J3689" s="12"/>
      <c r="K3689" s="13"/>
      <c r="L3689" s="11"/>
      <c r="M3689" s="13"/>
      <c r="N3689" s="11"/>
      <c r="O3689" s="13"/>
      <c r="P3689" s="11"/>
      <c r="Q3689" s="13"/>
      <c r="R3689" s="10"/>
      <c r="S3689" s="10"/>
    </row>
    <row r="3690" spans="1:19" x14ac:dyDescent="0.25">
      <c r="A3690" t="str">
        <f t="shared" si="58"/>
        <v/>
      </c>
      <c r="B3690" s="10"/>
      <c r="C3690" s="10"/>
      <c r="D3690" s="10"/>
      <c r="E3690" s="10"/>
      <c r="F3690" s="10"/>
      <c r="G3690" s="11"/>
      <c r="H3690" s="12"/>
      <c r="I3690" s="13"/>
      <c r="J3690" s="12"/>
      <c r="K3690" s="13"/>
      <c r="L3690" s="11"/>
      <c r="M3690" s="13"/>
      <c r="N3690" s="11"/>
      <c r="O3690" s="13"/>
      <c r="P3690" s="11"/>
      <c r="Q3690" s="13"/>
      <c r="R3690" s="10"/>
      <c r="S3690" s="10"/>
    </row>
    <row r="3691" spans="1:19" x14ac:dyDescent="0.25">
      <c r="A3691" t="str">
        <f t="shared" si="58"/>
        <v/>
      </c>
      <c r="B3691" s="10"/>
      <c r="C3691" s="10"/>
      <c r="D3691" s="10"/>
      <c r="E3691" s="10"/>
      <c r="F3691" s="10"/>
      <c r="G3691" s="11"/>
      <c r="H3691" s="12"/>
      <c r="I3691" s="13"/>
      <c r="J3691" s="12"/>
      <c r="K3691" s="13"/>
      <c r="L3691" s="11"/>
      <c r="M3691" s="13"/>
      <c r="N3691" s="11"/>
      <c r="O3691" s="13"/>
      <c r="P3691" s="11"/>
      <c r="Q3691" s="13"/>
      <c r="R3691" s="10"/>
      <c r="S3691" s="10"/>
    </row>
    <row r="3692" spans="1:19" x14ac:dyDescent="0.25">
      <c r="A3692" t="str">
        <f t="shared" si="58"/>
        <v/>
      </c>
      <c r="B3692" s="10"/>
      <c r="C3692" s="10"/>
      <c r="D3692" s="10"/>
      <c r="E3692" s="10"/>
      <c r="F3692" s="10"/>
      <c r="G3692" s="11"/>
      <c r="H3692" s="12"/>
      <c r="I3692" s="13"/>
      <c r="J3692" s="12"/>
      <c r="K3692" s="13"/>
      <c r="L3692" s="11"/>
      <c r="M3692" s="13"/>
      <c r="N3692" s="11"/>
      <c r="O3692" s="13"/>
      <c r="P3692" s="11"/>
      <c r="Q3692" s="13"/>
      <c r="R3692" s="10"/>
      <c r="S3692" s="10"/>
    </row>
    <row r="3693" spans="1:19" x14ac:dyDescent="0.25">
      <c r="A3693" t="str">
        <f t="shared" si="58"/>
        <v/>
      </c>
      <c r="B3693" s="10"/>
      <c r="C3693" s="10"/>
      <c r="D3693" s="10"/>
      <c r="E3693" s="10"/>
      <c r="F3693" s="10"/>
      <c r="G3693" s="11"/>
      <c r="H3693" s="12"/>
      <c r="I3693" s="13"/>
      <c r="J3693" s="12"/>
      <c r="K3693" s="13"/>
      <c r="L3693" s="11"/>
      <c r="M3693" s="13"/>
      <c r="N3693" s="11"/>
      <c r="O3693" s="13"/>
      <c r="P3693" s="11"/>
      <c r="Q3693" s="13"/>
      <c r="R3693" s="10"/>
      <c r="S3693" s="10"/>
    </row>
    <row r="3694" spans="1:19" x14ac:dyDescent="0.25">
      <c r="A3694" t="str">
        <f t="shared" si="58"/>
        <v/>
      </c>
      <c r="B3694" s="10"/>
      <c r="C3694" s="10"/>
      <c r="D3694" s="10"/>
      <c r="E3694" s="10"/>
      <c r="F3694" s="10"/>
      <c r="G3694" s="11"/>
      <c r="H3694" s="12"/>
      <c r="I3694" s="13"/>
      <c r="J3694" s="12"/>
      <c r="K3694" s="13"/>
      <c r="L3694" s="11"/>
      <c r="M3694" s="13"/>
      <c r="N3694" s="11"/>
      <c r="O3694" s="13"/>
      <c r="P3694" s="11"/>
      <c r="Q3694" s="13"/>
      <c r="R3694" s="10"/>
      <c r="S3694" s="10"/>
    </row>
    <row r="3695" spans="1:19" x14ac:dyDescent="0.25">
      <c r="A3695" t="str">
        <f t="shared" si="58"/>
        <v/>
      </c>
      <c r="B3695" s="10"/>
      <c r="C3695" s="10"/>
      <c r="D3695" s="10"/>
      <c r="E3695" s="10"/>
      <c r="F3695" s="10"/>
      <c r="G3695" s="11"/>
      <c r="H3695" s="12"/>
      <c r="I3695" s="13"/>
      <c r="J3695" s="12"/>
      <c r="K3695" s="13"/>
      <c r="L3695" s="11"/>
      <c r="M3695" s="13"/>
      <c r="N3695" s="11"/>
      <c r="O3695" s="13"/>
      <c r="P3695" s="11"/>
      <c r="Q3695" s="13"/>
      <c r="R3695" s="10"/>
      <c r="S3695" s="10"/>
    </row>
    <row r="3696" spans="1:19" x14ac:dyDescent="0.25">
      <c r="A3696" t="str">
        <f t="shared" si="58"/>
        <v/>
      </c>
      <c r="B3696" s="10"/>
      <c r="C3696" s="10"/>
      <c r="D3696" s="10"/>
      <c r="E3696" s="10"/>
      <c r="F3696" s="10"/>
      <c r="G3696" s="11"/>
      <c r="H3696" s="12"/>
      <c r="I3696" s="13"/>
      <c r="J3696" s="12"/>
      <c r="K3696" s="13"/>
      <c r="L3696" s="11"/>
      <c r="M3696" s="13"/>
      <c r="N3696" s="11"/>
      <c r="O3696" s="13"/>
      <c r="P3696" s="11"/>
      <c r="Q3696" s="13"/>
      <c r="R3696" s="10"/>
      <c r="S3696" s="10"/>
    </row>
    <row r="3697" spans="1:19" x14ac:dyDescent="0.25">
      <c r="A3697" t="str">
        <f t="shared" si="58"/>
        <v/>
      </c>
      <c r="B3697" s="10"/>
      <c r="C3697" s="10"/>
      <c r="D3697" s="10"/>
      <c r="E3697" s="10"/>
      <c r="F3697" s="10"/>
      <c r="G3697" s="11"/>
      <c r="H3697" s="12"/>
      <c r="I3697" s="13"/>
      <c r="J3697" s="12"/>
      <c r="K3697" s="13"/>
      <c r="L3697" s="11"/>
      <c r="M3697" s="13"/>
      <c r="N3697" s="11"/>
      <c r="O3697" s="13"/>
      <c r="P3697" s="11"/>
      <c r="Q3697" s="13"/>
      <c r="R3697" s="10"/>
      <c r="S3697" s="10"/>
    </row>
    <row r="3698" spans="1:19" x14ac:dyDescent="0.25">
      <c r="A3698" t="str">
        <f t="shared" si="58"/>
        <v/>
      </c>
      <c r="B3698" s="10"/>
      <c r="C3698" s="10"/>
      <c r="D3698" s="10"/>
      <c r="E3698" s="10"/>
      <c r="F3698" s="10"/>
      <c r="G3698" s="11"/>
      <c r="H3698" s="12"/>
      <c r="I3698" s="13"/>
      <c r="J3698" s="12"/>
      <c r="K3698" s="13"/>
      <c r="L3698" s="11"/>
      <c r="M3698" s="13"/>
      <c r="N3698" s="11"/>
      <c r="O3698" s="13"/>
      <c r="P3698" s="11"/>
      <c r="Q3698" s="13"/>
      <c r="R3698" s="10"/>
      <c r="S3698" s="10"/>
    </row>
    <row r="3699" spans="1:19" x14ac:dyDescent="0.25">
      <c r="A3699" t="str">
        <f t="shared" si="58"/>
        <v/>
      </c>
      <c r="B3699" s="10"/>
      <c r="C3699" s="10"/>
      <c r="D3699" s="10"/>
      <c r="E3699" s="10"/>
      <c r="F3699" s="10"/>
      <c r="G3699" s="11"/>
      <c r="H3699" s="12"/>
      <c r="I3699" s="13"/>
      <c r="J3699" s="12"/>
      <c r="K3699" s="13"/>
      <c r="L3699" s="11"/>
      <c r="M3699" s="13"/>
      <c r="N3699" s="11"/>
      <c r="O3699" s="13"/>
      <c r="P3699" s="11"/>
      <c r="Q3699" s="13"/>
      <c r="R3699" s="10"/>
      <c r="S3699" s="10"/>
    </row>
    <row r="3700" spans="1:19" x14ac:dyDescent="0.25">
      <c r="A3700" t="str">
        <f t="shared" si="58"/>
        <v/>
      </c>
      <c r="B3700" s="10"/>
      <c r="C3700" s="10"/>
      <c r="D3700" s="10"/>
      <c r="E3700" s="10"/>
      <c r="F3700" s="10"/>
      <c r="G3700" s="11"/>
      <c r="H3700" s="12"/>
      <c r="I3700" s="13"/>
      <c r="J3700" s="12"/>
      <c r="K3700" s="13"/>
      <c r="L3700" s="11"/>
      <c r="M3700" s="13"/>
      <c r="N3700" s="11"/>
      <c r="O3700" s="13"/>
      <c r="P3700" s="11"/>
      <c r="Q3700" s="13"/>
      <c r="R3700" s="10"/>
      <c r="S3700" s="10"/>
    </row>
    <row r="3701" spans="1:19" x14ac:dyDescent="0.25">
      <c r="A3701" t="str">
        <f t="shared" ref="A3701:A3764" si="59">B3699&amp;D3699</f>
        <v/>
      </c>
      <c r="B3701" s="10"/>
      <c r="C3701" s="10"/>
      <c r="D3701" s="10"/>
      <c r="E3701" s="10"/>
      <c r="F3701" s="10"/>
      <c r="G3701" s="11"/>
      <c r="H3701" s="12"/>
      <c r="I3701" s="13"/>
      <c r="J3701" s="12"/>
      <c r="K3701" s="13"/>
      <c r="L3701" s="11"/>
      <c r="M3701" s="13"/>
      <c r="N3701" s="11"/>
      <c r="O3701" s="13"/>
      <c r="P3701" s="11"/>
      <c r="Q3701" s="13"/>
      <c r="R3701" s="10"/>
      <c r="S3701" s="10"/>
    </row>
    <row r="3702" spans="1:19" x14ac:dyDescent="0.25">
      <c r="A3702" t="str">
        <f t="shared" si="59"/>
        <v/>
      </c>
      <c r="B3702" s="10"/>
      <c r="C3702" s="10"/>
      <c r="D3702" s="10"/>
      <c r="E3702" s="10"/>
      <c r="F3702" s="10"/>
      <c r="G3702" s="11"/>
      <c r="H3702" s="12"/>
      <c r="I3702" s="13"/>
      <c r="J3702" s="12"/>
      <c r="K3702" s="13"/>
      <c r="L3702" s="11"/>
      <c r="M3702" s="13"/>
      <c r="N3702" s="11"/>
      <c r="O3702" s="13"/>
      <c r="P3702" s="11"/>
      <c r="Q3702" s="13"/>
      <c r="R3702" s="10"/>
      <c r="S3702" s="10"/>
    </row>
    <row r="3703" spans="1:19" x14ac:dyDescent="0.25">
      <c r="A3703" t="str">
        <f t="shared" si="59"/>
        <v/>
      </c>
      <c r="B3703" s="10"/>
      <c r="C3703" s="10"/>
      <c r="D3703" s="10"/>
      <c r="E3703" s="10"/>
      <c r="F3703" s="10"/>
      <c r="G3703" s="11"/>
      <c r="H3703" s="12"/>
      <c r="I3703" s="13"/>
      <c r="J3703" s="12"/>
      <c r="K3703" s="13"/>
      <c r="L3703" s="11"/>
      <c r="M3703" s="13"/>
      <c r="N3703" s="11"/>
      <c r="O3703" s="13"/>
      <c r="P3703" s="11"/>
      <c r="Q3703" s="13"/>
      <c r="R3703" s="10"/>
      <c r="S3703" s="10"/>
    </row>
    <row r="3704" spans="1:19" x14ac:dyDescent="0.25">
      <c r="A3704" t="str">
        <f t="shared" si="59"/>
        <v/>
      </c>
      <c r="B3704" s="10"/>
      <c r="C3704" s="10"/>
      <c r="D3704" s="10"/>
      <c r="E3704" s="10"/>
      <c r="F3704" s="10"/>
      <c r="G3704" s="11"/>
      <c r="H3704" s="12"/>
      <c r="I3704" s="13"/>
      <c r="J3704" s="12"/>
      <c r="K3704" s="13"/>
      <c r="L3704" s="11"/>
      <c r="M3704" s="13"/>
      <c r="N3704" s="11"/>
      <c r="O3704" s="13"/>
      <c r="P3704" s="11"/>
      <c r="Q3704" s="13"/>
      <c r="R3704" s="10"/>
      <c r="S3704" s="10"/>
    </row>
    <row r="3705" spans="1:19" x14ac:dyDescent="0.25">
      <c r="A3705" t="str">
        <f t="shared" si="59"/>
        <v/>
      </c>
      <c r="B3705" s="10"/>
      <c r="C3705" s="10"/>
      <c r="D3705" s="10"/>
      <c r="E3705" s="10"/>
      <c r="F3705" s="10"/>
      <c r="G3705" s="11"/>
      <c r="H3705" s="12"/>
      <c r="I3705" s="13"/>
      <c r="J3705" s="12"/>
      <c r="K3705" s="13"/>
      <c r="L3705" s="11"/>
      <c r="M3705" s="13"/>
      <c r="N3705" s="11"/>
      <c r="O3705" s="13"/>
      <c r="P3705" s="11"/>
      <c r="Q3705" s="13"/>
      <c r="R3705" s="10"/>
      <c r="S3705" s="10"/>
    </row>
    <row r="3706" spans="1:19" x14ac:dyDescent="0.25">
      <c r="A3706" t="str">
        <f t="shared" si="59"/>
        <v/>
      </c>
      <c r="B3706" s="10"/>
      <c r="C3706" s="10"/>
      <c r="D3706" s="10"/>
      <c r="E3706" s="10"/>
      <c r="F3706" s="10"/>
      <c r="G3706" s="11"/>
      <c r="H3706" s="12"/>
      <c r="I3706" s="13"/>
      <c r="J3706" s="12"/>
      <c r="K3706" s="13"/>
      <c r="L3706" s="11"/>
      <c r="M3706" s="13"/>
      <c r="N3706" s="11"/>
      <c r="O3706" s="13"/>
      <c r="P3706" s="11"/>
      <c r="Q3706" s="13"/>
      <c r="R3706" s="10"/>
      <c r="S3706" s="10"/>
    </row>
    <row r="3707" spans="1:19" x14ac:dyDescent="0.25">
      <c r="A3707" t="str">
        <f t="shared" si="59"/>
        <v/>
      </c>
      <c r="B3707" s="10"/>
      <c r="C3707" s="10"/>
      <c r="D3707" s="10"/>
      <c r="E3707" s="10"/>
      <c r="F3707" s="10"/>
      <c r="G3707" s="11"/>
      <c r="H3707" s="12"/>
      <c r="I3707" s="13"/>
      <c r="J3707" s="12"/>
      <c r="K3707" s="13"/>
      <c r="L3707" s="11"/>
      <c r="M3707" s="13"/>
      <c r="N3707" s="11"/>
      <c r="O3707" s="13"/>
      <c r="P3707" s="11"/>
      <c r="Q3707" s="13"/>
      <c r="R3707" s="10"/>
      <c r="S3707" s="10"/>
    </row>
    <row r="3708" spans="1:19" x14ac:dyDescent="0.25">
      <c r="A3708" t="str">
        <f t="shared" si="59"/>
        <v/>
      </c>
      <c r="B3708" s="10"/>
      <c r="C3708" s="10"/>
      <c r="D3708" s="10"/>
      <c r="E3708" s="10"/>
      <c r="F3708" s="10"/>
      <c r="G3708" s="11"/>
      <c r="H3708" s="12"/>
      <c r="I3708" s="13"/>
      <c r="J3708" s="12"/>
      <c r="K3708" s="13"/>
      <c r="L3708" s="11"/>
      <c r="M3708" s="13"/>
      <c r="N3708" s="11"/>
      <c r="O3708" s="13"/>
      <c r="P3708" s="11"/>
      <c r="Q3708" s="13"/>
      <c r="R3708" s="10"/>
      <c r="S3708" s="10"/>
    </row>
    <row r="3709" spans="1:19" x14ac:dyDescent="0.25">
      <c r="A3709" t="str">
        <f t="shared" si="59"/>
        <v/>
      </c>
      <c r="B3709" s="10"/>
      <c r="C3709" s="10"/>
      <c r="D3709" s="10"/>
      <c r="E3709" s="10"/>
      <c r="F3709" s="10"/>
      <c r="G3709" s="11"/>
      <c r="H3709" s="12"/>
      <c r="I3709" s="13"/>
      <c r="J3709" s="12"/>
      <c r="K3709" s="13"/>
      <c r="L3709" s="11"/>
      <c r="M3709" s="13"/>
      <c r="N3709" s="11"/>
      <c r="O3709" s="13"/>
      <c r="P3709" s="11"/>
      <c r="Q3709" s="13"/>
      <c r="R3709" s="10"/>
      <c r="S3709" s="10"/>
    </row>
    <row r="3710" spans="1:19" x14ac:dyDescent="0.25">
      <c r="A3710" t="str">
        <f t="shared" si="59"/>
        <v/>
      </c>
      <c r="B3710" s="10"/>
      <c r="C3710" s="10"/>
      <c r="D3710" s="10"/>
      <c r="E3710" s="10"/>
      <c r="F3710" s="10"/>
      <c r="G3710" s="11"/>
      <c r="H3710" s="12"/>
      <c r="I3710" s="13"/>
      <c r="J3710" s="12"/>
      <c r="K3710" s="13"/>
      <c r="L3710" s="11"/>
      <c r="M3710" s="13"/>
      <c r="N3710" s="11"/>
      <c r="O3710" s="13"/>
      <c r="P3710" s="11"/>
      <c r="Q3710" s="13"/>
      <c r="R3710" s="10"/>
      <c r="S3710" s="10"/>
    </row>
    <row r="3711" spans="1:19" x14ac:dyDescent="0.25">
      <c r="A3711" t="str">
        <f t="shared" si="59"/>
        <v/>
      </c>
      <c r="B3711" s="10"/>
      <c r="C3711" s="10"/>
      <c r="D3711" s="10"/>
      <c r="E3711" s="10"/>
      <c r="F3711" s="10"/>
      <c r="G3711" s="11"/>
      <c r="H3711" s="12"/>
      <c r="I3711" s="13"/>
      <c r="J3711" s="12"/>
      <c r="K3711" s="13"/>
      <c r="L3711" s="11"/>
      <c r="M3711" s="13"/>
      <c r="N3711" s="11"/>
      <c r="O3711" s="13"/>
      <c r="P3711" s="11"/>
      <c r="Q3711" s="13"/>
      <c r="R3711" s="10"/>
      <c r="S3711" s="10"/>
    </row>
    <row r="3712" spans="1:19" x14ac:dyDescent="0.25">
      <c r="A3712" t="str">
        <f t="shared" si="59"/>
        <v/>
      </c>
      <c r="B3712" s="10"/>
      <c r="C3712" s="10"/>
      <c r="D3712" s="10"/>
      <c r="E3712" s="10"/>
      <c r="F3712" s="10"/>
      <c r="G3712" s="11"/>
      <c r="H3712" s="12"/>
      <c r="I3712" s="13"/>
      <c r="J3712" s="12"/>
      <c r="K3712" s="13"/>
      <c r="L3712" s="11"/>
      <c r="M3712" s="13"/>
      <c r="N3712" s="11"/>
      <c r="O3712" s="13"/>
      <c r="P3712" s="11"/>
      <c r="Q3712" s="13"/>
      <c r="R3712" s="10"/>
      <c r="S3712" s="10"/>
    </row>
    <row r="3713" spans="1:19" x14ac:dyDescent="0.25">
      <c r="A3713" t="str">
        <f t="shared" si="59"/>
        <v/>
      </c>
      <c r="B3713" s="10"/>
      <c r="C3713" s="10"/>
      <c r="D3713" s="10"/>
      <c r="E3713" s="10"/>
      <c r="F3713" s="10"/>
      <c r="G3713" s="11"/>
      <c r="H3713" s="12"/>
      <c r="I3713" s="13"/>
      <c r="J3713" s="12"/>
      <c r="K3713" s="13"/>
      <c r="L3713" s="11"/>
      <c r="M3713" s="13"/>
      <c r="N3713" s="11"/>
      <c r="O3713" s="13"/>
      <c r="P3713" s="11"/>
      <c r="Q3713" s="13"/>
      <c r="R3713" s="10"/>
      <c r="S3713" s="10"/>
    </row>
    <row r="3714" spans="1:19" x14ac:dyDescent="0.25">
      <c r="A3714" t="str">
        <f t="shared" si="59"/>
        <v/>
      </c>
      <c r="B3714" s="10"/>
      <c r="C3714" s="10"/>
      <c r="D3714" s="10"/>
      <c r="E3714" s="10"/>
      <c r="F3714" s="10"/>
      <c r="G3714" s="11"/>
      <c r="H3714" s="12"/>
      <c r="I3714" s="13"/>
      <c r="J3714" s="12"/>
      <c r="K3714" s="13"/>
      <c r="L3714" s="11"/>
      <c r="M3714" s="13"/>
      <c r="N3714" s="11"/>
      <c r="O3714" s="13"/>
      <c r="P3714" s="11"/>
      <c r="Q3714" s="13"/>
      <c r="R3714" s="10"/>
      <c r="S3714" s="10"/>
    </row>
    <row r="3715" spans="1:19" x14ac:dyDescent="0.25">
      <c r="A3715" t="str">
        <f t="shared" si="59"/>
        <v/>
      </c>
      <c r="B3715" s="10"/>
      <c r="C3715" s="10"/>
      <c r="D3715" s="10"/>
      <c r="E3715" s="10"/>
      <c r="F3715" s="10"/>
      <c r="G3715" s="11"/>
      <c r="H3715" s="12"/>
      <c r="I3715" s="13"/>
      <c r="J3715" s="12"/>
      <c r="K3715" s="13"/>
      <c r="L3715" s="11"/>
      <c r="M3715" s="13"/>
      <c r="N3715" s="11"/>
      <c r="O3715" s="13"/>
      <c r="P3715" s="11"/>
      <c r="Q3715" s="13"/>
      <c r="R3715" s="10"/>
      <c r="S3715" s="10"/>
    </row>
    <row r="3716" spans="1:19" x14ac:dyDescent="0.25">
      <c r="A3716" t="str">
        <f t="shared" si="59"/>
        <v/>
      </c>
      <c r="B3716" s="10"/>
      <c r="C3716" s="10"/>
      <c r="D3716" s="10"/>
      <c r="E3716" s="10"/>
      <c r="F3716" s="10"/>
      <c r="G3716" s="11"/>
      <c r="H3716" s="12"/>
      <c r="I3716" s="13"/>
      <c r="J3716" s="12"/>
      <c r="K3716" s="13"/>
      <c r="L3716" s="11"/>
      <c r="M3716" s="13"/>
      <c r="N3716" s="11"/>
      <c r="O3716" s="13"/>
      <c r="P3716" s="11"/>
      <c r="Q3716" s="13"/>
      <c r="R3716" s="10"/>
      <c r="S3716" s="10"/>
    </row>
    <row r="3717" spans="1:19" x14ac:dyDescent="0.25">
      <c r="A3717" t="str">
        <f t="shared" si="59"/>
        <v/>
      </c>
      <c r="B3717" s="10"/>
      <c r="C3717" s="10"/>
      <c r="D3717" s="10"/>
      <c r="E3717" s="10"/>
      <c r="F3717" s="10"/>
      <c r="G3717" s="11"/>
      <c r="H3717" s="12"/>
      <c r="I3717" s="13"/>
      <c r="J3717" s="12"/>
      <c r="K3717" s="13"/>
      <c r="L3717" s="11"/>
      <c r="M3717" s="13"/>
      <c r="N3717" s="11"/>
      <c r="O3717" s="13"/>
      <c r="P3717" s="11"/>
      <c r="Q3717" s="13"/>
      <c r="R3717" s="10"/>
      <c r="S3717" s="10"/>
    </row>
    <row r="3718" spans="1:19" x14ac:dyDescent="0.25">
      <c r="A3718" t="str">
        <f t="shared" si="59"/>
        <v/>
      </c>
      <c r="B3718" s="10"/>
      <c r="C3718" s="10"/>
      <c r="D3718" s="10"/>
      <c r="E3718" s="10"/>
      <c r="F3718" s="10"/>
      <c r="G3718" s="11"/>
      <c r="H3718" s="12"/>
      <c r="I3718" s="13"/>
      <c r="J3718" s="12"/>
      <c r="K3718" s="13"/>
      <c r="L3718" s="11"/>
      <c r="M3718" s="13"/>
      <c r="N3718" s="11"/>
      <c r="O3718" s="13"/>
      <c r="P3718" s="11"/>
      <c r="Q3718" s="13"/>
      <c r="R3718" s="10"/>
      <c r="S3718" s="10"/>
    </row>
    <row r="3719" spans="1:19" x14ac:dyDescent="0.25">
      <c r="A3719" t="str">
        <f t="shared" si="59"/>
        <v/>
      </c>
      <c r="B3719" s="10"/>
      <c r="C3719" s="10"/>
      <c r="D3719" s="10"/>
      <c r="E3719" s="10"/>
      <c r="F3719" s="10"/>
      <c r="G3719" s="11"/>
      <c r="H3719" s="12"/>
      <c r="I3719" s="13"/>
      <c r="J3719" s="12"/>
      <c r="K3719" s="13"/>
      <c r="L3719" s="11"/>
      <c r="M3719" s="13"/>
      <c r="N3719" s="11"/>
      <c r="O3719" s="13"/>
      <c r="P3719" s="11"/>
      <c r="Q3719" s="13"/>
      <c r="R3719" s="10"/>
      <c r="S3719" s="10"/>
    </row>
    <row r="3720" spans="1:19" x14ac:dyDescent="0.25">
      <c r="A3720" t="str">
        <f t="shared" si="59"/>
        <v/>
      </c>
      <c r="B3720" s="10"/>
      <c r="C3720" s="10"/>
      <c r="D3720" s="10"/>
      <c r="E3720" s="10"/>
      <c r="F3720" s="10"/>
      <c r="G3720" s="11"/>
      <c r="H3720" s="12"/>
      <c r="I3720" s="13"/>
      <c r="J3720" s="12"/>
      <c r="K3720" s="13"/>
      <c r="L3720" s="11"/>
      <c r="M3720" s="13"/>
      <c r="N3720" s="11"/>
      <c r="O3720" s="13"/>
      <c r="P3720" s="11"/>
      <c r="Q3720" s="13"/>
      <c r="R3720" s="10"/>
      <c r="S3720" s="10"/>
    </row>
    <row r="3721" spans="1:19" x14ac:dyDescent="0.25">
      <c r="A3721" t="str">
        <f t="shared" si="59"/>
        <v/>
      </c>
      <c r="B3721" s="10"/>
      <c r="C3721" s="10"/>
      <c r="D3721" s="10"/>
      <c r="E3721" s="10"/>
      <c r="F3721" s="10"/>
      <c r="G3721" s="11"/>
      <c r="H3721" s="12"/>
      <c r="I3721" s="13"/>
      <c r="J3721" s="12"/>
      <c r="K3721" s="13"/>
      <c r="L3721" s="11"/>
      <c r="M3721" s="13"/>
      <c r="N3721" s="11"/>
      <c r="O3721" s="13"/>
      <c r="P3721" s="11"/>
      <c r="Q3721" s="13"/>
      <c r="R3721" s="10"/>
      <c r="S3721" s="10"/>
    </row>
    <row r="3722" spans="1:19" x14ac:dyDescent="0.25">
      <c r="A3722" t="str">
        <f t="shared" si="59"/>
        <v/>
      </c>
      <c r="B3722" s="10"/>
      <c r="C3722" s="10"/>
      <c r="D3722" s="10"/>
      <c r="E3722" s="10"/>
      <c r="F3722" s="10"/>
      <c r="G3722" s="11"/>
      <c r="H3722" s="12"/>
      <c r="I3722" s="13"/>
      <c r="J3722" s="12"/>
      <c r="K3722" s="13"/>
      <c r="L3722" s="11"/>
      <c r="M3722" s="13"/>
      <c r="N3722" s="11"/>
      <c r="O3722" s="13"/>
      <c r="P3722" s="11"/>
      <c r="Q3722" s="13"/>
      <c r="R3722" s="10"/>
      <c r="S3722" s="10"/>
    </row>
    <row r="3723" spans="1:19" x14ac:dyDescent="0.25">
      <c r="A3723" t="str">
        <f t="shared" si="59"/>
        <v/>
      </c>
      <c r="B3723" s="10"/>
      <c r="C3723" s="10"/>
      <c r="D3723" s="10"/>
      <c r="E3723" s="10"/>
      <c r="F3723" s="10"/>
      <c r="G3723" s="11"/>
      <c r="H3723" s="12"/>
      <c r="I3723" s="13"/>
      <c r="J3723" s="12"/>
      <c r="K3723" s="13"/>
      <c r="L3723" s="11"/>
      <c r="M3723" s="13"/>
      <c r="N3723" s="11"/>
      <c r="O3723" s="13"/>
      <c r="P3723" s="11"/>
      <c r="Q3723" s="13"/>
      <c r="R3723" s="10"/>
      <c r="S3723" s="10"/>
    </row>
    <row r="3724" spans="1:19" x14ac:dyDescent="0.25">
      <c r="A3724" t="str">
        <f t="shared" si="59"/>
        <v/>
      </c>
      <c r="B3724" s="10"/>
      <c r="C3724" s="10"/>
      <c r="D3724" s="10"/>
      <c r="E3724" s="10"/>
      <c r="F3724" s="10"/>
      <c r="G3724" s="11"/>
      <c r="H3724" s="12"/>
      <c r="I3724" s="13"/>
      <c r="J3724" s="12"/>
      <c r="K3724" s="13"/>
      <c r="L3724" s="11"/>
      <c r="M3724" s="13"/>
      <c r="N3724" s="11"/>
      <c r="O3724" s="13"/>
      <c r="P3724" s="11"/>
      <c r="Q3724" s="13"/>
      <c r="R3724" s="10"/>
      <c r="S3724" s="10"/>
    </row>
    <row r="3725" spans="1:19" x14ac:dyDescent="0.25">
      <c r="A3725" t="str">
        <f t="shared" si="59"/>
        <v/>
      </c>
      <c r="B3725" s="10"/>
      <c r="C3725" s="10"/>
      <c r="D3725" s="10"/>
      <c r="E3725" s="10"/>
      <c r="F3725" s="10"/>
      <c r="G3725" s="11"/>
      <c r="H3725" s="12"/>
      <c r="I3725" s="13"/>
      <c r="J3725" s="12"/>
      <c r="K3725" s="13"/>
      <c r="L3725" s="11"/>
      <c r="M3725" s="13"/>
      <c r="N3725" s="11"/>
      <c r="O3725" s="13"/>
      <c r="P3725" s="11"/>
      <c r="Q3725" s="13"/>
      <c r="R3725" s="10"/>
      <c r="S3725" s="10"/>
    </row>
    <row r="3726" spans="1:19" x14ac:dyDescent="0.25">
      <c r="A3726" t="str">
        <f t="shared" si="59"/>
        <v/>
      </c>
      <c r="B3726" s="10"/>
      <c r="C3726" s="10"/>
      <c r="D3726" s="10"/>
      <c r="E3726" s="10"/>
      <c r="F3726" s="10"/>
      <c r="G3726" s="11"/>
      <c r="H3726" s="12"/>
      <c r="I3726" s="13"/>
      <c r="J3726" s="12"/>
      <c r="K3726" s="13"/>
      <c r="L3726" s="11"/>
      <c r="M3726" s="13"/>
      <c r="N3726" s="11"/>
      <c r="O3726" s="13"/>
      <c r="P3726" s="11"/>
      <c r="Q3726" s="13"/>
      <c r="R3726" s="10"/>
      <c r="S3726" s="10"/>
    </row>
    <row r="3727" spans="1:19" x14ac:dyDescent="0.25">
      <c r="A3727" t="str">
        <f t="shared" si="59"/>
        <v/>
      </c>
      <c r="B3727" s="10"/>
      <c r="C3727" s="10"/>
      <c r="D3727" s="10"/>
      <c r="E3727" s="10"/>
      <c r="F3727" s="10"/>
      <c r="G3727" s="11"/>
      <c r="H3727" s="12"/>
      <c r="I3727" s="13"/>
      <c r="J3727" s="12"/>
      <c r="K3727" s="13"/>
      <c r="L3727" s="11"/>
      <c r="M3727" s="13"/>
      <c r="N3727" s="11"/>
      <c r="O3727" s="13"/>
      <c r="P3727" s="11"/>
      <c r="Q3727" s="13"/>
      <c r="R3727" s="10"/>
      <c r="S3727" s="10"/>
    </row>
    <row r="3728" spans="1:19" x14ac:dyDescent="0.25">
      <c r="A3728" t="str">
        <f t="shared" si="59"/>
        <v/>
      </c>
      <c r="B3728" s="10"/>
      <c r="C3728" s="10"/>
      <c r="D3728" s="10"/>
      <c r="E3728" s="10"/>
      <c r="F3728" s="10"/>
      <c r="G3728" s="11"/>
      <c r="H3728" s="12"/>
      <c r="I3728" s="13"/>
      <c r="J3728" s="12"/>
      <c r="K3728" s="13"/>
      <c r="L3728" s="11"/>
      <c r="M3728" s="13"/>
      <c r="N3728" s="11"/>
      <c r="O3728" s="13"/>
      <c r="P3728" s="11"/>
      <c r="Q3728" s="13"/>
      <c r="R3728" s="10"/>
      <c r="S3728" s="10"/>
    </row>
    <row r="3729" spans="1:19" x14ac:dyDescent="0.25">
      <c r="A3729" t="str">
        <f t="shared" si="59"/>
        <v/>
      </c>
      <c r="B3729" s="10"/>
      <c r="C3729" s="10"/>
      <c r="D3729" s="10"/>
      <c r="E3729" s="10"/>
      <c r="F3729" s="10"/>
      <c r="G3729" s="11"/>
      <c r="H3729" s="12"/>
      <c r="I3729" s="13"/>
      <c r="J3729" s="12"/>
      <c r="K3729" s="13"/>
      <c r="L3729" s="11"/>
      <c r="M3729" s="13"/>
      <c r="N3729" s="11"/>
      <c r="O3729" s="13"/>
      <c r="P3729" s="11"/>
      <c r="Q3729" s="13"/>
      <c r="R3729" s="10"/>
      <c r="S3729" s="10"/>
    </row>
    <row r="3730" spans="1:19" x14ac:dyDescent="0.25">
      <c r="A3730" t="str">
        <f t="shared" si="59"/>
        <v/>
      </c>
      <c r="B3730" s="10"/>
      <c r="C3730" s="10"/>
      <c r="D3730" s="10"/>
      <c r="E3730" s="10"/>
      <c r="F3730" s="10"/>
      <c r="G3730" s="11"/>
      <c r="H3730" s="12"/>
      <c r="I3730" s="13"/>
      <c r="J3730" s="12"/>
      <c r="K3730" s="13"/>
      <c r="L3730" s="11"/>
      <c r="M3730" s="13"/>
      <c r="N3730" s="11"/>
      <c r="O3730" s="13"/>
      <c r="P3730" s="11"/>
      <c r="Q3730" s="13"/>
      <c r="R3730" s="10"/>
      <c r="S3730" s="10"/>
    </row>
    <row r="3731" spans="1:19" x14ac:dyDescent="0.25">
      <c r="A3731" t="str">
        <f t="shared" si="59"/>
        <v/>
      </c>
      <c r="B3731" s="10"/>
      <c r="C3731" s="10"/>
      <c r="D3731" s="10"/>
      <c r="E3731" s="10"/>
      <c r="F3731" s="10"/>
      <c r="G3731" s="11"/>
      <c r="H3731" s="12"/>
      <c r="I3731" s="13"/>
      <c r="J3731" s="12"/>
      <c r="K3731" s="13"/>
      <c r="L3731" s="11"/>
      <c r="M3731" s="13"/>
      <c r="N3731" s="11"/>
      <c r="O3731" s="13"/>
      <c r="P3731" s="11"/>
      <c r="Q3731" s="13"/>
      <c r="R3731" s="10"/>
      <c r="S3731" s="10"/>
    </row>
    <row r="3732" spans="1:19" x14ac:dyDescent="0.25">
      <c r="A3732" t="str">
        <f t="shared" si="59"/>
        <v/>
      </c>
      <c r="B3732" s="10"/>
      <c r="C3732" s="10"/>
      <c r="D3732" s="10"/>
      <c r="E3732" s="10"/>
      <c r="F3732" s="10"/>
      <c r="G3732" s="11"/>
      <c r="H3732" s="12"/>
      <c r="I3732" s="13"/>
      <c r="J3732" s="12"/>
      <c r="K3732" s="13"/>
      <c r="L3732" s="11"/>
      <c r="M3732" s="13"/>
      <c r="N3732" s="11"/>
      <c r="O3732" s="13"/>
      <c r="P3732" s="11"/>
      <c r="Q3732" s="13"/>
      <c r="R3732" s="10"/>
      <c r="S3732" s="10"/>
    </row>
    <row r="3733" spans="1:19" x14ac:dyDescent="0.25">
      <c r="A3733" t="str">
        <f t="shared" si="59"/>
        <v/>
      </c>
      <c r="B3733" s="10"/>
      <c r="C3733" s="10"/>
      <c r="D3733" s="10"/>
      <c r="E3733" s="10"/>
      <c r="F3733" s="10"/>
      <c r="G3733" s="11"/>
      <c r="H3733" s="12"/>
      <c r="I3733" s="13"/>
      <c r="J3733" s="12"/>
      <c r="K3733" s="13"/>
      <c r="L3733" s="11"/>
      <c r="M3733" s="13"/>
      <c r="N3733" s="11"/>
      <c r="O3733" s="13"/>
      <c r="P3733" s="11"/>
      <c r="Q3733" s="13"/>
      <c r="R3733" s="10"/>
      <c r="S3733" s="10"/>
    </row>
    <row r="3734" spans="1:19" x14ac:dyDescent="0.25">
      <c r="A3734" t="str">
        <f t="shared" si="59"/>
        <v/>
      </c>
      <c r="B3734" s="10"/>
      <c r="C3734" s="10"/>
      <c r="D3734" s="10"/>
      <c r="E3734" s="10"/>
      <c r="F3734" s="10"/>
      <c r="G3734" s="11"/>
      <c r="H3734" s="12"/>
      <c r="I3734" s="13"/>
      <c r="J3734" s="12"/>
      <c r="K3734" s="13"/>
      <c r="L3734" s="11"/>
      <c r="M3734" s="13"/>
      <c r="N3734" s="11"/>
      <c r="O3734" s="13"/>
      <c r="P3734" s="11"/>
      <c r="Q3734" s="13"/>
      <c r="R3734" s="10"/>
      <c r="S3734" s="10"/>
    </row>
    <row r="3735" spans="1:19" x14ac:dyDescent="0.25">
      <c r="A3735" t="str">
        <f t="shared" si="59"/>
        <v/>
      </c>
      <c r="B3735" s="10"/>
      <c r="C3735" s="10"/>
      <c r="D3735" s="10"/>
      <c r="E3735" s="10"/>
      <c r="F3735" s="10"/>
      <c r="G3735" s="11"/>
      <c r="H3735" s="12"/>
      <c r="I3735" s="13"/>
      <c r="J3735" s="12"/>
      <c r="K3735" s="13"/>
      <c r="L3735" s="11"/>
      <c r="M3735" s="13"/>
      <c r="N3735" s="11"/>
      <c r="O3735" s="13"/>
      <c r="P3735" s="11"/>
      <c r="Q3735" s="13"/>
      <c r="R3735" s="10"/>
      <c r="S3735" s="10"/>
    </row>
    <row r="3736" spans="1:19" x14ac:dyDescent="0.25">
      <c r="A3736" t="str">
        <f t="shared" si="59"/>
        <v/>
      </c>
      <c r="B3736" s="10"/>
      <c r="C3736" s="10"/>
      <c r="D3736" s="10"/>
      <c r="E3736" s="10"/>
      <c r="F3736" s="10"/>
      <c r="G3736" s="11"/>
      <c r="H3736" s="12"/>
      <c r="I3736" s="13"/>
      <c r="J3736" s="12"/>
      <c r="K3736" s="13"/>
      <c r="L3736" s="11"/>
      <c r="M3736" s="13"/>
      <c r="N3736" s="11"/>
      <c r="O3736" s="13"/>
      <c r="P3736" s="11"/>
      <c r="Q3736" s="13"/>
      <c r="R3736" s="10"/>
      <c r="S3736" s="10"/>
    </row>
    <row r="3737" spans="1:19" x14ac:dyDescent="0.25">
      <c r="A3737" t="str">
        <f t="shared" si="59"/>
        <v/>
      </c>
      <c r="B3737" s="10"/>
      <c r="C3737" s="10"/>
      <c r="D3737" s="10"/>
      <c r="E3737" s="10"/>
      <c r="F3737" s="10"/>
      <c r="G3737" s="11"/>
      <c r="H3737" s="12"/>
      <c r="I3737" s="13"/>
      <c r="J3737" s="12"/>
      <c r="K3737" s="13"/>
      <c r="L3737" s="11"/>
      <c r="M3737" s="13"/>
      <c r="N3737" s="11"/>
      <c r="O3737" s="13"/>
      <c r="P3737" s="11"/>
      <c r="Q3737" s="13"/>
      <c r="R3737" s="10"/>
      <c r="S3737" s="10"/>
    </row>
    <row r="3738" spans="1:19" x14ac:dyDescent="0.25">
      <c r="A3738" t="str">
        <f t="shared" si="59"/>
        <v/>
      </c>
      <c r="B3738" s="10"/>
      <c r="C3738" s="10"/>
      <c r="D3738" s="10"/>
      <c r="E3738" s="10"/>
      <c r="F3738" s="10"/>
      <c r="G3738" s="11"/>
      <c r="H3738" s="12"/>
      <c r="I3738" s="13"/>
      <c r="J3738" s="12"/>
      <c r="K3738" s="13"/>
      <c r="L3738" s="11"/>
      <c r="M3738" s="13"/>
      <c r="N3738" s="11"/>
      <c r="O3738" s="13"/>
      <c r="P3738" s="11"/>
      <c r="Q3738" s="13"/>
      <c r="R3738" s="10"/>
      <c r="S3738" s="10"/>
    </row>
    <row r="3739" spans="1:19" x14ac:dyDescent="0.25">
      <c r="A3739" t="str">
        <f t="shared" si="59"/>
        <v/>
      </c>
      <c r="B3739" s="10"/>
      <c r="C3739" s="10"/>
      <c r="D3739" s="10"/>
      <c r="E3739" s="10"/>
      <c r="F3739" s="10"/>
      <c r="G3739" s="11"/>
      <c r="H3739" s="12"/>
      <c r="I3739" s="13"/>
      <c r="J3739" s="12"/>
      <c r="K3739" s="13"/>
      <c r="L3739" s="11"/>
      <c r="M3739" s="13"/>
      <c r="N3739" s="11"/>
      <c r="O3739" s="13"/>
      <c r="P3739" s="11"/>
      <c r="Q3739" s="13"/>
      <c r="R3739" s="10"/>
      <c r="S3739" s="10"/>
    </row>
    <row r="3740" spans="1:19" x14ac:dyDescent="0.25">
      <c r="A3740" t="str">
        <f t="shared" si="59"/>
        <v/>
      </c>
      <c r="B3740" s="10"/>
      <c r="C3740" s="10"/>
      <c r="D3740" s="10"/>
      <c r="E3740" s="10"/>
      <c r="F3740" s="10"/>
      <c r="G3740" s="11"/>
      <c r="H3740" s="12"/>
      <c r="I3740" s="13"/>
      <c r="J3740" s="12"/>
      <c r="K3740" s="13"/>
      <c r="L3740" s="11"/>
      <c r="M3740" s="13"/>
      <c r="N3740" s="11"/>
      <c r="O3740" s="13"/>
      <c r="P3740" s="11"/>
      <c r="Q3740" s="13"/>
      <c r="R3740" s="10"/>
      <c r="S3740" s="10"/>
    </row>
    <row r="3741" spans="1:19" x14ac:dyDescent="0.25">
      <c r="A3741" t="str">
        <f t="shared" si="59"/>
        <v/>
      </c>
      <c r="B3741" s="10"/>
      <c r="C3741" s="10"/>
      <c r="D3741" s="10"/>
      <c r="E3741" s="10"/>
      <c r="F3741" s="10"/>
      <c r="G3741" s="11"/>
      <c r="H3741" s="12"/>
      <c r="I3741" s="13"/>
      <c r="J3741" s="12"/>
      <c r="K3741" s="13"/>
      <c r="L3741" s="11"/>
      <c r="M3741" s="13"/>
      <c r="N3741" s="11"/>
      <c r="O3741" s="13"/>
      <c r="P3741" s="11"/>
      <c r="Q3741" s="13"/>
      <c r="R3741" s="10"/>
      <c r="S3741" s="10"/>
    </row>
    <row r="3742" spans="1:19" x14ac:dyDescent="0.25">
      <c r="A3742" t="str">
        <f t="shared" si="59"/>
        <v/>
      </c>
      <c r="B3742" s="10"/>
      <c r="C3742" s="10"/>
      <c r="D3742" s="10"/>
      <c r="E3742" s="10"/>
      <c r="F3742" s="10"/>
      <c r="G3742" s="11"/>
      <c r="H3742" s="12"/>
      <c r="I3742" s="13"/>
      <c r="J3742" s="12"/>
      <c r="K3742" s="13"/>
      <c r="L3742" s="11"/>
      <c r="M3742" s="13"/>
      <c r="N3742" s="11"/>
      <c r="O3742" s="13"/>
      <c r="P3742" s="11"/>
      <c r="Q3742" s="13"/>
      <c r="R3742" s="10"/>
      <c r="S3742" s="10"/>
    </row>
    <row r="3743" spans="1:19" x14ac:dyDescent="0.25">
      <c r="A3743" t="str">
        <f t="shared" si="59"/>
        <v/>
      </c>
      <c r="B3743" s="10"/>
      <c r="C3743" s="10"/>
      <c r="D3743" s="10"/>
      <c r="E3743" s="10"/>
      <c r="F3743" s="10"/>
      <c r="G3743" s="11"/>
      <c r="H3743" s="12"/>
      <c r="I3743" s="13"/>
      <c r="J3743" s="12"/>
      <c r="K3743" s="13"/>
      <c r="L3743" s="11"/>
      <c r="M3743" s="13"/>
      <c r="N3743" s="11"/>
      <c r="O3743" s="13"/>
      <c r="P3743" s="11"/>
      <c r="Q3743" s="13"/>
      <c r="R3743" s="10"/>
      <c r="S3743" s="10"/>
    </row>
    <row r="3744" spans="1:19" x14ac:dyDescent="0.25">
      <c r="A3744" t="str">
        <f t="shared" si="59"/>
        <v/>
      </c>
      <c r="B3744" s="10"/>
      <c r="C3744" s="10"/>
      <c r="D3744" s="10"/>
      <c r="E3744" s="10"/>
      <c r="F3744" s="10"/>
      <c r="G3744" s="11"/>
      <c r="H3744" s="12"/>
      <c r="I3744" s="13"/>
      <c r="J3744" s="12"/>
      <c r="K3744" s="13"/>
      <c r="L3744" s="11"/>
      <c r="M3744" s="13"/>
      <c r="N3744" s="11"/>
      <c r="O3744" s="13"/>
      <c r="P3744" s="11"/>
      <c r="Q3744" s="13"/>
      <c r="R3744" s="10"/>
      <c r="S3744" s="10"/>
    </row>
    <row r="3745" spans="1:19" x14ac:dyDescent="0.25">
      <c r="A3745" t="str">
        <f t="shared" si="59"/>
        <v/>
      </c>
      <c r="B3745" s="10"/>
      <c r="C3745" s="10"/>
      <c r="D3745" s="10"/>
      <c r="E3745" s="10"/>
      <c r="F3745" s="10"/>
      <c r="G3745" s="11"/>
      <c r="H3745" s="12"/>
      <c r="I3745" s="13"/>
      <c r="J3745" s="12"/>
      <c r="K3745" s="13"/>
      <c r="L3745" s="11"/>
      <c r="M3745" s="13"/>
      <c r="N3745" s="11"/>
      <c r="O3745" s="13"/>
      <c r="P3745" s="11"/>
      <c r="Q3745" s="13"/>
      <c r="R3745" s="10"/>
      <c r="S3745" s="10"/>
    </row>
    <row r="3746" spans="1:19" x14ac:dyDescent="0.25">
      <c r="A3746" t="str">
        <f t="shared" si="59"/>
        <v/>
      </c>
      <c r="B3746" s="10"/>
      <c r="C3746" s="10"/>
      <c r="D3746" s="10"/>
      <c r="E3746" s="10"/>
      <c r="F3746" s="10"/>
      <c r="G3746" s="11"/>
      <c r="H3746" s="12"/>
      <c r="I3746" s="13"/>
      <c r="J3746" s="12"/>
      <c r="K3746" s="13"/>
      <c r="L3746" s="11"/>
      <c r="M3746" s="13"/>
      <c r="N3746" s="11"/>
      <c r="O3746" s="13"/>
      <c r="P3746" s="11"/>
      <c r="Q3746" s="13"/>
      <c r="R3746" s="10"/>
      <c r="S3746" s="10"/>
    </row>
    <row r="3747" spans="1:19" x14ac:dyDescent="0.25">
      <c r="A3747" t="str">
        <f t="shared" si="59"/>
        <v/>
      </c>
      <c r="B3747" s="10"/>
      <c r="C3747" s="10"/>
      <c r="D3747" s="10"/>
      <c r="E3747" s="10"/>
      <c r="F3747" s="10"/>
      <c r="G3747" s="11"/>
      <c r="H3747" s="12"/>
      <c r="I3747" s="13"/>
      <c r="J3747" s="12"/>
      <c r="K3747" s="13"/>
      <c r="L3747" s="11"/>
      <c r="M3747" s="13"/>
      <c r="N3747" s="11"/>
      <c r="O3747" s="13"/>
      <c r="P3747" s="11"/>
      <c r="Q3747" s="13"/>
      <c r="R3747" s="10"/>
      <c r="S3747" s="10"/>
    </row>
    <row r="3748" spans="1:19" x14ac:dyDescent="0.25">
      <c r="A3748" t="str">
        <f t="shared" si="59"/>
        <v/>
      </c>
      <c r="B3748" s="10"/>
      <c r="C3748" s="10"/>
      <c r="D3748" s="10"/>
      <c r="E3748" s="10"/>
      <c r="F3748" s="10"/>
      <c r="G3748" s="11"/>
      <c r="H3748" s="12"/>
      <c r="I3748" s="13"/>
      <c r="J3748" s="12"/>
      <c r="K3748" s="13"/>
      <c r="L3748" s="11"/>
      <c r="M3748" s="13"/>
      <c r="N3748" s="11"/>
      <c r="O3748" s="13"/>
      <c r="P3748" s="11"/>
      <c r="Q3748" s="13"/>
      <c r="R3748" s="10"/>
      <c r="S3748" s="10"/>
    </row>
    <row r="3749" spans="1:19" x14ac:dyDescent="0.25">
      <c r="A3749" t="str">
        <f t="shared" si="59"/>
        <v/>
      </c>
      <c r="B3749" s="10"/>
      <c r="C3749" s="10"/>
      <c r="D3749" s="10"/>
      <c r="E3749" s="10"/>
      <c r="F3749" s="10"/>
      <c r="G3749" s="11"/>
      <c r="H3749" s="12"/>
      <c r="I3749" s="13"/>
      <c r="J3749" s="12"/>
      <c r="K3749" s="13"/>
      <c r="L3749" s="11"/>
      <c r="M3749" s="13"/>
      <c r="N3749" s="11"/>
      <c r="O3749" s="13"/>
      <c r="P3749" s="11"/>
      <c r="Q3749" s="13"/>
      <c r="R3749" s="10"/>
      <c r="S3749" s="10"/>
    </row>
    <row r="3750" spans="1:19" x14ac:dyDescent="0.25">
      <c r="A3750" t="str">
        <f t="shared" si="59"/>
        <v/>
      </c>
      <c r="B3750" s="10"/>
      <c r="C3750" s="10"/>
      <c r="D3750" s="10"/>
      <c r="E3750" s="10"/>
      <c r="F3750" s="10"/>
      <c r="G3750" s="11"/>
      <c r="H3750" s="12"/>
      <c r="I3750" s="13"/>
      <c r="J3750" s="12"/>
      <c r="K3750" s="13"/>
      <c r="L3750" s="11"/>
      <c r="M3750" s="13"/>
      <c r="N3750" s="11"/>
      <c r="O3750" s="13"/>
      <c r="P3750" s="11"/>
      <c r="Q3750" s="13"/>
      <c r="R3750" s="10"/>
      <c r="S3750" s="10"/>
    </row>
    <row r="3751" spans="1:19" x14ac:dyDescent="0.25">
      <c r="A3751" t="str">
        <f t="shared" si="59"/>
        <v/>
      </c>
      <c r="B3751" s="10"/>
      <c r="C3751" s="10"/>
      <c r="D3751" s="10"/>
      <c r="E3751" s="10"/>
      <c r="F3751" s="10"/>
      <c r="G3751" s="11"/>
      <c r="H3751" s="12"/>
      <c r="I3751" s="13"/>
      <c r="J3751" s="12"/>
      <c r="K3751" s="13"/>
      <c r="L3751" s="11"/>
      <c r="M3751" s="13"/>
      <c r="N3751" s="11"/>
      <c r="O3751" s="13"/>
      <c r="P3751" s="11"/>
      <c r="Q3751" s="13"/>
      <c r="R3751" s="10"/>
      <c r="S3751" s="10"/>
    </row>
    <row r="3752" spans="1:19" x14ac:dyDescent="0.25">
      <c r="A3752" t="str">
        <f t="shared" si="59"/>
        <v/>
      </c>
      <c r="B3752" s="10"/>
      <c r="C3752" s="10"/>
      <c r="D3752" s="10"/>
      <c r="E3752" s="10"/>
      <c r="F3752" s="10"/>
      <c r="G3752" s="11"/>
      <c r="H3752" s="12"/>
      <c r="I3752" s="13"/>
      <c r="J3752" s="12"/>
      <c r="K3752" s="13"/>
      <c r="L3752" s="11"/>
      <c r="M3752" s="13"/>
      <c r="N3752" s="11"/>
      <c r="O3752" s="13"/>
      <c r="P3752" s="11"/>
      <c r="Q3752" s="13"/>
      <c r="R3752" s="10"/>
      <c r="S3752" s="10"/>
    </row>
    <row r="3753" spans="1:19" x14ac:dyDescent="0.25">
      <c r="A3753" t="str">
        <f t="shared" si="59"/>
        <v/>
      </c>
      <c r="B3753" s="10"/>
      <c r="C3753" s="10"/>
      <c r="D3753" s="10"/>
      <c r="E3753" s="10"/>
      <c r="F3753" s="10"/>
      <c r="G3753" s="11"/>
      <c r="H3753" s="12"/>
      <c r="I3753" s="13"/>
      <c r="J3753" s="12"/>
      <c r="K3753" s="13"/>
      <c r="L3753" s="11"/>
      <c r="M3753" s="13"/>
      <c r="N3753" s="11"/>
      <c r="O3753" s="13"/>
      <c r="P3753" s="11"/>
      <c r="Q3753" s="13"/>
      <c r="R3753" s="10"/>
      <c r="S3753" s="10"/>
    </row>
    <row r="3754" spans="1:19" x14ac:dyDescent="0.25">
      <c r="A3754" t="str">
        <f t="shared" si="59"/>
        <v/>
      </c>
      <c r="B3754" s="10"/>
      <c r="C3754" s="10"/>
      <c r="D3754" s="10"/>
      <c r="E3754" s="10"/>
      <c r="F3754" s="10"/>
      <c r="G3754" s="11"/>
      <c r="H3754" s="12"/>
      <c r="I3754" s="13"/>
      <c r="J3754" s="12"/>
      <c r="K3754" s="13"/>
      <c r="L3754" s="11"/>
      <c r="M3754" s="13"/>
      <c r="N3754" s="11"/>
      <c r="O3754" s="13"/>
      <c r="P3754" s="11"/>
      <c r="Q3754" s="13"/>
      <c r="R3754" s="10"/>
      <c r="S3754" s="10"/>
    </row>
    <row r="3755" spans="1:19" x14ac:dyDescent="0.25">
      <c r="A3755" t="str">
        <f t="shared" si="59"/>
        <v/>
      </c>
      <c r="B3755" s="10"/>
      <c r="C3755" s="10"/>
      <c r="D3755" s="10"/>
      <c r="E3755" s="10"/>
      <c r="F3755" s="10"/>
      <c r="G3755" s="11"/>
      <c r="H3755" s="12"/>
      <c r="I3755" s="13"/>
      <c r="J3755" s="12"/>
      <c r="K3755" s="13"/>
      <c r="L3755" s="11"/>
      <c r="M3755" s="13"/>
      <c r="N3755" s="11"/>
      <c r="O3755" s="13"/>
      <c r="P3755" s="11"/>
      <c r="Q3755" s="13"/>
      <c r="R3755" s="10"/>
      <c r="S3755" s="10"/>
    </row>
    <row r="3756" spans="1:19" x14ac:dyDescent="0.25">
      <c r="A3756" t="str">
        <f t="shared" si="59"/>
        <v/>
      </c>
      <c r="B3756" s="10"/>
      <c r="C3756" s="10"/>
      <c r="D3756" s="10"/>
      <c r="E3756" s="10"/>
      <c r="F3756" s="10"/>
      <c r="G3756" s="11"/>
      <c r="H3756" s="12"/>
      <c r="I3756" s="13"/>
      <c r="J3756" s="12"/>
      <c r="K3756" s="13"/>
      <c r="L3756" s="11"/>
      <c r="M3756" s="13"/>
      <c r="N3756" s="11"/>
      <c r="O3756" s="13"/>
      <c r="P3756" s="11"/>
      <c r="Q3756" s="13"/>
      <c r="R3756" s="10"/>
      <c r="S3756" s="10"/>
    </row>
    <row r="3757" spans="1:19" x14ac:dyDescent="0.25">
      <c r="A3757" t="str">
        <f t="shared" si="59"/>
        <v/>
      </c>
      <c r="B3757" s="10"/>
      <c r="C3757" s="10"/>
      <c r="D3757" s="10"/>
      <c r="E3757" s="10"/>
      <c r="F3757" s="10"/>
      <c r="G3757" s="11"/>
      <c r="H3757" s="12"/>
      <c r="I3757" s="13"/>
      <c r="J3757" s="12"/>
      <c r="K3757" s="13"/>
      <c r="L3757" s="11"/>
      <c r="M3757" s="13"/>
      <c r="N3757" s="11"/>
      <c r="O3757" s="13"/>
      <c r="P3757" s="11"/>
      <c r="Q3757" s="13"/>
      <c r="R3757" s="10"/>
      <c r="S3757" s="10"/>
    </row>
    <row r="3758" spans="1:19" x14ac:dyDescent="0.25">
      <c r="A3758" t="str">
        <f t="shared" si="59"/>
        <v/>
      </c>
      <c r="B3758" s="10"/>
      <c r="C3758" s="10"/>
      <c r="D3758" s="10"/>
      <c r="E3758" s="10"/>
      <c r="F3758" s="10"/>
      <c r="G3758" s="11"/>
      <c r="H3758" s="12"/>
      <c r="I3758" s="13"/>
      <c r="J3758" s="12"/>
      <c r="K3758" s="13"/>
      <c r="L3758" s="11"/>
      <c r="M3758" s="13"/>
      <c r="N3758" s="11"/>
      <c r="O3758" s="13"/>
      <c r="P3758" s="11"/>
      <c r="Q3758" s="13"/>
      <c r="R3758" s="10"/>
      <c r="S3758" s="10"/>
    </row>
    <row r="3759" spans="1:19" x14ac:dyDescent="0.25">
      <c r="A3759" t="str">
        <f t="shared" si="59"/>
        <v/>
      </c>
      <c r="B3759" s="10"/>
      <c r="C3759" s="10"/>
      <c r="D3759" s="10"/>
      <c r="E3759" s="10"/>
      <c r="F3759" s="10"/>
      <c r="G3759" s="11"/>
      <c r="H3759" s="12"/>
      <c r="I3759" s="13"/>
      <c r="J3759" s="12"/>
      <c r="K3759" s="13"/>
      <c r="L3759" s="11"/>
      <c r="M3759" s="13"/>
      <c r="N3759" s="11"/>
      <c r="O3759" s="13"/>
      <c r="P3759" s="11"/>
      <c r="Q3759" s="13"/>
      <c r="R3759" s="10"/>
      <c r="S3759" s="10"/>
    </row>
    <row r="3760" spans="1:19" x14ac:dyDescent="0.25">
      <c r="A3760" t="str">
        <f t="shared" si="59"/>
        <v/>
      </c>
      <c r="B3760" s="10"/>
      <c r="C3760" s="10"/>
      <c r="D3760" s="10"/>
      <c r="E3760" s="10"/>
      <c r="F3760" s="10"/>
      <c r="G3760" s="11"/>
      <c r="H3760" s="12"/>
      <c r="I3760" s="13"/>
      <c r="J3760" s="12"/>
      <c r="K3760" s="13"/>
      <c r="L3760" s="11"/>
      <c r="M3760" s="13"/>
      <c r="N3760" s="11"/>
      <c r="O3760" s="13"/>
      <c r="P3760" s="11"/>
      <c r="Q3760" s="13"/>
      <c r="R3760" s="10"/>
      <c r="S3760" s="10"/>
    </row>
    <row r="3761" spans="1:19" x14ac:dyDescent="0.25">
      <c r="A3761" t="str">
        <f t="shared" si="59"/>
        <v/>
      </c>
      <c r="B3761" s="10"/>
      <c r="C3761" s="10"/>
      <c r="D3761" s="10"/>
      <c r="E3761" s="10"/>
      <c r="F3761" s="10"/>
      <c r="G3761" s="11"/>
      <c r="H3761" s="12"/>
      <c r="I3761" s="13"/>
      <c r="J3761" s="12"/>
      <c r="K3761" s="13"/>
      <c r="L3761" s="11"/>
      <c r="M3761" s="13"/>
      <c r="N3761" s="11"/>
      <c r="O3761" s="13"/>
      <c r="P3761" s="11"/>
      <c r="Q3761" s="13"/>
      <c r="R3761" s="10"/>
      <c r="S3761" s="10"/>
    </row>
    <row r="3762" spans="1:19" x14ac:dyDescent="0.25">
      <c r="A3762" t="str">
        <f t="shared" si="59"/>
        <v/>
      </c>
      <c r="B3762" s="10"/>
      <c r="C3762" s="10"/>
      <c r="D3762" s="10"/>
      <c r="E3762" s="10"/>
      <c r="F3762" s="10"/>
      <c r="G3762" s="11"/>
      <c r="H3762" s="12"/>
      <c r="I3762" s="13"/>
      <c r="J3762" s="12"/>
      <c r="K3762" s="13"/>
      <c r="L3762" s="11"/>
      <c r="M3762" s="13"/>
      <c r="N3762" s="11"/>
      <c r="O3762" s="13"/>
      <c r="P3762" s="11"/>
      <c r="Q3762" s="13"/>
      <c r="R3762" s="10"/>
      <c r="S3762" s="10"/>
    </row>
    <row r="3763" spans="1:19" x14ac:dyDescent="0.25">
      <c r="A3763" t="str">
        <f t="shared" si="59"/>
        <v/>
      </c>
      <c r="B3763" s="10"/>
      <c r="C3763" s="10"/>
      <c r="D3763" s="10"/>
      <c r="E3763" s="10"/>
      <c r="F3763" s="10"/>
      <c r="G3763" s="11"/>
      <c r="H3763" s="12"/>
      <c r="I3763" s="13"/>
      <c r="J3763" s="12"/>
      <c r="K3763" s="13"/>
      <c r="L3763" s="11"/>
      <c r="M3763" s="13"/>
      <c r="N3763" s="11"/>
      <c r="O3763" s="13"/>
      <c r="P3763" s="11"/>
      <c r="Q3763" s="13"/>
      <c r="R3763" s="10"/>
      <c r="S3763" s="10"/>
    </row>
    <row r="3764" spans="1:19" x14ac:dyDescent="0.25">
      <c r="A3764" t="str">
        <f t="shared" si="59"/>
        <v/>
      </c>
      <c r="B3764" s="10"/>
      <c r="C3764" s="10"/>
      <c r="D3764" s="10"/>
      <c r="E3764" s="10"/>
      <c r="F3764" s="10"/>
      <c r="G3764" s="11"/>
      <c r="H3764" s="12"/>
      <c r="I3764" s="13"/>
      <c r="J3764" s="12"/>
      <c r="K3764" s="13"/>
      <c r="L3764" s="11"/>
      <c r="M3764" s="13"/>
      <c r="N3764" s="11"/>
      <c r="O3764" s="13"/>
      <c r="P3764" s="11"/>
      <c r="Q3764" s="13"/>
      <c r="R3764" s="10"/>
      <c r="S3764" s="10"/>
    </row>
    <row r="3765" spans="1:19" x14ac:dyDescent="0.25">
      <c r="A3765" t="str">
        <f t="shared" ref="A3765:A3828" si="60">B3763&amp;D3763</f>
        <v/>
      </c>
      <c r="B3765" s="10"/>
      <c r="C3765" s="10"/>
      <c r="D3765" s="10"/>
      <c r="E3765" s="10"/>
      <c r="F3765" s="10"/>
      <c r="G3765" s="11"/>
      <c r="H3765" s="12"/>
      <c r="I3765" s="13"/>
      <c r="J3765" s="12"/>
      <c r="K3765" s="13"/>
      <c r="L3765" s="11"/>
      <c r="M3765" s="13"/>
      <c r="N3765" s="11"/>
      <c r="O3765" s="13"/>
      <c r="P3765" s="11"/>
      <c r="Q3765" s="13"/>
      <c r="R3765" s="10"/>
      <c r="S3765" s="10"/>
    </row>
    <row r="3766" spans="1:19" x14ac:dyDescent="0.25">
      <c r="A3766" t="str">
        <f t="shared" si="60"/>
        <v/>
      </c>
      <c r="B3766" s="10"/>
      <c r="C3766" s="10"/>
      <c r="D3766" s="10"/>
      <c r="E3766" s="10"/>
      <c r="F3766" s="10"/>
      <c r="G3766" s="11"/>
      <c r="H3766" s="12"/>
      <c r="I3766" s="13"/>
      <c r="J3766" s="12"/>
      <c r="K3766" s="13"/>
      <c r="L3766" s="11"/>
      <c r="M3766" s="13"/>
      <c r="N3766" s="11"/>
      <c r="O3766" s="13"/>
      <c r="P3766" s="11"/>
      <c r="Q3766" s="13"/>
      <c r="R3766" s="10"/>
      <c r="S3766" s="10"/>
    </row>
    <row r="3767" spans="1:19" x14ac:dyDescent="0.25">
      <c r="A3767" t="str">
        <f t="shared" si="60"/>
        <v/>
      </c>
      <c r="B3767" s="10"/>
      <c r="C3767" s="10"/>
      <c r="D3767" s="10"/>
      <c r="E3767" s="10"/>
      <c r="F3767" s="10"/>
      <c r="G3767" s="11"/>
      <c r="H3767" s="12"/>
      <c r="I3767" s="13"/>
      <c r="J3767" s="12"/>
      <c r="K3767" s="13"/>
      <c r="L3767" s="11"/>
      <c r="M3767" s="13"/>
      <c r="N3767" s="11"/>
      <c r="O3767" s="13"/>
      <c r="P3767" s="11"/>
      <c r="Q3767" s="13"/>
      <c r="R3767" s="10"/>
      <c r="S3767" s="10"/>
    </row>
    <row r="3768" spans="1:19" x14ac:dyDescent="0.25">
      <c r="A3768" t="str">
        <f t="shared" si="60"/>
        <v/>
      </c>
      <c r="B3768" s="10"/>
      <c r="C3768" s="10"/>
      <c r="D3768" s="10"/>
      <c r="E3768" s="10"/>
      <c r="F3768" s="10"/>
      <c r="G3768" s="11"/>
      <c r="H3768" s="12"/>
      <c r="I3768" s="13"/>
      <c r="J3768" s="12"/>
      <c r="K3768" s="13"/>
      <c r="L3768" s="11"/>
      <c r="M3768" s="13"/>
      <c r="N3768" s="11"/>
      <c r="O3768" s="13"/>
      <c r="P3768" s="11"/>
      <c r="Q3768" s="13"/>
      <c r="R3768" s="10"/>
      <c r="S3768" s="10"/>
    </row>
    <row r="3769" spans="1:19" x14ac:dyDescent="0.25">
      <c r="A3769" t="str">
        <f t="shared" si="60"/>
        <v/>
      </c>
      <c r="B3769" s="10"/>
      <c r="C3769" s="10"/>
      <c r="D3769" s="10"/>
      <c r="E3769" s="10"/>
      <c r="F3769" s="10"/>
      <c r="G3769" s="11"/>
      <c r="H3769" s="12"/>
      <c r="I3769" s="13"/>
      <c r="J3769" s="12"/>
      <c r="K3769" s="13"/>
      <c r="L3769" s="11"/>
      <c r="M3769" s="13"/>
      <c r="N3769" s="11"/>
      <c r="O3769" s="13"/>
      <c r="P3769" s="11"/>
      <c r="Q3769" s="13"/>
      <c r="R3769" s="10"/>
      <c r="S3769" s="10"/>
    </row>
    <row r="3770" spans="1:19" x14ac:dyDescent="0.25">
      <c r="A3770" t="str">
        <f t="shared" si="60"/>
        <v/>
      </c>
      <c r="B3770" s="10"/>
      <c r="C3770" s="10"/>
      <c r="D3770" s="10"/>
      <c r="E3770" s="10"/>
      <c r="F3770" s="10"/>
      <c r="G3770" s="11"/>
      <c r="H3770" s="12"/>
      <c r="I3770" s="13"/>
      <c r="J3770" s="12"/>
      <c r="K3770" s="13"/>
      <c r="L3770" s="11"/>
      <c r="M3770" s="13"/>
      <c r="N3770" s="11"/>
      <c r="O3770" s="13"/>
      <c r="P3770" s="11"/>
      <c r="Q3770" s="13"/>
      <c r="R3770" s="10"/>
      <c r="S3770" s="10"/>
    </row>
    <row r="3771" spans="1:19" x14ac:dyDescent="0.25">
      <c r="A3771" t="str">
        <f t="shared" si="60"/>
        <v/>
      </c>
      <c r="B3771" s="10"/>
      <c r="C3771" s="10"/>
      <c r="D3771" s="10"/>
      <c r="E3771" s="10"/>
      <c r="F3771" s="10"/>
      <c r="G3771" s="11"/>
      <c r="H3771" s="12"/>
      <c r="I3771" s="13"/>
      <c r="J3771" s="12"/>
      <c r="K3771" s="13"/>
      <c r="L3771" s="11"/>
      <c r="M3771" s="13"/>
      <c r="N3771" s="11"/>
      <c r="O3771" s="13"/>
      <c r="P3771" s="11"/>
      <c r="Q3771" s="13"/>
      <c r="R3771" s="10"/>
      <c r="S3771" s="10"/>
    </row>
    <row r="3772" spans="1:19" x14ac:dyDescent="0.25">
      <c r="A3772" t="str">
        <f t="shared" si="60"/>
        <v/>
      </c>
      <c r="B3772" s="10"/>
      <c r="C3772" s="10"/>
      <c r="D3772" s="10"/>
      <c r="E3772" s="10"/>
      <c r="F3772" s="10"/>
      <c r="G3772" s="11"/>
      <c r="H3772" s="12"/>
      <c r="I3772" s="13"/>
      <c r="J3772" s="12"/>
      <c r="K3772" s="13"/>
      <c r="L3772" s="11"/>
      <c r="M3772" s="13"/>
      <c r="N3772" s="11"/>
      <c r="O3772" s="13"/>
      <c r="P3772" s="11"/>
      <c r="Q3772" s="13"/>
      <c r="R3772" s="10"/>
      <c r="S3772" s="10"/>
    </row>
    <row r="3773" spans="1:19" x14ac:dyDescent="0.25">
      <c r="A3773" t="str">
        <f t="shared" si="60"/>
        <v/>
      </c>
      <c r="B3773" s="10"/>
      <c r="C3773" s="10"/>
      <c r="D3773" s="10"/>
      <c r="E3773" s="10"/>
      <c r="F3773" s="10"/>
      <c r="G3773" s="11"/>
      <c r="H3773" s="12"/>
      <c r="I3773" s="13"/>
      <c r="J3773" s="12"/>
      <c r="K3773" s="13"/>
      <c r="L3773" s="11"/>
      <c r="M3773" s="13"/>
      <c r="N3773" s="11"/>
      <c r="O3773" s="13"/>
      <c r="P3773" s="11"/>
      <c r="Q3773" s="13"/>
      <c r="R3773" s="10"/>
      <c r="S3773" s="10"/>
    </row>
    <row r="3774" spans="1:19" x14ac:dyDescent="0.25">
      <c r="A3774" t="str">
        <f t="shared" si="60"/>
        <v/>
      </c>
      <c r="B3774" s="10"/>
      <c r="C3774" s="10"/>
      <c r="D3774" s="10"/>
      <c r="E3774" s="10"/>
      <c r="F3774" s="10"/>
      <c r="G3774" s="11"/>
      <c r="H3774" s="12"/>
      <c r="I3774" s="13"/>
      <c r="J3774" s="12"/>
      <c r="K3774" s="13"/>
      <c r="L3774" s="11"/>
      <c r="M3774" s="13"/>
      <c r="N3774" s="11"/>
      <c r="O3774" s="13"/>
      <c r="P3774" s="11"/>
      <c r="Q3774" s="13"/>
      <c r="R3774" s="10"/>
      <c r="S3774" s="10"/>
    </row>
    <row r="3775" spans="1:19" x14ac:dyDescent="0.25">
      <c r="A3775" t="str">
        <f t="shared" si="60"/>
        <v/>
      </c>
      <c r="B3775" s="10"/>
      <c r="C3775" s="10"/>
      <c r="D3775" s="10"/>
      <c r="E3775" s="10"/>
      <c r="F3775" s="10"/>
      <c r="G3775" s="11"/>
      <c r="H3775" s="12"/>
      <c r="I3775" s="13"/>
      <c r="J3775" s="12"/>
      <c r="K3775" s="13"/>
      <c r="L3775" s="11"/>
      <c r="M3775" s="13"/>
      <c r="N3775" s="11"/>
      <c r="O3775" s="13"/>
      <c r="P3775" s="11"/>
      <c r="Q3775" s="13"/>
      <c r="R3775" s="10"/>
      <c r="S3775" s="10"/>
    </row>
    <row r="3776" spans="1:19" x14ac:dyDescent="0.25">
      <c r="A3776" t="str">
        <f t="shared" si="60"/>
        <v/>
      </c>
      <c r="B3776" s="10"/>
      <c r="C3776" s="10"/>
      <c r="D3776" s="10"/>
      <c r="E3776" s="10"/>
      <c r="F3776" s="10"/>
      <c r="G3776" s="11"/>
      <c r="H3776" s="12"/>
      <c r="I3776" s="13"/>
      <c r="J3776" s="12"/>
      <c r="K3776" s="13"/>
      <c r="L3776" s="11"/>
      <c r="M3776" s="13"/>
      <c r="N3776" s="11"/>
      <c r="O3776" s="13"/>
      <c r="P3776" s="11"/>
      <c r="Q3776" s="13"/>
      <c r="R3776" s="10"/>
      <c r="S3776" s="10"/>
    </row>
    <row r="3777" spans="1:19" x14ac:dyDescent="0.25">
      <c r="A3777" t="str">
        <f t="shared" si="60"/>
        <v/>
      </c>
      <c r="B3777" s="10"/>
      <c r="C3777" s="10"/>
      <c r="D3777" s="10"/>
      <c r="E3777" s="10"/>
      <c r="F3777" s="10"/>
      <c r="G3777" s="11"/>
      <c r="H3777" s="12"/>
      <c r="I3777" s="13"/>
      <c r="J3777" s="12"/>
      <c r="K3777" s="13"/>
      <c r="L3777" s="11"/>
      <c r="M3777" s="13"/>
      <c r="N3777" s="11"/>
      <c r="O3777" s="13"/>
      <c r="P3777" s="11"/>
      <c r="Q3777" s="13"/>
      <c r="R3777" s="10"/>
      <c r="S3777" s="10"/>
    </row>
    <row r="3778" spans="1:19" x14ac:dyDescent="0.25">
      <c r="A3778" t="str">
        <f t="shared" si="60"/>
        <v/>
      </c>
      <c r="B3778" s="10"/>
      <c r="C3778" s="10"/>
      <c r="D3778" s="10"/>
      <c r="E3778" s="10"/>
      <c r="F3778" s="10"/>
      <c r="G3778" s="11"/>
      <c r="H3778" s="12"/>
      <c r="I3778" s="13"/>
      <c r="J3778" s="12"/>
      <c r="K3778" s="13"/>
      <c r="L3778" s="11"/>
      <c r="M3778" s="13"/>
      <c r="N3778" s="11"/>
      <c r="O3778" s="13"/>
      <c r="P3778" s="11"/>
      <c r="Q3778" s="13"/>
      <c r="R3778" s="10"/>
      <c r="S3778" s="10"/>
    </row>
    <row r="3779" spans="1:19" x14ac:dyDescent="0.25">
      <c r="A3779" t="str">
        <f t="shared" si="60"/>
        <v/>
      </c>
      <c r="B3779" s="10"/>
      <c r="C3779" s="10"/>
      <c r="D3779" s="10"/>
      <c r="E3779" s="10"/>
      <c r="F3779" s="10"/>
      <c r="G3779" s="11"/>
      <c r="H3779" s="12"/>
      <c r="I3779" s="13"/>
      <c r="J3779" s="12"/>
      <c r="K3779" s="13"/>
      <c r="L3779" s="11"/>
      <c r="M3779" s="13"/>
      <c r="N3779" s="11"/>
      <c r="O3779" s="13"/>
      <c r="P3779" s="11"/>
      <c r="Q3779" s="13"/>
      <c r="R3779" s="10"/>
      <c r="S3779" s="10"/>
    </row>
    <row r="3780" spans="1:19" x14ac:dyDescent="0.25">
      <c r="A3780" t="str">
        <f t="shared" si="60"/>
        <v/>
      </c>
      <c r="B3780" s="10"/>
      <c r="C3780" s="10"/>
      <c r="D3780" s="10"/>
      <c r="E3780" s="10"/>
      <c r="F3780" s="10"/>
      <c r="G3780" s="11"/>
      <c r="H3780" s="12"/>
      <c r="I3780" s="13"/>
      <c r="J3780" s="12"/>
      <c r="K3780" s="13"/>
      <c r="L3780" s="11"/>
      <c r="M3780" s="13"/>
      <c r="N3780" s="11"/>
      <c r="O3780" s="13"/>
      <c r="P3780" s="11"/>
      <c r="Q3780" s="13"/>
      <c r="R3780" s="10"/>
      <c r="S3780" s="10"/>
    </row>
    <row r="3781" spans="1:19" x14ac:dyDescent="0.25">
      <c r="A3781" t="str">
        <f t="shared" si="60"/>
        <v/>
      </c>
      <c r="B3781" s="10"/>
      <c r="C3781" s="10"/>
      <c r="D3781" s="10"/>
      <c r="E3781" s="10"/>
      <c r="F3781" s="10"/>
      <c r="G3781" s="11"/>
      <c r="H3781" s="12"/>
      <c r="I3781" s="13"/>
      <c r="J3781" s="12"/>
      <c r="K3781" s="13"/>
      <c r="L3781" s="11"/>
      <c r="M3781" s="13"/>
      <c r="N3781" s="11"/>
      <c r="O3781" s="13"/>
      <c r="P3781" s="11"/>
      <c r="Q3781" s="13"/>
      <c r="R3781" s="10"/>
      <c r="S3781" s="10"/>
    </row>
    <row r="3782" spans="1:19" x14ac:dyDescent="0.25">
      <c r="A3782" t="str">
        <f t="shared" si="60"/>
        <v/>
      </c>
      <c r="B3782" s="10"/>
      <c r="C3782" s="10"/>
      <c r="D3782" s="10"/>
      <c r="E3782" s="10"/>
      <c r="F3782" s="10"/>
      <c r="G3782" s="11"/>
      <c r="H3782" s="12"/>
      <c r="I3782" s="13"/>
      <c r="J3782" s="12"/>
      <c r="K3782" s="13"/>
      <c r="L3782" s="11"/>
      <c r="M3782" s="13"/>
      <c r="N3782" s="11"/>
      <c r="O3782" s="13"/>
      <c r="P3782" s="11"/>
      <c r="Q3782" s="13"/>
      <c r="R3782" s="10"/>
      <c r="S3782" s="10"/>
    </row>
    <row r="3783" spans="1:19" x14ac:dyDescent="0.25">
      <c r="A3783" t="str">
        <f t="shared" si="60"/>
        <v/>
      </c>
      <c r="B3783" s="10"/>
      <c r="C3783" s="10"/>
      <c r="D3783" s="10"/>
      <c r="E3783" s="10"/>
      <c r="F3783" s="10"/>
      <c r="G3783" s="11"/>
      <c r="H3783" s="12"/>
      <c r="I3783" s="13"/>
      <c r="J3783" s="12"/>
      <c r="K3783" s="13"/>
      <c r="L3783" s="11"/>
      <c r="M3783" s="13"/>
      <c r="N3783" s="11"/>
      <c r="O3783" s="13"/>
      <c r="P3783" s="11"/>
      <c r="Q3783" s="13"/>
      <c r="R3783" s="10"/>
      <c r="S3783" s="10"/>
    </row>
    <row r="3784" spans="1:19" x14ac:dyDescent="0.25">
      <c r="A3784" t="str">
        <f t="shared" si="60"/>
        <v/>
      </c>
      <c r="B3784" s="10"/>
      <c r="C3784" s="10"/>
      <c r="D3784" s="10"/>
      <c r="E3784" s="10"/>
      <c r="F3784" s="10"/>
      <c r="G3784" s="11"/>
      <c r="H3784" s="12"/>
      <c r="I3784" s="13"/>
      <c r="J3784" s="12"/>
      <c r="K3784" s="13"/>
      <c r="L3784" s="11"/>
      <c r="M3784" s="13"/>
      <c r="N3784" s="11"/>
      <c r="O3784" s="13"/>
      <c r="P3784" s="11"/>
      <c r="Q3784" s="13"/>
      <c r="R3784" s="10"/>
      <c r="S3784" s="10"/>
    </row>
    <row r="3785" spans="1:19" x14ac:dyDescent="0.25">
      <c r="A3785" t="str">
        <f t="shared" si="60"/>
        <v/>
      </c>
      <c r="B3785" s="10"/>
      <c r="C3785" s="10"/>
      <c r="D3785" s="10"/>
      <c r="E3785" s="10"/>
      <c r="F3785" s="10"/>
      <c r="G3785" s="11"/>
      <c r="H3785" s="12"/>
      <c r="I3785" s="13"/>
      <c r="J3785" s="12"/>
      <c r="K3785" s="13"/>
      <c r="L3785" s="11"/>
      <c r="M3785" s="13"/>
      <c r="N3785" s="11"/>
      <c r="O3785" s="13"/>
      <c r="P3785" s="11"/>
      <c r="Q3785" s="13"/>
      <c r="R3785" s="10"/>
      <c r="S3785" s="10"/>
    </row>
    <row r="3786" spans="1:19" x14ac:dyDescent="0.25">
      <c r="A3786" t="str">
        <f t="shared" si="60"/>
        <v/>
      </c>
      <c r="B3786" s="10"/>
      <c r="C3786" s="10"/>
      <c r="D3786" s="10"/>
      <c r="E3786" s="10"/>
      <c r="F3786" s="10"/>
      <c r="G3786" s="11"/>
      <c r="H3786" s="12"/>
      <c r="I3786" s="13"/>
      <c r="J3786" s="12"/>
      <c r="K3786" s="13"/>
      <c r="L3786" s="11"/>
      <c r="M3786" s="13"/>
      <c r="N3786" s="11"/>
      <c r="O3786" s="13"/>
      <c r="P3786" s="11"/>
      <c r="Q3786" s="13"/>
      <c r="R3786" s="10"/>
      <c r="S3786" s="10"/>
    </row>
    <row r="3787" spans="1:19" x14ac:dyDescent="0.25">
      <c r="A3787" t="str">
        <f t="shared" si="60"/>
        <v/>
      </c>
      <c r="B3787" s="10"/>
      <c r="C3787" s="10"/>
      <c r="D3787" s="10"/>
      <c r="E3787" s="10"/>
      <c r="F3787" s="10"/>
      <c r="G3787" s="11"/>
      <c r="H3787" s="12"/>
      <c r="I3787" s="13"/>
      <c r="J3787" s="12"/>
      <c r="K3787" s="13"/>
      <c r="L3787" s="11"/>
      <c r="M3787" s="13"/>
      <c r="N3787" s="11"/>
      <c r="O3787" s="13"/>
      <c r="P3787" s="11"/>
      <c r="Q3787" s="13"/>
      <c r="R3787" s="10"/>
      <c r="S3787" s="10"/>
    </row>
    <row r="3788" spans="1:19" x14ac:dyDescent="0.25">
      <c r="A3788" t="str">
        <f t="shared" si="60"/>
        <v/>
      </c>
      <c r="B3788" s="10"/>
      <c r="C3788" s="10"/>
      <c r="D3788" s="10"/>
      <c r="E3788" s="10"/>
      <c r="F3788" s="10"/>
      <c r="G3788" s="11"/>
      <c r="H3788" s="12"/>
      <c r="I3788" s="13"/>
      <c r="J3788" s="12"/>
      <c r="K3788" s="13"/>
      <c r="L3788" s="11"/>
      <c r="M3788" s="13"/>
      <c r="N3788" s="11"/>
      <c r="O3788" s="13"/>
      <c r="P3788" s="11"/>
      <c r="Q3788" s="13"/>
      <c r="R3788" s="10"/>
      <c r="S3788" s="10"/>
    </row>
    <row r="3789" spans="1:19" x14ac:dyDescent="0.25">
      <c r="A3789" t="str">
        <f t="shared" si="60"/>
        <v/>
      </c>
      <c r="B3789" s="10"/>
      <c r="C3789" s="10"/>
      <c r="D3789" s="10"/>
      <c r="E3789" s="10"/>
      <c r="F3789" s="10"/>
      <c r="G3789" s="11"/>
      <c r="H3789" s="12"/>
      <c r="I3789" s="13"/>
      <c r="J3789" s="12"/>
      <c r="K3789" s="13"/>
      <c r="L3789" s="11"/>
      <c r="M3789" s="13"/>
      <c r="N3789" s="11"/>
      <c r="O3789" s="13"/>
      <c r="P3789" s="11"/>
      <c r="Q3789" s="13"/>
      <c r="R3789" s="10"/>
      <c r="S3789" s="10"/>
    </row>
    <row r="3790" spans="1:19" x14ac:dyDescent="0.25">
      <c r="A3790" t="str">
        <f t="shared" si="60"/>
        <v/>
      </c>
      <c r="B3790" s="10"/>
      <c r="C3790" s="10"/>
      <c r="D3790" s="10"/>
      <c r="E3790" s="10"/>
      <c r="F3790" s="10"/>
      <c r="G3790" s="11"/>
      <c r="H3790" s="12"/>
      <c r="I3790" s="13"/>
      <c r="J3790" s="12"/>
      <c r="K3790" s="13"/>
      <c r="L3790" s="11"/>
      <c r="M3790" s="13"/>
      <c r="N3790" s="11"/>
      <c r="O3790" s="13"/>
      <c r="P3790" s="11"/>
      <c r="Q3790" s="13"/>
      <c r="R3790" s="10"/>
      <c r="S3790" s="10"/>
    </row>
    <row r="3791" spans="1:19" x14ac:dyDescent="0.25">
      <c r="A3791" t="str">
        <f t="shared" si="60"/>
        <v/>
      </c>
      <c r="B3791" s="10"/>
      <c r="C3791" s="10"/>
      <c r="D3791" s="10"/>
      <c r="E3791" s="10"/>
      <c r="F3791" s="10"/>
      <c r="G3791" s="11"/>
      <c r="H3791" s="12"/>
      <c r="I3791" s="13"/>
      <c r="J3791" s="12"/>
      <c r="K3791" s="13"/>
      <c r="L3791" s="11"/>
      <c r="M3791" s="13"/>
      <c r="N3791" s="11"/>
      <c r="O3791" s="13"/>
      <c r="P3791" s="11"/>
      <c r="Q3791" s="13"/>
      <c r="R3791" s="10"/>
      <c r="S3791" s="10"/>
    </row>
    <row r="3792" spans="1:19" x14ac:dyDescent="0.25">
      <c r="A3792" t="str">
        <f t="shared" si="60"/>
        <v/>
      </c>
      <c r="B3792" s="10"/>
      <c r="C3792" s="10"/>
      <c r="D3792" s="10"/>
      <c r="E3792" s="10"/>
      <c r="F3792" s="10"/>
      <c r="G3792" s="11"/>
      <c r="H3792" s="12"/>
      <c r="I3792" s="13"/>
      <c r="J3792" s="12"/>
      <c r="K3792" s="13"/>
      <c r="L3792" s="11"/>
      <c r="M3792" s="13"/>
      <c r="N3792" s="11"/>
      <c r="O3792" s="13"/>
      <c r="P3792" s="11"/>
      <c r="Q3792" s="13"/>
      <c r="R3792" s="10"/>
      <c r="S3792" s="10"/>
    </row>
    <row r="3793" spans="1:19" x14ac:dyDescent="0.25">
      <c r="A3793" t="str">
        <f t="shared" si="60"/>
        <v/>
      </c>
      <c r="B3793" s="10"/>
      <c r="C3793" s="10"/>
      <c r="D3793" s="10"/>
      <c r="E3793" s="10"/>
      <c r="F3793" s="10"/>
      <c r="G3793" s="11"/>
      <c r="H3793" s="12"/>
      <c r="I3793" s="13"/>
      <c r="J3793" s="12"/>
      <c r="K3793" s="13"/>
      <c r="L3793" s="11"/>
      <c r="M3793" s="13"/>
      <c r="N3793" s="11"/>
      <c r="O3793" s="13"/>
      <c r="P3793" s="11"/>
      <c r="Q3793" s="13"/>
      <c r="R3793" s="10"/>
      <c r="S3793" s="10"/>
    </row>
    <row r="3794" spans="1:19" x14ac:dyDescent="0.25">
      <c r="A3794" t="str">
        <f t="shared" si="60"/>
        <v/>
      </c>
      <c r="B3794" s="10"/>
      <c r="C3794" s="10"/>
      <c r="D3794" s="10"/>
      <c r="E3794" s="10"/>
      <c r="F3794" s="10"/>
      <c r="G3794" s="11"/>
      <c r="H3794" s="12"/>
      <c r="I3794" s="13"/>
      <c r="J3794" s="12"/>
      <c r="K3794" s="13"/>
      <c r="L3794" s="11"/>
      <c r="M3794" s="13"/>
      <c r="N3794" s="11"/>
      <c r="O3794" s="13"/>
      <c r="P3794" s="11"/>
      <c r="Q3794" s="13"/>
      <c r="R3794" s="10"/>
      <c r="S3794" s="10"/>
    </row>
    <row r="3795" spans="1:19" x14ac:dyDescent="0.25">
      <c r="A3795" t="str">
        <f t="shared" si="60"/>
        <v/>
      </c>
      <c r="B3795" s="10"/>
      <c r="C3795" s="10"/>
      <c r="D3795" s="10"/>
      <c r="E3795" s="10"/>
      <c r="F3795" s="10"/>
      <c r="G3795" s="11"/>
      <c r="H3795" s="12"/>
      <c r="I3795" s="13"/>
      <c r="J3795" s="12"/>
      <c r="K3795" s="13"/>
      <c r="L3795" s="11"/>
      <c r="M3795" s="13"/>
      <c r="N3795" s="11"/>
      <c r="O3795" s="13"/>
      <c r="P3795" s="11"/>
      <c r="Q3795" s="13"/>
      <c r="R3795" s="10"/>
      <c r="S3795" s="10"/>
    </row>
    <row r="3796" spans="1:19" x14ac:dyDescent="0.25">
      <c r="A3796" t="str">
        <f t="shared" si="60"/>
        <v/>
      </c>
      <c r="B3796" s="10"/>
      <c r="C3796" s="10"/>
      <c r="D3796" s="10"/>
      <c r="E3796" s="10"/>
      <c r="F3796" s="10"/>
      <c r="G3796" s="11"/>
      <c r="H3796" s="12"/>
      <c r="I3796" s="13"/>
      <c r="J3796" s="12"/>
      <c r="K3796" s="13"/>
      <c r="L3796" s="11"/>
      <c r="M3796" s="13"/>
      <c r="N3796" s="11"/>
      <c r="O3796" s="13"/>
      <c r="P3796" s="11"/>
      <c r="Q3796" s="13"/>
      <c r="R3796" s="10"/>
      <c r="S3796" s="10"/>
    </row>
    <row r="3797" spans="1:19" x14ac:dyDescent="0.25">
      <c r="A3797" t="str">
        <f t="shared" si="60"/>
        <v/>
      </c>
      <c r="B3797" s="10"/>
      <c r="C3797" s="10"/>
      <c r="D3797" s="10"/>
      <c r="E3797" s="10"/>
      <c r="F3797" s="10"/>
      <c r="G3797" s="11"/>
      <c r="H3797" s="12"/>
      <c r="I3797" s="13"/>
      <c r="J3797" s="12"/>
      <c r="K3797" s="13"/>
      <c r="L3797" s="11"/>
      <c r="M3797" s="13"/>
      <c r="N3797" s="11"/>
      <c r="O3797" s="13"/>
      <c r="P3797" s="11"/>
      <c r="Q3797" s="13"/>
      <c r="R3797" s="10"/>
      <c r="S3797" s="10"/>
    </row>
    <row r="3798" spans="1:19" x14ac:dyDescent="0.25">
      <c r="A3798" t="str">
        <f t="shared" si="60"/>
        <v/>
      </c>
      <c r="B3798" s="10"/>
      <c r="C3798" s="10"/>
      <c r="D3798" s="10"/>
      <c r="E3798" s="10"/>
      <c r="F3798" s="10"/>
      <c r="G3798" s="11"/>
      <c r="H3798" s="12"/>
      <c r="I3798" s="13"/>
      <c r="J3798" s="12"/>
      <c r="K3798" s="13"/>
      <c r="L3798" s="11"/>
      <c r="M3798" s="13"/>
      <c r="N3798" s="11"/>
      <c r="O3798" s="13"/>
      <c r="P3798" s="11"/>
      <c r="Q3798" s="13"/>
      <c r="R3798" s="10"/>
      <c r="S3798" s="10"/>
    </row>
    <row r="3799" spans="1:19" x14ac:dyDescent="0.25">
      <c r="A3799" t="str">
        <f t="shared" si="60"/>
        <v/>
      </c>
      <c r="B3799" s="10"/>
      <c r="C3799" s="10"/>
      <c r="D3799" s="10"/>
      <c r="E3799" s="10"/>
      <c r="F3799" s="10"/>
      <c r="G3799" s="11"/>
      <c r="H3799" s="12"/>
      <c r="I3799" s="13"/>
      <c r="J3799" s="12"/>
      <c r="K3799" s="13"/>
      <c r="L3799" s="11"/>
      <c r="M3799" s="13"/>
      <c r="N3799" s="11"/>
      <c r="O3799" s="13"/>
      <c r="P3799" s="11"/>
      <c r="Q3799" s="13"/>
      <c r="R3799" s="10"/>
      <c r="S3799" s="10"/>
    </row>
    <row r="3800" spans="1:19" x14ac:dyDescent="0.25">
      <c r="A3800" t="str">
        <f t="shared" si="60"/>
        <v/>
      </c>
      <c r="B3800" s="10"/>
      <c r="C3800" s="10"/>
      <c r="D3800" s="10"/>
      <c r="E3800" s="10"/>
      <c r="F3800" s="10"/>
      <c r="G3800" s="11"/>
      <c r="H3800" s="12"/>
      <c r="I3800" s="13"/>
      <c r="J3800" s="12"/>
      <c r="K3800" s="13"/>
      <c r="L3800" s="11"/>
      <c r="M3800" s="13"/>
      <c r="N3800" s="11"/>
      <c r="O3800" s="13"/>
      <c r="P3800" s="11"/>
      <c r="Q3800" s="13"/>
      <c r="R3800" s="10"/>
      <c r="S3800" s="10"/>
    </row>
    <row r="3801" spans="1:19" x14ac:dyDescent="0.25">
      <c r="A3801" t="str">
        <f t="shared" si="60"/>
        <v/>
      </c>
      <c r="B3801" s="10"/>
      <c r="C3801" s="10"/>
      <c r="D3801" s="10"/>
      <c r="E3801" s="10"/>
      <c r="F3801" s="10"/>
      <c r="G3801" s="11"/>
      <c r="H3801" s="12"/>
      <c r="I3801" s="13"/>
      <c r="J3801" s="12"/>
      <c r="K3801" s="13"/>
      <c r="L3801" s="11"/>
      <c r="M3801" s="13"/>
      <c r="N3801" s="11"/>
      <c r="O3801" s="13"/>
      <c r="P3801" s="11"/>
      <c r="Q3801" s="13"/>
      <c r="R3801" s="10"/>
      <c r="S3801" s="10"/>
    </row>
    <row r="3802" spans="1:19" x14ac:dyDescent="0.25">
      <c r="A3802" t="str">
        <f t="shared" si="60"/>
        <v/>
      </c>
      <c r="B3802" s="10"/>
      <c r="C3802" s="10"/>
      <c r="D3802" s="10"/>
      <c r="E3802" s="10"/>
      <c r="F3802" s="10"/>
      <c r="G3802" s="11"/>
      <c r="H3802" s="12"/>
      <c r="I3802" s="13"/>
      <c r="J3802" s="12"/>
      <c r="K3802" s="13"/>
      <c r="L3802" s="11"/>
      <c r="M3802" s="13"/>
      <c r="N3802" s="11"/>
      <c r="O3802" s="13"/>
      <c r="P3802" s="11"/>
      <c r="Q3802" s="13"/>
      <c r="R3802" s="10"/>
      <c r="S3802" s="10"/>
    </row>
    <row r="3803" spans="1:19" x14ac:dyDescent="0.25">
      <c r="A3803" t="str">
        <f t="shared" si="60"/>
        <v/>
      </c>
      <c r="B3803" s="10"/>
      <c r="C3803" s="10"/>
      <c r="D3803" s="10"/>
      <c r="E3803" s="10"/>
      <c r="F3803" s="10"/>
      <c r="G3803" s="11"/>
      <c r="H3803" s="12"/>
      <c r="I3803" s="13"/>
      <c r="J3803" s="12"/>
      <c r="K3803" s="13"/>
      <c r="L3803" s="11"/>
      <c r="M3803" s="13"/>
      <c r="N3803" s="11"/>
      <c r="O3803" s="13"/>
      <c r="P3803" s="11"/>
      <c r="Q3803" s="13"/>
      <c r="R3803" s="10"/>
      <c r="S3803" s="10"/>
    </row>
    <row r="3804" spans="1:19" x14ac:dyDescent="0.25">
      <c r="A3804" t="str">
        <f t="shared" si="60"/>
        <v/>
      </c>
      <c r="B3804" s="10"/>
      <c r="C3804" s="10"/>
      <c r="D3804" s="10"/>
      <c r="E3804" s="10"/>
      <c r="F3804" s="10"/>
      <c r="G3804" s="11"/>
      <c r="H3804" s="12"/>
      <c r="I3804" s="13"/>
      <c r="J3804" s="12"/>
      <c r="K3804" s="13"/>
      <c r="L3804" s="11"/>
      <c r="M3804" s="13"/>
      <c r="N3804" s="11"/>
      <c r="O3804" s="13"/>
      <c r="P3804" s="11"/>
      <c r="Q3804" s="13"/>
      <c r="R3804" s="10"/>
      <c r="S3804" s="10"/>
    </row>
    <row r="3805" spans="1:19" x14ac:dyDescent="0.25">
      <c r="A3805" t="str">
        <f t="shared" si="60"/>
        <v/>
      </c>
      <c r="B3805" s="10"/>
      <c r="C3805" s="10"/>
      <c r="D3805" s="10"/>
      <c r="E3805" s="10"/>
      <c r="F3805" s="10"/>
      <c r="G3805" s="11"/>
      <c r="H3805" s="12"/>
      <c r="I3805" s="13"/>
      <c r="J3805" s="12"/>
      <c r="K3805" s="13"/>
      <c r="L3805" s="11"/>
      <c r="M3805" s="13"/>
      <c r="N3805" s="11"/>
      <c r="O3805" s="13"/>
      <c r="P3805" s="11"/>
      <c r="Q3805" s="13"/>
      <c r="R3805" s="10"/>
      <c r="S3805" s="10"/>
    </row>
    <row r="3806" spans="1:19" x14ac:dyDescent="0.25">
      <c r="A3806" t="str">
        <f t="shared" si="60"/>
        <v/>
      </c>
      <c r="B3806" s="10"/>
      <c r="C3806" s="10"/>
      <c r="D3806" s="10"/>
      <c r="E3806" s="10"/>
      <c r="F3806" s="10"/>
      <c r="G3806" s="11"/>
      <c r="H3806" s="12"/>
      <c r="I3806" s="13"/>
      <c r="J3806" s="12"/>
      <c r="K3806" s="13"/>
      <c r="L3806" s="11"/>
      <c r="M3806" s="13"/>
      <c r="N3806" s="11"/>
      <c r="O3806" s="13"/>
      <c r="P3806" s="11"/>
      <c r="Q3806" s="13"/>
      <c r="R3806" s="10"/>
      <c r="S3806" s="10"/>
    </row>
    <row r="3807" spans="1:19" x14ac:dyDescent="0.25">
      <c r="A3807" t="str">
        <f t="shared" si="60"/>
        <v/>
      </c>
      <c r="B3807" s="10"/>
      <c r="C3807" s="10"/>
      <c r="D3807" s="10"/>
      <c r="E3807" s="10"/>
      <c r="F3807" s="10"/>
      <c r="G3807" s="11"/>
      <c r="H3807" s="12"/>
      <c r="I3807" s="13"/>
      <c r="J3807" s="12"/>
      <c r="K3807" s="13"/>
      <c r="L3807" s="11"/>
      <c r="M3807" s="13"/>
      <c r="N3807" s="11"/>
      <c r="O3807" s="13"/>
      <c r="P3807" s="11"/>
      <c r="Q3807" s="13"/>
      <c r="R3807" s="10"/>
      <c r="S3807" s="10"/>
    </row>
    <row r="3808" spans="1:19" x14ac:dyDescent="0.25">
      <c r="A3808" t="str">
        <f t="shared" si="60"/>
        <v/>
      </c>
      <c r="B3808" s="10"/>
      <c r="C3808" s="10"/>
      <c r="D3808" s="10"/>
      <c r="E3808" s="10"/>
      <c r="F3808" s="10"/>
      <c r="G3808" s="11"/>
      <c r="H3808" s="12"/>
      <c r="I3808" s="13"/>
      <c r="J3808" s="12"/>
      <c r="K3808" s="13"/>
      <c r="L3808" s="11"/>
      <c r="M3808" s="13"/>
      <c r="N3808" s="11"/>
      <c r="O3808" s="13"/>
      <c r="P3808" s="11"/>
      <c r="Q3808" s="13"/>
      <c r="R3808" s="10"/>
      <c r="S3808" s="10"/>
    </row>
    <row r="3809" spans="1:19" x14ac:dyDescent="0.25">
      <c r="A3809" t="str">
        <f t="shared" si="60"/>
        <v/>
      </c>
      <c r="B3809" s="10"/>
      <c r="C3809" s="10"/>
      <c r="D3809" s="10"/>
      <c r="E3809" s="10"/>
      <c r="F3809" s="10"/>
      <c r="G3809" s="11"/>
      <c r="H3809" s="12"/>
      <c r="I3809" s="13"/>
      <c r="J3809" s="12"/>
      <c r="K3809" s="13"/>
      <c r="L3809" s="11"/>
      <c r="M3809" s="13"/>
      <c r="N3809" s="11"/>
      <c r="O3809" s="13"/>
      <c r="P3809" s="11"/>
      <c r="Q3809" s="13"/>
      <c r="R3809" s="10"/>
      <c r="S3809" s="10"/>
    </row>
    <row r="3810" spans="1:19" x14ac:dyDescent="0.25">
      <c r="A3810" t="str">
        <f t="shared" si="60"/>
        <v/>
      </c>
      <c r="B3810" s="10"/>
      <c r="C3810" s="10"/>
      <c r="D3810" s="10"/>
      <c r="E3810" s="10"/>
      <c r="F3810" s="10"/>
      <c r="G3810" s="11"/>
      <c r="H3810" s="12"/>
      <c r="I3810" s="13"/>
      <c r="J3810" s="12"/>
      <c r="K3810" s="13"/>
      <c r="L3810" s="11"/>
      <c r="M3810" s="13"/>
      <c r="N3810" s="11"/>
      <c r="O3810" s="13"/>
      <c r="P3810" s="11"/>
      <c r="Q3810" s="13"/>
      <c r="R3810" s="10"/>
      <c r="S3810" s="10"/>
    </row>
    <row r="3811" spans="1:19" x14ac:dyDescent="0.25">
      <c r="A3811" t="str">
        <f t="shared" si="60"/>
        <v/>
      </c>
      <c r="B3811" s="10"/>
      <c r="C3811" s="10"/>
      <c r="D3811" s="10"/>
      <c r="E3811" s="10"/>
      <c r="F3811" s="10"/>
      <c r="G3811" s="11"/>
      <c r="H3811" s="12"/>
      <c r="I3811" s="13"/>
      <c r="J3811" s="12"/>
      <c r="K3811" s="13"/>
      <c r="L3811" s="11"/>
      <c r="M3811" s="13"/>
      <c r="N3811" s="11"/>
      <c r="O3811" s="13"/>
      <c r="P3811" s="11"/>
      <c r="Q3811" s="13"/>
      <c r="R3811" s="10"/>
      <c r="S3811" s="10"/>
    </row>
    <row r="3812" spans="1:19" x14ac:dyDescent="0.25">
      <c r="A3812" t="str">
        <f t="shared" si="60"/>
        <v/>
      </c>
      <c r="B3812" s="10"/>
      <c r="C3812" s="10"/>
      <c r="D3812" s="10"/>
      <c r="E3812" s="10"/>
      <c r="F3812" s="10"/>
      <c r="G3812" s="11"/>
      <c r="H3812" s="12"/>
      <c r="I3812" s="13"/>
      <c r="J3812" s="12"/>
      <c r="K3812" s="13"/>
      <c r="L3812" s="11"/>
      <c r="M3812" s="13"/>
      <c r="N3812" s="11"/>
      <c r="O3812" s="13"/>
      <c r="P3812" s="11"/>
      <c r="Q3812" s="13"/>
      <c r="R3812" s="10"/>
      <c r="S3812" s="10"/>
    </row>
    <row r="3813" spans="1:19" x14ac:dyDescent="0.25">
      <c r="A3813" t="str">
        <f t="shared" si="60"/>
        <v/>
      </c>
      <c r="B3813" s="10"/>
      <c r="C3813" s="10"/>
      <c r="D3813" s="10"/>
      <c r="E3813" s="10"/>
      <c r="F3813" s="10"/>
      <c r="G3813" s="11"/>
      <c r="H3813" s="12"/>
      <c r="I3813" s="13"/>
      <c r="J3813" s="12"/>
      <c r="K3813" s="13"/>
      <c r="L3813" s="11"/>
      <c r="M3813" s="13"/>
      <c r="N3813" s="11"/>
      <c r="O3813" s="13"/>
      <c r="P3813" s="11"/>
      <c r="Q3813" s="13"/>
      <c r="R3813" s="10"/>
      <c r="S3813" s="10"/>
    </row>
    <row r="3814" spans="1:19" x14ac:dyDescent="0.25">
      <c r="A3814" t="str">
        <f t="shared" si="60"/>
        <v/>
      </c>
      <c r="B3814" s="10"/>
      <c r="C3814" s="10"/>
      <c r="D3814" s="10"/>
      <c r="E3814" s="10"/>
      <c r="F3814" s="10"/>
      <c r="G3814" s="11"/>
      <c r="H3814" s="12"/>
      <c r="I3814" s="13"/>
      <c r="J3814" s="12"/>
      <c r="K3814" s="13"/>
      <c r="L3814" s="11"/>
      <c r="M3814" s="13"/>
      <c r="N3814" s="11"/>
      <c r="O3814" s="13"/>
      <c r="P3814" s="11"/>
      <c r="Q3814" s="13"/>
      <c r="R3814" s="10"/>
      <c r="S3814" s="10"/>
    </row>
    <row r="3815" spans="1:19" x14ac:dyDescent="0.25">
      <c r="A3815" t="str">
        <f t="shared" si="60"/>
        <v/>
      </c>
      <c r="B3815" s="10"/>
      <c r="C3815" s="10"/>
      <c r="D3815" s="10"/>
      <c r="E3815" s="10"/>
      <c r="F3815" s="10"/>
      <c r="G3815" s="11"/>
      <c r="H3815" s="12"/>
      <c r="I3815" s="13"/>
      <c r="J3815" s="12"/>
      <c r="K3815" s="13"/>
      <c r="L3815" s="11"/>
      <c r="M3815" s="13"/>
      <c r="N3815" s="11"/>
      <c r="O3815" s="13"/>
      <c r="P3815" s="11"/>
      <c r="Q3815" s="13"/>
      <c r="R3815" s="10"/>
      <c r="S3815" s="10"/>
    </row>
    <row r="3816" spans="1:19" x14ac:dyDescent="0.25">
      <c r="A3816" t="str">
        <f t="shared" si="60"/>
        <v/>
      </c>
      <c r="B3816" s="10"/>
      <c r="C3816" s="10"/>
      <c r="D3816" s="10"/>
      <c r="E3816" s="10"/>
      <c r="F3816" s="10"/>
      <c r="G3816" s="11"/>
      <c r="H3816" s="12"/>
      <c r="I3816" s="13"/>
      <c r="J3816" s="12"/>
      <c r="K3816" s="13"/>
      <c r="L3816" s="11"/>
      <c r="M3816" s="13"/>
      <c r="N3816" s="11"/>
      <c r="O3816" s="13"/>
      <c r="P3816" s="11"/>
      <c r="Q3816" s="13"/>
      <c r="R3816" s="10"/>
      <c r="S3816" s="10"/>
    </row>
    <row r="3817" spans="1:19" x14ac:dyDescent="0.25">
      <c r="A3817" t="str">
        <f t="shared" si="60"/>
        <v/>
      </c>
      <c r="B3817" s="10"/>
      <c r="C3817" s="10"/>
      <c r="D3817" s="10"/>
      <c r="E3817" s="10"/>
      <c r="F3817" s="10"/>
      <c r="G3817" s="11"/>
      <c r="H3817" s="12"/>
      <c r="I3817" s="13"/>
      <c r="J3817" s="12"/>
      <c r="K3817" s="13"/>
      <c r="L3817" s="11"/>
      <c r="M3817" s="13"/>
      <c r="N3817" s="11"/>
      <c r="O3817" s="13"/>
      <c r="P3817" s="11"/>
      <c r="Q3817" s="13"/>
      <c r="R3817" s="10"/>
      <c r="S3817" s="10"/>
    </row>
    <row r="3818" spans="1:19" x14ac:dyDescent="0.25">
      <c r="A3818" t="str">
        <f t="shared" si="60"/>
        <v/>
      </c>
      <c r="B3818" s="10"/>
      <c r="C3818" s="10"/>
      <c r="D3818" s="10"/>
      <c r="E3818" s="10"/>
      <c r="F3818" s="10"/>
      <c r="G3818" s="11"/>
      <c r="H3818" s="12"/>
      <c r="I3818" s="13"/>
      <c r="J3818" s="12"/>
      <c r="K3818" s="13"/>
      <c r="L3818" s="11"/>
      <c r="M3818" s="13"/>
      <c r="N3818" s="11"/>
      <c r="O3818" s="13"/>
      <c r="P3818" s="11"/>
      <c r="Q3818" s="13"/>
      <c r="R3818" s="10"/>
      <c r="S3818" s="10"/>
    </row>
    <row r="3819" spans="1:19" x14ac:dyDescent="0.25">
      <c r="A3819" t="str">
        <f t="shared" si="60"/>
        <v/>
      </c>
      <c r="B3819" s="10"/>
      <c r="C3819" s="10"/>
      <c r="D3819" s="10"/>
      <c r="E3819" s="10"/>
      <c r="F3819" s="10"/>
      <c r="G3819" s="11"/>
      <c r="H3819" s="12"/>
      <c r="I3819" s="13"/>
      <c r="J3819" s="12"/>
      <c r="K3819" s="13"/>
      <c r="L3819" s="11"/>
      <c r="M3819" s="13"/>
      <c r="N3819" s="11"/>
      <c r="O3819" s="13"/>
      <c r="P3819" s="11"/>
      <c r="Q3819" s="13"/>
      <c r="R3819" s="10"/>
      <c r="S3819" s="10"/>
    </row>
    <row r="3820" spans="1:19" x14ac:dyDescent="0.25">
      <c r="A3820" t="str">
        <f t="shared" si="60"/>
        <v/>
      </c>
      <c r="B3820" s="10"/>
      <c r="C3820" s="10"/>
      <c r="D3820" s="10"/>
      <c r="E3820" s="10"/>
      <c r="F3820" s="10"/>
      <c r="G3820" s="11"/>
      <c r="H3820" s="12"/>
      <c r="I3820" s="13"/>
      <c r="J3820" s="12"/>
      <c r="K3820" s="13"/>
      <c r="L3820" s="11"/>
      <c r="M3820" s="13"/>
      <c r="N3820" s="11"/>
      <c r="O3820" s="13"/>
      <c r="P3820" s="11"/>
      <c r="Q3820" s="13"/>
      <c r="R3820" s="10"/>
      <c r="S3820" s="10"/>
    </row>
    <row r="3821" spans="1:19" x14ac:dyDescent="0.25">
      <c r="A3821" t="str">
        <f t="shared" si="60"/>
        <v/>
      </c>
      <c r="B3821" s="10"/>
      <c r="C3821" s="10"/>
      <c r="D3821" s="10"/>
      <c r="E3821" s="10"/>
      <c r="F3821" s="10"/>
      <c r="G3821" s="11"/>
      <c r="H3821" s="12"/>
      <c r="I3821" s="13"/>
      <c r="J3821" s="12"/>
      <c r="K3821" s="13"/>
      <c r="L3821" s="11"/>
      <c r="M3821" s="13"/>
      <c r="N3821" s="11"/>
      <c r="O3821" s="13"/>
      <c r="P3821" s="11"/>
      <c r="Q3821" s="13"/>
      <c r="R3821" s="10"/>
      <c r="S3821" s="10"/>
    </row>
    <row r="3822" spans="1:19" x14ac:dyDescent="0.25">
      <c r="A3822" t="str">
        <f t="shared" si="60"/>
        <v/>
      </c>
      <c r="B3822" s="10"/>
      <c r="C3822" s="10"/>
      <c r="D3822" s="10"/>
      <c r="E3822" s="10"/>
      <c r="F3822" s="10"/>
      <c r="G3822" s="11"/>
      <c r="H3822" s="12"/>
      <c r="I3822" s="13"/>
      <c r="J3822" s="12"/>
      <c r="K3822" s="13"/>
      <c r="L3822" s="11"/>
      <c r="M3822" s="13"/>
      <c r="N3822" s="11"/>
      <c r="O3822" s="13"/>
      <c r="P3822" s="11"/>
      <c r="Q3822" s="13"/>
      <c r="R3822" s="10"/>
      <c r="S3822" s="10"/>
    </row>
    <row r="3823" spans="1:19" x14ac:dyDescent="0.25">
      <c r="A3823" t="str">
        <f t="shared" si="60"/>
        <v/>
      </c>
      <c r="B3823" s="10"/>
      <c r="C3823" s="10"/>
      <c r="D3823" s="10"/>
      <c r="E3823" s="10"/>
      <c r="F3823" s="10"/>
      <c r="G3823" s="11"/>
      <c r="H3823" s="12"/>
      <c r="I3823" s="13"/>
      <c r="J3823" s="12"/>
      <c r="K3823" s="13"/>
      <c r="L3823" s="11"/>
      <c r="M3823" s="13"/>
      <c r="N3823" s="11"/>
      <c r="O3823" s="13"/>
      <c r="P3823" s="11"/>
      <c r="Q3823" s="13"/>
      <c r="R3823" s="10"/>
      <c r="S3823" s="10"/>
    </row>
    <row r="3824" spans="1:19" x14ac:dyDescent="0.25">
      <c r="A3824" t="str">
        <f t="shared" si="60"/>
        <v/>
      </c>
      <c r="B3824" s="10"/>
      <c r="C3824" s="10"/>
      <c r="D3824" s="10"/>
      <c r="E3824" s="10"/>
      <c r="F3824" s="10"/>
      <c r="G3824" s="11"/>
      <c r="H3824" s="12"/>
      <c r="I3824" s="13"/>
      <c r="J3824" s="12"/>
      <c r="K3824" s="13"/>
      <c r="L3824" s="11"/>
      <c r="M3824" s="13"/>
      <c r="N3824" s="11"/>
      <c r="O3824" s="13"/>
      <c r="P3824" s="11"/>
      <c r="Q3824" s="13"/>
      <c r="R3824" s="10"/>
      <c r="S3824" s="10"/>
    </row>
    <row r="3825" spans="1:19" x14ac:dyDescent="0.25">
      <c r="A3825" t="str">
        <f t="shared" si="60"/>
        <v/>
      </c>
      <c r="B3825" s="10"/>
      <c r="C3825" s="10"/>
      <c r="D3825" s="10"/>
      <c r="E3825" s="10"/>
      <c r="F3825" s="10"/>
      <c r="G3825" s="11"/>
      <c r="H3825" s="12"/>
      <c r="I3825" s="13"/>
      <c r="J3825" s="12"/>
      <c r="K3825" s="13"/>
      <c r="L3825" s="11"/>
      <c r="M3825" s="13"/>
      <c r="N3825" s="11"/>
      <c r="O3825" s="13"/>
      <c r="P3825" s="11"/>
      <c r="Q3825" s="13"/>
      <c r="R3825" s="10"/>
      <c r="S3825" s="10"/>
    </row>
    <row r="3826" spans="1:19" x14ac:dyDescent="0.25">
      <c r="A3826" t="str">
        <f t="shared" si="60"/>
        <v/>
      </c>
      <c r="B3826" s="10"/>
      <c r="C3826" s="10"/>
      <c r="D3826" s="10"/>
      <c r="E3826" s="10"/>
      <c r="F3826" s="10"/>
      <c r="G3826" s="11"/>
      <c r="H3826" s="12"/>
      <c r="I3826" s="13"/>
      <c r="J3826" s="12"/>
      <c r="K3826" s="13"/>
      <c r="L3826" s="11"/>
      <c r="M3826" s="13"/>
      <c r="N3826" s="11"/>
      <c r="O3826" s="13"/>
      <c r="P3826" s="11"/>
      <c r="Q3826" s="13"/>
      <c r="R3826" s="10"/>
      <c r="S3826" s="10"/>
    </row>
    <row r="3827" spans="1:19" x14ac:dyDescent="0.25">
      <c r="A3827" t="str">
        <f t="shared" si="60"/>
        <v/>
      </c>
      <c r="B3827" s="10"/>
      <c r="C3827" s="10"/>
      <c r="D3827" s="10"/>
      <c r="E3827" s="10"/>
      <c r="F3827" s="10"/>
      <c r="G3827" s="11"/>
      <c r="H3827" s="12"/>
      <c r="I3827" s="13"/>
      <c r="J3827" s="12"/>
      <c r="K3827" s="13"/>
      <c r="L3827" s="11"/>
      <c r="M3827" s="13"/>
      <c r="N3827" s="11"/>
      <c r="O3827" s="13"/>
      <c r="P3827" s="11"/>
      <c r="Q3827" s="13"/>
      <c r="R3827" s="10"/>
      <c r="S3827" s="10"/>
    </row>
    <row r="3828" spans="1:19" x14ac:dyDescent="0.25">
      <c r="A3828" t="str">
        <f t="shared" si="60"/>
        <v/>
      </c>
      <c r="B3828" s="10"/>
      <c r="C3828" s="10"/>
      <c r="D3828" s="10"/>
      <c r="E3828" s="10"/>
      <c r="F3828" s="10"/>
      <c r="G3828" s="11"/>
      <c r="H3828" s="12"/>
      <c r="I3828" s="13"/>
      <c r="J3828" s="12"/>
      <c r="K3828" s="13"/>
      <c r="L3828" s="11"/>
      <c r="M3828" s="13"/>
      <c r="N3828" s="11"/>
      <c r="O3828" s="13"/>
      <c r="P3828" s="11"/>
      <c r="Q3828" s="13"/>
      <c r="R3828" s="10"/>
      <c r="S3828" s="10"/>
    </row>
    <row r="3829" spans="1:19" x14ac:dyDescent="0.25">
      <c r="A3829" t="str">
        <f t="shared" ref="A3829:A3892" si="61">B3827&amp;D3827</f>
        <v/>
      </c>
      <c r="B3829" s="10"/>
      <c r="C3829" s="10"/>
      <c r="D3829" s="10"/>
      <c r="E3829" s="10"/>
      <c r="F3829" s="10"/>
      <c r="G3829" s="11"/>
      <c r="H3829" s="12"/>
      <c r="I3829" s="13"/>
      <c r="J3829" s="12"/>
      <c r="K3829" s="13"/>
      <c r="L3829" s="11"/>
      <c r="M3829" s="13"/>
      <c r="N3829" s="11"/>
      <c r="O3829" s="13"/>
      <c r="P3829" s="11"/>
      <c r="Q3829" s="13"/>
      <c r="R3829" s="10"/>
      <c r="S3829" s="10"/>
    </row>
    <row r="3830" spans="1:19" x14ac:dyDescent="0.25">
      <c r="A3830" t="str">
        <f t="shared" si="61"/>
        <v/>
      </c>
      <c r="B3830" s="10"/>
      <c r="C3830" s="10"/>
      <c r="D3830" s="10"/>
      <c r="E3830" s="10"/>
      <c r="F3830" s="10"/>
      <c r="G3830" s="11"/>
      <c r="H3830" s="12"/>
      <c r="I3830" s="13"/>
      <c r="J3830" s="12"/>
      <c r="K3830" s="13"/>
      <c r="L3830" s="11"/>
      <c r="M3830" s="13"/>
      <c r="N3830" s="11"/>
      <c r="O3830" s="13"/>
      <c r="P3830" s="11"/>
      <c r="Q3830" s="13"/>
      <c r="R3830" s="10"/>
      <c r="S3830" s="10"/>
    </row>
    <row r="3831" spans="1:19" x14ac:dyDescent="0.25">
      <c r="A3831" t="str">
        <f t="shared" si="61"/>
        <v/>
      </c>
      <c r="B3831" s="10"/>
      <c r="C3831" s="10"/>
      <c r="D3831" s="10"/>
      <c r="E3831" s="10"/>
      <c r="F3831" s="10"/>
      <c r="G3831" s="11"/>
      <c r="H3831" s="12"/>
      <c r="I3831" s="13"/>
      <c r="J3831" s="12"/>
      <c r="K3831" s="13"/>
      <c r="L3831" s="11"/>
      <c r="M3831" s="13"/>
      <c r="N3831" s="11"/>
      <c r="O3831" s="13"/>
      <c r="P3831" s="11"/>
      <c r="Q3831" s="13"/>
      <c r="R3831" s="10"/>
      <c r="S3831" s="10"/>
    </row>
    <row r="3832" spans="1:19" x14ac:dyDescent="0.25">
      <c r="A3832" t="str">
        <f t="shared" si="61"/>
        <v/>
      </c>
      <c r="B3832" s="10"/>
      <c r="C3832" s="10"/>
      <c r="D3832" s="10"/>
      <c r="E3832" s="10"/>
      <c r="F3832" s="10"/>
      <c r="G3832" s="11"/>
      <c r="H3832" s="12"/>
      <c r="I3832" s="13"/>
      <c r="J3832" s="12"/>
      <c r="K3832" s="13"/>
      <c r="L3832" s="11"/>
      <c r="M3832" s="13"/>
      <c r="N3832" s="11"/>
      <c r="O3832" s="13"/>
      <c r="P3832" s="11"/>
      <c r="Q3832" s="13"/>
      <c r="R3832" s="10"/>
      <c r="S3832" s="10"/>
    </row>
    <row r="3833" spans="1:19" x14ac:dyDescent="0.25">
      <c r="A3833" t="str">
        <f t="shared" si="61"/>
        <v/>
      </c>
      <c r="B3833" s="10"/>
      <c r="C3833" s="10"/>
      <c r="D3833" s="10"/>
      <c r="E3833" s="10"/>
      <c r="F3833" s="10"/>
      <c r="G3833" s="11"/>
      <c r="H3833" s="12"/>
      <c r="I3833" s="13"/>
      <c r="J3833" s="12"/>
      <c r="K3833" s="13"/>
      <c r="L3833" s="11"/>
      <c r="M3833" s="13"/>
      <c r="N3833" s="11"/>
      <c r="O3833" s="13"/>
      <c r="P3833" s="11"/>
      <c r="Q3833" s="13"/>
      <c r="R3833" s="10"/>
      <c r="S3833" s="10"/>
    </row>
    <row r="3834" spans="1:19" x14ac:dyDescent="0.25">
      <c r="A3834" t="str">
        <f t="shared" si="61"/>
        <v/>
      </c>
      <c r="B3834" s="10"/>
      <c r="C3834" s="10"/>
      <c r="D3834" s="10"/>
      <c r="E3834" s="10"/>
      <c r="F3834" s="10"/>
      <c r="G3834" s="11"/>
      <c r="H3834" s="12"/>
      <c r="I3834" s="13"/>
      <c r="J3834" s="12"/>
      <c r="K3834" s="13"/>
      <c r="L3834" s="11"/>
      <c r="M3834" s="13"/>
      <c r="N3834" s="11"/>
      <c r="O3834" s="13"/>
      <c r="P3834" s="11"/>
      <c r="Q3834" s="13"/>
      <c r="R3834" s="10"/>
      <c r="S3834" s="10"/>
    </row>
    <row r="3835" spans="1:19" x14ac:dyDescent="0.25">
      <c r="A3835" t="str">
        <f t="shared" si="61"/>
        <v/>
      </c>
      <c r="B3835" s="10"/>
      <c r="C3835" s="10"/>
      <c r="D3835" s="10"/>
      <c r="E3835" s="10"/>
      <c r="F3835" s="10"/>
      <c r="G3835" s="11"/>
      <c r="H3835" s="12"/>
      <c r="I3835" s="13"/>
      <c r="J3835" s="12"/>
      <c r="K3835" s="13"/>
      <c r="L3835" s="11"/>
      <c r="M3835" s="13"/>
      <c r="N3835" s="11"/>
      <c r="O3835" s="13"/>
      <c r="P3835" s="11"/>
      <c r="Q3835" s="13"/>
      <c r="R3835" s="10"/>
      <c r="S3835" s="10"/>
    </row>
    <row r="3836" spans="1:19" x14ac:dyDescent="0.25">
      <c r="A3836" t="str">
        <f t="shared" si="61"/>
        <v/>
      </c>
      <c r="B3836" s="10"/>
      <c r="C3836" s="10"/>
      <c r="D3836" s="10"/>
      <c r="E3836" s="10"/>
      <c r="F3836" s="10"/>
      <c r="G3836" s="11"/>
      <c r="H3836" s="12"/>
      <c r="I3836" s="13"/>
      <c r="J3836" s="12"/>
      <c r="K3836" s="13"/>
      <c r="L3836" s="11"/>
      <c r="M3836" s="13"/>
      <c r="N3836" s="11"/>
      <c r="O3836" s="13"/>
      <c r="P3836" s="11"/>
      <c r="Q3836" s="13"/>
      <c r="R3836" s="10"/>
      <c r="S3836" s="10"/>
    </row>
    <row r="3837" spans="1:19" x14ac:dyDescent="0.25">
      <c r="A3837" t="str">
        <f t="shared" si="61"/>
        <v/>
      </c>
      <c r="B3837" s="10"/>
      <c r="C3837" s="10"/>
      <c r="D3837" s="10"/>
      <c r="E3837" s="10"/>
      <c r="F3837" s="10"/>
      <c r="G3837" s="11"/>
      <c r="H3837" s="12"/>
      <c r="I3837" s="13"/>
      <c r="J3837" s="12"/>
      <c r="K3837" s="13"/>
      <c r="L3837" s="11"/>
      <c r="M3837" s="13"/>
      <c r="N3837" s="11"/>
      <c r="O3837" s="13"/>
      <c r="P3837" s="11"/>
      <c r="Q3837" s="13"/>
      <c r="R3837" s="10"/>
      <c r="S3837" s="10"/>
    </row>
    <row r="3838" spans="1:19" x14ac:dyDescent="0.25">
      <c r="A3838" t="str">
        <f t="shared" si="61"/>
        <v/>
      </c>
      <c r="B3838" s="10"/>
      <c r="C3838" s="10"/>
      <c r="D3838" s="10"/>
      <c r="E3838" s="10"/>
      <c r="F3838" s="10"/>
      <c r="G3838" s="11"/>
      <c r="H3838" s="12"/>
      <c r="I3838" s="13"/>
      <c r="J3838" s="12"/>
      <c r="K3838" s="13"/>
      <c r="L3838" s="11"/>
      <c r="M3838" s="13"/>
      <c r="N3838" s="11"/>
      <c r="O3838" s="13"/>
      <c r="P3838" s="11"/>
      <c r="Q3838" s="13"/>
      <c r="R3838" s="10"/>
      <c r="S3838" s="10"/>
    </row>
    <row r="3839" spans="1:19" x14ac:dyDescent="0.25">
      <c r="A3839" t="str">
        <f t="shared" si="61"/>
        <v/>
      </c>
      <c r="B3839" s="10"/>
      <c r="C3839" s="10"/>
      <c r="D3839" s="10"/>
      <c r="E3839" s="10"/>
      <c r="F3839" s="10"/>
      <c r="G3839" s="11"/>
      <c r="H3839" s="12"/>
      <c r="I3839" s="13"/>
      <c r="J3839" s="12"/>
      <c r="K3839" s="13"/>
      <c r="L3839" s="11"/>
      <c r="M3839" s="13"/>
      <c r="N3839" s="11"/>
      <c r="O3839" s="13"/>
      <c r="P3839" s="11"/>
      <c r="Q3839" s="13"/>
      <c r="R3839" s="10"/>
      <c r="S3839" s="10"/>
    </row>
    <row r="3840" spans="1:19" x14ac:dyDescent="0.25">
      <c r="A3840" t="str">
        <f t="shared" si="61"/>
        <v/>
      </c>
      <c r="B3840" s="10"/>
      <c r="C3840" s="10"/>
      <c r="D3840" s="10"/>
      <c r="E3840" s="10"/>
      <c r="F3840" s="10"/>
      <c r="G3840" s="11"/>
      <c r="H3840" s="12"/>
      <c r="I3840" s="13"/>
      <c r="J3840" s="12"/>
      <c r="K3840" s="13"/>
      <c r="L3840" s="11"/>
      <c r="M3840" s="13"/>
      <c r="N3840" s="11"/>
      <c r="O3840" s="13"/>
      <c r="P3840" s="11"/>
      <c r="Q3840" s="13"/>
      <c r="R3840" s="10"/>
      <c r="S3840" s="10"/>
    </row>
    <row r="3841" spans="1:19" x14ac:dyDescent="0.25">
      <c r="A3841" t="str">
        <f t="shared" si="61"/>
        <v/>
      </c>
      <c r="B3841" s="10"/>
      <c r="C3841" s="10"/>
      <c r="D3841" s="10"/>
      <c r="E3841" s="10"/>
      <c r="F3841" s="10"/>
      <c r="G3841" s="11"/>
      <c r="H3841" s="12"/>
      <c r="I3841" s="13"/>
      <c r="J3841" s="12"/>
      <c r="K3841" s="13"/>
      <c r="L3841" s="11"/>
      <c r="M3841" s="13"/>
      <c r="N3841" s="11"/>
      <c r="O3841" s="13"/>
      <c r="P3841" s="11"/>
      <c r="Q3841" s="13"/>
      <c r="R3841" s="10"/>
      <c r="S3841" s="10"/>
    </row>
    <row r="3842" spans="1:19" x14ac:dyDescent="0.25">
      <c r="A3842" t="str">
        <f t="shared" si="61"/>
        <v/>
      </c>
      <c r="B3842" s="10"/>
      <c r="C3842" s="10"/>
      <c r="D3842" s="10"/>
      <c r="E3842" s="10"/>
      <c r="F3842" s="10"/>
      <c r="G3842" s="11"/>
      <c r="H3842" s="12"/>
      <c r="I3842" s="13"/>
      <c r="J3842" s="12"/>
      <c r="K3842" s="13"/>
      <c r="L3842" s="11"/>
      <c r="M3842" s="13"/>
      <c r="N3842" s="11"/>
      <c r="O3842" s="13"/>
      <c r="P3842" s="11"/>
      <c r="Q3842" s="13"/>
      <c r="R3842" s="10"/>
      <c r="S3842" s="10"/>
    </row>
    <row r="3843" spans="1:19" x14ac:dyDescent="0.25">
      <c r="A3843" t="str">
        <f t="shared" si="61"/>
        <v/>
      </c>
      <c r="B3843" s="10"/>
      <c r="C3843" s="10"/>
      <c r="D3843" s="10"/>
      <c r="E3843" s="10"/>
      <c r="F3843" s="10"/>
      <c r="G3843" s="11"/>
      <c r="H3843" s="12"/>
      <c r="I3843" s="13"/>
      <c r="J3843" s="12"/>
      <c r="K3843" s="13"/>
      <c r="L3843" s="11"/>
      <c r="M3843" s="13"/>
      <c r="N3843" s="11"/>
      <c r="O3843" s="13"/>
      <c r="P3843" s="11"/>
      <c r="Q3843" s="13"/>
      <c r="R3843" s="10"/>
      <c r="S3843" s="10"/>
    </row>
    <row r="3844" spans="1:19" x14ac:dyDescent="0.25">
      <c r="A3844" t="str">
        <f t="shared" si="61"/>
        <v/>
      </c>
      <c r="B3844" s="10"/>
      <c r="C3844" s="10"/>
      <c r="D3844" s="10"/>
      <c r="E3844" s="10"/>
      <c r="F3844" s="10"/>
      <c r="G3844" s="11"/>
      <c r="H3844" s="12"/>
      <c r="I3844" s="13"/>
      <c r="J3844" s="12"/>
      <c r="K3844" s="13"/>
      <c r="L3844" s="11"/>
      <c r="M3844" s="13"/>
      <c r="N3844" s="11"/>
      <c r="O3844" s="13"/>
      <c r="P3844" s="11"/>
      <c r="Q3844" s="13"/>
      <c r="R3844" s="10"/>
      <c r="S3844" s="10"/>
    </row>
    <row r="3845" spans="1:19" x14ac:dyDescent="0.25">
      <c r="A3845" t="str">
        <f t="shared" si="61"/>
        <v/>
      </c>
      <c r="B3845" s="10"/>
      <c r="C3845" s="10"/>
      <c r="D3845" s="10"/>
      <c r="E3845" s="10"/>
      <c r="F3845" s="10"/>
      <c r="G3845" s="11"/>
      <c r="H3845" s="12"/>
      <c r="I3845" s="13"/>
      <c r="J3845" s="12"/>
      <c r="K3845" s="13"/>
      <c r="L3845" s="11"/>
      <c r="M3845" s="13"/>
      <c r="N3845" s="11"/>
      <c r="O3845" s="13"/>
      <c r="P3845" s="11"/>
      <c r="Q3845" s="13"/>
      <c r="R3845" s="10"/>
      <c r="S3845" s="10"/>
    </row>
    <row r="3846" spans="1:19" x14ac:dyDescent="0.25">
      <c r="A3846" t="str">
        <f t="shared" si="61"/>
        <v/>
      </c>
      <c r="B3846" s="10"/>
      <c r="C3846" s="10"/>
      <c r="D3846" s="10"/>
      <c r="E3846" s="10"/>
      <c r="F3846" s="10"/>
      <c r="G3846" s="11"/>
      <c r="H3846" s="12"/>
      <c r="I3846" s="13"/>
      <c r="J3846" s="12"/>
      <c r="K3846" s="13"/>
      <c r="L3846" s="11"/>
      <c r="M3846" s="13"/>
      <c r="N3846" s="11"/>
      <c r="O3846" s="13"/>
      <c r="P3846" s="11"/>
      <c r="Q3846" s="13"/>
      <c r="R3846" s="10"/>
      <c r="S3846" s="10"/>
    </row>
    <row r="3847" spans="1:19" x14ac:dyDescent="0.25">
      <c r="A3847" t="str">
        <f t="shared" si="61"/>
        <v/>
      </c>
      <c r="B3847" s="10"/>
      <c r="C3847" s="10"/>
      <c r="D3847" s="10"/>
      <c r="E3847" s="10"/>
      <c r="F3847" s="10"/>
      <c r="G3847" s="11"/>
      <c r="H3847" s="12"/>
      <c r="I3847" s="13"/>
      <c r="J3847" s="12"/>
      <c r="K3847" s="13"/>
      <c r="L3847" s="11"/>
      <c r="M3847" s="13"/>
      <c r="N3847" s="11"/>
      <c r="O3847" s="13"/>
      <c r="P3847" s="11"/>
      <c r="Q3847" s="13"/>
      <c r="R3847" s="10"/>
      <c r="S3847" s="10"/>
    </row>
    <row r="3848" spans="1:19" x14ac:dyDescent="0.25">
      <c r="A3848" t="str">
        <f t="shared" si="61"/>
        <v/>
      </c>
      <c r="B3848" s="10"/>
      <c r="C3848" s="10"/>
      <c r="D3848" s="10"/>
      <c r="E3848" s="10"/>
      <c r="F3848" s="10"/>
      <c r="G3848" s="11"/>
      <c r="H3848" s="12"/>
      <c r="I3848" s="13"/>
      <c r="J3848" s="12"/>
      <c r="K3848" s="13"/>
      <c r="L3848" s="11"/>
      <c r="M3848" s="13"/>
      <c r="N3848" s="11"/>
      <c r="O3848" s="13"/>
      <c r="P3848" s="11"/>
      <c r="Q3848" s="13"/>
      <c r="R3848" s="10"/>
      <c r="S3848" s="10"/>
    </row>
    <row r="3849" spans="1:19" x14ac:dyDescent="0.25">
      <c r="A3849" t="str">
        <f t="shared" si="61"/>
        <v/>
      </c>
      <c r="B3849" s="10"/>
      <c r="C3849" s="10"/>
      <c r="D3849" s="10"/>
      <c r="E3849" s="10"/>
      <c r="F3849" s="10"/>
      <c r="G3849" s="11"/>
      <c r="H3849" s="12"/>
      <c r="I3849" s="13"/>
      <c r="J3849" s="12"/>
      <c r="K3849" s="13"/>
      <c r="L3849" s="11"/>
      <c r="M3849" s="13"/>
      <c r="N3849" s="11"/>
      <c r="O3849" s="13"/>
      <c r="P3849" s="11"/>
      <c r="Q3849" s="13"/>
      <c r="R3849" s="10"/>
      <c r="S3849" s="10"/>
    </row>
    <row r="3850" spans="1:19" x14ac:dyDescent="0.25">
      <c r="A3850" t="str">
        <f t="shared" si="61"/>
        <v/>
      </c>
      <c r="B3850" s="10"/>
      <c r="C3850" s="10"/>
      <c r="D3850" s="10"/>
      <c r="E3850" s="10"/>
      <c r="F3850" s="10"/>
      <c r="G3850" s="11"/>
      <c r="H3850" s="12"/>
      <c r="I3850" s="13"/>
      <c r="J3850" s="12"/>
      <c r="K3850" s="13"/>
      <c r="L3850" s="11"/>
      <c r="M3850" s="13"/>
      <c r="N3850" s="11"/>
      <c r="O3850" s="13"/>
      <c r="P3850" s="11"/>
      <c r="Q3850" s="13"/>
      <c r="R3850" s="10"/>
      <c r="S3850" s="10"/>
    </row>
    <row r="3851" spans="1:19" x14ac:dyDescent="0.25">
      <c r="A3851" t="str">
        <f t="shared" si="61"/>
        <v/>
      </c>
      <c r="B3851" s="10"/>
      <c r="C3851" s="10"/>
      <c r="D3851" s="10"/>
      <c r="E3851" s="10"/>
      <c r="F3851" s="10"/>
      <c r="G3851" s="11"/>
      <c r="H3851" s="12"/>
      <c r="I3851" s="13"/>
      <c r="J3851" s="12"/>
      <c r="K3851" s="13"/>
      <c r="L3851" s="11"/>
      <c r="M3851" s="13"/>
      <c r="N3851" s="11"/>
      <c r="O3851" s="13"/>
      <c r="P3851" s="11"/>
      <c r="Q3851" s="13"/>
      <c r="R3851" s="10"/>
      <c r="S3851" s="10"/>
    </row>
    <row r="3852" spans="1:19" x14ac:dyDescent="0.25">
      <c r="A3852" t="str">
        <f t="shared" si="61"/>
        <v/>
      </c>
      <c r="B3852" s="10"/>
      <c r="C3852" s="10"/>
      <c r="D3852" s="10"/>
      <c r="E3852" s="10"/>
      <c r="F3852" s="10"/>
      <c r="G3852" s="11"/>
      <c r="H3852" s="12"/>
      <c r="I3852" s="13"/>
      <c r="J3852" s="12"/>
      <c r="K3852" s="13"/>
      <c r="L3852" s="11"/>
      <c r="M3852" s="13"/>
      <c r="N3852" s="11"/>
      <c r="O3852" s="13"/>
      <c r="P3852" s="11"/>
      <c r="Q3852" s="13"/>
      <c r="R3852" s="10"/>
      <c r="S3852" s="10"/>
    </row>
    <row r="3853" spans="1:19" x14ac:dyDescent="0.25">
      <c r="A3853" t="str">
        <f t="shared" si="61"/>
        <v/>
      </c>
      <c r="B3853" s="10"/>
      <c r="C3853" s="10"/>
      <c r="D3853" s="10"/>
      <c r="E3853" s="10"/>
      <c r="F3853" s="10"/>
      <c r="G3853" s="11"/>
      <c r="H3853" s="12"/>
      <c r="I3853" s="13"/>
      <c r="J3853" s="12"/>
      <c r="K3853" s="13"/>
      <c r="L3853" s="11"/>
      <c r="M3853" s="13"/>
      <c r="N3853" s="11"/>
      <c r="O3853" s="13"/>
      <c r="P3853" s="11"/>
      <c r="Q3853" s="13"/>
      <c r="R3853" s="10"/>
      <c r="S3853" s="10"/>
    </row>
    <row r="3854" spans="1:19" x14ac:dyDescent="0.25">
      <c r="A3854" t="str">
        <f t="shared" si="61"/>
        <v/>
      </c>
      <c r="B3854" s="10"/>
      <c r="C3854" s="10"/>
      <c r="D3854" s="10"/>
      <c r="E3854" s="10"/>
      <c r="F3854" s="10"/>
      <c r="G3854" s="11"/>
      <c r="H3854" s="12"/>
      <c r="I3854" s="13"/>
      <c r="J3854" s="12"/>
      <c r="K3854" s="13"/>
      <c r="L3854" s="11"/>
      <c r="M3854" s="13"/>
      <c r="N3854" s="11"/>
      <c r="O3854" s="13"/>
      <c r="P3854" s="11"/>
      <c r="Q3854" s="13"/>
      <c r="R3854" s="10"/>
      <c r="S3854" s="10"/>
    </row>
    <row r="3855" spans="1:19" x14ac:dyDescent="0.25">
      <c r="A3855" t="str">
        <f t="shared" si="61"/>
        <v/>
      </c>
      <c r="B3855" s="10"/>
      <c r="C3855" s="10"/>
      <c r="D3855" s="10"/>
      <c r="E3855" s="10"/>
      <c r="F3855" s="10"/>
      <c r="G3855" s="11"/>
      <c r="H3855" s="12"/>
      <c r="I3855" s="13"/>
      <c r="J3855" s="12"/>
      <c r="K3855" s="13"/>
      <c r="L3855" s="11"/>
      <c r="M3855" s="13"/>
      <c r="N3855" s="11"/>
      <c r="O3855" s="13"/>
      <c r="P3855" s="11"/>
      <c r="Q3855" s="13"/>
      <c r="R3855" s="10"/>
      <c r="S3855" s="10"/>
    </row>
    <row r="3856" spans="1:19" x14ac:dyDescent="0.25">
      <c r="A3856" t="str">
        <f t="shared" si="61"/>
        <v/>
      </c>
      <c r="B3856" s="10"/>
      <c r="C3856" s="10"/>
      <c r="D3856" s="10"/>
      <c r="E3856" s="10"/>
      <c r="F3856" s="10"/>
      <c r="G3856" s="11"/>
      <c r="H3856" s="12"/>
      <c r="I3856" s="13"/>
      <c r="J3856" s="12"/>
      <c r="K3856" s="13"/>
      <c r="L3856" s="11"/>
      <c r="M3856" s="13"/>
      <c r="N3856" s="11"/>
      <c r="O3856" s="13"/>
      <c r="P3856" s="11"/>
      <c r="Q3856" s="13"/>
      <c r="R3856" s="10"/>
      <c r="S3856" s="10"/>
    </row>
    <row r="3857" spans="1:19" x14ac:dyDescent="0.25">
      <c r="A3857" t="str">
        <f t="shared" si="61"/>
        <v/>
      </c>
      <c r="B3857" s="10"/>
      <c r="C3857" s="10"/>
      <c r="D3857" s="10"/>
      <c r="E3857" s="10"/>
      <c r="F3857" s="10"/>
      <c r="G3857" s="11"/>
      <c r="H3857" s="12"/>
      <c r="I3857" s="13"/>
      <c r="J3857" s="12"/>
      <c r="K3857" s="13"/>
      <c r="L3857" s="11"/>
      <c r="M3857" s="13"/>
      <c r="N3857" s="11"/>
      <c r="O3857" s="13"/>
      <c r="P3857" s="11"/>
      <c r="Q3857" s="13"/>
      <c r="R3857" s="10"/>
      <c r="S3857" s="10"/>
    </row>
    <row r="3858" spans="1:19" x14ac:dyDescent="0.25">
      <c r="A3858" t="str">
        <f t="shared" si="61"/>
        <v/>
      </c>
      <c r="B3858" s="10"/>
      <c r="C3858" s="10"/>
      <c r="D3858" s="10"/>
      <c r="E3858" s="10"/>
      <c r="F3858" s="10"/>
      <c r="G3858" s="11"/>
      <c r="H3858" s="12"/>
      <c r="I3858" s="13"/>
      <c r="J3858" s="12"/>
      <c r="K3858" s="13"/>
      <c r="L3858" s="11"/>
      <c r="M3858" s="13"/>
      <c r="N3858" s="11"/>
      <c r="O3858" s="13"/>
      <c r="P3858" s="11"/>
      <c r="Q3858" s="13"/>
      <c r="R3858" s="10"/>
      <c r="S3858" s="10"/>
    </row>
    <row r="3859" spans="1:19" x14ac:dyDescent="0.25">
      <c r="A3859" t="str">
        <f t="shared" si="61"/>
        <v/>
      </c>
      <c r="B3859" s="10"/>
      <c r="C3859" s="10"/>
      <c r="D3859" s="10"/>
      <c r="E3859" s="10"/>
      <c r="F3859" s="10"/>
      <c r="G3859" s="11"/>
      <c r="H3859" s="12"/>
      <c r="I3859" s="13"/>
      <c r="J3859" s="12"/>
      <c r="K3859" s="13"/>
      <c r="L3859" s="11"/>
      <c r="M3859" s="13"/>
      <c r="N3859" s="11"/>
      <c r="O3859" s="13"/>
      <c r="P3859" s="11"/>
      <c r="Q3859" s="13"/>
      <c r="R3859" s="10"/>
      <c r="S3859" s="10"/>
    </row>
    <row r="3860" spans="1:19" x14ac:dyDescent="0.25">
      <c r="A3860" t="str">
        <f t="shared" si="61"/>
        <v/>
      </c>
      <c r="B3860" s="10"/>
      <c r="C3860" s="10"/>
      <c r="D3860" s="10"/>
      <c r="E3860" s="10"/>
      <c r="F3860" s="10"/>
      <c r="G3860" s="11"/>
      <c r="H3860" s="12"/>
      <c r="I3860" s="13"/>
      <c r="J3860" s="12"/>
      <c r="K3860" s="13"/>
      <c r="L3860" s="11"/>
      <c r="M3860" s="13"/>
      <c r="N3860" s="11"/>
      <c r="O3860" s="13"/>
      <c r="P3860" s="11"/>
      <c r="Q3860" s="13"/>
      <c r="R3860" s="10"/>
      <c r="S3860" s="10"/>
    </row>
    <row r="3861" spans="1:19" x14ac:dyDescent="0.25">
      <c r="A3861" t="str">
        <f t="shared" si="61"/>
        <v/>
      </c>
      <c r="B3861" s="10"/>
      <c r="C3861" s="10"/>
      <c r="D3861" s="10"/>
      <c r="E3861" s="10"/>
      <c r="F3861" s="10"/>
      <c r="G3861" s="11"/>
      <c r="H3861" s="12"/>
      <c r="I3861" s="13"/>
      <c r="J3861" s="12"/>
      <c r="K3861" s="13"/>
      <c r="L3861" s="11"/>
      <c r="M3861" s="13"/>
      <c r="N3861" s="11"/>
      <c r="O3861" s="13"/>
      <c r="P3861" s="11"/>
      <c r="Q3861" s="13"/>
      <c r="R3861" s="10"/>
      <c r="S3861" s="10"/>
    </row>
    <row r="3862" spans="1:19" x14ac:dyDescent="0.25">
      <c r="A3862" t="str">
        <f t="shared" si="61"/>
        <v/>
      </c>
      <c r="B3862" s="10"/>
      <c r="C3862" s="10"/>
      <c r="D3862" s="10"/>
      <c r="E3862" s="10"/>
      <c r="F3862" s="10"/>
      <c r="G3862" s="11"/>
      <c r="H3862" s="12"/>
      <c r="I3862" s="13"/>
      <c r="J3862" s="12"/>
      <c r="K3862" s="13"/>
      <c r="L3862" s="11"/>
      <c r="M3862" s="13"/>
      <c r="N3862" s="11"/>
      <c r="O3862" s="13"/>
      <c r="P3862" s="11"/>
      <c r="Q3862" s="13"/>
      <c r="R3862" s="10"/>
      <c r="S3862" s="10"/>
    </row>
    <row r="3863" spans="1:19" x14ac:dyDescent="0.25">
      <c r="A3863" t="str">
        <f t="shared" si="61"/>
        <v/>
      </c>
      <c r="B3863" s="10"/>
      <c r="C3863" s="10"/>
      <c r="D3863" s="10"/>
      <c r="E3863" s="10"/>
      <c r="F3863" s="10"/>
      <c r="G3863" s="11"/>
      <c r="H3863" s="12"/>
      <c r="I3863" s="13"/>
      <c r="J3863" s="12"/>
      <c r="K3863" s="13"/>
      <c r="L3863" s="11"/>
      <c r="M3863" s="13"/>
      <c r="N3863" s="11"/>
      <c r="O3863" s="13"/>
      <c r="P3863" s="11"/>
      <c r="Q3863" s="13"/>
      <c r="R3863" s="10"/>
      <c r="S3863" s="10"/>
    </row>
    <row r="3864" spans="1:19" x14ac:dyDescent="0.25">
      <c r="A3864" t="str">
        <f t="shared" si="61"/>
        <v/>
      </c>
      <c r="B3864" s="10"/>
      <c r="C3864" s="10"/>
      <c r="D3864" s="10"/>
      <c r="E3864" s="10"/>
      <c r="F3864" s="10"/>
      <c r="G3864" s="11"/>
      <c r="H3864" s="12"/>
      <c r="I3864" s="13"/>
      <c r="J3864" s="12"/>
      <c r="K3864" s="13"/>
      <c r="L3864" s="11"/>
      <c r="M3864" s="13"/>
      <c r="N3864" s="11"/>
      <c r="O3864" s="13"/>
      <c r="P3864" s="11"/>
      <c r="Q3864" s="13"/>
      <c r="R3864" s="10"/>
      <c r="S3864" s="10"/>
    </row>
    <row r="3865" spans="1:19" x14ac:dyDescent="0.25">
      <c r="A3865" t="str">
        <f t="shared" si="61"/>
        <v/>
      </c>
      <c r="B3865" s="10"/>
      <c r="C3865" s="10"/>
      <c r="D3865" s="10"/>
      <c r="E3865" s="10"/>
      <c r="F3865" s="10"/>
      <c r="G3865" s="11"/>
      <c r="H3865" s="12"/>
      <c r="I3865" s="13"/>
      <c r="J3865" s="12"/>
      <c r="K3865" s="13"/>
      <c r="L3865" s="11"/>
      <c r="M3865" s="13"/>
      <c r="N3865" s="11"/>
      <c r="O3865" s="13"/>
      <c r="P3865" s="11"/>
      <c r="Q3865" s="13"/>
      <c r="R3865" s="10"/>
      <c r="S3865" s="10"/>
    </row>
    <row r="3866" spans="1:19" x14ac:dyDescent="0.25">
      <c r="A3866" t="str">
        <f t="shared" si="61"/>
        <v/>
      </c>
      <c r="B3866" s="10"/>
      <c r="C3866" s="10"/>
      <c r="D3866" s="10"/>
      <c r="E3866" s="10"/>
      <c r="F3866" s="10"/>
      <c r="G3866" s="11"/>
      <c r="H3866" s="12"/>
      <c r="I3866" s="13"/>
      <c r="J3866" s="12"/>
      <c r="K3866" s="13"/>
      <c r="L3866" s="11"/>
      <c r="M3866" s="13"/>
      <c r="N3866" s="11"/>
      <c r="O3866" s="13"/>
      <c r="P3866" s="11"/>
      <c r="Q3866" s="13"/>
      <c r="R3866" s="10"/>
      <c r="S3866" s="10"/>
    </row>
    <row r="3867" spans="1:19" x14ac:dyDescent="0.25">
      <c r="A3867" t="str">
        <f t="shared" si="61"/>
        <v/>
      </c>
      <c r="B3867" s="10"/>
      <c r="C3867" s="10"/>
      <c r="D3867" s="10"/>
      <c r="E3867" s="10"/>
      <c r="F3867" s="10"/>
      <c r="G3867" s="11"/>
      <c r="H3867" s="12"/>
      <c r="I3867" s="13"/>
      <c r="J3867" s="12"/>
      <c r="K3867" s="13"/>
      <c r="L3867" s="11"/>
      <c r="M3867" s="13"/>
      <c r="N3867" s="11"/>
      <c r="O3867" s="13"/>
      <c r="P3867" s="11"/>
      <c r="Q3867" s="13"/>
      <c r="R3867" s="10"/>
      <c r="S3867" s="10"/>
    </row>
    <row r="3868" spans="1:19" x14ac:dyDescent="0.25">
      <c r="A3868" t="str">
        <f t="shared" si="61"/>
        <v/>
      </c>
      <c r="B3868" s="10"/>
      <c r="C3868" s="10"/>
      <c r="D3868" s="10"/>
      <c r="E3868" s="10"/>
      <c r="F3868" s="10"/>
      <c r="G3868" s="11"/>
      <c r="H3868" s="12"/>
      <c r="I3868" s="13"/>
      <c r="J3868" s="12"/>
      <c r="K3868" s="13"/>
      <c r="L3868" s="11"/>
      <c r="M3868" s="13"/>
      <c r="N3868" s="11"/>
      <c r="O3868" s="13"/>
      <c r="P3868" s="11"/>
      <c r="Q3868" s="13"/>
      <c r="R3868" s="10"/>
      <c r="S3868" s="10"/>
    </row>
    <row r="3869" spans="1:19" x14ac:dyDescent="0.25">
      <c r="A3869" t="str">
        <f t="shared" si="61"/>
        <v/>
      </c>
      <c r="B3869" s="10"/>
      <c r="C3869" s="10"/>
      <c r="D3869" s="10"/>
      <c r="E3869" s="10"/>
      <c r="F3869" s="10"/>
      <c r="G3869" s="11"/>
      <c r="H3869" s="12"/>
      <c r="I3869" s="13"/>
      <c r="J3869" s="12"/>
      <c r="K3869" s="13"/>
      <c r="L3869" s="11"/>
      <c r="M3869" s="13"/>
      <c r="N3869" s="11"/>
      <c r="O3869" s="13"/>
      <c r="P3869" s="11"/>
      <c r="Q3869" s="13"/>
      <c r="R3869" s="10"/>
      <c r="S3869" s="10"/>
    </row>
    <row r="3870" spans="1:19" x14ac:dyDescent="0.25">
      <c r="A3870" t="str">
        <f t="shared" si="61"/>
        <v/>
      </c>
      <c r="B3870" s="10"/>
      <c r="C3870" s="10"/>
      <c r="D3870" s="10"/>
      <c r="E3870" s="10"/>
      <c r="F3870" s="10"/>
      <c r="G3870" s="11"/>
      <c r="H3870" s="12"/>
      <c r="I3870" s="13"/>
      <c r="J3870" s="12"/>
      <c r="K3870" s="13"/>
      <c r="L3870" s="11"/>
      <c r="M3870" s="13"/>
      <c r="N3870" s="11"/>
      <c r="O3870" s="13"/>
      <c r="P3870" s="11"/>
      <c r="Q3870" s="13"/>
      <c r="R3870" s="10"/>
      <c r="S3870" s="10"/>
    </row>
    <row r="3871" spans="1:19" x14ac:dyDescent="0.25">
      <c r="A3871" t="str">
        <f t="shared" si="61"/>
        <v/>
      </c>
      <c r="B3871" s="10"/>
      <c r="C3871" s="10"/>
      <c r="D3871" s="10"/>
      <c r="E3871" s="10"/>
      <c r="F3871" s="10"/>
      <c r="G3871" s="11"/>
      <c r="H3871" s="12"/>
      <c r="I3871" s="13"/>
      <c r="J3871" s="12"/>
      <c r="K3871" s="13"/>
      <c r="L3871" s="11"/>
      <c r="M3871" s="13"/>
      <c r="N3871" s="11"/>
      <c r="O3871" s="13"/>
      <c r="P3871" s="11"/>
      <c r="Q3871" s="13"/>
      <c r="R3871" s="10"/>
      <c r="S3871" s="10"/>
    </row>
    <row r="3872" spans="1:19" x14ac:dyDescent="0.25">
      <c r="A3872" t="str">
        <f t="shared" si="61"/>
        <v/>
      </c>
      <c r="B3872" s="10"/>
      <c r="C3872" s="10"/>
      <c r="D3872" s="10"/>
      <c r="E3872" s="10"/>
      <c r="F3872" s="10"/>
      <c r="G3872" s="11"/>
      <c r="H3872" s="12"/>
      <c r="I3872" s="13"/>
      <c r="J3872" s="12"/>
      <c r="K3872" s="13"/>
      <c r="L3872" s="11"/>
      <c r="M3872" s="13"/>
      <c r="N3872" s="11"/>
      <c r="O3872" s="13"/>
      <c r="P3872" s="11"/>
      <c r="Q3872" s="13"/>
      <c r="R3872" s="10"/>
      <c r="S3872" s="10"/>
    </row>
    <row r="3873" spans="1:19" x14ac:dyDescent="0.25">
      <c r="A3873" t="str">
        <f t="shared" si="61"/>
        <v/>
      </c>
      <c r="B3873" s="10"/>
      <c r="C3873" s="10"/>
      <c r="D3873" s="10"/>
      <c r="E3873" s="10"/>
      <c r="F3873" s="10"/>
      <c r="G3873" s="11"/>
      <c r="H3873" s="12"/>
      <c r="I3873" s="13"/>
      <c r="J3873" s="12"/>
      <c r="K3873" s="13"/>
      <c r="L3873" s="11"/>
      <c r="M3873" s="13"/>
      <c r="N3873" s="11"/>
      <c r="O3873" s="13"/>
      <c r="P3873" s="11"/>
      <c r="Q3873" s="13"/>
      <c r="R3873" s="10"/>
      <c r="S3873" s="10"/>
    </row>
    <row r="3874" spans="1:19" x14ac:dyDescent="0.25">
      <c r="A3874" t="str">
        <f t="shared" si="61"/>
        <v/>
      </c>
      <c r="B3874" s="10"/>
      <c r="C3874" s="10"/>
      <c r="D3874" s="10"/>
      <c r="E3874" s="10"/>
      <c r="F3874" s="10"/>
      <c r="G3874" s="11"/>
      <c r="H3874" s="12"/>
      <c r="I3874" s="13"/>
      <c r="J3874" s="12"/>
      <c r="K3874" s="13"/>
      <c r="L3874" s="11"/>
      <c r="M3874" s="13"/>
      <c r="N3874" s="11"/>
      <c r="O3874" s="13"/>
      <c r="P3874" s="11"/>
      <c r="Q3874" s="13"/>
      <c r="R3874" s="10"/>
      <c r="S3874" s="10"/>
    </row>
    <row r="3875" spans="1:19" x14ac:dyDescent="0.25">
      <c r="A3875" t="str">
        <f t="shared" si="61"/>
        <v/>
      </c>
      <c r="B3875" s="10"/>
      <c r="C3875" s="10"/>
      <c r="D3875" s="10"/>
      <c r="E3875" s="10"/>
      <c r="F3875" s="10"/>
      <c r="G3875" s="11"/>
      <c r="H3875" s="12"/>
      <c r="I3875" s="13"/>
      <c r="J3875" s="12"/>
      <c r="K3875" s="13"/>
      <c r="L3875" s="11"/>
      <c r="M3875" s="13"/>
      <c r="N3875" s="11"/>
      <c r="O3875" s="13"/>
      <c r="P3875" s="11"/>
      <c r="Q3875" s="13"/>
      <c r="R3875" s="10"/>
      <c r="S3875" s="10"/>
    </row>
    <row r="3876" spans="1:19" x14ac:dyDescent="0.25">
      <c r="A3876" t="str">
        <f t="shared" si="61"/>
        <v/>
      </c>
      <c r="B3876" s="10"/>
      <c r="C3876" s="10"/>
      <c r="D3876" s="10"/>
      <c r="E3876" s="10"/>
      <c r="F3876" s="10"/>
      <c r="G3876" s="11"/>
      <c r="H3876" s="12"/>
      <c r="I3876" s="13"/>
      <c r="J3876" s="12"/>
      <c r="K3876" s="13"/>
      <c r="L3876" s="11"/>
      <c r="M3876" s="13"/>
      <c r="N3876" s="11"/>
      <c r="O3876" s="13"/>
      <c r="P3876" s="11"/>
      <c r="Q3876" s="13"/>
      <c r="R3876" s="10"/>
      <c r="S3876" s="10"/>
    </row>
    <row r="3877" spans="1:19" x14ac:dyDescent="0.25">
      <c r="A3877" t="str">
        <f t="shared" si="61"/>
        <v/>
      </c>
      <c r="B3877" s="10"/>
      <c r="C3877" s="10"/>
      <c r="D3877" s="10"/>
      <c r="E3877" s="10"/>
      <c r="F3877" s="10"/>
      <c r="G3877" s="11"/>
      <c r="H3877" s="12"/>
      <c r="I3877" s="13"/>
      <c r="J3877" s="12"/>
      <c r="K3877" s="13"/>
      <c r="L3877" s="11"/>
      <c r="M3877" s="13"/>
      <c r="N3877" s="11"/>
      <c r="O3877" s="13"/>
      <c r="P3877" s="11"/>
      <c r="Q3877" s="13"/>
      <c r="R3877" s="10"/>
      <c r="S3877" s="10"/>
    </row>
    <row r="3878" spans="1:19" x14ac:dyDescent="0.25">
      <c r="A3878" t="str">
        <f t="shared" si="61"/>
        <v/>
      </c>
      <c r="B3878" s="10"/>
      <c r="C3878" s="10"/>
      <c r="D3878" s="10"/>
      <c r="E3878" s="10"/>
      <c r="F3878" s="10"/>
      <c r="G3878" s="11"/>
      <c r="H3878" s="12"/>
      <c r="I3878" s="13"/>
      <c r="J3878" s="12"/>
      <c r="K3878" s="13"/>
      <c r="L3878" s="11"/>
      <c r="M3878" s="13"/>
      <c r="N3878" s="11"/>
      <c r="O3878" s="13"/>
      <c r="P3878" s="11"/>
      <c r="Q3878" s="13"/>
      <c r="R3878" s="10"/>
      <c r="S3878" s="10"/>
    </row>
    <row r="3879" spans="1:19" x14ac:dyDescent="0.25">
      <c r="A3879" t="str">
        <f t="shared" si="61"/>
        <v/>
      </c>
      <c r="B3879" s="10"/>
      <c r="C3879" s="10"/>
      <c r="D3879" s="10"/>
      <c r="E3879" s="10"/>
      <c r="F3879" s="10"/>
      <c r="G3879" s="11"/>
      <c r="H3879" s="12"/>
      <c r="I3879" s="13"/>
      <c r="J3879" s="12"/>
      <c r="K3879" s="13"/>
      <c r="L3879" s="11"/>
      <c r="M3879" s="13"/>
      <c r="N3879" s="11"/>
      <c r="O3879" s="13"/>
      <c r="P3879" s="11"/>
      <c r="Q3879" s="13"/>
      <c r="R3879" s="10"/>
      <c r="S3879" s="10"/>
    </row>
    <row r="3880" spans="1:19" x14ac:dyDescent="0.25">
      <c r="A3880" t="str">
        <f t="shared" si="61"/>
        <v/>
      </c>
      <c r="B3880" s="10"/>
      <c r="C3880" s="10"/>
      <c r="D3880" s="10"/>
      <c r="E3880" s="10"/>
      <c r="F3880" s="10"/>
      <c r="G3880" s="11"/>
      <c r="H3880" s="12"/>
      <c r="I3880" s="13"/>
      <c r="J3880" s="12"/>
      <c r="K3880" s="13"/>
      <c r="L3880" s="11"/>
      <c r="M3880" s="13"/>
      <c r="N3880" s="11"/>
      <c r="O3880" s="13"/>
      <c r="P3880" s="11"/>
      <c r="Q3880" s="13"/>
      <c r="R3880" s="10"/>
      <c r="S3880" s="10"/>
    </row>
    <row r="3881" spans="1:19" x14ac:dyDescent="0.25">
      <c r="A3881" t="str">
        <f t="shared" si="61"/>
        <v/>
      </c>
      <c r="B3881" s="10"/>
      <c r="C3881" s="10"/>
      <c r="D3881" s="10"/>
      <c r="E3881" s="10"/>
      <c r="F3881" s="10"/>
      <c r="G3881" s="11"/>
      <c r="H3881" s="12"/>
      <c r="I3881" s="13"/>
      <c r="J3881" s="12"/>
      <c r="K3881" s="13"/>
      <c r="L3881" s="11"/>
      <c r="M3881" s="13"/>
      <c r="N3881" s="11"/>
      <c r="O3881" s="13"/>
      <c r="P3881" s="11"/>
      <c r="Q3881" s="13"/>
      <c r="R3881" s="10"/>
      <c r="S3881" s="10"/>
    </row>
    <row r="3882" spans="1:19" x14ac:dyDescent="0.25">
      <c r="A3882" t="str">
        <f t="shared" si="61"/>
        <v/>
      </c>
      <c r="B3882" s="10"/>
      <c r="C3882" s="10"/>
      <c r="D3882" s="10"/>
      <c r="E3882" s="10"/>
      <c r="F3882" s="10"/>
      <c r="G3882" s="11"/>
      <c r="H3882" s="12"/>
      <c r="I3882" s="13"/>
      <c r="J3882" s="12"/>
      <c r="K3882" s="13"/>
      <c r="L3882" s="11"/>
      <c r="M3882" s="13"/>
      <c r="N3882" s="11"/>
      <c r="O3882" s="13"/>
      <c r="P3882" s="11"/>
      <c r="Q3882" s="13"/>
      <c r="R3882" s="10"/>
      <c r="S3882" s="10"/>
    </row>
    <row r="3883" spans="1:19" x14ac:dyDescent="0.25">
      <c r="A3883" t="str">
        <f t="shared" si="61"/>
        <v/>
      </c>
      <c r="B3883" s="10"/>
      <c r="C3883" s="10"/>
      <c r="D3883" s="10"/>
      <c r="E3883" s="10"/>
      <c r="F3883" s="10"/>
      <c r="G3883" s="11"/>
      <c r="H3883" s="12"/>
      <c r="I3883" s="13"/>
      <c r="J3883" s="12"/>
      <c r="K3883" s="13"/>
      <c r="L3883" s="11"/>
      <c r="M3883" s="13"/>
      <c r="N3883" s="11"/>
      <c r="O3883" s="13"/>
      <c r="P3883" s="11"/>
      <c r="Q3883" s="13"/>
      <c r="R3883" s="10"/>
      <c r="S3883" s="10"/>
    </row>
    <row r="3884" spans="1:19" x14ac:dyDescent="0.25">
      <c r="A3884" t="str">
        <f t="shared" si="61"/>
        <v/>
      </c>
      <c r="B3884" s="10"/>
      <c r="C3884" s="10"/>
      <c r="D3884" s="10"/>
      <c r="E3884" s="10"/>
      <c r="F3884" s="10"/>
      <c r="G3884" s="11"/>
      <c r="H3884" s="12"/>
      <c r="I3884" s="13"/>
      <c r="J3884" s="12"/>
      <c r="K3884" s="13"/>
      <c r="L3884" s="11"/>
      <c r="M3884" s="13"/>
      <c r="N3884" s="11"/>
      <c r="O3884" s="13"/>
      <c r="P3884" s="11"/>
      <c r="Q3884" s="13"/>
      <c r="R3884" s="10"/>
      <c r="S3884" s="10"/>
    </row>
    <row r="3885" spans="1:19" x14ac:dyDescent="0.25">
      <c r="A3885" t="str">
        <f t="shared" si="61"/>
        <v/>
      </c>
      <c r="B3885" s="10"/>
      <c r="C3885" s="10"/>
      <c r="D3885" s="10"/>
      <c r="E3885" s="10"/>
      <c r="F3885" s="10"/>
      <c r="G3885" s="11"/>
      <c r="H3885" s="12"/>
      <c r="I3885" s="13"/>
      <c r="J3885" s="12"/>
      <c r="K3885" s="13"/>
      <c r="L3885" s="11"/>
      <c r="M3885" s="13"/>
      <c r="N3885" s="11"/>
      <c r="O3885" s="13"/>
      <c r="P3885" s="11"/>
      <c r="Q3885" s="13"/>
      <c r="R3885" s="10"/>
      <c r="S3885" s="10"/>
    </row>
    <row r="3886" spans="1:19" x14ac:dyDescent="0.25">
      <c r="A3886" t="str">
        <f t="shared" si="61"/>
        <v/>
      </c>
      <c r="B3886" s="10"/>
      <c r="C3886" s="10"/>
      <c r="D3886" s="10"/>
      <c r="E3886" s="10"/>
      <c r="F3886" s="10"/>
      <c r="G3886" s="11"/>
      <c r="H3886" s="12"/>
      <c r="I3886" s="13"/>
      <c r="J3886" s="12"/>
      <c r="K3886" s="13"/>
      <c r="L3886" s="11"/>
      <c r="M3886" s="13"/>
      <c r="N3886" s="11"/>
      <c r="O3886" s="13"/>
      <c r="P3886" s="11"/>
      <c r="Q3886" s="13"/>
      <c r="R3886" s="10"/>
      <c r="S3886" s="10"/>
    </row>
    <row r="3887" spans="1:19" x14ac:dyDescent="0.25">
      <c r="A3887" t="str">
        <f t="shared" si="61"/>
        <v/>
      </c>
      <c r="B3887" s="10"/>
      <c r="C3887" s="10"/>
      <c r="D3887" s="10"/>
      <c r="E3887" s="10"/>
      <c r="F3887" s="10"/>
      <c r="G3887" s="11"/>
      <c r="H3887" s="12"/>
      <c r="I3887" s="13"/>
      <c r="J3887" s="12"/>
      <c r="K3887" s="13"/>
      <c r="L3887" s="11"/>
      <c r="M3887" s="13"/>
      <c r="N3887" s="11"/>
      <c r="O3887" s="13"/>
      <c r="P3887" s="11"/>
      <c r="Q3887" s="13"/>
      <c r="R3887" s="10"/>
      <c r="S3887" s="10"/>
    </row>
    <row r="3888" spans="1:19" x14ac:dyDescent="0.25">
      <c r="A3888" t="str">
        <f t="shared" si="61"/>
        <v/>
      </c>
      <c r="B3888" s="10"/>
      <c r="C3888" s="10"/>
      <c r="D3888" s="10"/>
      <c r="E3888" s="10"/>
      <c r="F3888" s="10"/>
      <c r="G3888" s="11"/>
      <c r="H3888" s="12"/>
      <c r="I3888" s="13"/>
      <c r="J3888" s="12"/>
      <c r="K3888" s="13"/>
      <c r="L3888" s="11"/>
      <c r="M3888" s="13"/>
      <c r="N3888" s="11"/>
      <c r="O3888" s="13"/>
      <c r="P3888" s="11"/>
      <c r="Q3888" s="13"/>
      <c r="R3888" s="10"/>
      <c r="S3888" s="10"/>
    </row>
    <row r="3889" spans="1:19" x14ac:dyDescent="0.25">
      <c r="A3889" t="str">
        <f t="shared" si="61"/>
        <v/>
      </c>
      <c r="B3889" s="10"/>
      <c r="C3889" s="10"/>
      <c r="D3889" s="10"/>
      <c r="E3889" s="10"/>
      <c r="F3889" s="10"/>
      <c r="G3889" s="11"/>
      <c r="H3889" s="12"/>
      <c r="I3889" s="13"/>
      <c r="J3889" s="12"/>
      <c r="K3889" s="13"/>
      <c r="L3889" s="11"/>
      <c r="M3889" s="13"/>
      <c r="N3889" s="11"/>
      <c r="O3889" s="13"/>
      <c r="P3889" s="11"/>
      <c r="Q3889" s="13"/>
      <c r="R3889" s="10"/>
      <c r="S3889" s="10"/>
    </row>
    <row r="3890" spans="1:19" x14ac:dyDescent="0.25">
      <c r="A3890" t="str">
        <f t="shared" si="61"/>
        <v/>
      </c>
      <c r="B3890" s="10"/>
      <c r="C3890" s="10"/>
      <c r="D3890" s="10"/>
      <c r="E3890" s="10"/>
      <c r="F3890" s="10"/>
      <c r="G3890" s="11"/>
      <c r="H3890" s="12"/>
      <c r="I3890" s="13"/>
      <c r="J3890" s="12"/>
      <c r="K3890" s="13"/>
      <c r="L3890" s="11"/>
      <c r="M3890" s="13"/>
      <c r="N3890" s="11"/>
      <c r="O3890" s="13"/>
      <c r="P3890" s="11"/>
      <c r="Q3890" s="13"/>
      <c r="R3890" s="10"/>
      <c r="S3890" s="10"/>
    </row>
    <row r="3891" spans="1:19" x14ac:dyDescent="0.25">
      <c r="A3891" t="str">
        <f t="shared" si="61"/>
        <v/>
      </c>
      <c r="B3891" s="10"/>
      <c r="C3891" s="10"/>
      <c r="D3891" s="10"/>
      <c r="E3891" s="10"/>
      <c r="F3891" s="10"/>
      <c r="G3891" s="11"/>
      <c r="H3891" s="12"/>
      <c r="I3891" s="13"/>
      <c r="J3891" s="12"/>
      <c r="K3891" s="13"/>
      <c r="L3891" s="11"/>
      <c r="M3891" s="13"/>
      <c r="N3891" s="11"/>
      <c r="O3891" s="13"/>
      <c r="P3891" s="11"/>
      <c r="Q3891" s="13"/>
      <c r="R3891" s="10"/>
      <c r="S3891" s="10"/>
    </row>
    <row r="3892" spans="1:19" x14ac:dyDescent="0.25">
      <c r="A3892" t="str">
        <f t="shared" si="61"/>
        <v/>
      </c>
      <c r="B3892" s="10"/>
      <c r="C3892" s="10"/>
      <c r="D3892" s="10"/>
      <c r="E3892" s="10"/>
      <c r="F3892" s="10"/>
      <c r="G3892" s="11"/>
      <c r="H3892" s="12"/>
      <c r="I3892" s="13"/>
      <c r="J3892" s="12"/>
      <c r="K3892" s="13"/>
      <c r="L3892" s="11"/>
      <c r="M3892" s="13"/>
      <c r="N3892" s="11"/>
      <c r="O3892" s="13"/>
      <c r="P3892" s="11"/>
      <c r="Q3892" s="13"/>
      <c r="R3892" s="10"/>
      <c r="S3892" s="10"/>
    </row>
    <row r="3893" spans="1:19" x14ac:dyDescent="0.25">
      <c r="A3893" t="str">
        <f t="shared" ref="A3893:A3956" si="62">B3891&amp;D3891</f>
        <v/>
      </c>
      <c r="B3893" s="10"/>
      <c r="C3893" s="10"/>
      <c r="D3893" s="10"/>
      <c r="E3893" s="10"/>
      <c r="F3893" s="10"/>
      <c r="G3893" s="11"/>
      <c r="H3893" s="12"/>
      <c r="I3893" s="13"/>
      <c r="J3893" s="12"/>
      <c r="K3893" s="13"/>
      <c r="L3893" s="11"/>
      <c r="M3893" s="13"/>
      <c r="N3893" s="11"/>
      <c r="O3893" s="13"/>
      <c r="P3893" s="11"/>
      <c r="Q3893" s="13"/>
      <c r="R3893" s="10"/>
      <c r="S3893" s="10"/>
    </row>
    <row r="3894" spans="1:19" x14ac:dyDescent="0.25">
      <c r="A3894" t="str">
        <f t="shared" si="62"/>
        <v/>
      </c>
      <c r="B3894" s="10"/>
      <c r="C3894" s="10"/>
      <c r="D3894" s="10"/>
      <c r="E3894" s="10"/>
      <c r="F3894" s="10"/>
      <c r="G3894" s="11"/>
      <c r="H3894" s="12"/>
      <c r="I3894" s="13"/>
      <c r="J3894" s="12"/>
      <c r="K3894" s="13"/>
      <c r="L3894" s="11"/>
      <c r="M3894" s="13"/>
      <c r="N3894" s="11"/>
      <c r="O3894" s="13"/>
      <c r="P3894" s="11"/>
      <c r="Q3894" s="13"/>
      <c r="R3894" s="10"/>
      <c r="S3894" s="10"/>
    </row>
    <row r="3895" spans="1:19" x14ac:dyDescent="0.25">
      <c r="A3895" t="str">
        <f t="shared" si="62"/>
        <v/>
      </c>
      <c r="B3895" s="10"/>
      <c r="C3895" s="10"/>
      <c r="D3895" s="10"/>
      <c r="E3895" s="10"/>
      <c r="F3895" s="10"/>
      <c r="G3895" s="11"/>
      <c r="H3895" s="12"/>
      <c r="I3895" s="13"/>
      <c r="J3895" s="12"/>
      <c r="K3895" s="13"/>
      <c r="L3895" s="11"/>
      <c r="M3895" s="13"/>
      <c r="N3895" s="11"/>
      <c r="O3895" s="13"/>
      <c r="P3895" s="11"/>
      <c r="Q3895" s="13"/>
      <c r="R3895" s="10"/>
      <c r="S3895" s="10"/>
    </row>
    <row r="3896" spans="1:19" x14ac:dyDescent="0.25">
      <c r="A3896" t="str">
        <f t="shared" si="62"/>
        <v/>
      </c>
      <c r="B3896" s="10"/>
      <c r="C3896" s="10"/>
      <c r="D3896" s="10"/>
      <c r="E3896" s="10"/>
      <c r="F3896" s="10"/>
      <c r="G3896" s="11"/>
      <c r="H3896" s="12"/>
      <c r="I3896" s="13"/>
      <c r="J3896" s="12"/>
      <c r="K3896" s="13"/>
      <c r="L3896" s="11"/>
      <c r="M3896" s="13"/>
      <c r="N3896" s="11"/>
      <c r="O3896" s="13"/>
      <c r="P3896" s="11"/>
      <c r="Q3896" s="13"/>
      <c r="R3896" s="10"/>
      <c r="S3896" s="10"/>
    </row>
    <row r="3897" spans="1:19" x14ac:dyDescent="0.25">
      <c r="A3897" t="str">
        <f t="shared" si="62"/>
        <v/>
      </c>
      <c r="B3897" s="10"/>
      <c r="C3897" s="10"/>
      <c r="D3897" s="10"/>
      <c r="E3897" s="10"/>
      <c r="F3897" s="10"/>
      <c r="G3897" s="11"/>
      <c r="H3897" s="12"/>
      <c r="I3897" s="13"/>
      <c r="J3897" s="12"/>
      <c r="K3897" s="13"/>
      <c r="L3897" s="11"/>
      <c r="M3897" s="13"/>
      <c r="N3897" s="11"/>
      <c r="O3897" s="13"/>
      <c r="P3897" s="11"/>
      <c r="Q3897" s="13"/>
      <c r="R3897" s="10"/>
      <c r="S3897" s="10"/>
    </row>
    <row r="3898" spans="1:19" x14ac:dyDescent="0.25">
      <c r="A3898" t="str">
        <f t="shared" si="62"/>
        <v/>
      </c>
      <c r="B3898" s="10"/>
      <c r="C3898" s="10"/>
      <c r="D3898" s="10"/>
      <c r="E3898" s="10"/>
      <c r="F3898" s="10"/>
      <c r="G3898" s="11"/>
      <c r="H3898" s="12"/>
      <c r="I3898" s="13"/>
      <c r="J3898" s="12"/>
      <c r="K3898" s="13"/>
      <c r="L3898" s="11"/>
      <c r="M3898" s="13"/>
      <c r="N3898" s="11"/>
      <c r="O3898" s="13"/>
      <c r="P3898" s="11"/>
      <c r="Q3898" s="13"/>
      <c r="R3898" s="10"/>
      <c r="S3898" s="10"/>
    </row>
    <row r="3899" spans="1:19" x14ac:dyDescent="0.25">
      <c r="A3899" t="str">
        <f t="shared" si="62"/>
        <v/>
      </c>
      <c r="B3899" s="10"/>
      <c r="C3899" s="10"/>
      <c r="D3899" s="10"/>
      <c r="E3899" s="10"/>
      <c r="F3899" s="10"/>
      <c r="G3899" s="11"/>
      <c r="H3899" s="12"/>
      <c r="I3899" s="13"/>
      <c r="J3899" s="12"/>
      <c r="K3899" s="13"/>
      <c r="L3899" s="11"/>
      <c r="M3899" s="13"/>
      <c r="N3899" s="11"/>
      <c r="O3899" s="13"/>
      <c r="P3899" s="11"/>
      <c r="Q3899" s="13"/>
      <c r="R3899" s="10"/>
      <c r="S3899" s="10"/>
    </row>
    <row r="3900" spans="1:19" x14ac:dyDescent="0.25">
      <c r="A3900" t="str">
        <f t="shared" si="62"/>
        <v/>
      </c>
      <c r="B3900" s="10"/>
      <c r="C3900" s="10"/>
      <c r="D3900" s="10"/>
      <c r="E3900" s="10"/>
      <c r="F3900" s="10"/>
      <c r="G3900" s="11"/>
      <c r="H3900" s="12"/>
      <c r="I3900" s="13"/>
      <c r="J3900" s="12"/>
      <c r="K3900" s="13"/>
      <c r="L3900" s="11"/>
      <c r="M3900" s="13"/>
      <c r="N3900" s="11"/>
      <c r="O3900" s="13"/>
      <c r="P3900" s="11"/>
      <c r="Q3900" s="13"/>
      <c r="R3900" s="10"/>
      <c r="S3900" s="10"/>
    </row>
    <row r="3901" spans="1:19" x14ac:dyDescent="0.25">
      <c r="A3901" t="str">
        <f t="shared" si="62"/>
        <v/>
      </c>
      <c r="B3901" s="10"/>
      <c r="C3901" s="10"/>
      <c r="D3901" s="10"/>
      <c r="E3901" s="10"/>
      <c r="F3901" s="10"/>
      <c r="G3901" s="11"/>
      <c r="H3901" s="12"/>
      <c r="I3901" s="13"/>
      <c r="J3901" s="12"/>
      <c r="K3901" s="13"/>
      <c r="L3901" s="11"/>
      <c r="M3901" s="13"/>
      <c r="N3901" s="11"/>
      <c r="O3901" s="13"/>
      <c r="P3901" s="11"/>
      <c r="Q3901" s="13"/>
      <c r="R3901" s="10"/>
      <c r="S3901" s="10"/>
    </row>
    <row r="3902" spans="1:19" x14ac:dyDescent="0.25">
      <c r="A3902" t="str">
        <f t="shared" si="62"/>
        <v/>
      </c>
      <c r="B3902" s="10"/>
      <c r="C3902" s="10"/>
      <c r="D3902" s="10"/>
      <c r="E3902" s="10"/>
      <c r="F3902" s="10"/>
      <c r="G3902" s="11"/>
      <c r="H3902" s="12"/>
      <c r="I3902" s="13"/>
      <c r="J3902" s="12"/>
      <c r="K3902" s="13"/>
      <c r="L3902" s="11"/>
      <c r="M3902" s="13"/>
      <c r="N3902" s="11"/>
      <c r="O3902" s="13"/>
      <c r="P3902" s="11"/>
      <c r="Q3902" s="13"/>
      <c r="R3902" s="10"/>
      <c r="S3902" s="10"/>
    </row>
    <row r="3903" spans="1:19" x14ac:dyDescent="0.25">
      <c r="A3903" t="str">
        <f t="shared" si="62"/>
        <v/>
      </c>
      <c r="B3903" s="10"/>
      <c r="C3903" s="10"/>
      <c r="D3903" s="10"/>
      <c r="E3903" s="10"/>
      <c r="F3903" s="10"/>
      <c r="G3903" s="11"/>
      <c r="H3903" s="12"/>
      <c r="I3903" s="13"/>
      <c r="J3903" s="12"/>
      <c r="K3903" s="13"/>
      <c r="L3903" s="11"/>
      <c r="M3903" s="13"/>
      <c r="N3903" s="11"/>
      <c r="O3903" s="13"/>
      <c r="P3903" s="11"/>
      <c r="Q3903" s="13"/>
      <c r="R3903" s="10"/>
      <c r="S3903" s="10"/>
    </row>
    <row r="3904" spans="1:19" x14ac:dyDescent="0.25">
      <c r="A3904" t="str">
        <f t="shared" si="62"/>
        <v/>
      </c>
      <c r="B3904" s="10"/>
      <c r="C3904" s="10"/>
      <c r="D3904" s="10"/>
      <c r="E3904" s="10"/>
      <c r="F3904" s="10"/>
      <c r="G3904" s="11"/>
      <c r="H3904" s="12"/>
      <c r="I3904" s="13"/>
      <c r="J3904" s="12"/>
      <c r="K3904" s="13"/>
      <c r="L3904" s="11"/>
      <c r="M3904" s="13"/>
      <c r="N3904" s="11"/>
      <c r="O3904" s="13"/>
      <c r="P3904" s="11"/>
      <c r="Q3904" s="13"/>
      <c r="R3904" s="10"/>
      <c r="S3904" s="10"/>
    </row>
    <row r="3905" spans="1:19" x14ac:dyDescent="0.25">
      <c r="A3905" t="str">
        <f t="shared" si="62"/>
        <v/>
      </c>
      <c r="B3905" s="10"/>
      <c r="C3905" s="10"/>
      <c r="D3905" s="10"/>
      <c r="E3905" s="10"/>
      <c r="F3905" s="10"/>
      <c r="G3905" s="11"/>
      <c r="H3905" s="12"/>
      <c r="I3905" s="13"/>
      <c r="J3905" s="12"/>
      <c r="K3905" s="13"/>
      <c r="L3905" s="11"/>
      <c r="M3905" s="13"/>
      <c r="N3905" s="11"/>
      <c r="O3905" s="13"/>
      <c r="P3905" s="11"/>
      <c r="Q3905" s="13"/>
      <c r="R3905" s="10"/>
      <c r="S3905" s="10"/>
    </row>
    <row r="3906" spans="1:19" x14ac:dyDescent="0.25">
      <c r="A3906" t="str">
        <f t="shared" si="62"/>
        <v/>
      </c>
      <c r="B3906" s="10"/>
      <c r="C3906" s="10"/>
      <c r="D3906" s="10"/>
      <c r="E3906" s="10"/>
      <c r="F3906" s="10"/>
      <c r="G3906" s="11"/>
      <c r="H3906" s="12"/>
      <c r="I3906" s="13"/>
      <c r="J3906" s="12"/>
      <c r="K3906" s="13"/>
      <c r="L3906" s="11"/>
      <c r="M3906" s="13"/>
      <c r="N3906" s="11"/>
      <c r="O3906" s="13"/>
      <c r="P3906" s="11"/>
      <c r="Q3906" s="13"/>
      <c r="R3906" s="10"/>
      <c r="S3906" s="10"/>
    </row>
    <row r="3907" spans="1:19" x14ac:dyDescent="0.25">
      <c r="A3907" t="str">
        <f t="shared" si="62"/>
        <v/>
      </c>
      <c r="B3907" s="10"/>
      <c r="C3907" s="10"/>
      <c r="D3907" s="10"/>
      <c r="E3907" s="10"/>
      <c r="F3907" s="10"/>
      <c r="G3907" s="11"/>
      <c r="H3907" s="12"/>
      <c r="I3907" s="13"/>
      <c r="J3907" s="12"/>
      <c r="K3907" s="13"/>
      <c r="L3907" s="11"/>
      <c r="M3907" s="13"/>
      <c r="N3907" s="11"/>
      <c r="O3907" s="13"/>
      <c r="P3907" s="11"/>
      <c r="Q3907" s="13"/>
      <c r="R3907" s="10"/>
      <c r="S3907" s="10"/>
    </row>
    <row r="3908" spans="1:19" x14ac:dyDescent="0.25">
      <c r="A3908" t="str">
        <f t="shared" si="62"/>
        <v/>
      </c>
      <c r="B3908" s="10"/>
      <c r="C3908" s="10"/>
      <c r="D3908" s="10"/>
      <c r="E3908" s="10"/>
      <c r="F3908" s="10"/>
      <c r="G3908" s="11"/>
      <c r="H3908" s="12"/>
      <c r="I3908" s="13"/>
      <c r="J3908" s="12"/>
      <c r="K3908" s="13"/>
      <c r="L3908" s="11"/>
      <c r="M3908" s="13"/>
      <c r="N3908" s="11"/>
      <c r="O3908" s="13"/>
      <c r="P3908" s="11"/>
      <c r="Q3908" s="13"/>
      <c r="R3908" s="10"/>
      <c r="S3908" s="10"/>
    </row>
    <row r="3909" spans="1:19" x14ac:dyDescent="0.25">
      <c r="A3909" t="str">
        <f t="shared" si="62"/>
        <v/>
      </c>
      <c r="B3909" s="10"/>
      <c r="C3909" s="10"/>
      <c r="D3909" s="10"/>
      <c r="E3909" s="10"/>
      <c r="F3909" s="10"/>
      <c r="G3909" s="11"/>
      <c r="H3909" s="12"/>
      <c r="I3909" s="13"/>
      <c r="J3909" s="12"/>
      <c r="K3909" s="13"/>
      <c r="L3909" s="11"/>
      <c r="M3909" s="13"/>
      <c r="N3909" s="11"/>
      <c r="O3909" s="13"/>
      <c r="P3909" s="11"/>
      <c r="Q3909" s="13"/>
      <c r="R3909" s="10"/>
      <c r="S3909" s="10"/>
    </row>
    <row r="3910" spans="1:19" x14ac:dyDescent="0.25">
      <c r="A3910" t="str">
        <f t="shared" si="62"/>
        <v/>
      </c>
      <c r="B3910" s="10"/>
      <c r="C3910" s="10"/>
      <c r="D3910" s="10"/>
      <c r="E3910" s="10"/>
      <c r="F3910" s="10"/>
      <c r="G3910" s="11"/>
      <c r="H3910" s="12"/>
      <c r="I3910" s="13"/>
      <c r="J3910" s="12"/>
      <c r="K3910" s="13"/>
      <c r="L3910" s="11"/>
      <c r="M3910" s="13"/>
      <c r="N3910" s="11"/>
      <c r="O3910" s="13"/>
      <c r="P3910" s="11"/>
      <c r="Q3910" s="13"/>
      <c r="R3910" s="10"/>
      <c r="S3910" s="10"/>
    </row>
    <row r="3911" spans="1:19" x14ac:dyDescent="0.25">
      <c r="A3911" t="str">
        <f t="shared" si="62"/>
        <v/>
      </c>
      <c r="B3911" s="10"/>
      <c r="C3911" s="10"/>
      <c r="D3911" s="10"/>
      <c r="E3911" s="10"/>
      <c r="F3911" s="10"/>
      <c r="G3911" s="11"/>
      <c r="H3911" s="12"/>
      <c r="I3911" s="13"/>
      <c r="J3911" s="12"/>
      <c r="K3911" s="13"/>
      <c r="L3911" s="11"/>
      <c r="M3911" s="13"/>
      <c r="N3911" s="11"/>
      <c r="O3911" s="13"/>
      <c r="P3911" s="11"/>
      <c r="Q3911" s="13"/>
      <c r="R3911" s="10"/>
      <c r="S3911" s="10"/>
    </row>
    <row r="3912" spans="1:19" x14ac:dyDescent="0.25">
      <c r="A3912" t="str">
        <f t="shared" si="62"/>
        <v/>
      </c>
      <c r="B3912" s="10"/>
      <c r="C3912" s="10"/>
      <c r="D3912" s="10"/>
      <c r="E3912" s="10"/>
      <c r="F3912" s="10"/>
      <c r="G3912" s="11"/>
      <c r="H3912" s="12"/>
      <c r="I3912" s="13"/>
      <c r="J3912" s="12"/>
      <c r="K3912" s="13"/>
      <c r="L3912" s="11"/>
      <c r="M3912" s="13"/>
      <c r="N3912" s="11"/>
      <c r="O3912" s="13"/>
      <c r="P3912" s="11"/>
      <c r="Q3912" s="13"/>
      <c r="R3912" s="10"/>
      <c r="S3912" s="10"/>
    </row>
    <row r="3913" spans="1:19" x14ac:dyDescent="0.25">
      <c r="A3913" t="str">
        <f t="shared" si="62"/>
        <v/>
      </c>
      <c r="B3913" s="10"/>
      <c r="C3913" s="10"/>
      <c r="D3913" s="10"/>
      <c r="E3913" s="10"/>
      <c r="F3913" s="10"/>
      <c r="G3913" s="11"/>
      <c r="H3913" s="12"/>
      <c r="I3913" s="13"/>
      <c r="J3913" s="12"/>
      <c r="K3913" s="13"/>
      <c r="L3913" s="11"/>
      <c r="M3913" s="13"/>
      <c r="N3913" s="11"/>
      <c r="O3913" s="13"/>
      <c r="P3913" s="11"/>
      <c r="Q3913" s="13"/>
      <c r="R3913" s="10"/>
      <c r="S3913" s="10"/>
    </row>
    <row r="3914" spans="1:19" x14ac:dyDescent="0.25">
      <c r="A3914" t="str">
        <f t="shared" si="62"/>
        <v/>
      </c>
      <c r="B3914" s="10"/>
      <c r="C3914" s="10"/>
      <c r="D3914" s="10"/>
      <c r="E3914" s="10"/>
      <c r="F3914" s="10"/>
      <c r="G3914" s="11"/>
      <c r="H3914" s="12"/>
      <c r="I3914" s="13"/>
      <c r="J3914" s="12"/>
      <c r="K3914" s="13"/>
      <c r="L3914" s="11"/>
      <c r="M3914" s="13"/>
      <c r="N3914" s="11"/>
      <c r="O3914" s="13"/>
      <c r="P3914" s="11"/>
      <c r="Q3914" s="13"/>
      <c r="R3914" s="10"/>
      <c r="S3914" s="10"/>
    </row>
    <row r="3915" spans="1:19" x14ac:dyDescent="0.25">
      <c r="A3915" t="str">
        <f t="shared" si="62"/>
        <v/>
      </c>
      <c r="B3915" s="10"/>
      <c r="C3915" s="10"/>
      <c r="D3915" s="10"/>
      <c r="E3915" s="10"/>
      <c r="F3915" s="10"/>
      <c r="G3915" s="11"/>
      <c r="H3915" s="12"/>
      <c r="I3915" s="13"/>
      <c r="J3915" s="12"/>
      <c r="K3915" s="13"/>
      <c r="L3915" s="11"/>
      <c r="M3915" s="13"/>
      <c r="N3915" s="11"/>
      <c r="O3915" s="13"/>
      <c r="P3915" s="11"/>
      <c r="Q3915" s="13"/>
      <c r="R3915" s="10"/>
      <c r="S3915" s="10"/>
    </row>
    <row r="3916" spans="1:19" x14ac:dyDescent="0.25">
      <c r="A3916" t="str">
        <f t="shared" si="62"/>
        <v/>
      </c>
      <c r="B3916" s="10"/>
      <c r="C3916" s="10"/>
      <c r="D3916" s="10"/>
      <c r="E3916" s="10"/>
      <c r="F3916" s="10"/>
      <c r="G3916" s="11"/>
      <c r="H3916" s="12"/>
      <c r="I3916" s="13"/>
      <c r="J3916" s="12"/>
      <c r="K3916" s="13"/>
      <c r="L3916" s="11"/>
      <c r="M3916" s="13"/>
      <c r="N3916" s="11"/>
      <c r="O3916" s="13"/>
      <c r="P3916" s="11"/>
      <c r="Q3916" s="13"/>
      <c r="R3916" s="10"/>
      <c r="S3916" s="10"/>
    </row>
    <row r="3917" spans="1:19" x14ac:dyDescent="0.25">
      <c r="A3917" t="str">
        <f t="shared" si="62"/>
        <v/>
      </c>
      <c r="B3917" s="10"/>
      <c r="C3917" s="10"/>
      <c r="D3917" s="10"/>
      <c r="E3917" s="10"/>
      <c r="F3917" s="10"/>
      <c r="G3917" s="11"/>
      <c r="H3917" s="12"/>
      <c r="I3917" s="13"/>
      <c r="J3917" s="12"/>
      <c r="K3917" s="13"/>
      <c r="L3917" s="11"/>
      <c r="M3917" s="13"/>
      <c r="N3917" s="11"/>
      <c r="O3917" s="13"/>
      <c r="P3917" s="11"/>
      <c r="Q3917" s="13"/>
      <c r="R3917" s="10"/>
      <c r="S3917" s="10"/>
    </row>
    <row r="3918" spans="1:19" x14ac:dyDescent="0.25">
      <c r="A3918" t="str">
        <f t="shared" si="62"/>
        <v/>
      </c>
      <c r="B3918" s="10"/>
      <c r="C3918" s="10"/>
      <c r="D3918" s="10"/>
      <c r="E3918" s="10"/>
      <c r="F3918" s="10"/>
      <c r="G3918" s="11"/>
      <c r="H3918" s="12"/>
      <c r="I3918" s="13"/>
      <c r="J3918" s="12"/>
      <c r="K3918" s="13"/>
      <c r="L3918" s="11"/>
      <c r="M3918" s="13"/>
      <c r="N3918" s="11"/>
      <c r="O3918" s="13"/>
      <c r="P3918" s="11"/>
      <c r="Q3918" s="13"/>
      <c r="R3918" s="10"/>
      <c r="S3918" s="10"/>
    </row>
    <row r="3919" spans="1:19" x14ac:dyDescent="0.25">
      <c r="A3919" t="str">
        <f t="shared" si="62"/>
        <v/>
      </c>
      <c r="B3919" s="10"/>
      <c r="C3919" s="10"/>
      <c r="D3919" s="10"/>
      <c r="E3919" s="10"/>
      <c r="F3919" s="10"/>
      <c r="G3919" s="11"/>
      <c r="H3919" s="12"/>
      <c r="I3919" s="13"/>
      <c r="J3919" s="12"/>
      <c r="K3919" s="13"/>
      <c r="L3919" s="11"/>
      <c r="M3919" s="13"/>
      <c r="N3919" s="11"/>
      <c r="O3919" s="13"/>
      <c r="P3919" s="11"/>
      <c r="Q3919" s="13"/>
      <c r="R3919" s="10"/>
      <c r="S3919" s="10"/>
    </row>
    <row r="3920" spans="1:19" x14ac:dyDescent="0.25">
      <c r="A3920" t="str">
        <f t="shared" si="62"/>
        <v/>
      </c>
      <c r="B3920" s="10"/>
      <c r="C3920" s="10"/>
      <c r="D3920" s="10"/>
      <c r="E3920" s="10"/>
      <c r="F3920" s="10"/>
      <c r="G3920" s="11"/>
      <c r="H3920" s="12"/>
      <c r="I3920" s="13"/>
      <c r="J3920" s="12"/>
      <c r="K3920" s="13"/>
      <c r="L3920" s="11"/>
      <c r="M3920" s="13"/>
      <c r="N3920" s="11"/>
      <c r="O3920" s="13"/>
      <c r="P3920" s="11"/>
      <c r="Q3920" s="13"/>
      <c r="R3920" s="10"/>
      <c r="S3920" s="10"/>
    </row>
    <row r="3921" spans="1:19" x14ac:dyDescent="0.25">
      <c r="A3921" t="str">
        <f t="shared" si="62"/>
        <v/>
      </c>
      <c r="B3921" s="10"/>
      <c r="C3921" s="10"/>
      <c r="D3921" s="10"/>
      <c r="E3921" s="10"/>
      <c r="F3921" s="10"/>
      <c r="G3921" s="11"/>
      <c r="H3921" s="12"/>
      <c r="I3921" s="13"/>
      <c r="J3921" s="12"/>
      <c r="K3921" s="13"/>
      <c r="L3921" s="11"/>
      <c r="M3921" s="13"/>
      <c r="N3921" s="11"/>
      <c r="O3921" s="13"/>
      <c r="P3921" s="11"/>
      <c r="Q3921" s="13"/>
      <c r="R3921" s="10"/>
      <c r="S3921" s="10"/>
    </row>
    <row r="3922" spans="1:19" x14ac:dyDescent="0.25">
      <c r="A3922" t="str">
        <f t="shared" si="62"/>
        <v/>
      </c>
      <c r="B3922" s="10"/>
      <c r="C3922" s="10"/>
      <c r="D3922" s="10"/>
      <c r="E3922" s="10"/>
      <c r="F3922" s="10"/>
      <c r="G3922" s="11"/>
      <c r="H3922" s="12"/>
      <c r="I3922" s="13"/>
      <c r="J3922" s="12"/>
      <c r="K3922" s="13"/>
      <c r="L3922" s="11"/>
      <c r="M3922" s="13"/>
      <c r="N3922" s="11"/>
      <c r="O3922" s="13"/>
      <c r="P3922" s="11"/>
      <c r="Q3922" s="13"/>
      <c r="R3922" s="10"/>
      <c r="S3922" s="10"/>
    </row>
    <row r="3923" spans="1:19" x14ac:dyDescent="0.25">
      <c r="A3923" t="str">
        <f t="shared" si="62"/>
        <v/>
      </c>
      <c r="B3923" s="10"/>
      <c r="C3923" s="10"/>
      <c r="D3923" s="10"/>
      <c r="E3923" s="10"/>
      <c r="F3923" s="10"/>
      <c r="G3923" s="11"/>
      <c r="H3923" s="12"/>
      <c r="I3923" s="13"/>
      <c r="J3923" s="12"/>
      <c r="K3923" s="13"/>
      <c r="L3923" s="11"/>
      <c r="M3923" s="13"/>
      <c r="N3923" s="11"/>
      <c r="O3923" s="13"/>
      <c r="P3923" s="11"/>
      <c r="Q3923" s="13"/>
      <c r="R3923" s="10"/>
      <c r="S3923" s="10"/>
    </row>
    <row r="3924" spans="1:19" x14ac:dyDescent="0.25">
      <c r="A3924" t="str">
        <f t="shared" si="62"/>
        <v/>
      </c>
      <c r="B3924" s="10"/>
      <c r="C3924" s="10"/>
      <c r="D3924" s="10"/>
      <c r="E3924" s="10"/>
      <c r="F3924" s="10"/>
      <c r="G3924" s="11"/>
      <c r="H3924" s="12"/>
      <c r="I3924" s="13"/>
      <c r="J3924" s="12"/>
      <c r="K3924" s="13"/>
      <c r="L3924" s="11"/>
      <c r="M3924" s="13"/>
      <c r="N3924" s="11"/>
      <c r="O3924" s="13"/>
      <c r="P3924" s="11"/>
      <c r="Q3924" s="13"/>
      <c r="R3924" s="10"/>
      <c r="S3924" s="10"/>
    </row>
    <row r="3925" spans="1:19" x14ac:dyDescent="0.25">
      <c r="A3925" t="str">
        <f t="shared" si="62"/>
        <v/>
      </c>
      <c r="B3925" s="10"/>
      <c r="C3925" s="10"/>
      <c r="D3925" s="10"/>
      <c r="E3925" s="10"/>
      <c r="F3925" s="10"/>
      <c r="G3925" s="11"/>
      <c r="H3925" s="12"/>
      <c r="I3925" s="13"/>
      <c r="J3925" s="12"/>
      <c r="K3925" s="13"/>
      <c r="L3925" s="11"/>
      <c r="M3925" s="13"/>
      <c r="N3925" s="11"/>
      <c r="O3925" s="13"/>
      <c r="P3925" s="11"/>
      <c r="Q3925" s="13"/>
      <c r="R3925" s="10"/>
      <c r="S3925" s="10"/>
    </row>
    <row r="3926" spans="1:19" x14ac:dyDescent="0.25">
      <c r="A3926" t="str">
        <f t="shared" si="62"/>
        <v/>
      </c>
      <c r="B3926" s="10"/>
      <c r="C3926" s="10"/>
      <c r="D3926" s="10"/>
      <c r="E3926" s="10"/>
      <c r="F3926" s="10"/>
      <c r="G3926" s="11"/>
      <c r="H3926" s="12"/>
      <c r="I3926" s="13"/>
      <c r="J3926" s="12"/>
      <c r="K3926" s="13"/>
      <c r="L3926" s="11"/>
      <c r="M3926" s="13"/>
      <c r="N3926" s="11"/>
      <c r="O3926" s="13"/>
      <c r="P3926" s="11"/>
      <c r="Q3926" s="13"/>
      <c r="R3926" s="10"/>
      <c r="S3926" s="10"/>
    </row>
    <row r="3927" spans="1:19" x14ac:dyDescent="0.25">
      <c r="A3927" t="str">
        <f t="shared" si="62"/>
        <v/>
      </c>
      <c r="B3927" s="10"/>
      <c r="C3927" s="10"/>
      <c r="D3927" s="10"/>
      <c r="E3927" s="10"/>
      <c r="F3927" s="10"/>
      <c r="G3927" s="11"/>
      <c r="H3927" s="12"/>
      <c r="I3927" s="13"/>
      <c r="J3927" s="12"/>
      <c r="K3927" s="13"/>
      <c r="L3927" s="11"/>
      <c r="M3927" s="13"/>
      <c r="N3927" s="11"/>
      <c r="O3927" s="13"/>
      <c r="P3927" s="11"/>
      <c r="Q3927" s="13"/>
      <c r="R3927" s="10"/>
      <c r="S3927" s="10"/>
    </row>
    <row r="3928" spans="1:19" x14ac:dyDescent="0.25">
      <c r="A3928" t="str">
        <f t="shared" si="62"/>
        <v/>
      </c>
      <c r="B3928" s="10"/>
      <c r="C3928" s="10"/>
      <c r="D3928" s="10"/>
      <c r="E3928" s="10"/>
      <c r="F3928" s="10"/>
      <c r="G3928" s="11"/>
      <c r="H3928" s="12"/>
      <c r="I3928" s="13"/>
      <c r="J3928" s="12"/>
      <c r="K3928" s="13"/>
      <c r="L3928" s="11"/>
      <c r="M3928" s="13"/>
      <c r="N3928" s="11"/>
      <c r="O3928" s="13"/>
      <c r="P3928" s="11"/>
      <c r="Q3928" s="13"/>
      <c r="R3928" s="10"/>
      <c r="S3928" s="10"/>
    </row>
    <row r="3929" spans="1:19" x14ac:dyDescent="0.25">
      <c r="A3929" t="str">
        <f t="shared" si="62"/>
        <v/>
      </c>
      <c r="B3929" s="10"/>
      <c r="C3929" s="10"/>
      <c r="D3929" s="10"/>
      <c r="E3929" s="10"/>
      <c r="F3929" s="10"/>
      <c r="G3929" s="11"/>
      <c r="H3929" s="12"/>
      <c r="I3929" s="13"/>
      <c r="J3929" s="12"/>
      <c r="K3929" s="13"/>
      <c r="L3929" s="11"/>
      <c r="M3929" s="13"/>
      <c r="N3929" s="11"/>
      <c r="O3929" s="13"/>
      <c r="P3929" s="11"/>
      <c r="Q3929" s="13"/>
      <c r="R3929" s="10"/>
      <c r="S3929" s="10"/>
    </row>
    <row r="3930" spans="1:19" x14ac:dyDescent="0.25">
      <c r="A3930" t="str">
        <f t="shared" si="62"/>
        <v/>
      </c>
      <c r="B3930" s="10"/>
      <c r="C3930" s="10"/>
      <c r="D3930" s="10"/>
      <c r="E3930" s="10"/>
      <c r="F3930" s="10"/>
      <c r="G3930" s="11"/>
      <c r="H3930" s="12"/>
      <c r="I3930" s="13"/>
      <c r="J3930" s="12"/>
      <c r="K3930" s="13"/>
      <c r="L3930" s="11"/>
      <c r="M3930" s="13"/>
      <c r="N3930" s="11"/>
      <c r="O3930" s="13"/>
      <c r="P3930" s="11"/>
      <c r="Q3930" s="13"/>
      <c r="R3930" s="10"/>
      <c r="S3930" s="10"/>
    </row>
    <row r="3931" spans="1:19" x14ac:dyDescent="0.25">
      <c r="A3931" t="str">
        <f t="shared" si="62"/>
        <v/>
      </c>
      <c r="B3931" s="10"/>
      <c r="C3931" s="10"/>
      <c r="D3931" s="10"/>
      <c r="E3931" s="10"/>
      <c r="F3931" s="10"/>
      <c r="G3931" s="11"/>
      <c r="H3931" s="12"/>
      <c r="I3931" s="13"/>
      <c r="J3931" s="12"/>
      <c r="K3931" s="13"/>
      <c r="L3931" s="11"/>
      <c r="M3931" s="13"/>
      <c r="N3931" s="11"/>
      <c r="O3931" s="13"/>
      <c r="P3931" s="11"/>
      <c r="Q3931" s="13"/>
      <c r="R3931" s="10"/>
      <c r="S3931" s="10"/>
    </row>
    <row r="3932" spans="1:19" x14ac:dyDescent="0.25">
      <c r="A3932" t="str">
        <f t="shared" si="62"/>
        <v/>
      </c>
      <c r="B3932" s="10"/>
      <c r="C3932" s="10"/>
      <c r="D3932" s="10"/>
      <c r="E3932" s="10"/>
      <c r="F3932" s="10"/>
      <c r="G3932" s="11"/>
      <c r="H3932" s="12"/>
      <c r="I3932" s="13"/>
      <c r="J3932" s="12"/>
      <c r="K3932" s="13"/>
      <c r="L3932" s="11"/>
      <c r="M3932" s="13"/>
      <c r="N3932" s="11"/>
      <c r="O3932" s="13"/>
      <c r="P3932" s="11"/>
      <c r="Q3932" s="13"/>
      <c r="R3932" s="10"/>
      <c r="S3932" s="10"/>
    </row>
    <row r="3933" spans="1:19" x14ac:dyDescent="0.25">
      <c r="A3933" t="str">
        <f t="shared" si="62"/>
        <v/>
      </c>
      <c r="B3933" s="10"/>
      <c r="C3933" s="10"/>
      <c r="D3933" s="10"/>
      <c r="E3933" s="10"/>
      <c r="F3933" s="10"/>
      <c r="G3933" s="11"/>
      <c r="H3933" s="12"/>
      <c r="I3933" s="13"/>
      <c r="J3933" s="12"/>
      <c r="K3933" s="13"/>
      <c r="L3933" s="11"/>
      <c r="M3933" s="13"/>
      <c r="N3933" s="11"/>
      <c r="O3933" s="13"/>
      <c r="P3933" s="11"/>
      <c r="Q3933" s="13"/>
      <c r="R3933" s="10"/>
      <c r="S3933" s="10"/>
    </row>
    <row r="3934" spans="1:19" x14ac:dyDescent="0.25">
      <c r="A3934" t="str">
        <f t="shared" si="62"/>
        <v/>
      </c>
      <c r="B3934" s="10"/>
      <c r="C3934" s="10"/>
      <c r="D3934" s="10"/>
      <c r="E3934" s="10"/>
      <c r="F3934" s="10"/>
      <c r="G3934" s="11"/>
      <c r="H3934" s="12"/>
      <c r="I3934" s="13"/>
      <c r="J3934" s="12"/>
      <c r="K3934" s="13"/>
      <c r="L3934" s="11"/>
      <c r="M3934" s="13"/>
      <c r="N3934" s="11"/>
      <c r="O3934" s="13"/>
      <c r="P3934" s="11"/>
      <c r="Q3934" s="13"/>
      <c r="R3934" s="10"/>
      <c r="S3934" s="10"/>
    </row>
    <row r="3935" spans="1:19" x14ac:dyDescent="0.25">
      <c r="A3935" t="str">
        <f t="shared" si="62"/>
        <v/>
      </c>
      <c r="B3935" s="10"/>
      <c r="C3935" s="10"/>
      <c r="D3935" s="10"/>
      <c r="E3935" s="10"/>
      <c r="F3935" s="10"/>
      <c r="G3935" s="11"/>
      <c r="H3935" s="12"/>
      <c r="I3935" s="13"/>
      <c r="J3935" s="12"/>
      <c r="K3935" s="13"/>
      <c r="L3935" s="11"/>
      <c r="M3935" s="13"/>
      <c r="N3935" s="11"/>
      <c r="O3935" s="13"/>
      <c r="P3935" s="11"/>
      <c r="Q3935" s="13"/>
      <c r="R3935" s="10"/>
      <c r="S3935" s="10"/>
    </row>
    <row r="3936" spans="1:19" x14ac:dyDescent="0.25">
      <c r="A3936" t="str">
        <f t="shared" si="62"/>
        <v/>
      </c>
      <c r="B3936" s="10"/>
      <c r="C3936" s="10"/>
      <c r="D3936" s="10"/>
      <c r="E3936" s="10"/>
      <c r="F3936" s="10"/>
      <c r="G3936" s="11"/>
      <c r="H3936" s="12"/>
      <c r="I3936" s="13"/>
      <c r="J3936" s="12"/>
      <c r="K3936" s="13"/>
      <c r="L3936" s="11"/>
      <c r="M3936" s="13"/>
      <c r="N3936" s="11"/>
      <c r="O3936" s="13"/>
      <c r="P3936" s="11"/>
      <c r="Q3936" s="13"/>
      <c r="R3936" s="10"/>
      <c r="S3936" s="10"/>
    </row>
    <row r="3937" spans="1:19" x14ac:dyDescent="0.25">
      <c r="A3937" t="str">
        <f t="shared" si="62"/>
        <v/>
      </c>
      <c r="B3937" s="10"/>
      <c r="C3937" s="10"/>
      <c r="D3937" s="10"/>
      <c r="E3937" s="10"/>
      <c r="F3937" s="10"/>
      <c r="G3937" s="11"/>
      <c r="H3937" s="12"/>
      <c r="I3937" s="13"/>
      <c r="J3937" s="12"/>
      <c r="K3937" s="13"/>
      <c r="L3937" s="11"/>
      <c r="M3937" s="13"/>
      <c r="N3937" s="11"/>
      <c r="O3937" s="13"/>
      <c r="P3937" s="11"/>
      <c r="Q3937" s="13"/>
      <c r="R3937" s="10"/>
      <c r="S3937" s="10"/>
    </row>
    <row r="3938" spans="1:19" x14ac:dyDescent="0.25">
      <c r="A3938" t="str">
        <f t="shared" si="62"/>
        <v/>
      </c>
      <c r="B3938" s="10"/>
      <c r="C3938" s="10"/>
      <c r="D3938" s="10"/>
      <c r="E3938" s="10"/>
      <c r="F3938" s="10"/>
      <c r="G3938" s="11"/>
      <c r="H3938" s="12"/>
      <c r="I3938" s="13"/>
      <c r="J3938" s="12"/>
      <c r="K3938" s="13"/>
      <c r="L3938" s="11"/>
      <c r="M3938" s="13"/>
      <c r="N3938" s="11"/>
      <c r="O3938" s="13"/>
      <c r="P3938" s="11"/>
      <c r="Q3938" s="13"/>
      <c r="R3938" s="10"/>
      <c r="S3938" s="10"/>
    </row>
    <row r="3939" spans="1:19" x14ac:dyDescent="0.25">
      <c r="A3939" t="str">
        <f t="shared" si="62"/>
        <v/>
      </c>
      <c r="B3939" s="10"/>
      <c r="C3939" s="10"/>
      <c r="D3939" s="10"/>
      <c r="E3939" s="10"/>
      <c r="F3939" s="10"/>
      <c r="G3939" s="11"/>
      <c r="H3939" s="12"/>
      <c r="I3939" s="13"/>
      <c r="J3939" s="12"/>
      <c r="K3939" s="13"/>
      <c r="L3939" s="11"/>
      <c r="M3939" s="13"/>
      <c r="N3939" s="11"/>
      <c r="O3939" s="13"/>
      <c r="P3939" s="11"/>
      <c r="Q3939" s="13"/>
      <c r="R3939" s="10"/>
      <c r="S3939" s="10"/>
    </row>
    <row r="3940" spans="1:19" x14ac:dyDescent="0.25">
      <c r="A3940" t="str">
        <f t="shared" si="62"/>
        <v/>
      </c>
      <c r="B3940" s="10"/>
      <c r="C3940" s="10"/>
      <c r="D3940" s="10"/>
      <c r="E3940" s="10"/>
      <c r="F3940" s="10"/>
      <c r="G3940" s="11"/>
      <c r="H3940" s="12"/>
      <c r="I3940" s="13"/>
      <c r="J3940" s="12"/>
      <c r="K3940" s="13"/>
      <c r="L3940" s="11"/>
      <c r="M3940" s="13"/>
      <c r="N3940" s="11"/>
      <c r="O3940" s="13"/>
      <c r="P3940" s="11"/>
      <c r="Q3940" s="13"/>
      <c r="R3940" s="10"/>
      <c r="S3940" s="10"/>
    </row>
    <row r="3941" spans="1:19" x14ac:dyDescent="0.25">
      <c r="A3941" t="str">
        <f t="shared" si="62"/>
        <v/>
      </c>
      <c r="B3941" s="10"/>
      <c r="C3941" s="10"/>
      <c r="D3941" s="10"/>
      <c r="E3941" s="10"/>
      <c r="F3941" s="10"/>
      <c r="G3941" s="11"/>
      <c r="H3941" s="12"/>
      <c r="I3941" s="13"/>
      <c r="J3941" s="12"/>
      <c r="K3941" s="13"/>
      <c r="L3941" s="11"/>
      <c r="M3941" s="13"/>
      <c r="N3941" s="11"/>
      <c r="O3941" s="13"/>
      <c r="P3941" s="11"/>
      <c r="Q3941" s="13"/>
      <c r="R3941" s="10"/>
      <c r="S3941" s="10"/>
    </row>
    <row r="3942" spans="1:19" x14ac:dyDescent="0.25">
      <c r="A3942" t="str">
        <f t="shared" si="62"/>
        <v/>
      </c>
      <c r="B3942" s="10"/>
      <c r="C3942" s="10"/>
      <c r="D3942" s="10"/>
      <c r="E3942" s="10"/>
      <c r="F3942" s="10"/>
      <c r="G3942" s="11"/>
      <c r="H3942" s="12"/>
      <c r="I3942" s="13"/>
      <c r="J3942" s="12"/>
      <c r="K3942" s="13"/>
      <c r="L3942" s="11"/>
      <c r="M3942" s="13"/>
      <c r="N3942" s="11"/>
      <c r="O3942" s="13"/>
      <c r="P3942" s="11"/>
      <c r="Q3942" s="13"/>
      <c r="R3942" s="10"/>
      <c r="S3942" s="10"/>
    </row>
    <row r="3943" spans="1:19" x14ac:dyDescent="0.25">
      <c r="A3943" t="str">
        <f t="shared" si="62"/>
        <v/>
      </c>
      <c r="B3943" s="10"/>
      <c r="C3943" s="10"/>
      <c r="D3943" s="10"/>
      <c r="E3943" s="10"/>
      <c r="F3943" s="10"/>
      <c r="G3943" s="11"/>
      <c r="H3943" s="12"/>
      <c r="I3943" s="13"/>
      <c r="J3943" s="12"/>
      <c r="K3943" s="13"/>
      <c r="L3943" s="11"/>
      <c r="M3943" s="13"/>
      <c r="N3943" s="11"/>
      <c r="O3943" s="13"/>
      <c r="P3943" s="11"/>
      <c r="Q3943" s="13"/>
      <c r="R3943" s="10"/>
      <c r="S3943" s="10"/>
    </row>
    <row r="3944" spans="1:19" x14ac:dyDescent="0.25">
      <c r="A3944" t="str">
        <f t="shared" si="62"/>
        <v/>
      </c>
      <c r="B3944" s="10"/>
      <c r="C3944" s="10"/>
      <c r="D3944" s="10"/>
      <c r="E3944" s="10"/>
      <c r="F3944" s="10"/>
      <c r="G3944" s="11"/>
      <c r="H3944" s="12"/>
      <c r="I3944" s="13"/>
      <c r="J3944" s="12"/>
      <c r="K3944" s="13"/>
      <c r="L3944" s="11"/>
      <c r="M3944" s="13"/>
      <c r="N3944" s="11"/>
      <c r="O3944" s="13"/>
      <c r="P3944" s="11"/>
      <c r="Q3944" s="13"/>
      <c r="R3944" s="10"/>
      <c r="S3944" s="10"/>
    </row>
    <row r="3945" spans="1:19" x14ac:dyDescent="0.25">
      <c r="A3945" t="str">
        <f t="shared" si="62"/>
        <v/>
      </c>
      <c r="B3945" s="10"/>
      <c r="C3945" s="10"/>
      <c r="D3945" s="10"/>
      <c r="E3945" s="10"/>
      <c r="F3945" s="10"/>
      <c r="G3945" s="11"/>
      <c r="H3945" s="12"/>
      <c r="I3945" s="13"/>
      <c r="J3945" s="12"/>
      <c r="K3945" s="13"/>
      <c r="L3945" s="11"/>
      <c r="M3945" s="13"/>
      <c r="N3945" s="11"/>
      <c r="O3945" s="13"/>
      <c r="P3945" s="11"/>
      <c r="Q3945" s="13"/>
      <c r="R3945" s="10"/>
      <c r="S3945" s="10"/>
    </row>
    <row r="3946" spans="1:19" x14ac:dyDescent="0.25">
      <c r="A3946" t="str">
        <f t="shared" si="62"/>
        <v/>
      </c>
      <c r="B3946" s="10"/>
      <c r="C3946" s="10"/>
      <c r="D3946" s="10"/>
      <c r="E3946" s="10"/>
      <c r="F3946" s="10"/>
      <c r="G3946" s="11"/>
      <c r="H3946" s="12"/>
      <c r="I3946" s="13"/>
      <c r="J3946" s="12"/>
      <c r="K3946" s="13"/>
      <c r="L3946" s="11"/>
      <c r="M3946" s="13"/>
      <c r="N3946" s="11"/>
      <c r="O3946" s="13"/>
      <c r="P3946" s="11"/>
      <c r="Q3946" s="13"/>
      <c r="R3946" s="10"/>
      <c r="S3946" s="10"/>
    </row>
    <row r="3947" spans="1:19" x14ac:dyDescent="0.25">
      <c r="A3947" t="str">
        <f t="shared" si="62"/>
        <v/>
      </c>
      <c r="B3947" s="10"/>
      <c r="C3947" s="10"/>
      <c r="D3947" s="10"/>
      <c r="E3947" s="10"/>
      <c r="F3947" s="10"/>
      <c r="G3947" s="11"/>
      <c r="H3947" s="12"/>
      <c r="I3947" s="13"/>
      <c r="J3947" s="12"/>
      <c r="K3947" s="13"/>
      <c r="L3947" s="11"/>
      <c r="M3947" s="13"/>
      <c r="N3947" s="11"/>
      <c r="O3947" s="13"/>
      <c r="P3947" s="11"/>
      <c r="Q3947" s="13"/>
      <c r="R3947" s="10"/>
      <c r="S3947" s="10"/>
    </row>
    <row r="3948" spans="1:19" x14ac:dyDescent="0.25">
      <c r="A3948" t="str">
        <f t="shared" si="62"/>
        <v/>
      </c>
      <c r="B3948" s="10"/>
      <c r="C3948" s="10"/>
      <c r="D3948" s="10"/>
      <c r="E3948" s="10"/>
      <c r="F3948" s="10"/>
      <c r="G3948" s="11"/>
      <c r="H3948" s="12"/>
      <c r="I3948" s="13"/>
      <c r="J3948" s="12"/>
      <c r="K3948" s="13"/>
      <c r="L3948" s="11"/>
      <c r="M3948" s="13"/>
      <c r="N3948" s="11"/>
      <c r="O3948" s="13"/>
      <c r="P3948" s="11"/>
      <c r="Q3948" s="13"/>
      <c r="R3948" s="10"/>
      <c r="S3948" s="10"/>
    </row>
    <row r="3949" spans="1:19" x14ac:dyDescent="0.25">
      <c r="A3949" t="str">
        <f t="shared" si="62"/>
        <v/>
      </c>
      <c r="B3949" s="10"/>
      <c r="C3949" s="10"/>
      <c r="D3949" s="10"/>
      <c r="E3949" s="10"/>
      <c r="F3949" s="10"/>
      <c r="G3949" s="11"/>
      <c r="H3949" s="12"/>
      <c r="I3949" s="13"/>
      <c r="J3949" s="12"/>
      <c r="K3949" s="13"/>
      <c r="L3949" s="11"/>
      <c r="M3949" s="13"/>
      <c r="N3949" s="11"/>
      <c r="O3949" s="13"/>
      <c r="P3949" s="11"/>
      <c r="Q3949" s="13"/>
      <c r="R3949" s="10"/>
      <c r="S3949" s="10"/>
    </row>
    <row r="3950" spans="1:19" x14ac:dyDescent="0.25">
      <c r="A3950" t="str">
        <f t="shared" si="62"/>
        <v/>
      </c>
      <c r="B3950" s="10"/>
      <c r="C3950" s="10"/>
      <c r="D3950" s="10"/>
      <c r="E3950" s="10"/>
      <c r="F3950" s="10"/>
      <c r="G3950" s="11"/>
      <c r="H3950" s="12"/>
      <c r="I3950" s="13"/>
      <c r="J3950" s="12"/>
      <c r="K3950" s="13"/>
      <c r="L3950" s="11"/>
      <c r="M3950" s="13"/>
      <c r="N3950" s="11"/>
      <c r="O3950" s="13"/>
      <c r="P3950" s="11"/>
      <c r="Q3950" s="13"/>
      <c r="R3950" s="10"/>
      <c r="S3950" s="10"/>
    </row>
    <row r="3951" spans="1:19" x14ac:dyDescent="0.25">
      <c r="A3951" t="str">
        <f t="shared" si="62"/>
        <v/>
      </c>
      <c r="B3951" s="10"/>
      <c r="C3951" s="10"/>
      <c r="D3951" s="10"/>
      <c r="E3951" s="10"/>
      <c r="F3951" s="10"/>
      <c r="G3951" s="11"/>
      <c r="H3951" s="12"/>
      <c r="I3951" s="13"/>
      <c r="J3951" s="12"/>
      <c r="K3951" s="13"/>
      <c r="L3951" s="11"/>
      <c r="M3951" s="13"/>
      <c r="N3951" s="11"/>
      <c r="O3951" s="13"/>
      <c r="P3951" s="11"/>
      <c r="Q3951" s="13"/>
      <c r="R3951" s="10"/>
      <c r="S3951" s="10"/>
    </row>
    <row r="3952" spans="1:19" x14ac:dyDescent="0.25">
      <c r="A3952" t="str">
        <f t="shared" si="62"/>
        <v/>
      </c>
      <c r="B3952" s="10"/>
      <c r="C3952" s="10"/>
      <c r="D3952" s="10"/>
      <c r="E3952" s="10"/>
      <c r="F3952" s="10"/>
      <c r="G3952" s="11"/>
      <c r="H3952" s="12"/>
      <c r="I3952" s="13"/>
      <c r="J3952" s="12"/>
      <c r="K3952" s="13"/>
      <c r="L3952" s="11"/>
      <c r="M3952" s="13"/>
      <c r="N3952" s="11"/>
      <c r="O3952" s="13"/>
      <c r="P3952" s="11"/>
      <c r="Q3952" s="13"/>
      <c r="R3952" s="10"/>
      <c r="S3952" s="10"/>
    </row>
    <row r="3953" spans="1:19" x14ac:dyDescent="0.25">
      <c r="A3953" t="str">
        <f t="shared" si="62"/>
        <v/>
      </c>
      <c r="B3953" s="10"/>
      <c r="C3953" s="10"/>
      <c r="D3953" s="10"/>
      <c r="E3953" s="10"/>
      <c r="F3953" s="10"/>
      <c r="G3953" s="11"/>
      <c r="H3953" s="12"/>
      <c r="I3953" s="13"/>
      <c r="J3953" s="12"/>
      <c r="K3953" s="13"/>
      <c r="L3953" s="11"/>
      <c r="M3953" s="13"/>
      <c r="N3953" s="11"/>
      <c r="O3953" s="13"/>
      <c r="P3953" s="11"/>
      <c r="Q3953" s="13"/>
      <c r="R3953" s="10"/>
      <c r="S3953" s="10"/>
    </row>
    <row r="3954" spans="1:19" x14ac:dyDescent="0.25">
      <c r="A3954" t="str">
        <f t="shared" si="62"/>
        <v/>
      </c>
      <c r="B3954" s="10"/>
      <c r="C3954" s="10"/>
      <c r="D3954" s="10"/>
      <c r="E3954" s="10"/>
      <c r="F3954" s="10"/>
      <c r="G3954" s="11"/>
      <c r="H3954" s="12"/>
      <c r="I3954" s="13"/>
      <c r="J3954" s="12"/>
      <c r="K3954" s="13"/>
      <c r="L3954" s="11"/>
      <c r="M3954" s="13"/>
      <c r="N3954" s="11"/>
      <c r="O3954" s="13"/>
      <c r="P3954" s="11"/>
      <c r="Q3954" s="13"/>
      <c r="R3954" s="10"/>
      <c r="S3954" s="10"/>
    </row>
    <row r="3955" spans="1:19" x14ac:dyDescent="0.25">
      <c r="A3955" t="str">
        <f t="shared" si="62"/>
        <v/>
      </c>
      <c r="B3955" s="10"/>
      <c r="C3955" s="10"/>
      <c r="D3955" s="10"/>
      <c r="E3955" s="10"/>
      <c r="F3955" s="10"/>
      <c r="G3955" s="11"/>
      <c r="H3955" s="12"/>
      <c r="I3955" s="13"/>
      <c r="J3955" s="12"/>
      <c r="K3955" s="13"/>
      <c r="L3955" s="11"/>
      <c r="M3955" s="13"/>
      <c r="N3955" s="11"/>
      <c r="O3955" s="13"/>
      <c r="P3955" s="11"/>
      <c r="Q3955" s="13"/>
      <c r="R3955" s="10"/>
      <c r="S3955" s="10"/>
    </row>
    <row r="3956" spans="1:19" x14ac:dyDescent="0.25">
      <c r="A3956" t="str">
        <f t="shared" si="62"/>
        <v/>
      </c>
      <c r="B3956" s="10"/>
      <c r="C3956" s="10"/>
      <c r="D3956" s="10"/>
      <c r="E3956" s="10"/>
      <c r="F3956" s="10"/>
      <c r="G3956" s="11"/>
      <c r="H3956" s="12"/>
      <c r="I3956" s="13"/>
      <c r="J3956" s="12"/>
      <c r="K3956" s="13"/>
      <c r="L3956" s="11"/>
      <c r="M3956" s="13"/>
      <c r="N3956" s="11"/>
      <c r="O3956" s="13"/>
      <c r="P3956" s="11"/>
      <c r="Q3956" s="13"/>
      <c r="R3956" s="10"/>
      <c r="S3956" s="10"/>
    </row>
    <row r="3957" spans="1:19" x14ac:dyDescent="0.25">
      <c r="A3957" t="str">
        <f t="shared" ref="A3957:A4020" si="63">B3955&amp;D3955</f>
        <v/>
      </c>
      <c r="B3957" s="10"/>
      <c r="C3957" s="10"/>
      <c r="D3957" s="10"/>
      <c r="E3957" s="10"/>
      <c r="F3957" s="10"/>
      <c r="G3957" s="11"/>
      <c r="H3957" s="12"/>
      <c r="I3957" s="13"/>
      <c r="J3957" s="12"/>
      <c r="K3957" s="13"/>
      <c r="L3957" s="11"/>
      <c r="M3957" s="13"/>
      <c r="N3957" s="11"/>
      <c r="O3957" s="13"/>
      <c r="P3957" s="11"/>
      <c r="Q3957" s="13"/>
      <c r="R3957" s="10"/>
      <c r="S3957" s="10"/>
    </row>
    <row r="3958" spans="1:19" x14ac:dyDescent="0.25">
      <c r="A3958" t="str">
        <f t="shared" si="63"/>
        <v/>
      </c>
      <c r="B3958" s="10"/>
      <c r="C3958" s="10"/>
      <c r="D3958" s="10"/>
      <c r="E3958" s="10"/>
      <c r="F3958" s="10"/>
      <c r="G3958" s="11"/>
      <c r="H3958" s="12"/>
      <c r="I3958" s="13"/>
      <c r="J3958" s="12"/>
      <c r="K3958" s="13"/>
      <c r="L3958" s="11"/>
      <c r="M3958" s="13"/>
      <c r="N3958" s="11"/>
      <c r="O3958" s="13"/>
      <c r="P3958" s="11"/>
      <c r="Q3958" s="13"/>
      <c r="R3958" s="10"/>
      <c r="S3958" s="10"/>
    </row>
    <row r="3959" spans="1:19" x14ac:dyDescent="0.25">
      <c r="A3959" t="str">
        <f t="shared" si="63"/>
        <v/>
      </c>
      <c r="B3959" s="10"/>
      <c r="C3959" s="10"/>
      <c r="D3959" s="10"/>
      <c r="E3959" s="10"/>
      <c r="F3959" s="10"/>
      <c r="G3959" s="11"/>
      <c r="H3959" s="12"/>
      <c r="I3959" s="13"/>
      <c r="J3959" s="12"/>
      <c r="K3959" s="13"/>
      <c r="L3959" s="11"/>
      <c r="M3959" s="13"/>
      <c r="N3959" s="11"/>
      <c r="O3959" s="13"/>
      <c r="P3959" s="11"/>
      <c r="Q3959" s="13"/>
      <c r="R3959" s="10"/>
      <c r="S3959" s="10"/>
    </row>
    <row r="3960" spans="1:19" x14ac:dyDescent="0.25">
      <c r="A3960" t="str">
        <f t="shared" si="63"/>
        <v/>
      </c>
      <c r="B3960" s="10"/>
      <c r="C3960" s="10"/>
      <c r="D3960" s="10"/>
      <c r="E3960" s="10"/>
      <c r="F3960" s="10"/>
      <c r="G3960" s="11"/>
      <c r="H3960" s="12"/>
      <c r="I3960" s="13"/>
      <c r="J3960" s="12"/>
      <c r="K3960" s="13"/>
      <c r="L3960" s="11"/>
      <c r="M3960" s="13"/>
      <c r="N3960" s="11"/>
      <c r="O3960" s="13"/>
      <c r="P3960" s="11"/>
      <c r="Q3960" s="13"/>
      <c r="R3960" s="10"/>
      <c r="S3960" s="10"/>
    </row>
    <row r="3961" spans="1:19" x14ac:dyDescent="0.25">
      <c r="A3961" t="str">
        <f t="shared" si="63"/>
        <v/>
      </c>
      <c r="B3961" s="10"/>
      <c r="C3961" s="10"/>
      <c r="D3961" s="10"/>
      <c r="E3961" s="10"/>
      <c r="F3961" s="10"/>
      <c r="G3961" s="11"/>
      <c r="H3961" s="12"/>
      <c r="I3961" s="13"/>
      <c r="J3961" s="12"/>
      <c r="K3961" s="13"/>
      <c r="L3961" s="11"/>
      <c r="M3961" s="13"/>
      <c r="N3961" s="11"/>
      <c r="O3961" s="13"/>
      <c r="P3961" s="11"/>
      <c r="Q3961" s="13"/>
      <c r="R3961" s="10"/>
      <c r="S3961" s="10"/>
    </row>
    <row r="3962" spans="1:19" x14ac:dyDescent="0.25">
      <c r="A3962" t="str">
        <f t="shared" si="63"/>
        <v/>
      </c>
      <c r="B3962" s="10"/>
      <c r="C3962" s="10"/>
      <c r="D3962" s="10"/>
      <c r="E3962" s="10"/>
      <c r="F3962" s="10"/>
      <c r="G3962" s="11"/>
      <c r="H3962" s="12"/>
      <c r="I3962" s="13"/>
      <c r="J3962" s="12"/>
      <c r="K3962" s="13"/>
      <c r="L3962" s="11"/>
      <c r="M3962" s="13"/>
      <c r="N3962" s="11"/>
      <c r="O3962" s="13"/>
      <c r="P3962" s="11"/>
      <c r="Q3962" s="13"/>
      <c r="R3962" s="10"/>
      <c r="S3962" s="10"/>
    </row>
    <row r="3963" spans="1:19" x14ac:dyDescent="0.25">
      <c r="A3963" t="str">
        <f t="shared" si="63"/>
        <v/>
      </c>
      <c r="B3963" s="10"/>
      <c r="C3963" s="10"/>
      <c r="D3963" s="10"/>
      <c r="E3963" s="10"/>
      <c r="F3963" s="10"/>
      <c r="G3963" s="11"/>
      <c r="H3963" s="12"/>
      <c r="I3963" s="13"/>
      <c r="J3963" s="12"/>
      <c r="K3963" s="13"/>
      <c r="L3963" s="11"/>
      <c r="M3963" s="13"/>
      <c r="N3963" s="11"/>
      <c r="O3963" s="13"/>
      <c r="P3963" s="11"/>
      <c r="Q3963" s="13"/>
      <c r="R3963" s="10"/>
      <c r="S3963" s="10"/>
    </row>
    <row r="3964" spans="1:19" x14ac:dyDescent="0.25">
      <c r="A3964" t="str">
        <f t="shared" si="63"/>
        <v/>
      </c>
      <c r="B3964" s="10"/>
      <c r="C3964" s="10"/>
      <c r="D3964" s="10"/>
      <c r="E3964" s="10"/>
      <c r="F3964" s="10"/>
      <c r="G3964" s="11"/>
      <c r="H3964" s="12"/>
      <c r="I3964" s="13"/>
      <c r="J3964" s="12"/>
      <c r="K3964" s="13"/>
      <c r="L3964" s="11"/>
      <c r="M3964" s="13"/>
      <c r="N3964" s="11"/>
      <c r="O3964" s="13"/>
      <c r="P3964" s="11"/>
      <c r="Q3964" s="13"/>
      <c r="R3964" s="10"/>
      <c r="S3964" s="10"/>
    </row>
    <row r="3965" spans="1:19" x14ac:dyDescent="0.25">
      <c r="A3965" t="str">
        <f t="shared" si="63"/>
        <v/>
      </c>
      <c r="B3965" s="10"/>
      <c r="C3965" s="10"/>
      <c r="D3965" s="10"/>
      <c r="E3965" s="10"/>
      <c r="F3965" s="10"/>
      <c r="G3965" s="11"/>
      <c r="H3965" s="12"/>
      <c r="I3965" s="13"/>
      <c r="J3965" s="12"/>
      <c r="K3965" s="13"/>
      <c r="L3965" s="11"/>
      <c r="M3965" s="13"/>
      <c r="N3965" s="11"/>
      <c r="O3965" s="13"/>
      <c r="P3965" s="11"/>
      <c r="Q3965" s="13"/>
      <c r="R3965" s="10"/>
      <c r="S3965" s="10"/>
    </row>
    <row r="3966" spans="1:19" x14ac:dyDescent="0.25">
      <c r="A3966" t="str">
        <f t="shared" si="63"/>
        <v/>
      </c>
      <c r="B3966" s="10"/>
      <c r="C3966" s="10"/>
      <c r="D3966" s="10"/>
      <c r="E3966" s="10"/>
      <c r="F3966" s="10"/>
      <c r="G3966" s="11"/>
      <c r="H3966" s="12"/>
      <c r="I3966" s="13"/>
      <c r="J3966" s="12"/>
      <c r="K3966" s="13"/>
      <c r="L3966" s="11"/>
      <c r="M3966" s="13"/>
      <c r="N3966" s="11"/>
      <c r="O3966" s="13"/>
      <c r="P3966" s="11"/>
      <c r="Q3966" s="13"/>
      <c r="R3966" s="10"/>
      <c r="S3966" s="10"/>
    </row>
    <row r="3967" spans="1:19" x14ac:dyDescent="0.25">
      <c r="A3967" t="str">
        <f t="shared" si="63"/>
        <v/>
      </c>
      <c r="B3967" s="10"/>
      <c r="C3967" s="10"/>
      <c r="D3967" s="10"/>
      <c r="E3967" s="10"/>
      <c r="F3967" s="10"/>
      <c r="G3967" s="11"/>
      <c r="H3967" s="12"/>
      <c r="I3967" s="13"/>
      <c r="J3967" s="12"/>
      <c r="K3967" s="13"/>
      <c r="L3967" s="11"/>
      <c r="M3967" s="13"/>
      <c r="N3967" s="11"/>
      <c r="O3967" s="13"/>
      <c r="P3967" s="11"/>
      <c r="Q3967" s="13"/>
      <c r="R3967" s="10"/>
      <c r="S3967" s="10"/>
    </row>
    <row r="3968" spans="1:19" x14ac:dyDescent="0.25">
      <c r="A3968" t="str">
        <f t="shared" si="63"/>
        <v/>
      </c>
      <c r="B3968" s="10"/>
      <c r="C3968" s="10"/>
      <c r="D3968" s="10"/>
      <c r="E3968" s="10"/>
      <c r="F3968" s="10"/>
      <c r="G3968" s="11"/>
      <c r="H3968" s="12"/>
      <c r="I3968" s="13"/>
      <c r="J3968" s="12"/>
      <c r="K3968" s="13"/>
      <c r="L3968" s="11"/>
      <c r="M3968" s="13"/>
      <c r="N3968" s="11"/>
      <c r="O3968" s="13"/>
      <c r="P3968" s="11"/>
      <c r="Q3968" s="13"/>
      <c r="R3968" s="10"/>
      <c r="S3968" s="10"/>
    </row>
    <row r="3969" spans="1:19" x14ac:dyDescent="0.25">
      <c r="A3969" t="str">
        <f t="shared" si="63"/>
        <v/>
      </c>
      <c r="B3969" s="10"/>
      <c r="C3969" s="10"/>
      <c r="D3969" s="10"/>
      <c r="E3969" s="10"/>
      <c r="F3969" s="10"/>
      <c r="G3969" s="11"/>
      <c r="H3969" s="12"/>
      <c r="I3969" s="13"/>
      <c r="J3969" s="12"/>
      <c r="K3969" s="13"/>
      <c r="L3969" s="11"/>
      <c r="M3969" s="13"/>
      <c r="N3969" s="11"/>
      <c r="O3969" s="13"/>
      <c r="P3969" s="11"/>
      <c r="Q3969" s="13"/>
      <c r="R3969" s="10"/>
      <c r="S3969" s="10"/>
    </row>
    <row r="3970" spans="1:19" x14ac:dyDescent="0.25">
      <c r="A3970" t="str">
        <f t="shared" si="63"/>
        <v/>
      </c>
      <c r="B3970" s="10"/>
      <c r="C3970" s="10"/>
      <c r="D3970" s="10"/>
      <c r="E3970" s="10"/>
      <c r="F3970" s="10"/>
      <c r="G3970" s="11"/>
      <c r="H3970" s="12"/>
      <c r="I3970" s="13"/>
      <c r="J3970" s="12"/>
      <c r="K3970" s="13"/>
      <c r="L3970" s="11"/>
      <c r="M3970" s="13"/>
      <c r="N3970" s="11"/>
      <c r="O3970" s="13"/>
      <c r="P3970" s="11"/>
      <c r="Q3970" s="13"/>
      <c r="R3970" s="10"/>
      <c r="S3970" s="10"/>
    </row>
    <row r="3971" spans="1:19" x14ac:dyDescent="0.25">
      <c r="A3971" t="str">
        <f t="shared" si="63"/>
        <v/>
      </c>
      <c r="B3971" s="10"/>
      <c r="C3971" s="10"/>
      <c r="D3971" s="10"/>
      <c r="E3971" s="10"/>
      <c r="F3971" s="10"/>
      <c r="G3971" s="11"/>
      <c r="H3971" s="12"/>
      <c r="I3971" s="13"/>
      <c r="J3971" s="12"/>
      <c r="K3971" s="13"/>
      <c r="L3971" s="11"/>
      <c r="M3971" s="13"/>
      <c r="N3971" s="11"/>
      <c r="O3971" s="13"/>
      <c r="P3971" s="11"/>
      <c r="Q3971" s="13"/>
      <c r="R3971" s="10"/>
      <c r="S3971" s="10"/>
    </row>
    <row r="3972" spans="1:19" x14ac:dyDescent="0.25">
      <c r="A3972" t="str">
        <f t="shared" si="63"/>
        <v/>
      </c>
      <c r="B3972" s="10"/>
      <c r="C3972" s="10"/>
      <c r="D3972" s="10"/>
      <c r="E3972" s="10"/>
      <c r="F3972" s="10"/>
      <c r="G3972" s="11"/>
      <c r="H3972" s="12"/>
      <c r="I3972" s="13"/>
      <c r="J3972" s="12"/>
      <c r="K3972" s="13"/>
      <c r="L3972" s="11"/>
      <c r="M3972" s="13"/>
      <c r="N3972" s="11"/>
      <c r="O3972" s="13"/>
      <c r="P3972" s="11"/>
      <c r="Q3972" s="13"/>
      <c r="R3972" s="10"/>
      <c r="S3972" s="10"/>
    </row>
    <row r="3973" spans="1:19" x14ac:dyDescent="0.25">
      <c r="A3973" t="str">
        <f t="shared" si="63"/>
        <v/>
      </c>
      <c r="B3973" s="10"/>
      <c r="C3973" s="10"/>
      <c r="D3973" s="10"/>
      <c r="E3973" s="10"/>
      <c r="F3973" s="10"/>
      <c r="G3973" s="11"/>
      <c r="H3973" s="12"/>
      <c r="I3973" s="13"/>
      <c r="J3973" s="12"/>
      <c r="K3973" s="13"/>
      <c r="L3973" s="11"/>
      <c r="M3973" s="13"/>
      <c r="N3973" s="11"/>
      <c r="O3973" s="13"/>
      <c r="P3973" s="11"/>
      <c r="Q3973" s="13"/>
      <c r="R3973" s="10"/>
      <c r="S3973" s="10"/>
    </row>
    <row r="3974" spans="1:19" x14ac:dyDescent="0.25">
      <c r="A3974" t="str">
        <f t="shared" si="63"/>
        <v/>
      </c>
      <c r="B3974" s="10"/>
      <c r="C3974" s="10"/>
      <c r="D3974" s="10"/>
      <c r="E3974" s="10"/>
      <c r="F3974" s="10"/>
      <c r="G3974" s="11"/>
      <c r="H3974" s="12"/>
      <c r="I3974" s="13"/>
      <c r="J3974" s="12"/>
      <c r="K3974" s="13"/>
      <c r="L3974" s="11"/>
      <c r="M3974" s="13"/>
      <c r="N3974" s="11"/>
      <c r="O3974" s="13"/>
      <c r="P3974" s="11"/>
      <c r="Q3974" s="13"/>
      <c r="R3974" s="10"/>
      <c r="S3974" s="10"/>
    </row>
    <row r="3975" spans="1:19" x14ac:dyDescent="0.25">
      <c r="A3975" t="str">
        <f t="shared" si="63"/>
        <v/>
      </c>
      <c r="B3975" s="10"/>
      <c r="C3975" s="10"/>
      <c r="D3975" s="10"/>
      <c r="E3975" s="10"/>
      <c r="F3975" s="10"/>
      <c r="G3975" s="11"/>
      <c r="H3975" s="12"/>
      <c r="I3975" s="13"/>
      <c r="J3975" s="12"/>
      <c r="K3975" s="13"/>
      <c r="L3975" s="11"/>
      <c r="M3975" s="13"/>
      <c r="N3975" s="11"/>
      <c r="O3975" s="13"/>
      <c r="P3975" s="11"/>
      <c r="Q3975" s="13"/>
      <c r="R3975" s="10"/>
      <c r="S3975" s="10"/>
    </row>
    <row r="3976" spans="1:19" x14ac:dyDescent="0.25">
      <c r="A3976" t="str">
        <f t="shared" si="63"/>
        <v/>
      </c>
      <c r="B3976" s="10"/>
      <c r="C3976" s="10"/>
      <c r="D3976" s="10"/>
      <c r="E3976" s="10"/>
      <c r="F3976" s="10"/>
      <c r="G3976" s="11"/>
      <c r="H3976" s="12"/>
      <c r="I3976" s="13"/>
      <c r="J3976" s="12"/>
      <c r="K3976" s="13"/>
      <c r="L3976" s="11"/>
      <c r="M3976" s="13"/>
      <c r="N3976" s="11"/>
      <c r="O3976" s="13"/>
      <c r="P3976" s="11"/>
      <c r="Q3976" s="13"/>
      <c r="R3976" s="10"/>
      <c r="S3976" s="10"/>
    </row>
    <row r="3977" spans="1:19" x14ac:dyDescent="0.25">
      <c r="A3977" t="str">
        <f t="shared" si="63"/>
        <v/>
      </c>
      <c r="B3977" s="10"/>
      <c r="C3977" s="10"/>
      <c r="D3977" s="10"/>
      <c r="E3977" s="10"/>
      <c r="F3977" s="10"/>
      <c r="G3977" s="11"/>
      <c r="H3977" s="12"/>
      <c r="I3977" s="13"/>
      <c r="J3977" s="12"/>
      <c r="K3977" s="13"/>
      <c r="L3977" s="11"/>
      <c r="M3977" s="13"/>
      <c r="N3977" s="11"/>
      <c r="O3977" s="13"/>
      <c r="P3977" s="11"/>
      <c r="Q3977" s="13"/>
      <c r="R3977" s="10"/>
      <c r="S3977" s="10"/>
    </row>
    <row r="3978" spans="1:19" x14ac:dyDescent="0.25">
      <c r="A3978" t="str">
        <f t="shared" si="63"/>
        <v/>
      </c>
      <c r="B3978" s="10"/>
      <c r="C3978" s="10"/>
      <c r="D3978" s="10"/>
      <c r="E3978" s="10"/>
      <c r="F3978" s="10"/>
      <c r="G3978" s="11"/>
      <c r="H3978" s="12"/>
      <c r="I3978" s="13"/>
      <c r="J3978" s="12"/>
      <c r="K3978" s="13"/>
      <c r="L3978" s="11"/>
      <c r="M3978" s="13"/>
      <c r="N3978" s="11"/>
      <c r="O3978" s="13"/>
      <c r="P3978" s="11"/>
      <c r="Q3978" s="13"/>
      <c r="R3978" s="10"/>
      <c r="S3978" s="10"/>
    </row>
    <row r="3979" spans="1:19" x14ac:dyDescent="0.25">
      <c r="A3979" t="str">
        <f t="shared" si="63"/>
        <v/>
      </c>
      <c r="B3979" s="10"/>
      <c r="C3979" s="10"/>
      <c r="D3979" s="10"/>
      <c r="E3979" s="10"/>
      <c r="F3979" s="10"/>
      <c r="G3979" s="11"/>
      <c r="H3979" s="12"/>
      <c r="I3979" s="13"/>
      <c r="J3979" s="12"/>
      <c r="K3979" s="13"/>
      <c r="L3979" s="11"/>
      <c r="M3979" s="13"/>
      <c r="N3979" s="11"/>
      <c r="O3979" s="13"/>
      <c r="P3979" s="11"/>
      <c r="Q3979" s="13"/>
      <c r="R3979" s="10"/>
      <c r="S3979" s="10"/>
    </row>
    <row r="3980" spans="1:19" x14ac:dyDescent="0.25">
      <c r="A3980" t="str">
        <f t="shared" si="63"/>
        <v/>
      </c>
      <c r="B3980" s="10"/>
      <c r="C3980" s="10"/>
      <c r="D3980" s="10"/>
      <c r="E3980" s="10"/>
      <c r="F3980" s="10"/>
      <c r="G3980" s="11"/>
      <c r="H3980" s="12"/>
      <c r="I3980" s="13"/>
      <c r="J3980" s="12"/>
      <c r="K3980" s="13"/>
      <c r="L3980" s="11"/>
      <c r="M3980" s="13"/>
      <c r="N3980" s="11"/>
      <c r="O3980" s="13"/>
      <c r="P3980" s="11"/>
      <c r="Q3980" s="13"/>
      <c r="R3980" s="10"/>
      <c r="S3980" s="10"/>
    </row>
    <row r="3981" spans="1:19" x14ac:dyDescent="0.25">
      <c r="A3981" t="str">
        <f t="shared" si="63"/>
        <v/>
      </c>
      <c r="B3981" s="10"/>
      <c r="C3981" s="10"/>
      <c r="D3981" s="10"/>
      <c r="E3981" s="10"/>
      <c r="F3981" s="10"/>
      <c r="G3981" s="11"/>
      <c r="H3981" s="12"/>
      <c r="I3981" s="13"/>
      <c r="J3981" s="12"/>
      <c r="K3981" s="13"/>
      <c r="L3981" s="11"/>
      <c r="M3981" s="13"/>
      <c r="N3981" s="11"/>
      <c r="O3981" s="13"/>
      <c r="P3981" s="11"/>
      <c r="Q3981" s="13"/>
      <c r="R3981" s="10"/>
      <c r="S3981" s="10"/>
    </row>
    <row r="3982" spans="1:19" x14ac:dyDescent="0.25">
      <c r="A3982" t="str">
        <f t="shared" si="63"/>
        <v/>
      </c>
      <c r="B3982" s="10"/>
      <c r="C3982" s="10"/>
      <c r="D3982" s="10"/>
      <c r="E3982" s="10"/>
      <c r="F3982" s="10"/>
      <c r="G3982" s="11"/>
      <c r="H3982" s="12"/>
      <c r="I3982" s="13"/>
      <c r="J3982" s="12"/>
      <c r="K3982" s="13"/>
      <c r="L3982" s="11"/>
      <c r="M3982" s="13"/>
      <c r="N3982" s="11"/>
      <c r="O3982" s="13"/>
      <c r="P3982" s="11"/>
      <c r="Q3982" s="13"/>
      <c r="R3982" s="10"/>
      <c r="S3982" s="10"/>
    </row>
    <row r="3983" spans="1:19" x14ac:dyDescent="0.25">
      <c r="A3983" t="str">
        <f t="shared" si="63"/>
        <v/>
      </c>
      <c r="B3983" s="10"/>
      <c r="C3983" s="10"/>
      <c r="D3983" s="10"/>
      <c r="E3983" s="10"/>
      <c r="F3983" s="10"/>
      <c r="G3983" s="11"/>
      <c r="H3983" s="12"/>
      <c r="I3983" s="13"/>
      <c r="J3983" s="12"/>
      <c r="K3983" s="13"/>
      <c r="L3983" s="11"/>
      <c r="M3983" s="13"/>
      <c r="N3983" s="11"/>
      <c r="O3983" s="13"/>
      <c r="P3983" s="11"/>
      <c r="Q3983" s="13"/>
      <c r="R3983" s="10"/>
      <c r="S3983" s="10"/>
    </row>
    <row r="3984" spans="1:19" x14ac:dyDescent="0.25">
      <c r="A3984" t="str">
        <f t="shared" si="63"/>
        <v/>
      </c>
      <c r="B3984" s="10"/>
      <c r="C3984" s="10"/>
      <c r="D3984" s="10"/>
      <c r="E3984" s="10"/>
      <c r="F3984" s="10"/>
      <c r="G3984" s="11"/>
      <c r="H3984" s="12"/>
      <c r="I3984" s="13"/>
      <c r="J3984" s="12"/>
      <c r="K3984" s="13"/>
      <c r="L3984" s="11"/>
      <c r="M3984" s="13"/>
      <c r="N3984" s="11"/>
      <c r="O3984" s="13"/>
      <c r="P3984" s="11"/>
      <c r="Q3984" s="13"/>
      <c r="R3984" s="10"/>
      <c r="S3984" s="10"/>
    </row>
    <row r="3985" spans="1:19" x14ac:dyDescent="0.25">
      <c r="A3985" t="str">
        <f t="shared" si="63"/>
        <v/>
      </c>
      <c r="B3985" s="10"/>
      <c r="C3985" s="10"/>
      <c r="D3985" s="10"/>
      <c r="E3985" s="10"/>
      <c r="F3985" s="10"/>
      <c r="G3985" s="11"/>
      <c r="H3985" s="12"/>
      <c r="I3985" s="13"/>
      <c r="J3985" s="12"/>
      <c r="K3985" s="13"/>
      <c r="L3985" s="11"/>
      <c r="M3985" s="13"/>
      <c r="N3985" s="11"/>
      <c r="O3985" s="13"/>
      <c r="P3985" s="11"/>
      <c r="Q3985" s="13"/>
      <c r="R3985" s="10"/>
      <c r="S3985" s="10"/>
    </row>
    <row r="3986" spans="1:19" x14ac:dyDescent="0.25">
      <c r="A3986" t="str">
        <f t="shared" si="63"/>
        <v/>
      </c>
      <c r="B3986" s="10"/>
      <c r="C3986" s="10"/>
      <c r="D3986" s="10"/>
      <c r="E3986" s="10"/>
      <c r="F3986" s="10"/>
      <c r="G3986" s="11"/>
      <c r="H3986" s="12"/>
      <c r="I3986" s="13"/>
      <c r="J3986" s="12"/>
      <c r="K3986" s="13"/>
      <c r="L3986" s="11"/>
      <c r="M3986" s="13"/>
      <c r="N3986" s="11"/>
      <c r="O3986" s="13"/>
      <c r="P3986" s="11"/>
      <c r="Q3986" s="13"/>
      <c r="R3986" s="10"/>
      <c r="S3986" s="10"/>
    </row>
    <row r="3987" spans="1:19" x14ac:dyDescent="0.25">
      <c r="A3987" t="str">
        <f t="shared" si="63"/>
        <v/>
      </c>
      <c r="B3987" s="10"/>
      <c r="C3987" s="10"/>
      <c r="D3987" s="10"/>
      <c r="E3987" s="10"/>
      <c r="F3987" s="10"/>
      <c r="G3987" s="11"/>
      <c r="H3987" s="12"/>
      <c r="I3987" s="13"/>
      <c r="J3987" s="12"/>
      <c r="K3987" s="13"/>
      <c r="L3987" s="11"/>
      <c r="M3987" s="13"/>
      <c r="N3987" s="11"/>
      <c r="O3987" s="13"/>
      <c r="P3987" s="11"/>
      <c r="Q3987" s="13"/>
      <c r="R3987" s="10"/>
      <c r="S3987" s="10"/>
    </row>
    <row r="3988" spans="1:19" x14ac:dyDescent="0.25">
      <c r="A3988" t="str">
        <f t="shared" si="63"/>
        <v/>
      </c>
      <c r="B3988" s="10"/>
      <c r="C3988" s="10"/>
      <c r="D3988" s="10"/>
      <c r="E3988" s="10"/>
      <c r="F3988" s="10"/>
      <c r="G3988" s="11"/>
      <c r="H3988" s="12"/>
      <c r="I3988" s="13"/>
      <c r="J3988" s="12"/>
      <c r="K3988" s="13"/>
      <c r="L3988" s="11"/>
      <c r="M3988" s="13"/>
      <c r="N3988" s="11"/>
      <c r="O3988" s="13"/>
      <c r="P3988" s="11"/>
      <c r="Q3988" s="13"/>
      <c r="R3988" s="10"/>
      <c r="S3988" s="10"/>
    </row>
    <row r="3989" spans="1:19" x14ac:dyDescent="0.25">
      <c r="A3989" t="str">
        <f t="shared" si="63"/>
        <v/>
      </c>
      <c r="B3989" s="10"/>
      <c r="C3989" s="10"/>
      <c r="D3989" s="10"/>
      <c r="E3989" s="10"/>
      <c r="F3989" s="10"/>
      <c r="G3989" s="11"/>
      <c r="H3989" s="12"/>
      <c r="I3989" s="13"/>
      <c r="J3989" s="12"/>
      <c r="K3989" s="13"/>
      <c r="L3989" s="11"/>
      <c r="M3989" s="13"/>
      <c r="N3989" s="11"/>
      <c r="O3989" s="13"/>
      <c r="P3989" s="11"/>
      <c r="Q3989" s="13"/>
      <c r="R3989" s="10"/>
      <c r="S3989" s="10"/>
    </row>
    <row r="3990" spans="1:19" x14ac:dyDescent="0.25">
      <c r="A3990" t="str">
        <f t="shared" si="63"/>
        <v/>
      </c>
      <c r="B3990" s="10"/>
      <c r="C3990" s="10"/>
      <c r="D3990" s="10"/>
      <c r="E3990" s="10"/>
      <c r="F3990" s="10"/>
      <c r="G3990" s="11"/>
      <c r="H3990" s="12"/>
      <c r="I3990" s="13"/>
      <c r="J3990" s="12"/>
      <c r="K3990" s="13"/>
      <c r="L3990" s="11"/>
      <c r="M3990" s="13"/>
      <c r="N3990" s="11"/>
      <c r="O3990" s="13"/>
      <c r="P3990" s="11"/>
      <c r="Q3990" s="13"/>
      <c r="R3990" s="10"/>
      <c r="S3990" s="10"/>
    </row>
    <row r="3991" spans="1:19" x14ac:dyDescent="0.25">
      <c r="A3991" t="str">
        <f t="shared" si="63"/>
        <v/>
      </c>
      <c r="B3991" s="10"/>
      <c r="C3991" s="10"/>
      <c r="D3991" s="10"/>
      <c r="E3991" s="10"/>
      <c r="F3991" s="10"/>
      <c r="G3991" s="11"/>
      <c r="H3991" s="12"/>
      <c r="I3991" s="13"/>
      <c r="J3991" s="12"/>
      <c r="K3991" s="13"/>
      <c r="L3991" s="11"/>
      <c r="M3991" s="13"/>
      <c r="N3991" s="11"/>
      <c r="O3991" s="13"/>
      <c r="P3991" s="11"/>
      <c r="Q3991" s="13"/>
      <c r="R3991" s="10"/>
      <c r="S3991" s="10"/>
    </row>
    <row r="3992" spans="1:19" x14ac:dyDescent="0.25">
      <c r="A3992" t="str">
        <f t="shared" si="63"/>
        <v/>
      </c>
      <c r="B3992" s="10"/>
      <c r="C3992" s="10"/>
      <c r="D3992" s="10"/>
      <c r="E3992" s="10"/>
      <c r="F3992" s="10"/>
      <c r="G3992" s="11"/>
      <c r="H3992" s="12"/>
      <c r="I3992" s="13"/>
      <c r="J3992" s="12"/>
      <c r="K3992" s="13"/>
      <c r="L3992" s="11"/>
      <c r="M3992" s="13"/>
      <c r="N3992" s="11"/>
      <c r="O3992" s="13"/>
      <c r="P3992" s="11"/>
      <c r="Q3992" s="13"/>
      <c r="R3992" s="10"/>
      <c r="S3992" s="10"/>
    </row>
    <row r="3993" spans="1:19" x14ac:dyDescent="0.25">
      <c r="A3993" t="str">
        <f t="shared" si="63"/>
        <v/>
      </c>
      <c r="B3993" s="10"/>
      <c r="C3993" s="10"/>
      <c r="D3993" s="10"/>
      <c r="E3993" s="10"/>
      <c r="F3993" s="10"/>
      <c r="G3993" s="11"/>
      <c r="H3993" s="12"/>
      <c r="I3993" s="13"/>
      <c r="J3993" s="12"/>
      <c r="K3993" s="13"/>
      <c r="L3993" s="11"/>
      <c r="M3993" s="13"/>
      <c r="N3993" s="11"/>
      <c r="O3993" s="13"/>
      <c r="P3993" s="11"/>
      <c r="Q3993" s="13"/>
      <c r="R3993" s="10"/>
      <c r="S3993" s="10"/>
    </row>
    <row r="3994" spans="1:19" x14ac:dyDescent="0.25">
      <c r="A3994" t="str">
        <f t="shared" si="63"/>
        <v/>
      </c>
      <c r="B3994" s="10"/>
      <c r="C3994" s="10"/>
      <c r="D3994" s="10"/>
      <c r="E3994" s="10"/>
      <c r="F3994" s="10"/>
      <c r="G3994" s="11"/>
      <c r="H3994" s="12"/>
      <c r="I3994" s="13"/>
      <c r="J3994" s="12"/>
      <c r="K3994" s="13"/>
      <c r="L3994" s="11"/>
      <c r="M3994" s="13"/>
      <c r="N3994" s="11"/>
      <c r="O3994" s="13"/>
      <c r="P3994" s="11"/>
      <c r="Q3994" s="13"/>
      <c r="R3994" s="10"/>
      <c r="S3994" s="10"/>
    </row>
    <row r="3995" spans="1:19" x14ac:dyDescent="0.25">
      <c r="A3995" t="str">
        <f t="shared" si="63"/>
        <v/>
      </c>
      <c r="B3995" s="10"/>
      <c r="C3995" s="10"/>
      <c r="D3995" s="10"/>
      <c r="E3995" s="10"/>
      <c r="F3995" s="10"/>
      <c r="G3995" s="11"/>
      <c r="H3995" s="12"/>
      <c r="I3995" s="13"/>
      <c r="J3995" s="12"/>
      <c r="K3995" s="13"/>
      <c r="L3995" s="11"/>
      <c r="M3995" s="13"/>
      <c r="N3995" s="11"/>
      <c r="O3995" s="13"/>
      <c r="P3995" s="11"/>
      <c r="Q3995" s="13"/>
      <c r="R3995" s="10"/>
      <c r="S3995" s="10"/>
    </row>
    <row r="3996" spans="1:19" x14ac:dyDescent="0.25">
      <c r="A3996" t="str">
        <f t="shared" si="63"/>
        <v/>
      </c>
      <c r="B3996" s="10"/>
      <c r="C3996" s="10"/>
      <c r="D3996" s="10"/>
      <c r="E3996" s="10"/>
      <c r="F3996" s="10"/>
      <c r="G3996" s="11"/>
      <c r="H3996" s="12"/>
      <c r="I3996" s="13"/>
      <c r="J3996" s="12"/>
      <c r="K3996" s="13"/>
      <c r="L3996" s="11"/>
      <c r="M3996" s="13"/>
      <c r="N3996" s="11"/>
      <c r="O3996" s="13"/>
      <c r="P3996" s="11"/>
      <c r="Q3996" s="13"/>
      <c r="R3996" s="10"/>
      <c r="S3996" s="10"/>
    </row>
    <row r="3997" spans="1:19" x14ac:dyDescent="0.25">
      <c r="A3997" t="str">
        <f t="shared" si="63"/>
        <v/>
      </c>
      <c r="B3997" s="10"/>
      <c r="C3997" s="10"/>
      <c r="D3997" s="10"/>
      <c r="E3997" s="10"/>
      <c r="F3997" s="10"/>
      <c r="G3997" s="11"/>
      <c r="H3997" s="12"/>
      <c r="I3997" s="13"/>
      <c r="J3997" s="12"/>
      <c r="K3997" s="13"/>
      <c r="L3997" s="11"/>
      <c r="M3997" s="13"/>
      <c r="N3997" s="11"/>
      <c r="O3997" s="13"/>
      <c r="P3997" s="11"/>
      <c r="Q3997" s="13"/>
      <c r="R3997" s="10"/>
      <c r="S3997" s="10"/>
    </row>
    <row r="3998" spans="1:19" x14ac:dyDescent="0.25">
      <c r="A3998" t="str">
        <f t="shared" si="63"/>
        <v/>
      </c>
      <c r="B3998" s="10"/>
      <c r="C3998" s="10"/>
      <c r="D3998" s="10"/>
      <c r="E3998" s="10"/>
      <c r="F3998" s="10"/>
      <c r="G3998" s="11"/>
      <c r="H3998" s="12"/>
      <c r="I3998" s="13"/>
      <c r="J3998" s="12"/>
      <c r="K3998" s="13"/>
      <c r="L3998" s="11"/>
      <c r="M3998" s="13"/>
      <c r="N3998" s="11"/>
      <c r="O3998" s="13"/>
      <c r="P3998" s="11"/>
      <c r="Q3998" s="13"/>
      <c r="R3998" s="10"/>
      <c r="S3998" s="10"/>
    </row>
    <row r="3999" spans="1:19" x14ac:dyDescent="0.25">
      <c r="A3999" t="str">
        <f t="shared" si="63"/>
        <v/>
      </c>
      <c r="B3999" s="10"/>
      <c r="C3999" s="10"/>
      <c r="D3999" s="10"/>
      <c r="E3999" s="10"/>
      <c r="F3999" s="10"/>
      <c r="G3999" s="11"/>
      <c r="H3999" s="12"/>
      <c r="I3999" s="13"/>
      <c r="J3999" s="12"/>
      <c r="K3999" s="13"/>
      <c r="L3999" s="11"/>
      <c r="M3999" s="13"/>
      <c r="N3999" s="11"/>
      <c r="O3999" s="13"/>
      <c r="P3999" s="11"/>
      <c r="Q3999" s="13"/>
      <c r="R3999" s="10"/>
      <c r="S3999" s="10"/>
    </row>
    <row r="4000" spans="1:19" x14ac:dyDescent="0.25">
      <c r="A4000" t="str">
        <f t="shared" si="63"/>
        <v/>
      </c>
      <c r="B4000" s="10"/>
      <c r="C4000" s="10"/>
      <c r="D4000" s="10"/>
      <c r="E4000" s="10"/>
      <c r="F4000" s="10"/>
      <c r="G4000" s="11"/>
      <c r="H4000" s="12"/>
      <c r="I4000" s="13"/>
      <c r="J4000" s="12"/>
      <c r="K4000" s="13"/>
      <c r="L4000" s="11"/>
      <c r="M4000" s="13"/>
      <c r="N4000" s="11"/>
      <c r="O4000" s="13"/>
      <c r="P4000" s="11"/>
      <c r="Q4000" s="13"/>
      <c r="R4000" s="10"/>
      <c r="S4000" s="10"/>
    </row>
    <row r="4001" spans="1:19" x14ac:dyDescent="0.25">
      <c r="A4001" t="str">
        <f t="shared" si="63"/>
        <v/>
      </c>
      <c r="B4001" s="10"/>
      <c r="C4001" s="10"/>
      <c r="D4001" s="10"/>
      <c r="E4001" s="10"/>
      <c r="F4001" s="10"/>
      <c r="G4001" s="11"/>
      <c r="H4001" s="12"/>
      <c r="I4001" s="13"/>
      <c r="J4001" s="12"/>
      <c r="K4001" s="13"/>
      <c r="L4001" s="11"/>
      <c r="M4001" s="13"/>
      <c r="N4001" s="11"/>
      <c r="O4001" s="13"/>
      <c r="P4001" s="11"/>
      <c r="Q4001" s="13"/>
      <c r="R4001" s="10"/>
      <c r="S4001" s="10"/>
    </row>
    <row r="4002" spans="1:19" x14ac:dyDescent="0.25">
      <c r="A4002" t="str">
        <f t="shared" si="63"/>
        <v/>
      </c>
      <c r="B4002" s="10"/>
      <c r="C4002" s="10"/>
      <c r="D4002" s="10"/>
      <c r="E4002" s="10"/>
      <c r="F4002" s="10"/>
      <c r="G4002" s="11"/>
      <c r="H4002" s="12"/>
      <c r="I4002" s="13"/>
      <c r="J4002" s="12"/>
      <c r="K4002" s="13"/>
      <c r="L4002" s="11"/>
      <c r="M4002" s="13"/>
      <c r="N4002" s="11"/>
      <c r="O4002" s="13"/>
      <c r="P4002" s="11"/>
      <c r="Q4002" s="13"/>
      <c r="R4002" s="10"/>
      <c r="S4002" s="10"/>
    </row>
    <row r="4003" spans="1:19" x14ac:dyDescent="0.25">
      <c r="A4003" t="str">
        <f t="shared" si="63"/>
        <v/>
      </c>
      <c r="B4003" s="10"/>
      <c r="C4003" s="10"/>
      <c r="D4003" s="10"/>
      <c r="E4003" s="10"/>
      <c r="F4003" s="10"/>
      <c r="G4003" s="11"/>
      <c r="H4003" s="12"/>
      <c r="I4003" s="13"/>
      <c r="J4003" s="12"/>
      <c r="K4003" s="13"/>
      <c r="L4003" s="11"/>
      <c r="M4003" s="13"/>
      <c r="N4003" s="11"/>
      <c r="O4003" s="13"/>
      <c r="P4003" s="11"/>
      <c r="Q4003" s="13"/>
      <c r="R4003" s="10"/>
      <c r="S4003" s="10"/>
    </row>
    <row r="4004" spans="1:19" x14ac:dyDescent="0.25">
      <c r="A4004" t="str">
        <f t="shared" si="63"/>
        <v/>
      </c>
      <c r="B4004" s="10"/>
      <c r="C4004" s="10"/>
      <c r="D4004" s="10"/>
      <c r="E4004" s="10"/>
      <c r="F4004" s="10"/>
      <c r="G4004" s="11"/>
      <c r="H4004" s="12"/>
      <c r="I4004" s="13"/>
      <c r="J4004" s="12"/>
      <c r="K4004" s="13"/>
      <c r="L4004" s="11"/>
      <c r="M4004" s="13"/>
      <c r="N4004" s="11"/>
      <c r="O4004" s="13"/>
      <c r="P4004" s="11"/>
      <c r="Q4004" s="13"/>
      <c r="R4004" s="10"/>
      <c r="S4004" s="10"/>
    </row>
    <row r="4005" spans="1:19" x14ac:dyDescent="0.25">
      <c r="A4005" t="str">
        <f t="shared" si="63"/>
        <v/>
      </c>
      <c r="B4005" s="10"/>
      <c r="C4005" s="10"/>
      <c r="D4005" s="10"/>
      <c r="E4005" s="10"/>
      <c r="F4005" s="10"/>
      <c r="G4005" s="11"/>
      <c r="H4005" s="12"/>
      <c r="I4005" s="13"/>
      <c r="J4005" s="12"/>
      <c r="K4005" s="13"/>
      <c r="L4005" s="11"/>
      <c r="M4005" s="13"/>
      <c r="N4005" s="11"/>
      <c r="O4005" s="13"/>
      <c r="P4005" s="11"/>
      <c r="Q4005" s="13"/>
      <c r="R4005" s="10"/>
      <c r="S4005" s="10"/>
    </row>
    <row r="4006" spans="1:19" x14ac:dyDescent="0.25">
      <c r="A4006" t="str">
        <f t="shared" si="63"/>
        <v/>
      </c>
      <c r="B4006" s="10"/>
      <c r="C4006" s="10"/>
      <c r="D4006" s="10"/>
      <c r="E4006" s="10"/>
      <c r="F4006" s="10"/>
      <c r="G4006" s="11"/>
      <c r="H4006" s="12"/>
      <c r="I4006" s="13"/>
      <c r="J4006" s="12"/>
      <c r="K4006" s="13"/>
      <c r="L4006" s="11"/>
      <c r="M4006" s="13"/>
      <c r="N4006" s="11"/>
      <c r="O4006" s="13"/>
      <c r="P4006" s="11"/>
      <c r="Q4006" s="13"/>
      <c r="R4006" s="10"/>
      <c r="S4006" s="10"/>
    </row>
    <row r="4007" spans="1:19" x14ac:dyDescent="0.25">
      <c r="A4007" t="str">
        <f t="shared" si="63"/>
        <v/>
      </c>
      <c r="B4007" s="10"/>
      <c r="C4007" s="10"/>
      <c r="D4007" s="10"/>
      <c r="E4007" s="10"/>
      <c r="F4007" s="10"/>
      <c r="G4007" s="11"/>
      <c r="H4007" s="12"/>
      <c r="I4007" s="13"/>
      <c r="J4007" s="12"/>
      <c r="K4007" s="13"/>
      <c r="L4007" s="11"/>
      <c r="M4007" s="13"/>
      <c r="N4007" s="11"/>
      <c r="O4007" s="13"/>
      <c r="P4007" s="11"/>
      <c r="Q4007" s="13"/>
      <c r="R4007" s="10"/>
      <c r="S4007" s="10"/>
    </row>
    <row r="4008" spans="1:19" x14ac:dyDescent="0.25">
      <c r="A4008" t="str">
        <f t="shared" si="63"/>
        <v/>
      </c>
      <c r="B4008" s="10"/>
      <c r="C4008" s="10"/>
      <c r="D4008" s="10"/>
      <c r="E4008" s="10"/>
      <c r="F4008" s="10"/>
      <c r="G4008" s="11"/>
      <c r="H4008" s="12"/>
      <c r="I4008" s="13"/>
      <c r="J4008" s="12"/>
      <c r="K4008" s="13"/>
      <c r="L4008" s="11"/>
      <c r="M4008" s="13"/>
      <c r="N4008" s="11"/>
      <c r="O4008" s="13"/>
      <c r="P4008" s="11"/>
      <c r="Q4008" s="13"/>
      <c r="R4008" s="10"/>
      <c r="S4008" s="10"/>
    </row>
    <row r="4009" spans="1:19" x14ac:dyDescent="0.25">
      <c r="A4009" t="str">
        <f t="shared" si="63"/>
        <v/>
      </c>
      <c r="B4009" s="10"/>
      <c r="C4009" s="10"/>
      <c r="D4009" s="10"/>
      <c r="E4009" s="10"/>
      <c r="F4009" s="10"/>
      <c r="G4009" s="11"/>
      <c r="H4009" s="12"/>
      <c r="I4009" s="13"/>
      <c r="J4009" s="12"/>
      <c r="K4009" s="13"/>
      <c r="L4009" s="11"/>
      <c r="M4009" s="13"/>
      <c r="N4009" s="11"/>
      <c r="O4009" s="13"/>
      <c r="P4009" s="11"/>
      <c r="Q4009" s="13"/>
      <c r="R4009" s="10"/>
      <c r="S4009" s="10"/>
    </row>
    <row r="4010" spans="1:19" x14ac:dyDescent="0.25">
      <c r="A4010" t="str">
        <f t="shared" si="63"/>
        <v/>
      </c>
      <c r="B4010" s="10"/>
      <c r="C4010" s="10"/>
      <c r="D4010" s="10"/>
      <c r="E4010" s="10"/>
      <c r="F4010" s="10"/>
      <c r="G4010" s="11"/>
      <c r="H4010" s="12"/>
      <c r="I4010" s="13"/>
      <c r="J4010" s="12"/>
      <c r="K4010" s="13"/>
      <c r="L4010" s="11"/>
      <c r="M4010" s="13"/>
      <c r="N4010" s="11"/>
      <c r="O4010" s="13"/>
      <c r="P4010" s="11"/>
      <c r="Q4010" s="13"/>
      <c r="R4010" s="10"/>
      <c r="S4010" s="10"/>
    </row>
    <row r="4011" spans="1:19" x14ac:dyDescent="0.25">
      <c r="A4011" t="str">
        <f t="shared" si="63"/>
        <v/>
      </c>
      <c r="B4011" s="10"/>
      <c r="C4011" s="10"/>
      <c r="D4011" s="10"/>
      <c r="E4011" s="10"/>
      <c r="F4011" s="10"/>
      <c r="G4011" s="11"/>
      <c r="H4011" s="12"/>
      <c r="I4011" s="13"/>
      <c r="J4011" s="12"/>
      <c r="K4011" s="13"/>
      <c r="L4011" s="11"/>
      <c r="M4011" s="13"/>
      <c r="N4011" s="11"/>
      <c r="O4011" s="13"/>
      <c r="P4011" s="11"/>
      <c r="Q4011" s="13"/>
      <c r="R4011" s="10"/>
      <c r="S4011" s="10"/>
    </row>
    <row r="4012" spans="1:19" x14ac:dyDescent="0.25">
      <c r="A4012" t="str">
        <f t="shared" si="63"/>
        <v/>
      </c>
      <c r="B4012" s="10"/>
      <c r="C4012" s="10"/>
      <c r="D4012" s="10"/>
      <c r="E4012" s="10"/>
      <c r="F4012" s="10"/>
      <c r="G4012" s="11"/>
      <c r="H4012" s="12"/>
      <c r="I4012" s="13"/>
      <c r="J4012" s="12"/>
      <c r="K4012" s="13"/>
      <c r="L4012" s="11"/>
      <c r="M4012" s="13"/>
      <c r="N4012" s="11"/>
      <c r="O4012" s="13"/>
      <c r="P4012" s="11"/>
      <c r="Q4012" s="13"/>
      <c r="R4012" s="10"/>
      <c r="S4012" s="10"/>
    </row>
    <row r="4013" spans="1:19" x14ac:dyDescent="0.25">
      <c r="A4013" t="str">
        <f t="shared" si="63"/>
        <v/>
      </c>
      <c r="B4013" s="10"/>
      <c r="C4013" s="10"/>
      <c r="D4013" s="10"/>
      <c r="E4013" s="10"/>
      <c r="F4013" s="10"/>
      <c r="G4013" s="11"/>
      <c r="H4013" s="12"/>
      <c r="I4013" s="13"/>
      <c r="J4013" s="12"/>
      <c r="K4013" s="13"/>
      <c r="L4013" s="11"/>
      <c r="M4013" s="13"/>
      <c r="N4013" s="11"/>
      <c r="O4013" s="13"/>
      <c r="P4013" s="11"/>
      <c r="Q4013" s="13"/>
      <c r="R4013" s="10"/>
      <c r="S4013" s="10"/>
    </row>
    <row r="4014" spans="1:19" x14ac:dyDescent="0.25">
      <c r="A4014" t="str">
        <f t="shared" si="63"/>
        <v/>
      </c>
      <c r="B4014" s="10"/>
      <c r="C4014" s="10"/>
      <c r="D4014" s="10"/>
      <c r="E4014" s="10"/>
      <c r="F4014" s="10"/>
      <c r="G4014" s="11"/>
      <c r="H4014" s="12"/>
      <c r="I4014" s="13"/>
      <c r="J4014" s="12"/>
      <c r="K4014" s="13"/>
      <c r="L4014" s="11"/>
      <c r="M4014" s="13"/>
      <c r="N4014" s="11"/>
      <c r="O4014" s="13"/>
      <c r="P4014" s="11"/>
      <c r="Q4014" s="13"/>
      <c r="R4014" s="10"/>
      <c r="S4014" s="10"/>
    </row>
    <row r="4015" spans="1:19" x14ac:dyDescent="0.25">
      <c r="A4015" t="str">
        <f t="shared" si="63"/>
        <v/>
      </c>
      <c r="B4015" s="10"/>
      <c r="C4015" s="10"/>
      <c r="D4015" s="10"/>
      <c r="E4015" s="10"/>
      <c r="F4015" s="10"/>
      <c r="G4015" s="11"/>
      <c r="H4015" s="12"/>
      <c r="I4015" s="13"/>
      <c r="J4015" s="12"/>
      <c r="K4015" s="13"/>
      <c r="L4015" s="11"/>
      <c r="M4015" s="13"/>
      <c r="N4015" s="11"/>
      <c r="O4015" s="13"/>
      <c r="P4015" s="11"/>
      <c r="Q4015" s="13"/>
      <c r="R4015" s="10"/>
      <c r="S4015" s="10"/>
    </row>
    <row r="4016" spans="1:19" x14ac:dyDescent="0.25">
      <c r="A4016" t="str">
        <f t="shared" si="63"/>
        <v/>
      </c>
      <c r="B4016" s="10"/>
      <c r="C4016" s="10"/>
      <c r="D4016" s="10"/>
      <c r="E4016" s="10"/>
      <c r="F4016" s="10"/>
      <c r="G4016" s="11"/>
      <c r="H4016" s="12"/>
      <c r="I4016" s="13"/>
      <c r="J4016" s="12"/>
      <c r="K4016" s="13"/>
      <c r="L4016" s="11"/>
      <c r="M4016" s="13"/>
      <c r="N4016" s="11"/>
      <c r="O4016" s="13"/>
      <c r="P4016" s="11"/>
      <c r="Q4016" s="13"/>
      <c r="R4016" s="10"/>
      <c r="S4016" s="10"/>
    </row>
    <row r="4017" spans="1:19" x14ac:dyDescent="0.25">
      <c r="A4017" t="str">
        <f t="shared" si="63"/>
        <v/>
      </c>
      <c r="B4017" s="10"/>
      <c r="C4017" s="10"/>
      <c r="D4017" s="10"/>
      <c r="E4017" s="10"/>
      <c r="F4017" s="10"/>
      <c r="G4017" s="11"/>
      <c r="H4017" s="12"/>
      <c r="I4017" s="13"/>
      <c r="J4017" s="12"/>
      <c r="K4017" s="13"/>
      <c r="L4017" s="11"/>
      <c r="M4017" s="13"/>
      <c r="N4017" s="11"/>
      <c r="O4017" s="13"/>
      <c r="P4017" s="11"/>
      <c r="Q4017" s="13"/>
      <c r="R4017" s="10"/>
      <c r="S4017" s="10"/>
    </row>
    <row r="4018" spans="1:19" x14ac:dyDescent="0.25">
      <c r="A4018" t="str">
        <f t="shared" si="63"/>
        <v/>
      </c>
      <c r="B4018" s="10"/>
      <c r="C4018" s="10"/>
      <c r="D4018" s="10"/>
      <c r="E4018" s="10"/>
      <c r="F4018" s="10"/>
      <c r="G4018" s="11"/>
      <c r="H4018" s="12"/>
      <c r="I4018" s="13"/>
      <c r="J4018" s="12"/>
      <c r="K4018" s="13"/>
      <c r="L4018" s="11"/>
      <c r="M4018" s="13"/>
      <c r="N4018" s="11"/>
      <c r="O4018" s="13"/>
      <c r="P4018" s="11"/>
      <c r="Q4018" s="13"/>
      <c r="R4018" s="10"/>
      <c r="S4018" s="10"/>
    </row>
    <row r="4019" spans="1:19" x14ac:dyDescent="0.25">
      <c r="A4019" t="str">
        <f t="shared" si="63"/>
        <v/>
      </c>
      <c r="B4019" s="10"/>
      <c r="C4019" s="10"/>
      <c r="D4019" s="10"/>
      <c r="E4019" s="10"/>
      <c r="F4019" s="10"/>
      <c r="G4019" s="11"/>
      <c r="H4019" s="12"/>
      <c r="I4019" s="13"/>
      <c r="J4019" s="12"/>
      <c r="K4019" s="13"/>
      <c r="L4019" s="11"/>
      <c r="M4019" s="13"/>
      <c r="N4019" s="11"/>
      <c r="O4019" s="13"/>
      <c r="P4019" s="11"/>
      <c r="Q4019" s="13"/>
      <c r="R4019" s="10"/>
      <c r="S4019" s="10"/>
    </row>
    <row r="4020" spans="1:19" x14ac:dyDescent="0.25">
      <c r="A4020" t="str">
        <f t="shared" si="63"/>
        <v/>
      </c>
      <c r="B4020" s="10"/>
      <c r="C4020" s="10"/>
      <c r="D4020" s="10"/>
      <c r="E4020" s="10"/>
      <c r="F4020" s="10"/>
      <c r="G4020" s="11"/>
      <c r="H4020" s="12"/>
      <c r="I4020" s="13"/>
      <c r="J4020" s="12"/>
      <c r="K4020" s="13"/>
      <c r="L4020" s="11"/>
      <c r="M4020" s="13"/>
      <c r="N4020" s="11"/>
      <c r="O4020" s="13"/>
      <c r="P4020" s="11"/>
      <c r="Q4020" s="13"/>
      <c r="R4020" s="10"/>
      <c r="S4020" s="10"/>
    </row>
    <row r="4021" spans="1:19" x14ac:dyDescent="0.25">
      <c r="A4021" t="str">
        <f t="shared" ref="A4021:A4084" si="64">B4019&amp;D4019</f>
        <v/>
      </c>
      <c r="B4021" s="10"/>
      <c r="C4021" s="10"/>
      <c r="D4021" s="10"/>
      <c r="E4021" s="10"/>
      <c r="F4021" s="10"/>
      <c r="G4021" s="11"/>
      <c r="H4021" s="12"/>
      <c r="I4021" s="13"/>
      <c r="J4021" s="12"/>
      <c r="K4021" s="13"/>
      <c r="L4021" s="11"/>
      <c r="M4021" s="13"/>
      <c r="N4021" s="11"/>
      <c r="O4021" s="13"/>
      <c r="P4021" s="11"/>
      <c r="Q4021" s="13"/>
      <c r="R4021" s="10"/>
      <c r="S4021" s="10"/>
    </row>
    <row r="4022" spans="1:19" x14ac:dyDescent="0.25">
      <c r="A4022" t="str">
        <f t="shared" si="64"/>
        <v/>
      </c>
      <c r="B4022" s="10"/>
      <c r="C4022" s="10"/>
      <c r="D4022" s="10"/>
      <c r="E4022" s="10"/>
      <c r="F4022" s="10"/>
      <c r="G4022" s="11"/>
      <c r="H4022" s="12"/>
      <c r="I4022" s="13"/>
      <c r="J4022" s="12"/>
      <c r="K4022" s="13"/>
      <c r="L4022" s="11"/>
      <c r="M4022" s="13"/>
      <c r="N4022" s="11"/>
      <c r="O4022" s="13"/>
      <c r="P4022" s="11"/>
      <c r="Q4022" s="13"/>
      <c r="R4022" s="10"/>
      <c r="S4022" s="10"/>
    </row>
    <row r="4023" spans="1:19" x14ac:dyDescent="0.25">
      <c r="A4023" t="str">
        <f t="shared" si="64"/>
        <v/>
      </c>
      <c r="B4023" s="10"/>
      <c r="C4023" s="10"/>
      <c r="D4023" s="10"/>
      <c r="E4023" s="10"/>
      <c r="F4023" s="10"/>
      <c r="G4023" s="11"/>
      <c r="H4023" s="12"/>
      <c r="I4023" s="13"/>
      <c r="J4023" s="12"/>
      <c r="K4023" s="13"/>
      <c r="L4023" s="11"/>
      <c r="M4023" s="13"/>
      <c r="N4023" s="11"/>
      <c r="O4023" s="13"/>
      <c r="P4023" s="11"/>
      <c r="Q4023" s="13"/>
      <c r="R4023" s="10"/>
      <c r="S4023" s="10"/>
    </row>
    <row r="4024" spans="1:19" x14ac:dyDescent="0.25">
      <c r="A4024" t="str">
        <f t="shared" si="64"/>
        <v/>
      </c>
      <c r="B4024" s="10"/>
      <c r="C4024" s="10"/>
      <c r="D4024" s="10"/>
      <c r="E4024" s="10"/>
      <c r="F4024" s="10"/>
      <c r="G4024" s="11"/>
      <c r="H4024" s="12"/>
      <c r="I4024" s="13"/>
      <c r="J4024" s="12"/>
      <c r="K4024" s="13"/>
      <c r="L4024" s="11"/>
      <c r="M4024" s="13"/>
      <c r="N4024" s="11"/>
      <c r="O4024" s="13"/>
      <c r="P4024" s="11"/>
      <c r="Q4024" s="13"/>
      <c r="R4024" s="10"/>
      <c r="S4024" s="10"/>
    </row>
    <row r="4025" spans="1:19" x14ac:dyDescent="0.25">
      <c r="A4025" t="str">
        <f t="shared" si="64"/>
        <v/>
      </c>
      <c r="B4025" s="10"/>
      <c r="C4025" s="10"/>
      <c r="D4025" s="10"/>
      <c r="E4025" s="10"/>
      <c r="F4025" s="10"/>
      <c r="G4025" s="11"/>
      <c r="H4025" s="12"/>
      <c r="I4025" s="13"/>
      <c r="J4025" s="12"/>
      <c r="K4025" s="13"/>
      <c r="L4025" s="11"/>
      <c r="M4025" s="13"/>
      <c r="N4025" s="11"/>
      <c r="O4025" s="13"/>
      <c r="P4025" s="11"/>
      <c r="Q4025" s="13"/>
      <c r="R4025" s="10"/>
      <c r="S4025" s="10"/>
    </row>
    <row r="4026" spans="1:19" x14ac:dyDescent="0.25">
      <c r="A4026" t="str">
        <f t="shared" si="64"/>
        <v/>
      </c>
      <c r="B4026" s="10"/>
      <c r="C4026" s="10"/>
      <c r="D4026" s="10"/>
      <c r="E4026" s="10"/>
      <c r="F4026" s="10"/>
      <c r="G4026" s="11"/>
      <c r="H4026" s="12"/>
      <c r="I4026" s="13"/>
      <c r="J4026" s="12"/>
      <c r="K4026" s="13"/>
      <c r="L4026" s="11"/>
      <c r="M4026" s="13"/>
      <c r="N4026" s="11"/>
      <c r="O4026" s="13"/>
      <c r="P4026" s="11"/>
      <c r="Q4026" s="13"/>
      <c r="R4026" s="10"/>
      <c r="S4026" s="10"/>
    </row>
    <row r="4027" spans="1:19" x14ac:dyDescent="0.25">
      <c r="A4027" t="str">
        <f t="shared" si="64"/>
        <v/>
      </c>
      <c r="B4027" s="10"/>
      <c r="C4027" s="10"/>
      <c r="D4027" s="10"/>
      <c r="E4027" s="10"/>
      <c r="F4027" s="10"/>
      <c r="G4027" s="11"/>
      <c r="H4027" s="12"/>
      <c r="I4027" s="13"/>
      <c r="J4027" s="12"/>
      <c r="K4027" s="13"/>
      <c r="L4027" s="11"/>
      <c r="M4027" s="13"/>
      <c r="N4027" s="11"/>
      <c r="O4027" s="13"/>
      <c r="P4027" s="11"/>
      <c r="Q4027" s="13"/>
      <c r="R4027" s="10"/>
      <c r="S4027" s="10"/>
    </row>
    <row r="4028" spans="1:19" x14ac:dyDescent="0.25">
      <c r="A4028" t="str">
        <f t="shared" si="64"/>
        <v/>
      </c>
      <c r="B4028" s="10"/>
      <c r="C4028" s="10"/>
      <c r="D4028" s="10"/>
      <c r="E4028" s="10"/>
      <c r="F4028" s="10"/>
      <c r="G4028" s="11"/>
      <c r="H4028" s="12"/>
      <c r="I4028" s="13"/>
      <c r="J4028" s="12"/>
      <c r="K4028" s="13"/>
      <c r="L4028" s="11"/>
      <c r="M4028" s="13"/>
      <c r="N4028" s="11"/>
      <c r="O4028" s="13"/>
      <c r="P4028" s="11"/>
      <c r="Q4028" s="13"/>
      <c r="R4028" s="10"/>
      <c r="S4028" s="10"/>
    </row>
    <row r="4029" spans="1:19" x14ac:dyDescent="0.25">
      <c r="A4029" t="str">
        <f t="shared" si="64"/>
        <v/>
      </c>
      <c r="B4029" s="10"/>
      <c r="C4029" s="10"/>
      <c r="D4029" s="10"/>
      <c r="E4029" s="10"/>
      <c r="F4029" s="10"/>
      <c r="G4029" s="11"/>
      <c r="H4029" s="12"/>
      <c r="I4029" s="13"/>
      <c r="J4029" s="12"/>
      <c r="K4029" s="13"/>
      <c r="L4029" s="11"/>
      <c r="M4029" s="13"/>
      <c r="N4029" s="11"/>
      <c r="O4029" s="13"/>
      <c r="P4029" s="11"/>
      <c r="Q4029" s="13"/>
      <c r="R4029" s="10"/>
      <c r="S4029" s="10"/>
    </row>
    <row r="4030" spans="1:19" x14ac:dyDescent="0.25">
      <c r="A4030" t="str">
        <f t="shared" si="64"/>
        <v/>
      </c>
      <c r="B4030" s="10"/>
      <c r="C4030" s="10"/>
      <c r="D4030" s="10"/>
      <c r="E4030" s="10"/>
      <c r="F4030" s="10"/>
      <c r="G4030" s="11"/>
      <c r="H4030" s="12"/>
      <c r="I4030" s="13"/>
      <c r="J4030" s="12"/>
      <c r="K4030" s="13"/>
      <c r="L4030" s="11"/>
      <c r="M4030" s="13"/>
      <c r="N4030" s="11"/>
      <c r="O4030" s="13"/>
      <c r="P4030" s="11"/>
      <c r="Q4030" s="13"/>
      <c r="R4030" s="10"/>
      <c r="S4030" s="10"/>
    </row>
    <row r="4031" spans="1:19" x14ac:dyDescent="0.25">
      <c r="A4031" t="str">
        <f t="shared" si="64"/>
        <v/>
      </c>
      <c r="B4031" s="10"/>
      <c r="C4031" s="10"/>
      <c r="D4031" s="10"/>
      <c r="E4031" s="10"/>
      <c r="F4031" s="10"/>
      <c r="G4031" s="11"/>
      <c r="H4031" s="12"/>
      <c r="I4031" s="13"/>
      <c r="J4031" s="12"/>
      <c r="K4031" s="13"/>
      <c r="L4031" s="11"/>
      <c r="M4031" s="13"/>
      <c r="N4031" s="11"/>
      <c r="O4031" s="13"/>
      <c r="P4031" s="11"/>
      <c r="Q4031" s="13"/>
      <c r="R4031" s="10"/>
      <c r="S4031" s="10"/>
    </row>
    <row r="4032" spans="1:19" x14ac:dyDescent="0.25">
      <c r="A4032" t="str">
        <f t="shared" si="64"/>
        <v/>
      </c>
      <c r="B4032" s="10"/>
      <c r="C4032" s="10"/>
      <c r="D4032" s="10"/>
      <c r="E4032" s="10"/>
      <c r="F4032" s="10"/>
      <c r="G4032" s="11"/>
      <c r="H4032" s="12"/>
      <c r="I4032" s="13"/>
      <c r="J4032" s="12"/>
      <c r="K4032" s="13"/>
      <c r="L4032" s="11"/>
      <c r="M4032" s="13"/>
      <c r="N4032" s="11"/>
      <c r="O4032" s="13"/>
      <c r="P4032" s="11"/>
      <c r="Q4032" s="13"/>
      <c r="R4032" s="10"/>
      <c r="S4032" s="10"/>
    </row>
    <row r="4033" spans="1:19" x14ac:dyDescent="0.25">
      <c r="A4033" t="str">
        <f t="shared" si="64"/>
        <v/>
      </c>
      <c r="B4033" s="10"/>
      <c r="C4033" s="10"/>
      <c r="D4033" s="10"/>
      <c r="E4033" s="10"/>
      <c r="F4033" s="10"/>
      <c r="G4033" s="11"/>
      <c r="H4033" s="12"/>
      <c r="I4033" s="13"/>
      <c r="J4033" s="12"/>
      <c r="K4033" s="13"/>
      <c r="L4033" s="11"/>
      <c r="M4033" s="13"/>
      <c r="N4033" s="11"/>
      <c r="O4033" s="13"/>
      <c r="P4033" s="11"/>
      <c r="Q4033" s="13"/>
      <c r="R4033" s="10"/>
      <c r="S4033" s="10"/>
    </row>
    <row r="4034" spans="1:19" x14ac:dyDescent="0.25">
      <c r="A4034" t="str">
        <f t="shared" si="64"/>
        <v/>
      </c>
      <c r="B4034" s="10"/>
      <c r="C4034" s="10"/>
      <c r="D4034" s="10"/>
      <c r="E4034" s="10"/>
      <c r="F4034" s="10"/>
      <c r="G4034" s="11"/>
      <c r="H4034" s="12"/>
      <c r="I4034" s="13"/>
      <c r="J4034" s="12"/>
      <c r="K4034" s="13"/>
      <c r="L4034" s="11"/>
      <c r="M4034" s="13"/>
      <c r="N4034" s="11"/>
      <c r="O4034" s="13"/>
      <c r="P4034" s="11"/>
      <c r="Q4034" s="13"/>
      <c r="R4034" s="10"/>
      <c r="S4034" s="10"/>
    </row>
    <row r="4035" spans="1:19" x14ac:dyDescent="0.25">
      <c r="A4035" t="str">
        <f t="shared" si="64"/>
        <v/>
      </c>
      <c r="B4035" s="10"/>
      <c r="C4035" s="10"/>
      <c r="D4035" s="10"/>
      <c r="E4035" s="10"/>
      <c r="F4035" s="10"/>
      <c r="G4035" s="11"/>
      <c r="H4035" s="12"/>
      <c r="I4035" s="13"/>
      <c r="J4035" s="12"/>
      <c r="K4035" s="13"/>
      <c r="L4035" s="11"/>
      <c r="M4035" s="13"/>
      <c r="N4035" s="11"/>
      <c r="O4035" s="13"/>
      <c r="P4035" s="11"/>
      <c r="Q4035" s="13"/>
      <c r="R4035" s="10"/>
      <c r="S4035" s="10"/>
    </row>
    <row r="4036" spans="1:19" x14ac:dyDescent="0.25">
      <c r="A4036" t="str">
        <f t="shared" si="64"/>
        <v/>
      </c>
      <c r="B4036" s="10"/>
      <c r="C4036" s="10"/>
      <c r="D4036" s="10"/>
      <c r="E4036" s="10"/>
      <c r="F4036" s="10"/>
      <c r="G4036" s="11"/>
      <c r="H4036" s="12"/>
      <c r="I4036" s="13"/>
      <c r="J4036" s="12"/>
      <c r="K4036" s="13"/>
      <c r="L4036" s="11"/>
      <c r="M4036" s="13"/>
      <c r="N4036" s="11"/>
      <c r="O4036" s="13"/>
      <c r="P4036" s="11"/>
      <c r="Q4036" s="13"/>
      <c r="R4036" s="10"/>
      <c r="S4036" s="10"/>
    </row>
    <row r="4037" spans="1:19" x14ac:dyDescent="0.25">
      <c r="A4037" t="str">
        <f t="shared" si="64"/>
        <v/>
      </c>
      <c r="B4037" s="10"/>
      <c r="C4037" s="10"/>
      <c r="D4037" s="10"/>
      <c r="E4037" s="10"/>
      <c r="F4037" s="10"/>
      <c r="G4037" s="11"/>
      <c r="H4037" s="12"/>
      <c r="I4037" s="13"/>
      <c r="J4037" s="12"/>
      <c r="K4037" s="13"/>
      <c r="L4037" s="11"/>
      <c r="M4037" s="13"/>
      <c r="N4037" s="11"/>
      <c r="O4037" s="13"/>
      <c r="P4037" s="11"/>
      <c r="Q4037" s="13"/>
      <c r="R4037" s="10"/>
      <c r="S4037" s="10"/>
    </row>
    <row r="4038" spans="1:19" x14ac:dyDescent="0.25">
      <c r="A4038" t="str">
        <f t="shared" si="64"/>
        <v/>
      </c>
      <c r="B4038" s="10"/>
      <c r="C4038" s="10"/>
      <c r="D4038" s="10"/>
      <c r="E4038" s="10"/>
      <c r="F4038" s="10"/>
      <c r="G4038" s="11"/>
      <c r="H4038" s="12"/>
      <c r="I4038" s="13"/>
      <c r="J4038" s="12"/>
      <c r="K4038" s="13"/>
      <c r="L4038" s="11"/>
      <c r="M4038" s="13"/>
      <c r="N4038" s="11"/>
      <c r="O4038" s="13"/>
      <c r="P4038" s="11"/>
      <c r="Q4038" s="13"/>
      <c r="R4038" s="10"/>
      <c r="S4038" s="10"/>
    </row>
    <row r="4039" spans="1:19" x14ac:dyDescent="0.25">
      <c r="A4039" t="str">
        <f t="shared" si="64"/>
        <v/>
      </c>
      <c r="B4039" s="10"/>
      <c r="C4039" s="10"/>
      <c r="D4039" s="10"/>
      <c r="E4039" s="10"/>
      <c r="F4039" s="10"/>
      <c r="G4039" s="11"/>
      <c r="H4039" s="12"/>
      <c r="I4039" s="13"/>
      <c r="J4039" s="12"/>
      <c r="K4039" s="13"/>
      <c r="L4039" s="11"/>
      <c r="M4039" s="13"/>
      <c r="N4039" s="11"/>
      <c r="O4039" s="13"/>
      <c r="P4039" s="11"/>
      <c r="Q4039" s="13"/>
      <c r="R4039" s="10"/>
      <c r="S4039" s="10"/>
    </row>
    <row r="4040" spans="1:19" x14ac:dyDescent="0.25">
      <c r="A4040" t="str">
        <f t="shared" si="64"/>
        <v/>
      </c>
      <c r="B4040" s="10"/>
      <c r="C4040" s="10"/>
      <c r="D4040" s="10"/>
      <c r="E4040" s="10"/>
      <c r="F4040" s="10"/>
      <c r="G4040" s="11"/>
      <c r="H4040" s="12"/>
      <c r="I4040" s="13"/>
      <c r="J4040" s="12"/>
      <c r="K4040" s="13"/>
      <c r="L4040" s="11"/>
      <c r="M4040" s="13"/>
      <c r="N4040" s="11"/>
      <c r="O4040" s="13"/>
      <c r="P4040" s="11"/>
      <c r="Q4040" s="13"/>
      <c r="R4040" s="10"/>
      <c r="S4040" s="10"/>
    </row>
    <row r="4041" spans="1:19" x14ac:dyDescent="0.25">
      <c r="A4041" t="str">
        <f t="shared" si="64"/>
        <v/>
      </c>
      <c r="B4041" s="10"/>
      <c r="C4041" s="10"/>
      <c r="D4041" s="10"/>
      <c r="E4041" s="10"/>
      <c r="F4041" s="10"/>
      <c r="G4041" s="11"/>
      <c r="H4041" s="12"/>
      <c r="I4041" s="13"/>
      <c r="J4041" s="12"/>
      <c r="K4041" s="13"/>
      <c r="L4041" s="11"/>
      <c r="M4041" s="13"/>
      <c r="N4041" s="11"/>
      <c r="O4041" s="13"/>
      <c r="P4041" s="11"/>
      <c r="Q4041" s="13"/>
      <c r="R4041" s="10"/>
      <c r="S4041" s="10"/>
    </row>
    <row r="4042" spans="1:19" x14ac:dyDescent="0.25">
      <c r="A4042" t="str">
        <f t="shared" si="64"/>
        <v/>
      </c>
      <c r="B4042" s="10"/>
      <c r="C4042" s="10"/>
      <c r="D4042" s="10"/>
      <c r="E4042" s="10"/>
      <c r="F4042" s="10"/>
      <c r="G4042" s="11"/>
      <c r="H4042" s="12"/>
      <c r="I4042" s="13"/>
      <c r="J4042" s="12"/>
      <c r="K4042" s="13"/>
      <c r="L4042" s="11"/>
      <c r="M4042" s="13"/>
      <c r="N4042" s="11"/>
      <c r="O4042" s="13"/>
      <c r="P4042" s="11"/>
      <c r="Q4042" s="13"/>
      <c r="R4042" s="10"/>
      <c r="S4042" s="10"/>
    </row>
    <row r="4043" spans="1:19" x14ac:dyDescent="0.25">
      <c r="A4043" t="str">
        <f t="shared" si="64"/>
        <v/>
      </c>
      <c r="B4043" s="10"/>
      <c r="C4043" s="10"/>
      <c r="D4043" s="10"/>
      <c r="E4043" s="10"/>
      <c r="F4043" s="10"/>
      <c r="G4043" s="11"/>
      <c r="H4043" s="12"/>
      <c r="I4043" s="13"/>
      <c r="J4043" s="12"/>
      <c r="K4043" s="13"/>
      <c r="L4043" s="11"/>
      <c r="M4043" s="13"/>
      <c r="N4043" s="11"/>
      <c r="O4043" s="13"/>
      <c r="P4043" s="11"/>
      <c r="Q4043" s="13"/>
      <c r="R4043" s="10"/>
      <c r="S4043" s="10"/>
    </row>
    <row r="4044" spans="1:19" x14ac:dyDescent="0.25">
      <c r="A4044" t="str">
        <f t="shared" si="64"/>
        <v/>
      </c>
      <c r="B4044" s="10"/>
      <c r="C4044" s="10"/>
      <c r="D4044" s="10"/>
      <c r="E4044" s="10"/>
      <c r="F4044" s="10"/>
      <c r="G4044" s="11"/>
      <c r="H4044" s="12"/>
      <c r="I4044" s="13"/>
      <c r="J4044" s="12"/>
      <c r="K4044" s="13"/>
      <c r="L4044" s="11"/>
      <c r="M4044" s="13"/>
      <c r="N4044" s="11"/>
      <c r="O4044" s="13"/>
      <c r="P4044" s="11"/>
      <c r="Q4044" s="13"/>
      <c r="R4044" s="10"/>
      <c r="S4044" s="10"/>
    </row>
    <row r="4045" spans="1:19" x14ac:dyDescent="0.25">
      <c r="A4045" t="str">
        <f t="shared" si="64"/>
        <v/>
      </c>
      <c r="B4045" s="10"/>
      <c r="C4045" s="10"/>
      <c r="D4045" s="10"/>
      <c r="E4045" s="10"/>
      <c r="F4045" s="10"/>
      <c r="G4045" s="11"/>
      <c r="H4045" s="12"/>
      <c r="I4045" s="13"/>
      <c r="J4045" s="12"/>
      <c r="K4045" s="13"/>
      <c r="L4045" s="11"/>
      <c r="M4045" s="13"/>
      <c r="N4045" s="11"/>
      <c r="O4045" s="13"/>
      <c r="P4045" s="11"/>
      <c r="Q4045" s="13"/>
      <c r="R4045" s="10"/>
      <c r="S4045" s="10"/>
    </row>
    <row r="4046" spans="1:19" x14ac:dyDescent="0.25">
      <c r="A4046" t="str">
        <f t="shared" si="64"/>
        <v/>
      </c>
      <c r="B4046" s="10"/>
      <c r="C4046" s="10"/>
      <c r="D4046" s="10"/>
      <c r="E4046" s="10"/>
      <c r="F4046" s="10"/>
      <c r="G4046" s="11"/>
      <c r="H4046" s="12"/>
      <c r="I4046" s="13"/>
      <c r="J4046" s="12"/>
      <c r="K4046" s="13"/>
      <c r="L4046" s="11"/>
      <c r="M4046" s="13"/>
      <c r="N4046" s="11"/>
      <c r="O4046" s="13"/>
      <c r="P4046" s="11"/>
      <c r="Q4046" s="13"/>
      <c r="R4046" s="10"/>
      <c r="S4046" s="10"/>
    </row>
    <row r="4047" spans="1:19" x14ac:dyDescent="0.25">
      <c r="A4047" t="str">
        <f t="shared" si="64"/>
        <v/>
      </c>
      <c r="B4047" s="10"/>
      <c r="C4047" s="10"/>
      <c r="D4047" s="10"/>
      <c r="E4047" s="10"/>
      <c r="F4047" s="10"/>
      <c r="G4047" s="11"/>
      <c r="H4047" s="12"/>
      <c r="I4047" s="13"/>
      <c r="J4047" s="12"/>
      <c r="K4047" s="13"/>
      <c r="L4047" s="11"/>
      <c r="M4047" s="13"/>
      <c r="N4047" s="11"/>
      <c r="O4047" s="13"/>
      <c r="P4047" s="11"/>
      <c r="Q4047" s="13"/>
      <c r="R4047" s="10"/>
      <c r="S4047" s="10"/>
    </row>
    <row r="4048" spans="1:19" x14ac:dyDescent="0.25">
      <c r="A4048" t="str">
        <f t="shared" si="64"/>
        <v/>
      </c>
      <c r="B4048" s="10"/>
      <c r="C4048" s="10"/>
      <c r="D4048" s="10"/>
      <c r="E4048" s="10"/>
      <c r="F4048" s="10"/>
      <c r="G4048" s="11"/>
      <c r="H4048" s="12"/>
      <c r="I4048" s="13"/>
      <c r="J4048" s="12"/>
      <c r="K4048" s="13"/>
      <c r="L4048" s="11"/>
      <c r="M4048" s="13"/>
      <c r="N4048" s="11"/>
      <c r="O4048" s="13"/>
      <c r="P4048" s="11"/>
      <c r="Q4048" s="13"/>
      <c r="R4048" s="10"/>
      <c r="S4048" s="10"/>
    </row>
    <row r="4049" spans="1:19" x14ac:dyDescent="0.25">
      <c r="A4049" t="str">
        <f t="shared" si="64"/>
        <v/>
      </c>
      <c r="B4049" s="10"/>
      <c r="C4049" s="10"/>
      <c r="D4049" s="10"/>
      <c r="E4049" s="10"/>
      <c r="F4049" s="10"/>
      <c r="G4049" s="11"/>
      <c r="H4049" s="12"/>
      <c r="I4049" s="13"/>
      <c r="J4049" s="12"/>
      <c r="K4049" s="13"/>
      <c r="L4049" s="11"/>
      <c r="M4049" s="13"/>
      <c r="N4049" s="11"/>
      <c r="O4049" s="13"/>
      <c r="P4049" s="11"/>
      <c r="Q4049" s="13"/>
      <c r="R4049" s="10"/>
      <c r="S4049" s="10"/>
    </row>
    <row r="4050" spans="1:19" x14ac:dyDescent="0.25">
      <c r="A4050" t="str">
        <f t="shared" si="64"/>
        <v/>
      </c>
      <c r="B4050" s="10"/>
      <c r="C4050" s="10"/>
      <c r="D4050" s="10"/>
      <c r="E4050" s="10"/>
      <c r="F4050" s="10"/>
      <c r="G4050" s="11"/>
      <c r="H4050" s="12"/>
      <c r="I4050" s="13"/>
      <c r="J4050" s="12"/>
      <c r="K4050" s="13"/>
      <c r="L4050" s="11"/>
      <c r="M4050" s="13"/>
      <c r="N4050" s="11"/>
      <c r="O4050" s="13"/>
      <c r="P4050" s="11"/>
      <c r="Q4050" s="13"/>
      <c r="R4050" s="10"/>
      <c r="S4050" s="10"/>
    </row>
    <row r="4051" spans="1:19" x14ac:dyDescent="0.25">
      <c r="A4051" t="str">
        <f t="shared" si="64"/>
        <v/>
      </c>
      <c r="B4051" s="10"/>
      <c r="C4051" s="10"/>
      <c r="D4051" s="10"/>
      <c r="E4051" s="10"/>
      <c r="F4051" s="10"/>
      <c r="G4051" s="11"/>
      <c r="H4051" s="12"/>
      <c r="I4051" s="13"/>
      <c r="J4051" s="12"/>
      <c r="K4051" s="13"/>
      <c r="L4051" s="11"/>
      <c r="M4051" s="13"/>
      <c r="N4051" s="11"/>
      <c r="O4051" s="13"/>
      <c r="P4051" s="11"/>
      <c r="Q4051" s="13"/>
      <c r="R4051" s="10"/>
      <c r="S4051" s="10"/>
    </row>
    <row r="4052" spans="1:19" x14ac:dyDescent="0.25">
      <c r="A4052" t="str">
        <f t="shared" si="64"/>
        <v/>
      </c>
      <c r="B4052" s="10"/>
      <c r="C4052" s="10"/>
      <c r="D4052" s="10"/>
      <c r="E4052" s="10"/>
      <c r="F4052" s="10"/>
      <c r="G4052" s="11"/>
      <c r="H4052" s="12"/>
      <c r="I4052" s="13"/>
      <c r="J4052" s="12"/>
      <c r="K4052" s="13"/>
      <c r="L4052" s="11"/>
      <c r="M4052" s="13"/>
      <c r="N4052" s="11"/>
      <c r="O4052" s="13"/>
      <c r="P4052" s="11"/>
      <c r="Q4052" s="13"/>
      <c r="R4052" s="10"/>
      <c r="S4052" s="10"/>
    </row>
    <row r="4053" spans="1:19" x14ac:dyDescent="0.25">
      <c r="A4053" t="str">
        <f t="shared" si="64"/>
        <v/>
      </c>
      <c r="B4053" s="10"/>
      <c r="C4053" s="10"/>
      <c r="D4053" s="10"/>
      <c r="E4053" s="10"/>
      <c r="F4053" s="10"/>
      <c r="G4053" s="11"/>
      <c r="H4053" s="12"/>
      <c r="I4053" s="13"/>
      <c r="J4053" s="12"/>
      <c r="K4053" s="13"/>
      <c r="L4053" s="11"/>
      <c r="M4053" s="13"/>
      <c r="N4053" s="11"/>
      <c r="O4053" s="13"/>
      <c r="P4053" s="11"/>
      <c r="Q4053" s="13"/>
      <c r="R4053" s="10"/>
      <c r="S4053" s="10"/>
    </row>
    <row r="4054" spans="1:19" x14ac:dyDescent="0.25">
      <c r="A4054" t="str">
        <f t="shared" si="64"/>
        <v/>
      </c>
      <c r="B4054" s="10"/>
      <c r="C4054" s="10"/>
      <c r="D4054" s="10"/>
      <c r="E4054" s="10"/>
      <c r="F4054" s="10"/>
      <c r="G4054" s="11"/>
      <c r="H4054" s="12"/>
      <c r="I4054" s="13"/>
      <c r="J4054" s="12"/>
      <c r="K4054" s="13"/>
      <c r="L4054" s="11"/>
      <c r="M4054" s="13"/>
      <c r="N4054" s="11"/>
      <c r="O4054" s="13"/>
      <c r="P4054" s="11"/>
      <c r="Q4054" s="13"/>
      <c r="R4054" s="10"/>
      <c r="S4054" s="10"/>
    </row>
    <row r="4055" spans="1:19" x14ac:dyDescent="0.25">
      <c r="A4055" t="str">
        <f t="shared" si="64"/>
        <v/>
      </c>
      <c r="B4055" s="10"/>
      <c r="C4055" s="10"/>
      <c r="D4055" s="10"/>
      <c r="E4055" s="10"/>
      <c r="F4055" s="10"/>
      <c r="G4055" s="11"/>
      <c r="H4055" s="12"/>
      <c r="I4055" s="13"/>
      <c r="J4055" s="12"/>
      <c r="K4055" s="13"/>
      <c r="L4055" s="11"/>
      <c r="M4055" s="13"/>
      <c r="N4055" s="11"/>
      <c r="O4055" s="13"/>
      <c r="P4055" s="11"/>
      <c r="Q4055" s="13"/>
      <c r="R4055" s="10"/>
      <c r="S4055" s="10"/>
    </row>
    <row r="4056" spans="1:19" x14ac:dyDescent="0.25">
      <c r="A4056" t="str">
        <f t="shared" si="64"/>
        <v/>
      </c>
      <c r="B4056" s="10"/>
      <c r="C4056" s="10"/>
      <c r="D4056" s="10"/>
      <c r="E4056" s="10"/>
      <c r="F4056" s="10"/>
      <c r="G4056" s="11"/>
      <c r="H4056" s="12"/>
      <c r="I4056" s="13"/>
      <c r="J4056" s="12"/>
      <c r="K4056" s="13"/>
      <c r="L4056" s="11"/>
      <c r="M4056" s="13"/>
      <c r="N4056" s="11"/>
      <c r="O4056" s="13"/>
      <c r="P4056" s="11"/>
      <c r="Q4056" s="13"/>
      <c r="R4056" s="10"/>
      <c r="S4056" s="10"/>
    </row>
    <row r="4057" spans="1:19" x14ac:dyDescent="0.25">
      <c r="A4057" t="str">
        <f t="shared" si="64"/>
        <v/>
      </c>
      <c r="B4057" s="10"/>
      <c r="C4057" s="10"/>
      <c r="D4057" s="10"/>
      <c r="E4057" s="10"/>
      <c r="F4057" s="10"/>
      <c r="G4057" s="11"/>
      <c r="H4057" s="12"/>
      <c r="I4057" s="13"/>
      <c r="J4057" s="12"/>
      <c r="K4057" s="13"/>
      <c r="L4057" s="11"/>
      <c r="M4057" s="13"/>
      <c r="N4057" s="11"/>
      <c r="O4057" s="13"/>
      <c r="P4057" s="11"/>
      <c r="Q4057" s="13"/>
      <c r="R4057" s="10"/>
      <c r="S4057" s="10"/>
    </row>
    <row r="4058" spans="1:19" x14ac:dyDescent="0.25">
      <c r="A4058" t="str">
        <f t="shared" si="64"/>
        <v/>
      </c>
      <c r="B4058" s="10"/>
      <c r="C4058" s="10"/>
      <c r="D4058" s="10"/>
      <c r="E4058" s="10"/>
      <c r="F4058" s="10"/>
      <c r="G4058" s="11"/>
      <c r="H4058" s="12"/>
      <c r="I4058" s="13"/>
      <c r="J4058" s="12"/>
      <c r="K4058" s="13"/>
      <c r="L4058" s="11"/>
      <c r="M4058" s="13"/>
      <c r="N4058" s="11"/>
      <c r="O4058" s="13"/>
      <c r="P4058" s="11"/>
      <c r="Q4058" s="13"/>
      <c r="R4058" s="10"/>
      <c r="S4058" s="10"/>
    </row>
    <row r="4059" spans="1:19" x14ac:dyDescent="0.25">
      <c r="A4059" t="str">
        <f t="shared" si="64"/>
        <v/>
      </c>
      <c r="B4059" s="10"/>
      <c r="C4059" s="10"/>
      <c r="D4059" s="10"/>
      <c r="E4059" s="10"/>
      <c r="F4059" s="10"/>
      <c r="G4059" s="11"/>
      <c r="H4059" s="12"/>
      <c r="I4059" s="13"/>
      <c r="J4059" s="12"/>
      <c r="K4059" s="13"/>
      <c r="L4059" s="11"/>
      <c r="M4059" s="13"/>
      <c r="N4059" s="11"/>
      <c r="O4059" s="13"/>
      <c r="P4059" s="11"/>
      <c r="Q4059" s="13"/>
      <c r="R4059" s="10"/>
      <c r="S4059" s="10"/>
    </row>
    <row r="4060" spans="1:19" x14ac:dyDescent="0.25">
      <c r="A4060" t="str">
        <f t="shared" si="64"/>
        <v/>
      </c>
      <c r="B4060" s="10"/>
      <c r="C4060" s="10"/>
      <c r="D4060" s="10"/>
      <c r="E4060" s="10"/>
      <c r="F4060" s="10"/>
      <c r="G4060" s="11"/>
      <c r="H4060" s="12"/>
      <c r="I4060" s="13"/>
      <c r="J4060" s="12"/>
      <c r="K4060" s="13"/>
      <c r="L4060" s="11"/>
      <c r="M4060" s="13"/>
      <c r="N4060" s="11"/>
      <c r="O4060" s="13"/>
      <c r="P4060" s="11"/>
      <c r="Q4060" s="13"/>
      <c r="R4060" s="10"/>
      <c r="S4060" s="10"/>
    </row>
    <row r="4061" spans="1:19" x14ac:dyDescent="0.25">
      <c r="A4061" t="str">
        <f t="shared" si="64"/>
        <v/>
      </c>
      <c r="B4061" s="10"/>
      <c r="C4061" s="10"/>
      <c r="D4061" s="10"/>
      <c r="E4061" s="10"/>
      <c r="F4061" s="10"/>
      <c r="G4061" s="11"/>
      <c r="H4061" s="12"/>
      <c r="I4061" s="13"/>
      <c r="J4061" s="12"/>
      <c r="K4061" s="13"/>
      <c r="L4061" s="11"/>
      <c r="M4061" s="13"/>
      <c r="N4061" s="11"/>
      <c r="O4061" s="13"/>
      <c r="P4061" s="11"/>
      <c r="Q4061" s="13"/>
      <c r="R4061" s="10"/>
      <c r="S4061" s="10"/>
    </row>
    <row r="4062" spans="1:19" x14ac:dyDescent="0.25">
      <c r="A4062" t="str">
        <f t="shared" si="64"/>
        <v/>
      </c>
      <c r="B4062" s="10"/>
      <c r="C4062" s="10"/>
      <c r="D4062" s="10"/>
      <c r="E4062" s="10"/>
      <c r="F4062" s="10"/>
      <c r="G4062" s="11"/>
      <c r="H4062" s="12"/>
      <c r="I4062" s="13"/>
      <c r="J4062" s="12"/>
      <c r="K4062" s="13"/>
      <c r="L4062" s="11"/>
      <c r="M4062" s="13"/>
      <c r="N4062" s="11"/>
      <c r="O4062" s="13"/>
      <c r="P4062" s="11"/>
      <c r="Q4062" s="13"/>
      <c r="R4062" s="10"/>
      <c r="S4062" s="10"/>
    </row>
    <row r="4063" spans="1:19" x14ac:dyDescent="0.25">
      <c r="A4063" t="str">
        <f t="shared" si="64"/>
        <v/>
      </c>
      <c r="B4063" s="10"/>
      <c r="C4063" s="10"/>
      <c r="D4063" s="10"/>
      <c r="E4063" s="10"/>
      <c r="F4063" s="10"/>
      <c r="G4063" s="11"/>
      <c r="H4063" s="12"/>
      <c r="I4063" s="13"/>
      <c r="J4063" s="12"/>
      <c r="K4063" s="13"/>
      <c r="L4063" s="11"/>
      <c r="M4063" s="13"/>
      <c r="N4063" s="11"/>
      <c r="O4063" s="13"/>
      <c r="P4063" s="11"/>
      <c r="Q4063" s="13"/>
      <c r="R4063" s="10"/>
      <c r="S4063" s="10"/>
    </row>
    <row r="4064" spans="1:19" x14ac:dyDescent="0.25">
      <c r="A4064" t="str">
        <f t="shared" si="64"/>
        <v/>
      </c>
      <c r="B4064" s="10"/>
      <c r="C4064" s="10"/>
      <c r="D4064" s="10"/>
      <c r="E4064" s="10"/>
      <c r="F4064" s="10"/>
      <c r="G4064" s="11"/>
      <c r="H4064" s="12"/>
      <c r="I4064" s="13"/>
      <c r="J4064" s="12"/>
      <c r="K4064" s="13"/>
      <c r="L4064" s="11"/>
      <c r="M4064" s="13"/>
      <c r="N4064" s="11"/>
      <c r="O4064" s="13"/>
      <c r="P4064" s="11"/>
      <c r="Q4064" s="13"/>
      <c r="R4064" s="10"/>
      <c r="S4064" s="10"/>
    </row>
    <row r="4065" spans="1:19" x14ac:dyDescent="0.25">
      <c r="A4065" t="str">
        <f t="shared" si="64"/>
        <v/>
      </c>
      <c r="B4065" s="10"/>
      <c r="C4065" s="10"/>
      <c r="D4065" s="10"/>
      <c r="E4065" s="10"/>
      <c r="F4065" s="10"/>
      <c r="G4065" s="11"/>
      <c r="H4065" s="12"/>
      <c r="I4065" s="13"/>
      <c r="J4065" s="12"/>
      <c r="K4065" s="13"/>
      <c r="L4065" s="11"/>
      <c r="M4065" s="13"/>
      <c r="N4065" s="11"/>
      <c r="O4065" s="13"/>
      <c r="P4065" s="11"/>
      <c r="Q4065" s="13"/>
      <c r="R4065" s="10"/>
      <c r="S4065" s="10"/>
    </row>
    <row r="4066" spans="1:19" x14ac:dyDescent="0.25">
      <c r="A4066" t="str">
        <f t="shared" si="64"/>
        <v/>
      </c>
      <c r="B4066" s="10"/>
      <c r="C4066" s="10"/>
      <c r="D4066" s="10"/>
      <c r="E4066" s="10"/>
      <c r="F4066" s="10"/>
      <c r="G4066" s="11"/>
      <c r="H4066" s="12"/>
      <c r="I4066" s="13"/>
      <c r="J4066" s="12"/>
      <c r="K4066" s="13"/>
      <c r="L4066" s="11"/>
      <c r="M4066" s="13"/>
      <c r="N4066" s="11"/>
      <c r="O4066" s="13"/>
      <c r="P4066" s="11"/>
      <c r="Q4066" s="13"/>
      <c r="R4066" s="10"/>
      <c r="S4066" s="10"/>
    </row>
    <row r="4067" spans="1:19" x14ac:dyDescent="0.25">
      <c r="A4067" t="str">
        <f t="shared" si="64"/>
        <v/>
      </c>
      <c r="B4067" s="10"/>
      <c r="C4067" s="10"/>
      <c r="D4067" s="10"/>
      <c r="E4067" s="10"/>
      <c r="F4067" s="10"/>
      <c r="G4067" s="11"/>
      <c r="H4067" s="12"/>
      <c r="I4067" s="13"/>
      <c r="J4067" s="12"/>
      <c r="K4067" s="13"/>
      <c r="L4067" s="11"/>
      <c r="M4067" s="13"/>
      <c r="N4067" s="11"/>
      <c r="O4067" s="13"/>
      <c r="P4067" s="11"/>
      <c r="Q4067" s="13"/>
      <c r="R4067" s="10"/>
      <c r="S4067" s="10"/>
    </row>
    <row r="4068" spans="1:19" x14ac:dyDescent="0.25">
      <c r="A4068" t="str">
        <f t="shared" si="64"/>
        <v/>
      </c>
      <c r="B4068" s="10"/>
      <c r="C4068" s="10"/>
      <c r="D4068" s="10"/>
      <c r="E4068" s="10"/>
      <c r="F4068" s="10"/>
      <c r="G4068" s="11"/>
      <c r="H4068" s="12"/>
      <c r="I4068" s="13"/>
      <c r="J4068" s="12"/>
      <c r="K4068" s="13"/>
      <c r="L4068" s="11"/>
      <c r="M4068" s="13"/>
      <c r="N4068" s="11"/>
      <c r="O4068" s="13"/>
      <c r="P4068" s="11"/>
      <c r="Q4068" s="13"/>
      <c r="R4068" s="10"/>
      <c r="S4068" s="10"/>
    </row>
    <row r="4069" spans="1:19" x14ac:dyDescent="0.25">
      <c r="A4069" t="str">
        <f t="shared" si="64"/>
        <v/>
      </c>
      <c r="B4069" s="10"/>
      <c r="C4069" s="10"/>
      <c r="D4069" s="10"/>
      <c r="E4069" s="10"/>
      <c r="F4069" s="10"/>
      <c r="G4069" s="11"/>
      <c r="H4069" s="12"/>
      <c r="I4069" s="13"/>
      <c r="J4069" s="12"/>
      <c r="K4069" s="13"/>
      <c r="L4069" s="11"/>
      <c r="M4069" s="13"/>
      <c r="N4069" s="11"/>
      <c r="O4069" s="13"/>
      <c r="P4069" s="11"/>
      <c r="Q4069" s="13"/>
      <c r="R4069" s="10"/>
      <c r="S4069" s="10"/>
    </row>
    <row r="4070" spans="1:19" x14ac:dyDescent="0.25">
      <c r="A4070" t="str">
        <f t="shared" si="64"/>
        <v/>
      </c>
      <c r="B4070" s="10"/>
      <c r="C4070" s="10"/>
      <c r="D4070" s="10"/>
      <c r="E4070" s="10"/>
      <c r="F4070" s="10"/>
      <c r="G4070" s="11"/>
      <c r="H4070" s="12"/>
      <c r="I4070" s="13"/>
      <c r="J4070" s="12"/>
      <c r="K4070" s="13"/>
      <c r="L4070" s="11"/>
      <c r="M4070" s="13"/>
      <c r="N4070" s="11"/>
      <c r="O4070" s="13"/>
      <c r="P4070" s="11"/>
      <c r="Q4070" s="13"/>
      <c r="R4070" s="10"/>
      <c r="S4070" s="10"/>
    </row>
    <row r="4071" spans="1:19" x14ac:dyDescent="0.25">
      <c r="A4071" t="str">
        <f t="shared" si="64"/>
        <v/>
      </c>
      <c r="B4071" s="10"/>
      <c r="C4071" s="10"/>
      <c r="D4071" s="10"/>
      <c r="E4071" s="10"/>
      <c r="F4071" s="10"/>
      <c r="G4071" s="11"/>
      <c r="H4071" s="12"/>
      <c r="I4071" s="13"/>
      <c r="J4071" s="12"/>
      <c r="K4071" s="13"/>
      <c r="L4071" s="11"/>
      <c r="M4071" s="13"/>
      <c r="N4071" s="11"/>
      <c r="O4071" s="13"/>
      <c r="P4071" s="11"/>
      <c r="Q4071" s="13"/>
      <c r="R4071" s="10"/>
      <c r="S4071" s="10"/>
    </row>
    <row r="4072" spans="1:19" x14ac:dyDescent="0.25">
      <c r="A4072" t="str">
        <f t="shared" si="64"/>
        <v/>
      </c>
      <c r="B4072" s="10"/>
      <c r="C4072" s="10"/>
      <c r="D4072" s="10"/>
      <c r="E4072" s="10"/>
      <c r="F4072" s="10"/>
      <c r="G4072" s="11"/>
      <c r="H4072" s="12"/>
      <c r="I4072" s="13"/>
      <c r="J4072" s="12"/>
      <c r="K4072" s="13"/>
      <c r="L4072" s="11"/>
      <c r="M4072" s="13"/>
      <c r="N4072" s="11"/>
      <c r="O4072" s="13"/>
      <c r="P4072" s="11"/>
      <c r="Q4072" s="13"/>
      <c r="R4072" s="10"/>
      <c r="S4072" s="10"/>
    </row>
    <row r="4073" spans="1:19" x14ac:dyDescent="0.25">
      <c r="A4073" t="str">
        <f t="shared" si="64"/>
        <v/>
      </c>
      <c r="B4073" s="10"/>
      <c r="C4073" s="10"/>
      <c r="D4073" s="10"/>
      <c r="E4073" s="10"/>
      <c r="F4073" s="10"/>
      <c r="G4073" s="11"/>
      <c r="H4073" s="12"/>
      <c r="I4073" s="13"/>
      <c r="J4073" s="12"/>
      <c r="K4073" s="13"/>
      <c r="L4073" s="11"/>
      <c r="M4073" s="13"/>
      <c r="N4073" s="11"/>
      <c r="O4073" s="13"/>
      <c r="P4073" s="11"/>
      <c r="Q4073" s="13"/>
      <c r="R4073" s="10"/>
      <c r="S4073" s="10"/>
    </row>
    <row r="4074" spans="1:19" x14ac:dyDescent="0.25">
      <c r="A4074" t="str">
        <f t="shared" si="64"/>
        <v/>
      </c>
      <c r="B4074" s="10"/>
      <c r="C4074" s="10"/>
      <c r="D4074" s="10"/>
      <c r="E4074" s="10"/>
      <c r="F4074" s="10"/>
      <c r="G4074" s="11"/>
      <c r="H4074" s="12"/>
      <c r="I4074" s="13"/>
      <c r="J4074" s="12"/>
      <c r="K4074" s="13"/>
      <c r="L4074" s="11"/>
      <c r="M4074" s="13"/>
      <c r="N4074" s="11"/>
      <c r="O4074" s="13"/>
      <c r="P4074" s="11"/>
      <c r="Q4074" s="13"/>
      <c r="R4074" s="10"/>
      <c r="S4074" s="10"/>
    </row>
    <row r="4075" spans="1:19" x14ac:dyDescent="0.25">
      <c r="A4075" t="str">
        <f t="shared" si="64"/>
        <v/>
      </c>
      <c r="B4075" s="10"/>
      <c r="C4075" s="10"/>
      <c r="D4075" s="10"/>
      <c r="E4075" s="10"/>
      <c r="F4075" s="10"/>
      <c r="G4075" s="11"/>
      <c r="H4075" s="12"/>
      <c r="I4075" s="13"/>
      <c r="J4075" s="12"/>
      <c r="K4075" s="13"/>
      <c r="L4075" s="11"/>
      <c r="M4075" s="13"/>
      <c r="N4075" s="11"/>
      <c r="O4075" s="13"/>
      <c r="P4075" s="11"/>
      <c r="Q4075" s="13"/>
      <c r="R4075" s="10"/>
      <c r="S4075" s="10"/>
    </row>
    <row r="4076" spans="1:19" x14ac:dyDescent="0.25">
      <c r="A4076" t="str">
        <f t="shared" si="64"/>
        <v/>
      </c>
      <c r="B4076" s="10"/>
      <c r="C4076" s="10"/>
      <c r="D4076" s="10"/>
      <c r="E4076" s="10"/>
      <c r="F4076" s="10"/>
      <c r="G4076" s="11"/>
      <c r="H4076" s="12"/>
      <c r="I4076" s="13"/>
      <c r="J4076" s="12"/>
      <c r="K4076" s="13"/>
      <c r="L4076" s="11"/>
      <c r="M4076" s="13"/>
      <c r="N4076" s="11"/>
      <c r="O4076" s="13"/>
      <c r="P4076" s="11"/>
      <c r="Q4076" s="13"/>
      <c r="R4076" s="10"/>
      <c r="S4076" s="10"/>
    </row>
    <row r="4077" spans="1:19" x14ac:dyDescent="0.25">
      <c r="A4077" t="str">
        <f t="shared" si="64"/>
        <v/>
      </c>
      <c r="B4077" s="10"/>
      <c r="C4077" s="10"/>
      <c r="D4077" s="10"/>
      <c r="E4077" s="10"/>
      <c r="F4077" s="10"/>
      <c r="G4077" s="11"/>
      <c r="H4077" s="12"/>
      <c r="I4077" s="13"/>
      <c r="J4077" s="12"/>
      <c r="K4077" s="13"/>
      <c r="L4077" s="11"/>
      <c r="M4077" s="13"/>
      <c r="N4077" s="11"/>
      <c r="O4077" s="13"/>
      <c r="P4077" s="11"/>
      <c r="Q4077" s="13"/>
      <c r="R4077" s="10"/>
      <c r="S4077" s="10"/>
    </row>
    <row r="4078" spans="1:19" x14ac:dyDescent="0.25">
      <c r="A4078" t="str">
        <f t="shared" si="64"/>
        <v/>
      </c>
      <c r="B4078" s="10"/>
      <c r="C4078" s="10"/>
      <c r="D4078" s="10"/>
      <c r="E4078" s="10"/>
      <c r="F4078" s="10"/>
      <c r="G4078" s="11"/>
      <c r="H4078" s="12"/>
      <c r="I4078" s="13"/>
      <c r="J4078" s="12"/>
      <c r="K4078" s="13"/>
      <c r="L4078" s="11"/>
      <c r="M4078" s="13"/>
      <c r="N4078" s="11"/>
      <c r="O4078" s="13"/>
      <c r="P4078" s="11"/>
      <c r="Q4078" s="13"/>
      <c r="R4078" s="10"/>
      <c r="S4078" s="10"/>
    </row>
    <row r="4079" spans="1:19" x14ac:dyDescent="0.25">
      <c r="A4079" t="str">
        <f t="shared" si="64"/>
        <v/>
      </c>
      <c r="B4079" s="10"/>
      <c r="C4079" s="10"/>
      <c r="D4079" s="10"/>
      <c r="E4079" s="10"/>
      <c r="F4079" s="10"/>
      <c r="G4079" s="11"/>
      <c r="H4079" s="12"/>
      <c r="I4079" s="13"/>
      <c r="J4079" s="12"/>
      <c r="K4079" s="13"/>
      <c r="L4079" s="11"/>
      <c r="M4079" s="13"/>
      <c r="N4079" s="11"/>
      <c r="O4079" s="13"/>
      <c r="P4079" s="11"/>
      <c r="Q4079" s="13"/>
      <c r="R4079" s="10"/>
      <c r="S4079" s="10"/>
    </row>
    <row r="4080" spans="1:19" x14ac:dyDescent="0.25">
      <c r="A4080" t="str">
        <f t="shared" si="64"/>
        <v/>
      </c>
      <c r="B4080" s="10"/>
      <c r="C4080" s="10"/>
      <c r="D4080" s="10"/>
      <c r="E4080" s="10"/>
      <c r="F4080" s="10"/>
      <c r="G4080" s="11"/>
      <c r="H4080" s="12"/>
      <c r="I4080" s="13"/>
      <c r="J4080" s="12"/>
      <c r="K4080" s="13"/>
      <c r="L4080" s="11"/>
      <c r="M4080" s="13"/>
      <c r="N4080" s="11"/>
      <c r="O4080" s="13"/>
      <c r="P4080" s="11"/>
      <c r="Q4080" s="13"/>
      <c r="R4080" s="10"/>
      <c r="S4080" s="10"/>
    </row>
    <row r="4081" spans="1:19" x14ac:dyDescent="0.25">
      <c r="A4081" t="str">
        <f t="shared" si="64"/>
        <v/>
      </c>
      <c r="B4081" s="10"/>
      <c r="C4081" s="10"/>
      <c r="D4081" s="10"/>
      <c r="E4081" s="10"/>
      <c r="F4081" s="10"/>
      <c r="G4081" s="11"/>
      <c r="H4081" s="12"/>
      <c r="I4081" s="13"/>
      <c r="J4081" s="12"/>
      <c r="K4081" s="13"/>
      <c r="L4081" s="11"/>
      <c r="M4081" s="13"/>
      <c r="N4081" s="11"/>
      <c r="O4081" s="13"/>
      <c r="P4081" s="11"/>
      <c r="Q4081" s="13"/>
      <c r="R4081" s="10"/>
      <c r="S4081" s="10"/>
    </row>
    <row r="4082" spans="1:19" x14ac:dyDescent="0.25">
      <c r="A4082" t="str">
        <f t="shared" si="64"/>
        <v/>
      </c>
      <c r="B4082" s="10"/>
      <c r="C4082" s="10"/>
      <c r="D4082" s="10"/>
      <c r="E4082" s="10"/>
      <c r="F4082" s="10"/>
      <c r="G4082" s="11"/>
      <c r="H4082" s="12"/>
      <c r="I4082" s="13"/>
      <c r="J4082" s="12"/>
      <c r="K4082" s="13"/>
      <c r="L4082" s="11"/>
      <c r="M4082" s="13"/>
      <c r="N4082" s="11"/>
      <c r="O4082" s="13"/>
      <c r="P4082" s="11"/>
      <c r="Q4082" s="13"/>
      <c r="R4082" s="10"/>
      <c r="S4082" s="10"/>
    </row>
    <row r="4083" spans="1:19" x14ac:dyDescent="0.25">
      <c r="A4083" t="str">
        <f t="shared" si="64"/>
        <v/>
      </c>
      <c r="B4083" s="10"/>
      <c r="C4083" s="10"/>
      <c r="D4083" s="10"/>
      <c r="E4083" s="10"/>
      <c r="F4083" s="10"/>
      <c r="G4083" s="11"/>
      <c r="H4083" s="12"/>
      <c r="I4083" s="13"/>
      <c r="J4083" s="12"/>
      <c r="K4083" s="13"/>
      <c r="L4083" s="11"/>
      <c r="M4083" s="13"/>
      <c r="N4083" s="11"/>
      <c r="O4083" s="13"/>
      <c r="P4083" s="11"/>
      <c r="Q4083" s="13"/>
      <c r="R4083" s="10"/>
      <c r="S4083" s="10"/>
    </row>
    <row r="4084" spans="1:19" x14ac:dyDescent="0.25">
      <c r="A4084" t="str">
        <f t="shared" si="64"/>
        <v/>
      </c>
      <c r="B4084" s="10"/>
      <c r="C4084" s="10"/>
      <c r="D4084" s="10"/>
      <c r="E4084" s="10"/>
      <c r="F4084" s="10"/>
      <c r="G4084" s="11"/>
      <c r="H4084" s="12"/>
      <c r="I4084" s="13"/>
      <c r="J4084" s="12"/>
      <c r="K4084" s="13"/>
      <c r="L4084" s="11"/>
      <c r="M4084" s="13"/>
      <c r="N4084" s="11"/>
      <c r="O4084" s="13"/>
      <c r="P4084" s="11"/>
      <c r="Q4084" s="13"/>
      <c r="R4084" s="10"/>
      <c r="S4084" s="10"/>
    </row>
    <row r="4085" spans="1:19" x14ac:dyDescent="0.25">
      <c r="A4085" t="str">
        <f t="shared" ref="A4085:A4148" si="65">B4083&amp;D4083</f>
        <v/>
      </c>
      <c r="B4085" s="10"/>
      <c r="C4085" s="10"/>
      <c r="D4085" s="10"/>
      <c r="E4085" s="10"/>
      <c r="F4085" s="10"/>
      <c r="G4085" s="11"/>
      <c r="H4085" s="12"/>
      <c r="I4085" s="13"/>
      <c r="J4085" s="12"/>
      <c r="K4085" s="13"/>
      <c r="L4085" s="11"/>
      <c r="M4085" s="13"/>
      <c r="N4085" s="11"/>
      <c r="O4085" s="13"/>
      <c r="P4085" s="11"/>
      <c r="Q4085" s="13"/>
      <c r="R4085" s="10"/>
      <c r="S4085" s="10"/>
    </row>
    <row r="4086" spans="1:19" x14ac:dyDescent="0.25">
      <c r="A4086" t="str">
        <f t="shared" si="65"/>
        <v/>
      </c>
      <c r="B4086" s="10"/>
      <c r="C4086" s="10"/>
      <c r="D4086" s="10"/>
      <c r="E4086" s="10"/>
      <c r="F4086" s="10"/>
      <c r="G4086" s="11"/>
      <c r="H4086" s="12"/>
      <c r="I4086" s="13"/>
      <c r="J4086" s="12"/>
      <c r="K4086" s="13"/>
      <c r="L4086" s="11"/>
      <c r="M4086" s="13"/>
      <c r="N4086" s="11"/>
      <c r="O4086" s="13"/>
      <c r="P4086" s="11"/>
      <c r="Q4086" s="13"/>
      <c r="R4086" s="10"/>
      <c r="S4086" s="10"/>
    </row>
    <row r="4087" spans="1:19" x14ac:dyDescent="0.25">
      <c r="A4087" t="str">
        <f t="shared" si="65"/>
        <v/>
      </c>
      <c r="B4087" s="10"/>
      <c r="C4087" s="10"/>
      <c r="D4087" s="10"/>
      <c r="E4087" s="10"/>
      <c r="F4087" s="10"/>
      <c r="G4087" s="11"/>
      <c r="H4087" s="12"/>
      <c r="I4087" s="13"/>
      <c r="J4087" s="12"/>
      <c r="K4087" s="13"/>
      <c r="L4087" s="11"/>
      <c r="M4087" s="13"/>
      <c r="N4087" s="11"/>
      <c r="O4087" s="13"/>
      <c r="P4087" s="11"/>
      <c r="Q4087" s="13"/>
      <c r="R4087" s="10"/>
      <c r="S4087" s="10"/>
    </row>
    <row r="4088" spans="1:19" x14ac:dyDescent="0.25">
      <c r="A4088" t="str">
        <f t="shared" si="65"/>
        <v/>
      </c>
      <c r="B4088" s="10"/>
      <c r="C4088" s="10"/>
      <c r="D4088" s="10"/>
      <c r="E4088" s="10"/>
      <c r="F4088" s="10"/>
      <c r="G4088" s="11"/>
      <c r="H4088" s="12"/>
      <c r="I4088" s="13"/>
      <c r="J4088" s="12"/>
      <c r="K4088" s="13"/>
      <c r="L4088" s="11"/>
      <c r="M4088" s="13"/>
      <c r="N4088" s="11"/>
      <c r="O4088" s="13"/>
      <c r="P4088" s="11"/>
      <c r="Q4088" s="13"/>
      <c r="R4088" s="10"/>
      <c r="S4088" s="10"/>
    </row>
    <row r="4089" spans="1:19" x14ac:dyDescent="0.25">
      <c r="A4089" t="str">
        <f t="shared" si="65"/>
        <v/>
      </c>
      <c r="B4089" s="10"/>
      <c r="C4089" s="10"/>
      <c r="D4089" s="10"/>
      <c r="E4089" s="10"/>
      <c r="F4089" s="10"/>
      <c r="G4089" s="11"/>
      <c r="H4089" s="12"/>
      <c r="I4089" s="13"/>
      <c r="J4089" s="12"/>
      <c r="K4089" s="13"/>
      <c r="L4089" s="11"/>
      <c r="M4089" s="13"/>
      <c r="N4089" s="11"/>
      <c r="O4089" s="13"/>
      <c r="P4089" s="11"/>
      <c r="Q4089" s="13"/>
      <c r="R4089" s="10"/>
      <c r="S4089" s="10"/>
    </row>
    <row r="4090" spans="1:19" x14ac:dyDescent="0.25">
      <c r="A4090" t="str">
        <f t="shared" si="65"/>
        <v/>
      </c>
      <c r="B4090" s="10"/>
      <c r="C4090" s="10"/>
      <c r="D4090" s="10"/>
      <c r="E4090" s="10"/>
      <c r="F4090" s="10"/>
      <c r="G4090" s="11"/>
      <c r="H4090" s="12"/>
      <c r="I4090" s="13"/>
      <c r="J4090" s="12"/>
      <c r="K4090" s="13"/>
      <c r="L4090" s="11"/>
      <c r="M4090" s="13"/>
      <c r="N4090" s="11"/>
      <c r="O4090" s="13"/>
      <c r="P4090" s="11"/>
      <c r="Q4090" s="13"/>
      <c r="R4090" s="10"/>
      <c r="S4090" s="10"/>
    </row>
    <row r="4091" spans="1:19" x14ac:dyDescent="0.25">
      <c r="A4091" t="str">
        <f t="shared" si="65"/>
        <v/>
      </c>
      <c r="B4091" s="10"/>
      <c r="C4091" s="10"/>
      <c r="D4091" s="10"/>
      <c r="E4091" s="10"/>
      <c r="F4091" s="10"/>
      <c r="G4091" s="11"/>
      <c r="H4091" s="12"/>
      <c r="I4091" s="13"/>
      <c r="J4091" s="12"/>
      <c r="K4091" s="13"/>
      <c r="L4091" s="11"/>
      <c r="M4091" s="13"/>
      <c r="N4091" s="11"/>
      <c r="O4091" s="13"/>
      <c r="P4091" s="11"/>
      <c r="Q4091" s="13"/>
      <c r="R4091" s="10"/>
      <c r="S4091" s="10"/>
    </row>
    <row r="4092" spans="1:19" x14ac:dyDescent="0.25">
      <c r="A4092" t="str">
        <f t="shared" si="65"/>
        <v/>
      </c>
      <c r="B4092" s="10"/>
      <c r="C4092" s="10"/>
      <c r="D4092" s="10"/>
      <c r="E4092" s="10"/>
      <c r="F4092" s="10"/>
      <c r="G4092" s="11"/>
      <c r="H4092" s="12"/>
      <c r="I4092" s="13"/>
      <c r="J4092" s="12"/>
      <c r="K4092" s="13"/>
      <c r="L4092" s="11"/>
      <c r="M4092" s="13"/>
      <c r="N4092" s="11"/>
      <c r="O4092" s="13"/>
      <c r="P4092" s="11"/>
      <c r="Q4092" s="13"/>
      <c r="R4092" s="10"/>
      <c r="S4092" s="10"/>
    </row>
    <row r="4093" spans="1:19" x14ac:dyDescent="0.25">
      <c r="A4093" t="str">
        <f t="shared" si="65"/>
        <v/>
      </c>
      <c r="B4093" s="10"/>
      <c r="C4093" s="10"/>
      <c r="D4093" s="10"/>
      <c r="E4093" s="10"/>
      <c r="F4093" s="10"/>
      <c r="G4093" s="11"/>
      <c r="H4093" s="12"/>
      <c r="I4093" s="13"/>
      <c r="J4093" s="12"/>
      <c r="K4093" s="13"/>
      <c r="L4093" s="11"/>
      <c r="M4093" s="13"/>
      <c r="N4093" s="11"/>
      <c r="O4093" s="13"/>
      <c r="P4093" s="11"/>
      <c r="Q4093" s="13"/>
      <c r="R4093" s="10"/>
      <c r="S4093" s="10"/>
    </row>
    <row r="4094" spans="1:19" x14ac:dyDescent="0.25">
      <c r="A4094" t="str">
        <f t="shared" si="65"/>
        <v/>
      </c>
      <c r="B4094" s="10"/>
      <c r="C4094" s="10"/>
      <c r="D4094" s="10"/>
      <c r="E4094" s="10"/>
      <c r="F4094" s="10"/>
      <c r="G4094" s="11"/>
      <c r="H4094" s="12"/>
      <c r="I4094" s="13"/>
      <c r="J4094" s="12"/>
      <c r="K4094" s="13"/>
      <c r="L4094" s="11"/>
      <c r="M4094" s="13"/>
      <c r="N4094" s="11"/>
      <c r="O4094" s="13"/>
      <c r="P4094" s="11"/>
      <c r="Q4094" s="13"/>
      <c r="R4094" s="10"/>
      <c r="S4094" s="10"/>
    </row>
    <row r="4095" spans="1:19" x14ac:dyDescent="0.25">
      <c r="A4095" t="str">
        <f t="shared" si="65"/>
        <v/>
      </c>
      <c r="B4095" s="10"/>
      <c r="C4095" s="10"/>
      <c r="D4095" s="10"/>
      <c r="E4095" s="10"/>
      <c r="F4095" s="10"/>
      <c r="G4095" s="11"/>
      <c r="H4095" s="12"/>
      <c r="I4095" s="13"/>
      <c r="J4095" s="12"/>
      <c r="K4095" s="13"/>
      <c r="L4095" s="11"/>
      <c r="M4095" s="13"/>
      <c r="N4095" s="11"/>
      <c r="O4095" s="13"/>
      <c r="P4095" s="11"/>
      <c r="Q4095" s="13"/>
      <c r="R4095" s="10"/>
      <c r="S4095" s="10"/>
    </row>
    <row r="4096" spans="1:19" x14ac:dyDescent="0.25">
      <c r="A4096" t="str">
        <f t="shared" si="65"/>
        <v/>
      </c>
      <c r="B4096" s="10"/>
      <c r="C4096" s="10"/>
      <c r="D4096" s="10"/>
      <c r="E4096" s="10"/>
      <c r="F4096" s="10"/>
      <c r="G4096" s="11"/>
      <c r="H4096" s="12"/>
      <c r="I4096" s="13"/>
      <c r="J4096" s="12"/>
      <c r="K4096" s="13"/>
      <c r="L4096" s="11"/>
      <c r="M4096" s="13"/>
      <c r="N4096" s="11"/>
      <c r="O4096" s="13"/>
      <c r="P4096" s="11"/>
      <c r="Q4096" s="13"/>
      <c r="R4096" s="10"/>
      <c r="S4096" s="10"/>
    </row>
    <row r="4097" spans="1:19" x14ac:dyDescent="0.25">
      <c r="A4097" t="str">
        <f t="shared" si="65"/>
        <v/>
      </c>
      <c r="B4097" s="10"/>
      <c r="C4097" s="10"/>
      <c r="D4097" s="10"/>
      <c r="E4097" s="10"/>
      <c r="F4097" s="10"/>
      <c r="G4097" s="11"/>
      <c r="H4097" s="12"/>
      <c r="I4097" s="13"/>
      <c r="J4097" s="12"/>
      <c r="K4097" s="13"/>
      <c r="L4097" s="11"/>
      <c r="M4097" s="13"/>
      <c r="N4097" s="11"/>
      <c r="O4097" s="13"/>
      <c r="P4097" s="11"/>
      <c r="Q4097" s="13"/>
      <c r="R4097" s="10"/>
      <c r="S4097" s="10"/>
    </row>
    <row r="4098" spans="1:19" x14ac:dyDescent="0.25">
      <c r="A4098" t="str">
        <f t="shared" si="65"/>
        <v/>
      </c>
      <c r="B4098" s="10"/>
      <c r="C4098" s="10"/>
      <c r="D4098" s="10"/>
      <c r="E4098" s="10"/>
      <c r="F4098" s="10"/>
      <c r="G4098" s="11"/>
      <c r="H4098" s="12"/>
      <c r="I4098" s="13"/>
      <c r="J4098" s="12"/>
      <c r="K4098" s="13"/>
      <c r="L4098" s="11"/>
      <c r="M4098" s="13"/>
      <c r="N4098" s="11"/>
      <c r="O4098" s="13"/>
      <c r="P4098" s="11"/>
      <c r="Q4098" s="13"/>
      <c r="R4098" s="10"/>
      <c r="S4098" s="10"/>
    </row>
    <row r="4099" spans="1:19" x14ac:dyDescent="0.25">
      <c r="A4099" t="str">
        <f t="shared" si="65"/>
        <v/>
      </c>
      <c r="B4099" s="10"/>
      <c r="C4099" s="10"/>
      <c r="D4099" s="10"/>
      <c r="E4099" s="10"/>
      <c r="F4099" s="10"/>
      <c r="G4099" s="11"/>
      <c r="H4099" s="12"/>
      <c r="I4099" s="13"/>
      <c r="J4099" s="12"/>
      <c r="K4099" s="13"/>
      <c r="L4099" s="11"/>
      <c r="M4099" s="13"/>
      <c r="N4099" s="11"/>
      <c r="O4099" s="13"/>
      <c r="P4099" s="11"/>
      <c r="Q4099" s="13"/>
      <c r="R4099" s="10"/>
      <c r="S4099" s="10"/>
    </row>
    <row r="4100" spans="1:19" x14ac:dyDescent="0.25">
      <c r="A4100" t="str">
        <f t="shared" si="65"/>
        <v/>
      </c>
      <c r="B4100" s="10"/>
      <c r="C4100" s="10"/>
      <c r="D4100" s="10"/>
      <c r="E4100" s="10"/>
      <c r="F4100" s="10"/>
      <c r="G4100" s="11"/>
      <c r="H4100" s="12"/>
      <c r="I4100" s="13"/>
      <c r="J4100" s="12"/>
      <c r="K4100" s="13"/>
      <c r="L4100" s="11"/>
      <c r="M4100" s="13"/>
      <c r="N4100" s="11"/>
      <c r="O4100" s="13"/>
      <c r="P4100" s="11"/>
      <c r="Q4100" s="13"/>
      <c r="R4100" s="10"/>
      <c r="S4100" s="10"/>
    </row>
    <row r="4101" spans="1:19" x14ac:dyDescent="0.25">
      <c r="A4101" t="str">
        <f t="shared" si="65"/>
        <v/>
      </c>
      <c r="B4101" s="10"/>
      <c r="C4101" s="10"/>
      <c r="D4101" s="10"/>
      <c r="E4101" s="10"/>
      <c r="F4101" s="10"/>
      <c r="G4101" s="11"/>
      <c r="H4101" s="12"/>
      <c r="I4101" s="13"/>
      <c r="J4101" s="12"/>
      <c r="K4101" s="13"/>
      <c r="L4101" s="11"/>
      <c r="M4101" s="13"/>
      <c r="N4101" s="11"/>
      <c r="O4101" s="13"/>
      <c r="P4101" s="11"/>
      <c r="Q4101" s="13"/>
      <c r="R4101" s="10"/>
      <c r="S4101" s="10"/>
    </row>
    <row r="4102" spans="1:19" x14ac:dyDescent="0.25">
      <c r="A4102" t="str">
        <f t="shared" si="65"/>
        <v/>
      </c>
      <c r="B4102" s="10"/>
      <c r="C4102" s="10"/>
      <c r="D4102" s="10"/>
      <c r="E4102" s="10"/>
      <c r="F4102" s="10"/>
      <c r="G4102" s="11"/>
      <c r="H4102" s="12"/>
      <c r="I4102" s="13"/>
      <c r="J4102" s="12"/>
      <c r="K4102" s="13"/>
      <c r="L4102" s="11"/>
      <c r="M4102" s="13"/>
      <c r="N4102" s="11"/>
      <c r="O4102" s="13"/>
      <c r="P4102" s="11"/>
      <c r="Q4102" s="13"/>
      <c r="R4102" s="10"/>
      <c r="S4102" s="10"/>
    </row>
    <row r="4103" spans="1:19" x14ac:dyDescent="0.25">
      <c r="A4103" t="str">
        <f t="shared" si="65"/>
        <v/>
      </c>
      <c r="B4103" s="10"/>
      <c r="C4103" s="10"/>
      <c r="D4103" s="10"/>
      <c r="E4103" s="10"/>
      <c r="F4103" s="10"/>
      <c r="G4103" s="11"/>
      <c r="H4103" s="12"/>
      <c r="I4103" s="13"/>
      <c r="J4103" s="12"/>
      <c r="K4103" s="13"/>
      <c r="L4103" s="11"/>
      <c r="M4103" s="13"/>
      <c r="N4103" s="11"/>
      <c r="O4103" s="13"/>
      <c r="P4103" s="11"/>
      <c r="Q4103" s="13"/>
      <c r="R4103" s="10"/>
      <c r="S4103" s="10"/>
    </row>
    <row r="4104" spans="1:19" x14ac:dyDescent="0.25">
      <c r="A4104" t="str">
        <f t="shared" si="65"/>
        <v/>
      </c>
      <c r="B4104" s="10"/>
      <c r="C4104" s="10"/>
      <c r="D4104" s="10"/>
      <c r="E4104" s="10"/>
      <c r="F4104" s="10"/>
      <c r="G4104" s="11"/>
      <c r="H4104" s="12"/>
      <c r="I4104" s="13"/>
      <c r="J4104" s="12"/>
      <c r="K4104" s="13"/>
      <c r="L4104" s="11"/>
      <c r="M4104" s="13"/>
      <c r="N4104" s="11"/>
      <c r="O4104" s="13"/>
      <c r="P4104" s="11"/>
      <c r="Q4104" s="13"/>
      <c r="R4104" s="10"/>
      <c r="S4104" s="10"/>
    </row>
    <row r="4105" spans="1:19" x14ac:dyDescent="0.25">
      <c r="A4105" t="str">
        <f t="shared" si="65"/>
        <v/>
      </c>
      <c r="B4105" s="10"/>
      <c r="C4105" s="10"/>
      <c r="D4105" s="10"/>
      <c r="E4105" s="10"/>
      <c r="F4105" s="10"/>
      <c r="G4105" s="11"/>
      <c r="H4105" s="12"/>
      <c r="I4105" s="13"/>
      <c r="J4105" s="12"/>
      <c r="K4105" s="13"/>
      <c r="L4105" s="11"/>
      <c r="M4105" s="13"/>
      <c r="N4105" s="11"/>
      <c r="O4105" s="13"/>
      <c r="P4105" s="11"/>
      <c r="Q4105" s="13"/>
      <c r="R4105" s="10"/>
      <c r="S4105" s="10"/>
    </row>
    <row r="4106" spans="1:19" x14ac:dyDescent="0.25">
      <c r="A4106" t="str">
        <f t="shared" si="65"/>
        <v/>
      </c>
      <c r="B4106" s="10"/>
      <c r="C4106" s="10"/>
      <c r="D4106" s="10"/>
      <c r="E4106" s="10"/>
      <c r="F4106" s="10"/>
      <c r="G4106" s="11"/>
      <c r="H4106" s="12"/>
      <c r="I4106" s="13"/>
      <c r="J4106" s="12"/>
      <c r="K4106" s="13"/>
      <c r="L4106" s="11"/>
      <c r="M4106" s="13"/>
      <c r="N4106" s="11"/>
      <c r="O4106" s="13"/>
      <c r="P4106" s="11"/>
      <c r="Q4106" s="13"/>
      <c r="R4106" s="10"/>
      <c r="S4106" s="10"/>
    </row>
    <row r="4107" spans="1:19" x14ac:dyDescent="0.25">
      <c r="A4107" t="str">
        <f t="shared" si="65"/>
        <v/>
      </c>
      <c r="B4107" s="10"/>
      <c r="C4107" s="10"/>
      <c r="D4107" s="10"/>
      <c r="E4107" s="10"/>
      <c r="F4107" s="10"/>
      <c r="G4107" s="11"/>
      <c r="H4107" s="12"/>
      <c r="I4107" s="13"/>
      <c r="J4107" s="12"/>
      <c r="K4107" s="13"/>
      <c r="L4107" s="11"/>
      <c r="M4107" s="13"/>
      <c r="N4107" s="11"/>
      <c r="O4107" s="13"/>
      <c r="P4107" s="11"/>
      <c r="Q4107" s="13"/>
      <c r="R4107" s="10"/>
      <c r="S4107" s="10"/>
    </row>
    <row r="4108" spans="1:19" x14ac:dyDescent="0.25">
      <c r="A4108" t="str">
        <f t="shared" si="65"/>
        <v/>
      </c>
      <c r="B4108" s="10"/>
      <c r="C4108" s="10"/>
      <c r="D4108" s="10"/>
      <c r="E4108" s="10"/>
      <c r="F4108" s="10"/>
      <c r="G4108" s="11"/>
      <c r="H4108" s="12"/>
      <c r="I4108" s="13"/>
      <c r="J4108" s="12"/>
      <c r="K4108" s="13"/>
      <c r="L4108" s="11"/>
      <c r="M4108" s="13"/>
      <c r="N4108" s="11"/>
      <c r="O4108" s="13"/>
      <c r="P4108" s="11"/>
      <c r="Q4108" s="13"/>
      <c r="R4108" s="10"/>
      <c r="S4108" s="10"/>
    </row>
    <row r="4109" spans="1:19" x14ac:dyDescent="0.25">
      <c r="A4109" t="str">
        <f t="shared" si="65"/>
        <v/>
      </c>
      <c r="B4109" s="10"/>
      <c r="C4109" s="10"/>
      <c r="D4109" s="10"/>
      <c r="E4109" s="10"/>
      <c r="F4109" s="10"/>
      <c r="G4109" s="11"/>
      <c r="H4109" s="12"/>
      <c r="I4109" s="13"/>
      <c r="J4109" s="12"/>
      <c r="K4109" s="13"/>
      <c r="L4109" s="11"/>
      <c r="M4109" s="13"/>
      <c r="N4109" s="11"/>
      <c r="O4109" s="13"/>
      <c r="P4109" s="11"/>
      <c r="Q4109" s="13"/>
      <c r="R4109" s="10"/>
      <c r="S4109" s="10"/>
    </row>
    <row r="4110" spans="1:19" x14ac:dyDescent="0.25">
      <c r="A4110" t="str">
        <f t="shared" si="65"/>
        <v/>
      </c>
      <c r="B4110" s="10"/>
      <c r="C4110" s="10"/>
      <c r="D4110" s="10"/>
      <c r="E4110" s="10"/>
      <c r="F4110" s="10"/>
      <c r="G4110" s="11"/>
      <c r="H4110" s="12"/>
      <c r="I4110" s="13"/>
      <c r="J4110" s="12"/>
      <c r="K4110" s="13"/>
      <c r="L4110" s="11"/>
      <c r="M4110" s="13"/>
      <c r="N4110" s="11"/>
      <c r="O4110" s="13"/>
      <c r="P4110" s="11"/>
      <c r="Q4110" s="13"/>
      <c r="R4110" s="10"/>
      <c r="S4110" s="10"/>
    </row>
    <row r="4111" spans="1:19" x14ac:dyDescent="0.25">
      <c r="A4111" t="str">
        <f t="shared" si="65"/>
        <v/>
      </c>
      <c r="B4111" s="10"/>
      <c r="C4111" s="10"/>
      <c r="D4111" s="10"/>
      <c r="E4111" s="10"/>
      <c r="F4111" s="10"/>
      <c r="G4111" s="11"/>
      <c r="H4111" s="12"/>
      <c r="I4111" s="13"/>
      <c r="J4111" s="12"/>
      <c r="K4111" s="13"/>
      <c r="L4111" s="11"/>
      <c r="M4111" s="13"/>
      <c r="N4111" s="11"/>
      <c r="O4111" s="13"/>
      <c r="P4111" s="11"/>
      <c r="Q4111" s="13"/>
      <c r="R4111" s="10"/>
      <c r="S4111" s="10"/>
    </row>
    <row r="4112" spans="1:19" x14ac:dyDescent="0.25">
      <c r="A4112" t="str">
        <f t="shared" si="65"/>
        <v/>
      </c>
      <c r="B4112" s="10"/>
      <c r="C4112" s="10"/>
      <c r="D4112" s="10"/>
      <c r="E4112" s="10"/>
      <c r="F4112" s="10"/>
      <c r="G4112" s="11"/>
      <c r="H4112" s="12"/>
      <c r="I4112" s="13"/>
      <c r="J4112" s="12"/>
      <c r="K4112" s="13"/>
      <c r="L4112" s="11"/>
      <c r="M4112" s="13"/>
      <c r="N4112" s="11"/>
      <c r="O4112" s="13"/>
      <c r="P4112" s="11"/>
      <c r="Q4112" s="13"/>
      <c r="R4112" s="10"/>
      <c r="S4112" s="10"/>
    </row>
    <row r="4113" spans="1:19" x14ac:dyDescent="0.25">
      <c r="A4113" t="str">
        <f t="shared" si="65"/>
        <v/>
      </c>
      <c r="B4113" s="10"/>
      <c r="C4113" s="10"/>
      <c r="D4113" s="10"/>
      <c r="E4113" s="10"/>
      <c r="F4113" s="10"/>
      <c r="G4113" s="11"/>
      <c r="H4113" s="12"/>
      <c r="I4113" s="13"/>
      <c r="J4113" s="12"/>
      <c r="K4113" s="13"/>
      <c r="L4113" s="11"/>
      <c r="M4113" s="13"/>
      <c r="N4113" s="11"/>
      <c r="O4113" s="13"/>
      <c r="P4113" s="11"/>
      <c r="Q4113" s="13"/>
      <c r="R4113" s="10"/>
      <c r="S4113" s="10"/>
    </row>
    <row r="4114" spans="1:19" x14ac:dyDescent="0.25">
      <c r="A4114" t="str">
        <f t="shared" si="65"/>
        <v/>
      </c>
      <c r="B4114" s="10"/>
      <c r="C4114" s="10"/>
      <c r="D4114" s="10"/>
      <c r="E4114" s="10"/>
      <c r="F4114" s="10"/>
      <c r="G4114" s="11"/>
      <c r="H4114" s="12"/>
      <c r="I4114" s="13"/>
      <c r="J4114" s="12"/>
      <c r="K4114" s="13"/>
      <c r="L4114" s="11"/>
      <c r="M4114" s="13"/>
      <c r="N4114" s="11"/>
      <c r="O4114" s="13"/>
      <c r="P4114" s="11"/>
      <c r="Q4114" s="13"/>
      <c r="R4114" s="10"/>
      <c r="S4114" s="10"/>
    </row>
    <row r="4115" spans="1:19" x14ac:dyDescent="0.25">
      <c r="A4115" t="str">
        <f t="shared" si="65"/>
        <v/>
      </c>
      <c r="B4115" s="10"/>
      <c r="C4115" s="10"/>
      <c r="D4115" s="10"/>
      <c r="E4115" s="10"/>
      <c r="F4115" s="10"/>
      <c r="G4115" s="11"/>
      <c r="H4115" s="12"/>
      <c r="I4115" s="13"/>
      <c r="J4115" s="12"/>
      <c r="K4115" s="13"/>
      <c r="L4115" s="11"/>
      <c r="M4115" s="13"/>
      <c r="N4115" s="11"/>
      <c r="O4115" s="13"/>
      <c r="P4115" s="11"/>
      <c r="Q4115" s="13"/>
      <c r="R4115" s="10"/>
      <c r="S4115" s="10"/>
    </row>
    <row r="4116" spans="1:19" x14ac:dyDescent="0.25">
      <c r="A4116" t="str">
        <f t="shared" si="65"/>
        <v/>
      </c>
      <c r="B4116" s="10"/>
      <c r="C4116" s="10"/>
      <c r="D4116" s="10"/>
      <c r="E4116" s="10"/>
      <c r="F4116" s="10"/>
      <c r="G4116" s="11"/>
      <c r="H4116" s="12"/>
      <c r="I4116" s="13"/>
      <c r="J4116" s="12"/>
      <c r="K4116" s="13"/>
      <c r="L4116" s="11"/>
      <c r="M4116" s="13"/>
      <c r="N4116" s="11"/>
      <c r="O4116" s="13"/>
      <c r="P4116" s="11"/>
      <c r="Q4116" s="13"/>
      <c r="R4116" s="10"/>
      <c r="S4116" s="10"/>
    </row>
    <row r="4117" spans="1:19" x14ac:dyDescent="0.25">
      <c r="A4117" t="str">
        <f t="shared" si="65"/>
        <v/>
      </c>
      <c r="B4117" s="10"/>
      <c r="C4117" s="10"/>
      <c r="D4117" s="10"/>
      <c r="E4117" s="10"/>
      <c r="F4117" s="10"/>
      <c r="G4117" s="11"/>
      <c r="H4117" s="12"/>
      <c r="I4117" s="13"/>
      <c r="J4117" s="12"/>
      <c r="K4117" s="13"/>
      <c r="L4117" s="11"/>
      <c r="M4117" s="13"/>
      <c r="N4117" s="11"/>
      <c r="O4117" s="13"/>
      <c r="P4117" s="11"/>
      <c r="Q4117" s="13"/>
      <c r="R4117" s="10"/>
      <c r="S4117" s="10"/>
    </row>
    <row r="4118" spans="1:19" x14ac:dyDescent="0.25">
      <c r="A4118" t="str">
        <f t="shared" si="65"/>
        <v/>
      </c>
      <c r="B4118" s="10"/>
      <c r="C4118" s="10"/>
      <c r="D4118" s="10"/>
      <c r="E4118" s="10"/>
      <c r="F4118" s="10"/>
      <c r="G4118" s="11"/>
      <c r="H4118" s="12"/>
      <c r="I4118" s="13"/>
      <c r="J4118" s="12"/>
      <c r="K4118" s="13"/>
      <c r="L4118" s="11"/>
      <c r="M4118" s="13"/>
      <c r="N4118" s="11"/>
      <c r="O4118" s="13"/>
      <c r="P4118" s="11"/>
      <c r="Q4118" s="13"/>
      <c r="R4118" s="10"/>
      <c r="S4118" s="10"/>
    </row>
    <row r="4119" spans="1:19" x14ac:dyDescent="0.25">
      <c r="A4119" t="str">
        <f t="shared" si="65"/>
        <v/>
      </c>
      <c r="B4119" s="10"/>
      <c r="C4119" s="10"/>
      <c r="D4119" s="10"/>
      <c r="E4119" s="10"/>
      <c r="F4119" s="10"/>
      <c r="G4119" s="11"/>
      <c r="H4119" s="12"/>
      <c r="I4119" s="13"/>
      <c r="J4119" s="12"/>
      <c r="K4119" s="13"/>
      <c r="L4119" s="11"/>
      <c r="M4119" s="13"/>
      <c r="N4119" s="11"/>
      <c r="O4119" s="13"/>
      <c r="P4119" s="11"/>
      <c r="Q4119" s="13"/>
      <c r="R4119" s="10"/>
      <c r="S4119" s="10"/>
    </row>
    <row r="4120" spans="1:19" x14ac:dyDescent="0.25">
      <c r="A4120" t="str">
        <f t="shared" si="65"/>
        <v/>
      </c>
      <c r="B4120" s="10"/>
      <c r="C4120" s="10"/>
      <c r="D4120" s="10"/>
      <c r="E4120" s="10"/>
      <c r="F4120" s="10"/>
      <c r="G4120" s="11"/>
      <c r="H4120" s="12"/>
      <c r="I4120" s="13"/>
      <c r="J4120" s="12"/>
      <c r="K4120" s="13"/>
      <c r="L4120" s="11"/>
      <c r="M4120" s="13"/>
      <c r="N4120" s="11"/>
      <c r="O4120" s="13"/>
      <c r="P4120" s="11"/>
      <c r="Q4120" s="13"/>
      <c r="R4120" s="10"/>
      <c r="S4120" s="10"/>
    </row>
    <row r="4121" spans="1:19" x14ac:dyDescent="0.25">
      <c r="A4121" t="str">
        <f t="shared" si="65"/>
        <v/>
      </c>
      <c r="B4121" s="10"/>
      <c r="C4121" s="10"/>
      <c r="D4121" s="10"/>
      <c r="E4121" s="10"/>
      <c r="F4121" s="10"/>
      <c r="G4121" s="11"/>
      <c r="H4121" s="12"/>
      <c r="I4121" s="13"/>
      <c r="J4121" s="12"/>
      <c r="K4121" s="13"/>
      <c r="L4121" s="11"/>
      <c r="M4121" s="13"/>
      <c r="N4121" s="11"/>
      <c r="O4121" s="13"/>
      <c r="P4121" s="11"/>
      <c r="Q4121" s="13"/>
      <c r="R4121" s="10"/>
      <c r="S4121" s="10"/>
    </row>
    <row r="4122" spans="1:19" x14ac:dyDescent="0.25">
      <c r="A4122" t="str">
        <f t="shared" si="65"/>
        <v/>
      </c>
      <c r="B4122" s="10"/>
      <c r="C4122" s="10"/>
      <c r="D4122" s="10"/>
      <c r="E4122" s="10"/>
      <c r="F4122" s="10"/>
      <c r="G4122" s="11"/>
      <c r="H4122" s="12"/>
      <c r="I4122" s="13"/>
      <c r="J4122" s="12"/>
      <c r="K4122" s="13"/>
      <c r="L4122" s="11"/>
      <c r="M4122" s="13"/>
      <c r="N4122" s="11"/>
      <c r="O4122" s="13"/>
      <c r="P4122" s="11"/>
      <c r="Q4122" s="13"/>
      <c r="R4122" s="10"/>
      <c r="S4122" s="10"/>
    </row>
    <row r="4123" spans="1:19" x14ac:dyDescent="0.25">
      <c r="A4123" t="str">
        <f t="shared" si="65"/>
        <v/>
      </c>
      <c r="B4123" s="10"/>
      <c r="C4123" s="10"/>
      <c r="D4123" s="10"/>
      <c r="E4123" s="10"/>
      <c r="F4123" s="10"/>
      <c r="G4123" s="11"/>
      <c r="H4123" s="12"/>
      <c r="I4123" s="13"/>
      <c r="J4123" s="12"/>
      <c r="K4123" s="13"/>
      <c r="L4123" s="11"/>
      <c r="M4123" s="13"/>
      <c r="N4123" s="11"/>
      <c r="O4123" s="13"/>
      <c r="P4123" s="11"/>
      <c r="Q4123" s="13"/>
      <c r="R4123" s="10"/>
      <c r="S4123" s="10"/>
    </row>
    <row r="4124" spans="1:19" x14ac:dyDescent="0.25">
      <c r="A4124" t="str">
        <f t="shared" si="65"/>
        <v/>
      </c>
      <c r="B4124" s="10"/>
      <c r="C4124" s="10"/>
      <c r="D4124" s="10"/>
      <c r="E4124" s="10"/>
      <c r="F4124" s="10"/>
      <c r="G4124" s="11"/>
      <c r="H4124" s="12"/>
      <c r="I4124" s="13"/>
      <c r="J4124" s="12"/>
      <c r="K4124" s="13"/>
      <c r="L4124" s="11"/>
      <c r="M4124" s="13"/>
      <c r="N4124" s="11"/>
      <c r="O4124" s="13"/>
      <c r="P4124" s="11"/>
      <c r="Q4124" s="13"/>
      <c r="R4124" s="10"/>
      <c r="S4124" s="10"/>
    </row>
    <row r="4125" spans="1:19" x14ac:dyDescent="0.25">
      <c r="A4125" t="str">
        <f t="shared" si="65"/>
        <v/>
      </c>
      <c r="B4125" s="10"/>
      <c r="C4125" s="10"/>
      <c r="D4125" s="10"/>
      <c r="E4125" s="10"/>
      <c r="F4125" s="10"/>
      <c r="G4125" s="11"/>
      <c r="H4125" s="12"/>
      <c r="I4125" s="13"/>
      <c r="J4125" s="12"/>
      <c r="K4125" s="13"/>
      <c r="L4125" s="11"/>
      <c r="M4125" s="13"/>
      <c r="N4125" s="11"/>
      <c r="O4125" s="13"/>
      <c r="P4125" s="11"/>
      <c r="Q4125" s="13"/>
      <c r="R4125" s="10"/>
      <c r="S4125" s="10"/>
    </row>
    <row r="4126" spans="1:19" x14ac:dyDescent="0.25">
      <c r="A4126" t="str">
        <f t="shared" si="65"/>
        <v/>
      </c>
      <c r="B4126" s="10"/>
      <c r="C4126" s="10"/>
      <c r="D4126" s="10"/>
      <c r="E4126" s="10"/>
      <c r="F4126" s="10"/>
      <c r="G4126" s="11"/>
      <c r="H4126" s="12"/>
      <c r="I4126" s="13"/>
      <c r="J4126" s="12"/>
      <c r="K4126" s="13"/>
      <c r="L4126" s="11"/>
      <c r="M4126" s="13"/>
      <c r="N4126" s="11"/>
      <c r="O4126" s="13"/>
      <c r="P4126" s="11"/>
      <c r="Q4126" s="13"/>
      <c r="R4126" s="10"/>
      <c r="S4126" s="10"/>
    </row>
    <row r="4127" spans="1:19" x14ac:dyDescent="0.25">
      <c r="A4127" t="str">
        <f t="shared" si="65"/>
        <v/>
      </c>
      <c r="B4127" s="10"/>
      <c r="C4127" s="10"/>
      <c r="D4127" s="10"/>
      <c r="E4127" s="10"/>
      <c r="F4127" s="10"/>
      <c r="G4127" s="11"/>
      <c r="H4127" s="12"/>
      <c r="I4127" s="13"/>
      <c r="J4127" s="12"/>
      <c r="K4127" s="13"/>
      <c r="L4127" s="11"/>
      <c r="M4127" s="13"/>
      <c r="N4127" s="11"/>
      <c r="O4127" s="13"/>
      <c r="P4127" s="11"/>
      <c r="Q4127" s="13"/>
      <c r="R4127" s="10"/>
      <c r="S4127" s="10"/>
    </row>
    <row r="4128" spans="1:19" x14ac:dyDescent="0.25">
      <c r="A4128" t="str">
        <f t="shared" si="65"/>
        <v/>
      </c>
      <c r="B4128" s="10"/>
      <c r="C4128" s="10"/>
      <c r="D4128" s="10"/>
      <c r="E4128" s="10"/>
      <c r="F4128" s="10"/>
      <c r="G4128" s="11"/>
      <c r="H4128" s="12"/>
      <c r="I4128" s="13"/>
      <c r="J4128" s="12"/>
      <c r="K4128" s="13"/>
      <c r="L4128" s="11"/>
      <c r="M4128" s="13"/>
      <c r="N4128" s="11"/>
      <c r="O4128" s="13"/>
      <c r="P4128" s="11"/>
      <c r="Q4128" s="13"/>
      <c r="R4128" s="10"/>
      <c r="S4128" s="10"/>
    </row>
    <row r="4129" spans="1:19" x14ac:dyDescent="0.25">
      <c r="A4129" t="str">
        <f t="shared" si="65"/>
        <v/>
      </c>
      <c r="B4129" s="10"/>
      <c r="C4129" s="10"/>
      <c r="D4129" s="10"/>
      <c r="E4129" s="10"/>
      <c r="F4129" s="10"/>
      <c r="G4129" s="11"/>
      <c r="H4129" s="12"/>
      <c r="I4129" s="13"/>
      <c r="J4129" s="12"/>
      <c r="K4129" s="13"/>
      <c r="L4129" s="11"/>
      <c r="M4129" s="13"/>
      <c r="N4129" s="11"/>
      <c r="O4129" s="13"/>
      <c r="P4129" s="11"/>
      <c r="Q4129" s="13"/>
      <c r="R4129" s="10"/>
      <c r="S4129" s="10"/>
    </row>
    <row r="4130" spans="1:19" x14ac:dyDescent="0.25">
      <c r="A4130" t="str">
        <f t="shared" si="65"/>
        <v/>
      </c>
      <c r="B4130" s="10"/>
      <c r="C4130" s="10"/>
      <c r="D4130" s="10"/>
      <c r="E4130" s="10"/>
      <c r="F4130" s="10"/>
      <c r="G4130" s="11"/>
      <c r="H4130" s="12"/>
      <c r="I4130" s="13"/>
      <c r="J4130" s="12"/>
      <c r="K4130" s="13"/>
      <c r="L4130" s="11"/>
      <c r="M4130" s="13"/>
      <c r="N4130" s="11"/>
      <c r="O4130" s="13"/>
      <c r="P4130" s="11"/>
      <c r="Q4130" s="13"/>
      <c r="R4130" s="10"/>
      <c r="S4130" s="10"/>
    </row>
    <row r="4131" spans="1:19" x14ac:dyDescent="0.25">
      <c r="A4131" t="str">
        <f t="shared" si="65"/>
        <v/>
      </c>
      <c r="B4131" s="10"/>
      <c r="C4131" s="10"/>
      <c r="D4131" s="10"/>
      <c r="E4131" s="10"/>
      <c r="F4131" s="10"/>
      <c r="G4131" s="11"/>
      <c r="H4131" s="12"/>
      <c r="I4131" s="13"/>
      <c r="J4131" s="12"/>
      <c r="K4131" s="13"/>
      <c r="L4131" s="11"/>
      <c r="M4131" s="13"/>
      <c r="N4131" s="11"/>
      <c r="O4131" s="13"/>
      <c r="P4131" s="11"/>
      <c r="Q4131" s="13"/>
      <c r="R4131" s="10"/>
      <c r="S4131" s="10"/>
    </row>
    <row r="4132" spans="1:19" x14ac:dyDescent="0.25">
      <c r="A4132" t="str">
        <f t="shared" si="65"/>
        <v/>
      </c>
      <c r="B4132" s="10"/>
      <c r="C4132" s="10"/>
      <c r="D4132" s="10"/>
      <c r="E4132" s="10"/>
      <c r="F4132" s="10"/>
      <c r="G4132" s="11"/>
      <c r="H4132" s="12"/>
      <c r="I4132" s="13"/>
      <c r="J4132" s="12"/>
      <c r="K4132" s="13"/>
      <c r="L4132" s="11"/>
      <c r="M4132" s="13"/>
      <c r="N4132" s="11"/>
      <c r="O4132" s="13"/>
      <c r="P4132" s="11"/>
      <c r="Q4132" s="13"/>
      <c r="R4132" s="10"/>
      <c r="S4132" s="10"/>
    </row>
    <row r="4133" spans="1:19" x14ac:dyDescent="0.25">
      <c r="A4133" t="str">
        <f t="shared" si="65"/>
        <v/>
      </c>
      <c r="B4133" s="10"/>
      <c r="C4133" s="10"/>
      <c r="D4133" s="10"/>
      <c r="E4133" s="10"/>
      <c r="F4133" s="10"/>
      <c r="G4133" s="11"/>
      <c r="H4133" s="12"/>
      <c r="I4133" s="13"/>
      <c r="J4133" s="12"/>
      <c r="K4133" s="13"/>
      <c r="L4133" s="11"/>
      <c r="M4133" s="13"/>
      <c r="N4133" s="11"/>
      <c r="O4133" s="13"/>
      <c r="P4133" s="11"/>
      <c r="Q4133" s="13"/>
      <c r="R4133" s="10"/>
      <c r="S4133" s="10"/>
    </row>
    <row r="4134" spans="1:19" x14ac:dyDescent="0.25">
      <c r="A4134" t="str">
        <f t="shared" si="65"/>
        <v/>
      </c>
      <c r="B4134" s="10"/>
      <c r="C4134" s="10"/>
      <c r="D4134" s="10"/>
      <c r="E4134" s="10"/>
      <c r="F4134" s="10"/>
      <c r="G4134" s="11"/>
      <c r="H4134" s="12"/>
      <c r="I4134" s="13"/>
      <c r="J4134" s="12"/>
      <c r="K4134" s="13"/>
      <c r="L4134" s="11"/>
      <c r="M4134" s="13"/>
      <c r="N4134" s="11"/>
      <c r="O4134" s="13"/>
      <c r="P4134" s="11"/>
      <c r="Q4134" s="13"/>
      <c r="R4134" s="10"/>
      <c r="S4134" s="10"/>
    </row>
    <row r="4135" spans="1:19" x14ac:dyDescent="0.25">
      <c r="A4135" t="str">
        <f t="shared" si="65"/>
        <v/>
      </c>
      <c r="B4135" s="10"/>
      <c r="C4135" s="10"/>
      <c r="D4135" s="10"/>
      <c r="E4135" s="10"/>
      <c r="F4135" s="10"/>
      <c r="G4135" s="11"/>
      <c r="H4135" s="12"/>
      <c r="I4135" s="13"/>
      <c r="J4135" s="12"/>
      <c r="K4135" s="13"/>
      <c r="L4135" s="11"/>
      <c r="M4135" s="13"/>
      <c r="N4135" s="11"/>
      <c r="O4135" s="13"/>
      <c r="P4135" s="11"/>
      <c r="Q4135" s="13"/>
      <c r="R4135" s="10"/>
      <c r="S4135" s="10"/>
    </row>
    <row r="4136" spans="1:19" x14ac:dyDescent="0.25">
      <c r="A4136" t="str">
        <f t="shared" si="65"/>
        <v/>
      </c>
      <c r="B4136" s="10"/>
      <c r="C4136" s="10"/>
      <c r="D4136" s="10"/>
      <c r="E4136" s="10"/>
      <c r="F4136" s="10"/>
      <c r="G4136" s="11"/>
      <c r="H4136" s="12"/>
      <c r="I4136" s="13"/>
      <c r="J4136" s="12"/>
      <c r="K4136" s="13"/>
      <c r="L4136" s="11"/>
      <c r="M4136" s="13"/>
      <c r="N4136" s="11"/>
      <c r="O4136" s="13"/>
      <c r="P4136" s="11"/>
      <c r="Q4136" s="13"/>
      <c r="R4136" s="10"/>
      <c r="S4136" s="10"/>
    </row>
    <row r="4137" spans="1:19" x14ac:dyDescent="0.25">
      <c r="A4137" t="str">
        <f t="shared" si="65"/>
        <v/>
      </c>
      <c r="B4137" s="10"/>
      <c r="C4137" s="10"/>
      <c r="D4137" s="10"/>
      <c r="E4137" s="10"/>
      <c r="F4137" s="10"/>
      <c r="G4137" s="11"/>
      <c r="H4137" s="12"/>
      <c r="I4137" s="13"/>
      <c r="J4137" s="12"/>
      <c r="K4137" s="13"/>
      <c r="L4137" s="11"/>
      <c r="M4137" s="13"/>
      <c r="N4137" s="11"/>
      <c r="O4137" s="13"/>
      <c r="P4137" s="11"/>
      <c r="Q4137" s="13"/>
      <c r="R4137" s="10"/>
      <c r="S4137" s="10"/>
    </row>
    <row r="4138" spans="1:19" x14ac:dyDescent="0.25">
      <c r="A4138" t="str">
        <f t="shared" si="65"/>
        <v/>
      </c>
      <c r="B4138" s="10"/>
      <c r="C4138" s="10"/>
      <c r="D4138" s="10"/>
      <c r="E4138" s="10"/>
      <c r="F4138" s="10"/>
      <c r="G4138" s="11"/>
      <c r="H4138" s="12"/>
      <c r="I4138" s="13"/>
      <c r="J4138" s="12"/>
      <c r="K4138" s="13"/>
      <c r="L4138" s="11"/>
      <c r="M4138" s="13"/>
      <c r="N4138" s="11"/>
      <c r="O4138" s="13"/>
      <c r="P4138" s="11"/>
      <c r="Q4138" s="13"/>
      <c r="R4138" s="10"/>
      <c r="S4138" s="10"/>
    </row>
    <row r="4139" spans="1:19" x14ac:dyDescent="0.25">
      <c r="A4139" t="str">
        <f t="shared" si="65"/>
        <v/>
      </c>
      <c r="B4139" s="10"/>
      <c r="C4139" s="10"/>
      <c r="D4139" s="10"/>
      <c r="E4139" s="10"/>
      <c r="F4139" s="10"/>
      <c r="G4139" s="11"/>
      <c r="H4139" s="12"/>
      <c r="I4139" s="13"/>
      <c r="J4139" s="12"/>
      <c r="K4139" s="13"/>
      <c r="L4139" s="11"/>
      <c r="M4139" s="13"/>
      <c r="N4139" s="11"/>
      <c r="O4139" s="13"/>
      <c r="P4139" s="11"/>
      <c r="Q4139" s="13"/>
      <c r="R4139" s="10"/>
      <c r="S4139" s="10"/>
    </row>
    <row r="4140" spans="1:19" x14ac:dyDescent="0.25">
      <c r="A4140" t="str">
        <f t="shared" si="65"/>
        <v/>
      </c>
      <c r="B4140" s="10"/>
      <c r="C4140" s="10"/>
      <c r="D4140" s="10"/>
      <c r="E4140" s="10"/>
      <c r="F4140" s="10"/>
      <c r="G4140" s="11"/>
      <c r="H4140" s="12"/>
      <c r="I4140" s="13"/>
      <c r="J4140" s="12"/>
      <c r="K4140" s="13"/>
      <c r="L4140" s="11"/>
      <c r="M4140" s="13"/>
      <c r="N4140" s="11"/>
      <c r="O4140" s="13"/>
      <c r="P4140" s="11"/>
      <c r="Q4140" s="13"/>
      <c r="R4140" s="10"/>
      <c r="S4140" s="10"/>
    </row>
    <row r="4141" spans="1:19" x14ac:dyDescent="0.25">
      <c r="A4141" t="str">
        <f t="shared" si="65"/>
        <v/>
      </c>
      <c r="B4141" s="10"/>
      <c r="C4141" s="10"/>
      <c r="D4141" s="10"/>
      <c r="E4141" s="10"/>
      <c r="F4141" s="10"/>
      <c r="G4141" s="11"/>
      <c r="H4141" s="12"/>
      <c r="I4141" s="13"/>
      <c r="J4141" s="12"/>
      <c r="K4141" s="13"/>
      <c r="L4141" s="11"/>
      <c r="M4141" s="13"/>
      <c r="N4141" s="11"/>
      <c r="O4141" s="13"/>
      <c r="P4141" s="11"/>
      <c r="Q4141" s="13"/>
      <c r="R4141" s="10"/>
      <c r="S4141" s="10"/>
    </row>
    <row r="4142" spans="1:19" x14ac:dyDescent="0.25">
      <c r="A4142" t="str">
        <f t="shared" si="65"/>
        <v/>
      </c>
      <c r="B4142" s="10"/>
      <c r="C4142" s="10"/>
      <c r="D4142" s="10"/>
      <c r="E4142" s="10"/>
      <c r="F4142" s="10"/>
      <c r="G4142" s="11"/>
      <c r="H4142" s="12"/>
      <c r="I4142" s="13"/>
      <c r="J4142" s="12"/>
      <c r="K4142" s="13"/>
      <c r="L4142" s="11"/>
      <c r="M4142" s="13"/>
      <c r="N4142" s="11"/>
      <c r="O4142" s="13"/>
      <c r="P4142" s="11"/>
      <c r="Q4142" s="13"/>
      <c r="R4142" s="10"/>
      <c r="S4142" s="10"/>
    </row>
    <row r="4143" spans="1:19" x14ac:dyDescent="0.25">
      <c r="A4143" t="str">
        <f t="shared" si="65"/>
        <v/>
      </c>
      <c r="B4143" s="10"/>
      <c r="C4143" s="10"/>
      <c r="D4143" s="10"/>
      <c r="E4143" s="10"/>
      <c r="F4143" s="10"/>
      <c r="G4143" s="11"/>
      <c r="H4143" s="12"/>
      <c r="I4143" s="13"/>
      <c r="J4143" s="12"/>
      <c r="K4143" s="13"/>
      <c r="L4143" s="11"/>
      <c r="M4143" s="13"/>
      <c r="N4143" s="11"/>
      <c r="O4143" s="13"/>
      <c r="P4143" s="11"/>
      <c r="Q4143" s="13"/>
      <c r="R4143" s="10"/>
      <c r="S4143" s="10"/>
    </row>
    <row r="4144" spans="1:19" x14ac:dyDescent="0.25">
      <c r="A4144" t="str">
        <f t="shared" si="65"/>
        <v/>
      </c>
      <c r="B4144" s="10"/>
      <c r="C4144" s="10"/>
      <c r="D4144" s="10"/>
      <c r="E4144" s="10"/>
      <c r="F4144" s="10"/>
      <c r="G4144" s="11"/>
      <c r="H4144" s="12"/>
      <c r="I4144" s="13"/>
      <c r="J4144" s="12"/>
      <c r="K4144" s="13"/>
      <c r="L4144" s="11"/>
      <c r="M4144" s="13"/>
      <c r="N4144" s="11"/>
      <c r="O4144" s="13"/>
      <c r="P4144" s="11"/>
      <c r="Q4144" s="13"/>
      <c r="R4144" s="10"/>
      <c r="S4144" s="10"/>
    </row>
    <row r="4145" spans="1:19" x14ac:dyDescent="0.25">
      <c r="A4145" t="str">
        <f t="shared" si="65"/>
        <v/>
      </c>
      <c r="B4145" s="10"/>
      <c r="C4145" s="10"/>
      <c r="D4145" s="10"/>
      <c r="E4145" s="10"/>
      <c r="F4145" s="10"/>
      <c r="G4145" s="11"/>
      <c r="H4145" s="12"/>
      <c r="I4145" s="13"/>
      <c r="J4145" s="12"/>
      <c r="K4145" s="13"/>
      <c r="L4145" s="11"/>
      <c r="M4145" s="13"/>
      <c r="N4145" s="11"/>
      <c r="O4145" s="13"/>
      <c r="P4145" s="11"/>
      <c r="Q4145" s="13"/>
      <c r="R4145" s="10"/>
      <c r="S4145" s="10"/>
    </row>
    <row r="4146" spans="1:19" x14ac:dyDescent="0.25">
      <c r="A4146" t="str">
        <f t="shared" si="65"/>
        <v/>
      </c>
      <c r="B4146" s="10"/>
      <c r="C4146" s="10"/>
      <c r="D4146" s="10"/>
      <c r="E4146" s="10"/>
      <c r="F4146" s="10"/>
      <c r="G4146" s="11"/>
      <c r="H4146" s="12"/>
      <c r="I4146" s="13"/>
      <c r="J4146" s="12"/>
      <c r="K4146" s="13"/>
      <c r="L4146" s="11"/>
      <c r="M4146" s="13"/>
      <c r="N4146" s="11"/>
      <c r="O4146" s="13"/>
      <c r="P4146" s="11"/>
      <c r="Q4146" s="13"/>
      <c r="R4146" s="10"/>
      <c r="S4146" s="10"/>
    </row>
    <row r="4147" spans="1:19" x14ac:dyDescent="0.25">
      <c r="A4147" t="str">
        <f t="shared" si="65"/>
        <v/>
      </c>
      <c r="B4147" s="10"/>
      <c r="C4147" s="10"/>
      <c r="D4147" s="10"/>
      <c r="E4147" s="10"/>
      <c r="F4147" s="10"/>
      <c r="G4147" s="11"/>
      <c r="H4147" s="12"/>
      <c r="I4147" s="13"/>
      <c r="J4147" s="12"/>
      <c r="K4147" s="13"/>
      <c r="L4147" s="11"/>
      <c r="M4147" s="13"/>
      <c r="N4147" s="11"/>
      <c r="O4147" s="13"/>
      <c r="P4147" s="11"/>
      <c r="Q4147" s="13"/>
      <c r="R4147" s="10"/>
      <c r="S4147" s="10"/>
    </row>
    <row r="4148" spans="1:19" x14ac:dyDescent="0.25">
      <c r="A4148" t="str">
        <f t="shared" si="65"/>
        <v/>
      </c>
      <c r="B4148" s="10"/>
      <c r="C4148" s="10"/>
      <c r="D4148" s="10"/>
      <c r="E4148" s="10"/>
      <c r="F4148" s="10"/>
      <c r="G4148" s="11"/>
      <c r="H4148" s="12"/>
      <c r="I4148" s="13"/>
      <c r="J4148" s="12"/>
      <c r="K4148" s="13"/>
      <c r="L4148" s="11"/>
      <c r="M4148" s="13"/>
      <c r="N4148" s="11"/>
      <c r="O4148" s="13"/>
      <c r="P4148" s="11"/>
      <c r="Q4148" s="13"/>
      <c r="R4148" s="10"/>
      <c r="S4148" s="10"/>
    </row>
    <row r="4149" spans="1:19" x14ac:dyDescent="0.25">
      <c r="A4149" t="str">
        <f t="shared" ref="A4149:A4212" si="66">B4147&amp;D4147</f>
        <v/>
      </c>
      <c r="B4149" s="10"/>
      <c r="C4149" s="10"/>
      <c r="D4149" s="10"/>
      <c r="E4149" s="10"/>
      <c r="F4149" s="10"/>
      <c r="G4149" s="11"/>
      <c r="H4149" s="12"/>
      <c r="I4149" s="13"/>
      <c r="J4149" s="12"/>
      <c r="K4149" s="13"/>
      <c r="L4149" s="11"/>
      <c r="M4149" s="13"/>
      <c r="N4149" s="11"/>
      <c r="O4149" s="13"/>
      <c r="P4149" s="11"/>
      <c r="Q4149" s="13"/>
      <c r="R4149" s="10"/>
      <c r="S4149" s="10"/>
    </row>
    <row r="4150" spans="1:19" x14ac:dyDescent="0.25">
      <c r="A4150" t="str">
        <f t="shared" si="66"/>
        <v/>
      </c>
      <c r="B4150" s="10"/>
      <c r="C4150" s="10"/>
      <c r="D4150" s="10"/>
      <c r="E4150" s="10"/>
      <c r="F4150" s="10"/>
      <c r="G4150" s="11"/>
      <c r="H4150" s="12"/>
      <c r="I4150" s="13"/>
      <c r="J4150" s="12"/>
      <c r="K4150" s="13"/>
      <c r="L4150" s="11"/>
      <c r="M4150" s="13"/>
      <c r="N4150" s="11"/>
      <c r="O4150" s="13"/>
      <c r="P4150" s="11"/>
      <c r="Q4150" s="13"/>
      <c r="R4150" s="10"/>
      <c r="S4150" s="10"/>
    </row>
    <row r="4151" spans="1:19" x14ac:dyDescent="0.25">
      <c r="A4151" t="str">
        <f t="shared" si="66"/>
        <v/>
      </c>
      <c r="B4151" s="10"/>
      <c r="C4151" s="10"/>
      <c r="D4151" s="10"/>
      <c r="E4151" s="10"/>
      <c r="F4151" s="10"/>
      <c r="G4151" s="11"/>
      <c r="H4151" s="12"/>
      <c r="I4151" s="13"/>
      <c r="J4151" s="12"/>
      <c r="K4151" s="13"/>
      <c r="L4151" s="11"/>
      <c r="M4151" s="13"/>
      <c r="N4151" s="11"/>
      <c r="O4151" s="13"/>
      <c r="P4151" s="11"/>
      <c r="Q4151" s="13"/>
      <c r="R4151" s="10"/>
      <c r="S4151" s="10"/>
    </row>
    <row r="4152" spans="1:19" x14ac:dyDescent="0.25">
      <c r="A4152" t="str">
        <f t="shared" si="66"/>
        <v/>
      </c>
      <c r="B4152" s="10"/>
      <c r="C4152" s="10"/>
      <c r="D4152" s="10"/>
      <c r="E4152" s="10"/>
      <c r="F4152" s="10"/>
      <c r="G4152" s="11"/>
      <c r="H4152" s="12"/>
      <c r="I4152" s="13"/>
      <c r="J4152" s="12"/>
      <c r="K4152" s="13"/>
      <c r="L4152" s="11"/>
      <c r="M4152" s="13"/>
      <c r="N4152" s="11"/>
      <c r="O4152" s="13"/>
      <c r="P4152" s="11"/>
      <c r="Q4152" s="13"/>
      <c r="R4152" s="10"/>
      <c r="S4152" s="10"/>
    </row>
    <row r="4153" spans="1:19" x14ac:dyDescent="0.25">
      <c r="A4153" t="str">
        <f t="shared" si="66"/>
        <v/>
      </c>
      <c r="B4153" s="10"/>
      <c r="C4153" s="10"/>
      <c r="D4153" s="10"/>
      <c r="E4153" s="10"/>
      <c r="F4153" s="10"/>
      <c r="G4153" s="11"/>
      <c r="H4153" s="12"/>
      <c r="I4153" s="13"/>
      <c r="J4153" s="12"/>
      <c r="K4153" s="13"/>
      <c r="L4153" s="11"/>
      <c r="M4153" s="13"/>
      <c r="N4153" s="11"/>
      <c r="O4153" s="13"/>
      <c r="P4153" s="11"/>
      <c r="Q4153" s="13"/>
      <c r="R4153" s="10"/>
      <c r="S4153" s="10"/>
    </row>
    <row r="4154" spans="1:19" x14ac:dyDescent="0.25">
      <c r="A4154" t="str">
        <f t="shared" si="66"/>
        <v/>
      </c>
      <c r="B4154" s="10"/>
      <c r="C4154" s="10"/>
      <c r="D4154" s="10"/>
      <c r="E4154" s="10"/>
      <c r="F4154" s="10"/>
      <c r="G4154" s="11"/>
      <c r="H4154" s="12"/>
      <c r="I4154" s="13"/>
      <c r="J4154" s="12"/>
      <c r="K4154" s="13"/>
      <c r="L4154" s="11"/>
      <c r="M4154" s="13"/>
      <c r="N4154" s="11"/>
      <c r="O4154" s="13"/>
      <c r="P4154" s="11"/>
      <c r="Q4154" s="13"/>
      <c r="R4154" s="10"/>
      <c r="S4154" s="10"/>
    </row>
    <row r="4155" spans="1:19" x14ac:dyDescent="0.25">
      <c r="A4155" t="str">
        <f t="shared" si="66"/>
        <v/>
      </c>
      <c r="B4155" s="10"/>
      <c r="C4155" s="10"/>
      <c r="D4155" s="10"/>
      <c r="E4155" s="10"/>
      <c r="F4155" s="10"/>
      <c r="G4155" s="11"/>
      <c r="H4155" s="12"/>
      <c r="I4155" s="13"/>
      <c r="J4155" s="12"/>
      <c r="K4155" s="13"/>
      <c r="L4155" s="11"/>
      <c r="M4155" s="13"/>
      <c r="N4155" s="11"/>
      <c r="O4155" s="13"/>
      <c r="P4155" s="11"/>
      <c r="Q4155" s="13"/>
      <c r="R4155" s="10"/>
      <c r="S4155" s="10"/>
    </row>
    <row r="4156" spans="1:19" x14ac:dyDescent="0.25">
      <c r="A4156" t="str">
        <f t="shared" si="66"/>
        <v/>
      </c>
      <c r="B4156" s="10"/>
      <c r="C4156" s="10"/>
      <c r="D4156" s="10"/>
      <c r="E4156" s="10"/>
      <c r="F4156" s="10"/>
      <c r="G4156" s="11"/>
      <c r="H4156" s="12"/>
      <c r="I4156" s="13"/>
      <c r="J4156" s="12"/>
      <c r="K4156" s="13"/>
      <c r="L4156" s="11"/>
      <c r="M4156" s="13"/>
      <c r="N4156" s="11"/>
      <c r="O4156" s="13"/>
      <c r="P4156" s="11"/>
      <c r="Q4156" s="13"/>
      <c r="R4156" s="10"/>
      <c r="S4156" s="10"/>
    </row>
    <row r="4157" spans="1:19" x14ac:dyDescent="0.25">
      <c r="A4157" t="str">
        <f t="shared" si="66"/>
        <v/>
      </c>
      <c r="B4157" s="10"/>
      <c r="C4157" s="10"/>
      <c r="D4157" s="10"/>
      <c r="E4157" s="10"/>
      <c r="F4157" s="10"/>
      <c r="G4157" s="11"/>
      <c r="H4157" s="12"/>
      <c r="I4157" s="13"/>
      <c r="J4157" s="12"/>
      <c r="K4157" s="13"/>
      <c r="L4157" s="11"/>
      <c r="M4157" s="13"/>
      <c r="N4157" s="11"/>
      <c r="O4157" s="13"/>
      <c r="P4157" s="11"/>
      <c r="Q4157" s="13"/>
      <c r="R4157" s="10"/>
      <c r="S4157" s="10"/>
    </row>
    <row r="4158" spans="1:19" x14ac:dyDescent="0.25">
      <c r="A4158" t="str">
        <f t="shared" si="66"/>
        <v/>
      </c>
      <c r="B4158" s="10"/>
      <c r="C4158" s="10"/>
      <c r="D4158" s="10"/>
      <c r="E4158" s="10"/>
      <c r="F4158" s="10"/>
      <c r="G4158" s="11"/>
      <c r="H4158" s="12"/>
      <c r="I4158" s="13"/>
      <c r="J4158" s="12"/>
      <c r="K4158" s="13"/>
      <c r="L4158" s="11"/>
      <c r="M4158" s="13"/>
      <c r="N4158" s="11"/>
      <c r="O4158" s="13"/>
      <c r="P4158" s="11"/>
      <c r="Q4158" s="13"/>
      <c r="R4158" s="10"/>
      <c r="S4158" s="10"/>
    </row>
    <row r="4159" spans="1:19" x14ac:dyDescent="0.25">
      <c r="A4159" t="str">
        <f t="shared" si="66"/>
        <v/>
      </c>
      <c r="B4159" s="10"/>
      <c r="C4159" s="10"/>
      <c r="D4159" s="10"/>
      <c r="E4159" s="10"/>
      <c r="F4159" s="10"/>
      <c r="G4159" s="11"/>
      <c r="H4159" s="12"/>
      <c r="I4159" s="13"/>
      <c r="J4159" s="12"/>
      <c r="K4159" s="13"/>
      <c r="L4159" s="11"/>
      <c r="M4159" s="13"/>
      <c r="N4159" s="11"/>
      <c r="O4159" s="13"/>
      <c r="P4159" s="11"/>
      <c r="Q4159" s="13"/>
      <c r="R4159" s="10"/>
      <c r="S4159" s="10"/>
    </row>
    <row r="4160" spans="1:19" x14ac:dyDescent="0.25">
      <c r="A4160" t="str">
        <f t="shared" si="66"/>
        <v/>
      </c>
      <c r="B4160" s="10"/>
      <c r="C4160" s="10"/>
      <c r="D4160" s="10"/>
      <c r="E4160" s="10"/>
      <c r="F4160" s="10"/>
      <c r="G4160" s="11"/>
      <c r="H4160" s="12"/>
      <c r="I4160" s="13"/>
      <c r="J4160" s="12"/>
      <c r="K4160" s="13"/>
      <c r="L4160" s="11"/>
      <c r="M4160" s="13"/>
      <c r="N4160" s="11"/>
      <c r="O4160" s="13"/>
      <c r="P4160" s="11"/>
      <c r="Q4160" s="13"/>
      <c r="R4160" s="10"/>
      <c r="S4160" s="10"/>
    </row>
    <row r="4161" spans="1:19" x14ac:dyDescent="0.25">
      <c r="A4161" t="str">
        <f t="shared" si="66"/>
        <v/>
      </c>
      <c r="B4161" s="10"/>
      <c r="C4161" s="10"/>
      <c r="D4161" s="10"/>
      <c r="E4161" s="10"/>
      <c r="F4161" s="10"/>
      <c r="G4161" s="11"/>
      <c r="H4161" s="12"/>
      <c r="I4161" s="13"/>
      <c r="J4161" s="12"/>
      <c r="K4161" s="13"/>
      <c r="L4161" s="11"/>
      <c r="M4161" s="13"/>
      <c r="N4161" s="11"/>
      <c r="O4161" s="13"/>
      <c r="P4161" s="11"/>
      <c r="Q4161" s="13"/>
      <c r="R4161" s="10"/>
      <c r="S4161" s="10"/>
    </row>
    <row r="4162" spans="1:19" x14ac:dyDescent="0.25">
      <c r="A4162" t="str">
        <f t="shared" si="66"/>
        <v/>
      </c>
      <c r="B4162" s="10"/>
      <c r="C4162" s="10"/>
      <c r="D4162" s="10"/>
      <c r="E4162" s="10"/>
      <c r="F4162" s="10"/>
      <c r="G4162" s="11"/>
      <c r="H4162" s="12"/>
      <c r="I4162" s="13"/>
      <c r="J4162" s="12"/>
      <c r="K4162" s="13"/>
      <c r="L4162" s="11"/>
      <c r="M4162" s="13"/>
      <c r="N4162" s="11"/>
      <c r="O4162" s="13"/>
      <c r="P4162" s="11"/>
      <c r="Q4162" s="13"/>
      <c r="R4162" s="10"/>
      <c r="S4162" s="10"/>
    </row>
    <row r="4163" spans="1:19" x14ac:dyDescent="0.25">
      <c r="A4163" t="str">
        <f t="shared" si="66"/>
        <v/>
      </c>
      <c r="B4163" s="10"/>
      <c r="C4163" s="10"/>
      <c r="D4163" s="10"/>
      <c r="E4163" s="10"/>
      <c r="F4163" s="10"/>
      <c r="G4163" s="11"/>
      <c r="H4163" s="12"/>
      <c r="I4163" s="13"/>
      <c r="J4163" s="12"/>
      <c r="K4163" s="13"/>
      <c r="L4163" s="11"/>
      <c r="M4163" s="13"/>
      <c r="N4163" s="11"/>
      <c r="O4163" s="13"/>
      <c r="P4163" s="11"/>
      <c r="Q4163" s="13"/>
      <c r="R4163" s="10"/>
      <c r="S4163" s="10"/>
    </row>
    <row r="4164" spans="1:19" x14ac:dyDescent="0.25">
      <c r="A4164" t="str">
        <f t="shared" si="66"/>
        <v/>
      </c>
      <c r="B4164" s="10"/>
      <c r="C4164" s="10"/>
      <c r="D4164" s="10"/>
      <c r="E4164" s="10"/>
      <c r="F4164" s="10"/>
      <c r="G4164" s="11"/>
      <c r="H4164" s="12"/>
      <c r="I4164" s="13"/>
      <c r="J4164" s="12"/>
      <c r="K4164" s="13"/>
      <c r="L4164" s="11"/>
      <c r="M4164" s="13"/>
      <c r="N4164" s="11"/>
      <c r="O4164" s="13"/>
      <c r="P4164" s="11"/>
      <c r="Q4164" s="13"/>
      <c r="R4164" s="10"/>
      <c r="S4164" s="10"/>
    </row>
    <row r="4165" spans="1:19" x14ac:dyDescent="0.25">
      <c r="A4165" t="str">
        <f t="shared" si="66"/>
        <v/>
      </c>
      <c r="B4165" s="10"/>
      <c r="C4165" s="10"/>
      <c r="D4165" s="10"/>
      <c r="E4165" s="10"/>
      <c r="F4165" s="10"/>
      <c r="G4165" s="11"/>
      <c r="H4165" s="12"/>
      <c r="I4165" s="13"/>
      <c r="J4165" s="12"/>
      <c r="K4165" s="13"/>
      <c r="L4165" s="11"/>
      <c r="M4165" s="13"/>
      <c r="N4165" s="11"/>
      <c r="O4165" s="13"/>
      <c r="P4165" s="11"/>
      <c r="Q4165" s="13"/>
      <c r="R4165" s="10"/>
      <c r="S4165" s="10"/>
    </row>
    <row r="4166" spans="1:19" x14ac:dyDescent="0.25">
      <c r="A4166" t="str">
        <f t="shared" si="66"/>
        <v/>
      </c>
      <c r="B4166" s="10"/>
      <c r="C4166" s="10"/>
      <c r="D4166" s="10"/>
      <c r="E4166" s="10"/>
      <c r="F4166" s="10"/>
      <c r="G4166" s="11"/>
      <c r="H4166" s="12"/>
      <c r="I4166" s="13"/>
      <c r="J4166" s="12"/>
      <c r="K4166" s="13"/>
      <c r="L4166" s="11"/>
      <c r="M4166" s="13"/>
      <c r="N4166" s="11"/>
      <c r="O4166" s="13"/>
      <c r="P4166" s="11"/>
      <c r="Q4166" s="13"/>
      <c r="R4166" s="10"/>
      <c r="S4166" s="10"/>
    </row>
    <row r="4167" spans="1:19" x14ac:dyDescent="0.25">
      <c r="A4167" t="str">
        <f t="shared" si="66"/>
        <v/>
      </c>
      <c r="B4167" s="10"/>
      <c r="C4167" s="10"/>
      <c r="D4167" s="10"/>
      <c r="E4167" s="10"/>
      <c r="F4167" s="10"/>
      <c r="G4167" s="11"/>
      <c r="H4167" s="12"/>
      <c r="I4167" s="13"/>
      <c r="J4167" s="12"/>
      <c r="K4167" s="13"/>
      <c r="L4167" s="11"/>
      <c r="M4167" s="13"/>
      <c r="N4167" s="11"/>
      <c r="O4167" s="13"/>
      <c r="P4167" s="11"/>
      <c r="Q4167" s="13"/>
      <c r="R4167" s="10"/>
      <c r="S4167" s="10"/>
    </row>
    <row r="4168" spans="1:19" x14ac:dyDescent="0.25">
      <c r="A4168" t="str">
        <f t="shared" si="66"/>
        <v/>
      </c>
      <c r="B4168" s="10"/>
      <c r="C4168" s="10"/>
      <c r="D4168" s="10"/>
      <c r="E4168" s="10"/>
      <c r="F4168" s="10"/>
      <c r="G4168" s="11"/>
      <c r="H4168" s="12"/>
      <c r="I4168" s="13"/>
      <c r="J4168" s="12"/>
      <c r="K4168" s="13"/>
      <c r="L4168" s="11"/>
      <c r="M4168" s="13"/>
      <c r="N4168" s="11"/>
      <c r="O4168" s="13"/>
      <c r="P4168" s="11"/>
      <c r="Q4168" s="13"/>
      <c r="R4168" s="10"/>
      <c r="S4168" s="10"/>
    </row>
    <row r="4169" spans="1:19" x14ac:dyDescent="0.25">
      <c r="A4169" t="str">
        <f t="shared" si="66"/>
        <v/>
      </c>
      <c r="B4169" s="10"/>
      <c r="C4169" s="10"/>
      <c r="D4169" s="10"/>
      <c r="E4169" s="10"/>
      <c r="F4169" s="10"/>
      <c r="G4169" s="11"/>
      <c r="H4169" s="12"/>
      <c r="I4169" s="13"/>
      <c r="J4169" s="12"/>
      <c r="K4169" s="13"/>
      <c r="L4169" s="11"/>
      <c r="M4169" s="13"/>
      <c r="N4169" s="11"/>
      <c r="O4169" s="13"/>
      <c r="P4169" s="11"/>
      <c r="Q4169" s="13"/>
      <c r="R4169" s="10"/>
      <c r="S4169" s="10"/>
    </row>
    <row r="4170" spans="1:19" x14ac:dyDescent="0.25">
      <c r="A4170" t="str">
        <f t="shared" si="66"/>
        <v/>
      </c>
      <c r="B4170" s="10"/>
      <c r="C4170" s="10"/>
      <c r="D4170" s="10"/>
      <c r="E4170" s="10"/>
      <c r="F4170" s="10"/>
      <c r="G4170" s="11"/>
      <c r="H4170" s="12"/>
      <c r="I4170" s="13"/>
      <c r="J4170" s="12"/>
      <c r="K4170" s="13"/>
      <c r="L4170" s="11"/>
      <c r="M4170" s="13"/>
      <c r="N4170" s="11"/>
      <c r="O4170" s="13"/>
      <c r="P4170" s="11"/>
      <c r="Q4170" s="13"/>
      <c r="R4170" s="10"/>
      <c r="S4170" s="10"/>
    </row>
    <row r="4171" spans="1:19" x14ac:dyDescent="0.25">
      <c r="A4171" t="str">
        <f t="shared" si="66"/>
        <v/>
      </c>
      <c r="B4171" s="10"/>
      <c r="C4171" s="10"/>
      <c r="D4171" s="10"/>
      <c r="E4171" s="10"/>
      <c r="F4171" s="10"/>
      <c r="G4171" s="11"/>
      <c r="H4171" s="12"/>
      <c r="I4171" s="13"/>
      <c r="J4171" s="12"/>
      <c r="K4171" s="13"/>
      <c r="L4171" s="11"/>
      <c r="M4171" s="13"/>
      <c r="N4171" s="11"/>
      <c r="O4171" s="13"/>
      <c r="P4171" s="11"/>
      <c r="Q4171" s="13"/>
      <c r="R4171" s="10"/>
      <c r="S4171" s="10"/>
    </row>
    <row r="4172" spans="1:19" x14ac:dyDescent="0.25">
      <c r="A4172" t="str">
        <f t="shared" si="66"/>
        <v/>
      </c>
      <c r="B4172" s="10"/>
      <c r="C4172" s="10"/>
      <c r="D4172" s="10"/>
      <c r="E4172" s="10"/>
      <c r="F4172" s="10"/>
      <c r="G4172" s="11"/>
      <c r="H4172" s="12"/>
      <c r="I4172" s="13"/>
      <c r="J4172" s="12"/>
      <c r="K4172" s="13"/>
      <c r="L4172" s="11"/>
      <c r="M4172" s="13"/>
      <c r="N4172" s="11"/>
      <c r="O4172" s="13"/>
      <c r="P4172" s="11"/>
      <c r="Q4172" s="13"/>
      <c r="R4172" s="10"/>
      <c r="S4172" s="10"/>
    </row>
    <row r="4173" spans="1:19" x14ac:dyDescent="0.25">
      <c r="A4173" t="str">
        <f t="shared" si="66"/>
        <v/>
      </c>
      <c r="B4173" s="10"/>
      <c r="C4173" s="10"/>
      <c r="D4173" s="10"/>
      <c r="E4173" s="10"/>
      <c r="F4173" s="10"/>
      <c r="G4173" s="11"/>
      <c r="H4173" s="12"/>
      <c r="I4173" s="13"/>
      <c r="J4173" s="12"/>
      <c r="K4173" s="13"/>
      <c r="L4173" s="11"/>
      <c r="M4173" s="13"/>
      <c r="N4173" s="11"/>
      <c r="O4173" s="13"/>
      <c r="P4173" s="11"/>
      <c r="Q4173" s="13"/>
      <c r="R4173" s="10"/>
      <c r="S4173" s="10"/>
    </row>
    <row r="4174" spans="1:19" x14ac:dyDescent="0.25">
      <c r="A4174" t="str">
        <f t="shared" si="66"/>
        <v/>
      </c>
      <c r="B4174" s="10"/>
      <c r="C4174" s="10"/>
      <c r="D4174" s="10"/>
      <c r="E4174" s="10"/>
      <c r="F4174" s="10"/>
      <c r="G4174" s="11"/>
      <c r="H4174" s="12"/>
      <c r="I4174" s="13"/>
      <c r="J4174" s="12"/>
      <c r="K4174" s="13"/>
      <c r="L4174" s="11"/>
      <c r="M4174" s="13"/>
      <c r="N4174" s="11"/>
      <c r="O4174" s="13"/>
      <c r="P4174" s="11"/>
      <c r="Q4174" s="13"/>
      <c r="R4174" s="10"/>
      <c r="S4174" s="10"/>
    </row>
    <row r="4175" spans="1:19" x14ac:dyDescent="0.25">
      <c r="A4175" t="str">
        <f t="shared" si="66"/>
        <v/>
      </c>
      <c r="B4175" s="10"/>
      <c r="C4175" s="10"/>
      <c r="D4175" s="10"/>
      <c r="E4175" s="10"/>
      <c r="F4175" s="10"/>
      <c r="G4175" s="11"/>
      <c r="H4175" s="12"/>
      <c r="I4175" s="13"/>
      <c r="J4175" s="12"/>
      <c r="K4175" s="13"/>
      <c r="L4175" s="11"/>
      <c r="M4175" s="13"/>
      <c r="N4175" s="11"/>
      <c r="O4175" s="13"/>
      <c r="P4175" s="11"/>
      <c r="Q4175" s="13"/>
      <c r="R4175" s="10"/>
      <c r="S4175" s="10"/>
    </row>
    <row r="4176" spans="1:19" x14ac:dyDescent="0.25">
      <c r="A4176" t="str">
        <f t="shared" si="66"/>
        <v/>
      </c>
      <c r="B4176" s="10"/>
      <c r="C4176" s="10"/>
      <c r="D4176" s="10"/>
      <c r="E4176" s="10"/>
      <c r="F4176" s="10"/>
      <c r="G4176" s="11"/>
      <c r="H4176" s="12"/>
      <c r="I4176" s="13"/>
      <c r="J4176" s="12"/>
      <c r="K4176" s="13"/>
      <c r="L4176" s="11"/>
      <c r="M4176" s="13"/>
      <c r="N4176" s="11"/>
      <c r="O4176" s="13"/>
      <c r="P4176" s="11"/>
      <c r="Q4176" s="13"/>
      <c r="R4176" s="10"/>
      <c r="S4176" s="10"/>
    </row>
    <row r="4177" spans="1:19" x14ac:dyDescent="0.25">
      <c r="A4177" t="str">
        <f t="shared" si="66"/>
        <v/>
      </c>
      <c r="B4177" s="10"/>
      <c r="C4177" s="10"/>
      <c r="D4177" s="10"/>
      <c r="E4177" s="10"/>
      <c r="F4177" s="10"/>
      <c r="G4177" s="11"/>
      <c r="H4177" s="12"/>
      <c r="I4177" s="13"/>
      <c r="J4177" s="12"/>
      <c r="K4177" s="13"/>
      <c r="L4177" s="11"/>
      <c r="M4177" s="13"/>
      <c r="N4177" s="11"/>
      <c r="O4177" s="13"/>
      <c r="P4177" s="11"/>
      <c r="Q4177" s="13"/>
      <c r="R4177" s="10"/>
      <c r="S4177" s="10"/>
    </row>
    <row r="4178" spans="1:19" x14ac:dyDescent="0.25">
      <c r="A4178" t="str">
        <f t="shared" si="66"/>
        <v/>
      </c>
      <c r="B4178" s="10"/>
      <c r="C4178" s="10"/>
      <c r="D4178" s="10"/>
      <c r="E4178" s="10"/>
      <c r="F4178" s="10"/>
      <c r="G4178" s="11"/>
      <c r="H4178" s="12"/>
      <c r="I4178" s="13"/>
      <c r="J4178" s="12"/>
      <c r="K4178" s="13"/>
      <c r="L4178" s="11"/>
      <c r="M4178" s="13"/>
      <c r="N4178" s="11"/>
      <c r="O4178" s="13"/>
      <c r="P4178" s="11"/>
      <c r="Q4178" s="13"/>
      <c r="R4178" s="10"/>
      <c r="S4178" s="10"/>
    </row>
    <row r="4179" spans="1:19" x14ac:dyDescent="0.25">
      <c r="A4179" t="str">
        <f t="shared" si="66"/>
        <v/>
      </c>
      <c r="B4179" s="10"/>
      <c r="C4179" s="10"/>
      <c r="D4179" s="10"/>
      <c r="E4179" s="10"/>
      <c r="F4179" s="10"/>
      <c r="G4179" s="11"/>
      <c r="H4179" s="12"/>
      <c r="I4179" s="13"/>
      <c r="J4179" s="12"/>
      <c r="K4179" s="13"/>
      <c r="L4179" s="11"/>
      <c r="M4179" s="13"/>
      <c r="N4179" s="11"/>
      <c r="O4179" s="13"/>
      <c r="P4179" s="11"/>
      <c r="Q4179" s="13"/>
      <c r="R4179" s="10"/>
      <c r="S4179" s="10"/>
    </row>
    <row r="4180" spans="1:19" x14ac:dyDescent="0.25">
      <c r="A4180" t="str">
        <f t="shared" si="66"/>
        <v/>
      </c>
      <c r="B4180" s="10"/>
      <c r="C4180" s="10"/>
      <c r="D4180" s="10"/>
      <c r="E4180" s="10"/>
      <c r="F4180" s="10"/>
      <c r="G4180" s="11"/>
      <c r="H4180" s="12"/>
      <c r="I4180" s="13"/>
      <c r="J4180" s="12"/>
      <c r="K4180" s="13"/>
      <c r="L4180" s="11"/>
      <c r="M4180" s="13"/>
      <c r="N4180" s="11"/>
      <c r="O4180" s="13"/>
      <c r="P4180" s="11"/>
      <c r="Q4180" s="13"/>
      <c r="R4180" s="10"/>
      <c r="S4180" s="10"/>
    </row>
    <row r="4181" spans="1:19" x14ac:dyDescent="0.25">
      <c r="A4181" t="str">
        <f t="shared" si="66"/>
        <v/>
      </c>
      <c r="B4181" s="10"/>
      <c r="C4181" s="10"/>
      <c r="D4181" s="10"/>
      <c r="E4181" s="10"/>
      <c r="F4181" s="10"/>
      <c r="G4181" s="11"/>
      <c r="H4181" s="12"/>
      <c r="I4181" s="13"/>
      <c r="J4181" s="12"/>
      <c r="K4181" s="13"/>
      <c r="L4181" s="11"/>
      <c r="M4181" s="13"/>
      <c r="N4181" s="11"/>
      <c r="O4181" s="13"/>
      <c r="P4181" s="11"/>
      <c r="Q4181" s="13"/>
      <c r="R4181" s="10"/>
      <c r="S4181" s="10"/>
    </row>
    <row r="4182" spans="1:19" x14ac:dyDescent="0.25">
      <c r="A4182" t="str">
        <f t="shared" si="66"/>
        <v/>
      </c>
      <c r="B4182" s="10"/>
      <c r="C4182" s="10"/>
      <c r="D4182" s="10"/>
      <c r="E4182" s="10"/>
      <c r="F4182" s="10"/>
      <c r="G4182" s="11"/>
      <c r="H4182" s="12"/>
      <c r="I4182" s="13"/>
      <c r="J4182" s="12"/>
      <c r="K4182" s="13"/>
      <c r="L4182" s="11"/>
      <c r="M4182" s="13"/>
      <c r="N4182" s="11"/>
      <c r="O4182" s="13"/>
      <c r="P4182" s="11"/>
      <c r="Q4182" s="13"/>
      <c r="R4182" s="10"/>
      <c r="S4182" s="10"/>
    </row>
    <row r="4183" spans="1:19" x14ac:dyDescent="0.25">
      <c r="A4183" t="str">
        <f t="shared" si="66"/>
        <v/>
      </c>
      <c r="B4183" s="10"/>
      <c r="C4183" s="10"/>
      <c r="D4183" s="10"/>
      <c r="E4183" s="10"/>
      <c r="F4183" s="10"/>
      <c r="G4183" s="11"/>
      <c r="H4183" s="12"/>
      <c r="I4183" s="13"/>
      <c r="J4183" s="12"/>
      <c r="K4183" s="13"/>
      <c r="L4183" s="11"/>
      <c r="M4183" s="13"/>
      <c r="N4183" s="11"/>
      <c r="O4183" s="13"/>
      <c r="P4183" s="11"/>
      <c r="Q4183" s="13"/>
      <c r="R4183" s="10"/>
      <c r="S4183" s="10"/>
    </row>
    <row r="4184" spans="1:19" x14ac:dyDescent="0.25">
      <c r="A4184" t="str">
        <f t="shared" si="66"/>
        <v/>
      </c>
      <c r="B4184" s="10"/>
      <c r="C4184" s="10"/>
      <c r="D4184" s="10"/>
      <c r="E4184" s="10"/>
      <c r="F4184" s="10"/>
      <c r="G4184" s="11"/>
      <c r="H4184" s="12"/>
      <c r="I4184" s="13"/>
      <c r="J4184" s="12"/>
      <c r="K4184" s="13"/>
      <c r="L4184" s="11"/>
      <c r="M4184" s="13"/>
      <c r="N4184" s="11"/>
      <c r="O4184" s="13"/>
      <c r="P4184" s="11"/>
      <c r="Q4184" s="13"/>
      <c r="R4184" s="10"/>
      <c r="S4184" s="10"/>
    </row>
    <row r="4185" spans="1:19" x14ac:dyDescent="0.25">
      <c r="A4185" t="str">
        <f t="shared" si="66"/>
        <v/>
      </c>
      <c r="B4185" s="10"/>
      <c r="C4185" s="10"/>
      <c r="D4185" s="10"/>
      <c r="E4185" s="10"/>
      <c r="F4185" s="10"/>
      <c r="G4185" s="11"/>
      <c r="H4185" s="12"/>
      <c r="I4185" s="13"/>
      <c r="J4185" s="12"/>
      <c r="K4185" s="13"/>
      <c r="L4185" s="11"/>
      <c r="M4185" s="13"/>
      <c r="N4185" s="11"/>
      <c r="O4185" s="13"/>
      <c r="P4185" s="11"/>
      <c r="Q4185" s="13"/>
      <c r="R4185" s="10"/>
      <c r="S4185" s="10"/>
    </row>
    <row r="4186" spans="1:19" x14ac:dyDescent="0.25">
      <c r="A4186" t="str">
        <f t="shared" si="66"/>
        <v/>
      </c>
      <c r="B4186" s="10"/>
      <c r="C4186" s="10"/>
      <c r="D4186" s="10"/>
      <c r="E4186" s="10"/>
      <c r="F4186" s="10"/>
      <c r="G4186" s="11"/>
      <c r="H4186" s="12"/>
      <c r="I4186" s="13"/>
      <c r="J4186" s="12"/>
      <c r="K4186" s="13"/>
      <c r="L4186" s="11"/>
      <c r="M4186" s="13"/>
      <c r="N4186" s="11"/>
      <c r="O4186" s="13"/>
      <c r="P4186" s="11"/>
      <c r="Q4186" s="13"/>
      <c r="R4186" s="10"/>
      <c r="S4186" s="10"/>
    </row>
    <row r="4187" spans="1:19" x14ac:dyDescent="0.25">
      <c r="A4187" t="str">
        <f t="shared" si="66"/>
        <v/>
      </c>
      <c r="B4187" s="10"/>
      <c r="C4187" s="10"/>
      <c r="D4187" s="10"/>
      <c r="E4187" s="10"/>
      <c r="F4187" s="10"/>
      <c r="G4187" s="11"/>
      <c r="H4187" s="12"/>
      <c r="I4187" s="13"/>
      <c r="J4187" s="12"/>
      <c r="K4187" s="13"/>
      <c r="L4187" s="11"/>
      <c r="M4187" s="13"/>
      <c r="N4187" s="11"/>
      <c r="O4187" s="13"/>
      <c r="P4187" s="11"/>
      <c r="Q4187" s="13"/>
      <c r="R4187" s="10"/>
      <c r="S4187" s="10"/>
    </row>
    <row r="4188" spans="1:19" x14ac:dyDescent="0.25">
      <c r="A4188" t="str">
        <f t="shared" si="66"/>
        <v/>
      </c>
      <c r="B4188" s="10"/>
      <c r="C4188" s="10"/>
      <c r="D4188" s="10"/>
      <c r="E4188" s="10"/>
      <c r="F4188" s="10"/>
      <c r="G4188" s="11"/>
      <c r="H4188" s="12"/>
      <c r="I4188" s="13"/>
      <c r="J4188" s="12"/>
      <c r="K4188" s="13"/>
      <c r="L4188" s="11"/>
      <c r="M4188" s="13"/>
      <c r="N4188" s="11"/>
      <c r="O4188" s="13"/>
      <c r="P4188" s="11"/>
      <c r="Q4188" s="13"/>
      <c r="R4188" s="10"/>
      <c r="S4188" s="10"/>
    </row>
    <row r="4189" spans="1:19" x14ac:dyDescent="0.25">
      <c r="A4189" t="str">
        <f t="shared" si="66"/>
        <v/>
      </c>
      <c r="B4189" s="10"/>
      <c r="C4189" s="10"/>
      <c r="D4189" s="10"/>
      <c r="E4189" s="10"/>
      <c r="F4189" s="10"/>
      <c r="G4189" s="11"/>
      <c r="H4189" s="12"/>
      <c r="I4189" s="13"/>
      <c r="J4189" s="12"/>
      <c r="K4189" s="13"/>
      <c r="L4189" s="11"/>
      <c r="M4189" s="13"/>
      <c r="N4189" s="11"/>
      <c r="O4189" s="13"/>
      <c r="P4189" s="11"/>
      <c r="Q4189" s="13"/>
      <c r="R4189" s="10"/>
      <c r="S4189" s="10"/>
    </row>
    <row r="4190" spans="1:19" x14ac:dyDescent="0.25">
      <c r="A4190" t="str">
        <f t="shared" si="66"/>
        <v/>
      </c>
      <c r="B4190" s="10"/>
      <c r="C4190" s="10"/>
      <c r="D4190" s="10"/>
      <c r="E4190" s="10"/>
      <c r="F4190" s="10"/>
      <c r="G4190" s="11"/>
      <c r="H4190" s="12"/>
      <c r="I4190" s="13"/>
      <c r="J4190" s="12"/>
      <c r="K4190" s="13"/>
      <c r="L4190" s="11"/>
      <c r="M4190" s="13"/>
      <c r="N4190" s="11"/>
      <c r="O4190" s="13"/>
      <c r="P4190" s="11"/>
      <c r="Q4190" s="13"/>
      <c r="R4190" s="10"/>
      <c r="S4190" s="10"/>
    </row>
    <row r="4191" spans="1:19" x14ac:dyDescent="0.25">
      <c r="A4191" t="str">
        <f t="shared" si="66"/>
        <v/>
      </c>
      <c r="B4191" s="10"/>
      <c r="C4191" s="10"/>
      <c r="D4191" s="10"/>
      <c r="E4191" s="10"/>
      <c r="F4191" s="10"/>
      <c r="G4191" s="11"/>
      <c r="H4191" s="12"/>
      <c r="I4191" s="13"/>
      <c r="J4191" s="12"/>
      <c r="K4191" s="13"/>
      <c r="L4191" s="11"/>
      <c r="M4191" s="13"/>
      <c r="N4191" s="11"/>
      <c r="O4191" s="13"/>
      <c r="P4191" s="11"/>
      <c r="Q4191" s="13"/>
      <c r="R4191" s="10"/>
      <c r="S4191" s="10"/>
    </row>
    <row r="4192" spans="1:19" x14ac:dyDescent="0.25">
      <c r="A4192" t="str">
        <f t="shared" si="66"/>
        <v/>
      </c>
      <c r="B4192" s="10"/>
      <c r="C4192" s="10"/>
      <c r="D4192" s="10"/>
      <c r="E4192" s="10"/>
      <c r="F4192" s="10"/>
      <c r="G4192" s="11"/>
      <c r="H4192" s="12"/>
      <c r="I4192" s="13"/>
      <c r="J4192" s="12"/>
      <c r="K4192" s="13"/>
      <c r="L4192" s="11"/>
      <c r="M4192" s="13"/>
      <c r="N4192" s="11"/>
      <c r="O4192" s="13"/>
      <c r="P4192" s="11"/>
      <c r="Q4192" s="13"/>
      <c r="R4192" s="10"/>
      <c r="S4192" s="10"/>
    </row>
    <row r="4193" spans="1:19" x14ac:dyDescent="0.25">
      <c r="A4193" t="str">
        <f t="shared" si="66"/>
        <v/>
      </c>
      <c r="B4193" s="10"/>
      <c r="C4193" s="10"/>
      <c r="D4193" s="10"/>
      <c r="E4193" s="10"/>
      <c r="F4193" s="10"/>
      <c r="G4193" s="11"/>
      <c r="H4193" s="12"/>
      <c r="I4193" s="13"/>
      <c r="J4193" s="12"/>
      <c r="K4193" s="13"/>
      <c r="L4193" s="11"/>
      <c r="M4193" s="13"/>
      <c r="N4193" s="11"/>
      <c r="O4193" s="13"/>
      <c r="P4193" s="11"/>
      <c r="Q4193" s="13"/>
      <c r="R4193" s="10"/>
      <c r="S4193" s="10"/>
    </row>
    <row r="4194" spans="1:19" x14ac:dyDescent="0.25">
      <c r="A4194" t="str">
        <f t="shared" si="66"/>
        <v/>
      </c>
      <c r="B4194" s="10"/>
      <c r="C4194" s="10"/>
      <c r="D4194" s="10"/>
      <c r="E4194" s="10"/>
      <c r="F4194" s="10"/>
      <c r="G4194" s="11"/>
      <c r="H4194" s="12"/>
      <c r="I4194" s="13"/>
      <c r="J4194" s="12"/>
      <c r="K4194" s="13"/>
      <c r="L4194" s="11"/>
      <c r="M4194" s="13"/>
      <c r="N4194" s="11"/>
      <c r="O4194" s="13"/>
      <c r="P4194" s="11"/>
      <c r="Q4194" s="13"/>
      <c r="R4194" s="10"/>
      <c r="S4194" s="10"/>
    </row>
    <row r="4195" spans="1:19" x14ac:dyDescent="0.25">
      <c r="A4195" t="str">
        <f t="shared" si="66"/>
        <v/>
      </c>
      <c r="B4195" s="10"/>
      <c r="C4195" s="10"/>
      <c r="D4195" s="10"/>
      <c r="E4195" s="10"/>
      <c r="F4195" s="10"/>
      <c r="G4195" s="11"/>
      <c r="H4195" s="12"/>
      <c r="I4195" s="13"/>
      <c r="J4195" s="12"/>
      <c r="K4195" s="13"/>
      <c r="L4195" s="11"/>
      <c r="M4195" s="13"/>
      <c r="N4195" s="11"/>
      <c r="O4195" s="13"/>
      <c r="P4195" s="11"/>
      <c r="Q4195" s="13"/>
      <c r="R4195" s="10"/>
      <c r="S4195" s="10"/>
    </row>
    <row r="4196" spans="1:19" x14ac:dyDescent="0.25">
      <c r="A4196" t="str">
        <f t="shared" si="66"/>
        <v/>
      </c>
      <c r="B4196" s="10"/>
      <c r="C4196" s="10"/>
      <c r="D4196" s="10"/>
      <c r="E4196" s="10"/>
      <c r="F4196" s="10"/>
      <c r="G4196" s="11"/>
      <c r="H4196" s="12"/>
      <c r="I4196" s="13"/>
      <c r="J4196" s="12"/>
      <c r="K4196" s="13"/>
      <c r="L4196" s="11"/>
      <c r="M4196" s="13"/>
      <c r="N4196" s="11"/>
      <c r="O4196" s="13"/>
      <c r="P4196" s="11"/>
      <c r="Q4196" s="13"/>
      <c r="R4196" s="10"/>
      <c r="S4196" s="10"/>
    </row>
    <row r="4197" spans="1:19" x14ac:dyDescent="0.25">
      <c r="A4197" t="str">
        <f t="shared" si="66"/>
        <v/>
      </c>
      <c r="B4197" s="10"/>
      <c r="C4197" s="10"/>
      <c r="D4197" s="10"/>
      <c r="E4197" s="10"/>
      <c r="F4197" s="10"/>
      <c r="G4197" s="11"/>
      <c r="H4197" s="12"/>
      <c r="I4197" s="13"/>
      <c r="J4197" s="12"/>
      <c r="K4197" s="13"/>
      <c r="L4197" s="11"/>
      <c r="M4197" s="13"/>
      <c r="N4197" s="11"/>
      <c r="O4197" s="13"/>
      <c r="P4197" s="11"/>
      <c r="Q4197" s="13"/>
      <c r="R4197" s="10"/>
      <c r="S4197" s="10"/>
    </row>
    <row r="4198" spans="1:19" x14ac:dyDescent="0.25">
      <c r="A4198" t="str">
        <f t="shared" si="66"/>
        <v/>
      </c>
      <c r="B4198" s="10"/>
      <c r="C4198" s="10"/>
      <c r="D4198" s="10"/>
      <c r="E4198" s="10"/>
      <c r="F4198" s="10"/>
      <c r="G4198" s="11"/>
      <c r="H4198" s="12"/>
      <c r="I4198" s="13"/>
      <c r="J4198" s="12"/>
      <c r="K4198" s="13"/>
      <c r="L4198" s="11"/>
      <c r="M4198" s="13"/>
      <c r="N4198" s="11"/>
      <c r="O4198" s="13"/>
      <c r="P4198" s="11"/>
      <c r="Q4198" s="13"/>
      <c r="R4198" s="10"/>
      <c r="S4198" s="10"/>
    </row>
    <row r="4199" spans="1:19" x14ac:dyDescent="0.25">
      <c r="A4199" t="str">
        <f t="shared" si="66"/>
        <v/>
      </c>
      <c r="B4199" s="10"/>
      <c r="C4199" s="10"/>
      <c r="D4199" s="10"/>
      <c r="E4199" s="10"/>
      <c r="F4199" s="10"/>
      <c r="G4199" s="11"/>
      <c r="H4199" s="12"/>
      <c r="I4199" s="13"/>
      <c r="J4199" s="12"/>
      <c r="K4199" s="13"/>
      <c r="L4199" s="11"/>
      <c r="M4199" s="13"/>
      <c r="N4199" s="11"/>
      <c r="O4199" s="13"/>
      <c r="P4199" s="11"/>
      <c r="Q4199" s="13"/>
      <c r="R4199" s="10"/>
      <c r="S4199" s="10"/>
    </row>
    <row r="4200" spans="1:19" x14ac:dyDescent="0.25">
      <c r="A4200" t="str">
        <f t="shared" si="66"/>
        <v/>
      </c>
      <c r="B4200" s="10"/>
      <c r="C4200" s="10"/>
      <c r="D4200" s="10"/>
      <c r="E4200" s="10"/>
      <c r="F4200" s="10"/>
      <c r="G4200" s="11"/>
      <c r="H4200" s="12"/>
      <c r="I4200" s="13"/>
      <c r="J4200" s="12"/>
      <c r="K4200" s="13"/>
      <c r="L4200" s="11"/>
      <c r="M4200" s="13"/>
      <c r="N4200" s="11"/>
      <c r="O4200" s="13"/>
      <c r="P4200" s="11"/>
      <c r="Q4200" s="13"/>
      <c r="R4200" s="10"/>
      <c r="S4200" s="10"/>
    </row>
    <row r="4201" spans="1:19" x14ac:dyDescent="0.25">
      <c r="A4201" t="str">
        <f t="shared" si="66"/>
        <v/>
      </c>
      <c r="B4201" s="10"/>
      <c r="C4201" s="10"/>
      <c r="D4201" s="10"/>
      <c r="E4201" s="10"/>
      <c r="F4201" s="10"/>
      <c r="G4201" s="11"/>
      <c r="H4201" s="12"/>
      <c r="I4201" s="13"/>
      <c r="J4201" s="12"/>
      <c r="K4201" s="13"/>
      <c r="L4201" s="11"/>
      <c r="M4201" s="13"/>
      <c r="N4201" s="11"/>
      <c r="O4201" s="13"/>
      <c r="P4201" s="11"/>
      <c r="Q4201" s="13"/>
      <c r="R4201" s="10"/>
      <c r="S4201" s="10"/>
    </row>
    <row r="4202" spans="1:19" x14ac:dyDescent="0.25">
      <c r="A4202" t="str">
        <f t="shared" si="66"/>
        <v/>
      </c>
      <c r="B4202" s="10"/>
      <c r="C4202" s="10"/>
      <c r="D4202" s="10"/>
      <c r="E4202" s="10"/>
      <c r="F4202" s="10"/>
      <c r="G4202" s="11"/>
      <c r="H4202" s="12"/>
      <c r="I4202" s="13"/>
      <c r="J4202" s="12"/>
      <c r="K4202" s="13"/>
      <c r="L4202" s="11"/>
      <c r="M4202" s="13"/>
      <c r="N4202" s="11"/>
      <c r="O4202" s="13"/>
      <c r="P4202" s="11"/>
      <c r="Q4202" s="13"/>
      <c r="R4202" s="10"/>
      <c r="S4202" s="10"/>
    </row>
    <row r="4203" spans="1:19" x14ac:dyDescent="0.25">
      <c r="A4203" t="str">
        <f t="shared" si="66"/>
        <v/>
      </c>
      <c r="B4203" s="10"/>
      <c r="C4203" s="10"/>
      <c r="D4203" s="10"/>
      <c r="E4203" s="10"/>
      <c r="F4203" s="10"/>
      <c r="G4203" s="11"/>
      <c r="H4203" s="12"/>
      <c r="I4203" s="13"/>
      <c r="J4203" s="12"/>
      <c r="K4203" s="13"/>
      <c r="L4203" s="11"/>
      <c r="M4203" s="13"/>
      <c r="N4203" s="11"/>
      <c r="O4203" s="13"/>
      <c r="P4203" s="11"/>
      <c r="Q4203" s="13"/>
      <c r="R4203" s="10"/>
      <c r="S4203" s="10"/>
    </row>
    <row r="4204" spans="1:19" x14ac:dyDescent="0.25">
      <c r="A4204" t="str">
        <f t="shared" si="66"/>
        <v/>
      </c>
      <c r="B4204" s="10"/>
      <c r="C4204" s="10"/>
      <c r="D4204" s="10"/>
      <c r="E4204" s="10"/>
      <c r="F4204" s="10"/>
      <c r="G4204" s="11"/>
      <c r="H4204" s="12"/>
      <c r="I4204" s="13"/>
      <c r="J4204" s="12"/>
      <c r="K4204" s="13"/>
      <c r="L4204" s="11"/>
      <c r="M4204" s="13"/>
      <c r="N4204" s="11"/>
      <c r="O4204" s="13"/>
      <c r="P4204" s="11"/>
      <c r="Q4204" s="13"/>
      <c r="R4204" s="10"/>
      <c r="S4204" s="10"/>
    </row>
    <row r="4205" spans="1:19" x14ac:dyDescent="0.25">
      <c r="A4205" t="str">
        <f t="shared" si="66"/>
        <v/>
      </c>
      <c r="B4205" s="10"/>
      <c r="C4205" s="10"/>
      <c r="D4205" s="10"/>
      <c r="E4205" s="10"/>
      <c r="F4205" s="10"/>
      <c r="G4205" s="11"/>
      <c r="H4205" s="12"/>
      <c r="I4205" s="13"/>
      <c r="J4205" s="12"/>
      <c r="K4205" s="13"/>
      <c r="L4205" s="11"/>
      <c r="M4205" s="13"/>
      <c r="N4205" s="11"/>
      <c r="O4205" s="13"/>
      <c r="P4205" s="11"/>
      <c r="Q4205" s="13"/>
      <c r="R4205" s="10"/>
      <c r="S4205" s="10"/>
    </row>
    <row r="4206" spans="1:19" x14ac:dyDescent="0.25">
      <c r="A4206" t="str">
        <f t="shared" si="66"/>
        <v/>
      </c>
      <c r="B4206" s="10"/>
      <c r="C4206" s="10"/>
      <c r="D4206" s="10"/>
      <c r="E4206" s="10"/>
      <c r="F4206" s="10"/>
      <c r="G4206" s="11"/>
      <c r="H4206" s="12"/>
      <c r="I4206" s="13"/>
      <c r="J4206" s="12"/>
      <c r="K4206" s="13"/>
      <c r="L4206" s="11"/>
      <c r="M4206" s="13"/>
      <c r="N4206" s="11"/>
      <c r="O4206" s="13"/>
      <c r="P4206" s="11"/>
      <c r="Q4206" s="13"/>
      <c r="R4206" s="10"/>
      <c r="S4206" s="10"/>
    </row>
    <row r="4207" spans="1:19" x14ac:dyDescent="0.25">
      <c r="A4207" t="str">
        <f t="shared" si="66"/>
        <v/>
      </c>
      <c r="B4207" s="10"/>
      <c r="C4207" s="10"/>
      <c r="D4207" s="10"/>
      <c r="E4207" s="10"/>
      <c r="F4207" s="10"/>
      <c r="G4207" s="11"/>
      <c r="H4207" s="12"/>
      <c r="I4207" s="13"/>
      <c r="J4207" s="12"/>
      <c r="K4207" s="13"/>
      <c r="L4207" s="11"/>
      <c r="M4207" s="13"/>
      <c r="N4207" s="11"/>
      <c r="O4207" s="13"/>
      <c r="P4207" s="11"/>
      <c r="Q4207" s="13"/>
      <c r="R4207" s="10"/>
      <c r="S4207" s="10"/>
    </row>
    <row r="4208" spans="1:19" x14ac:dyDescent="0.25">
      <c r="A4208" t="str">
        <f t="shared" si="66"/>
        <v/>
      </c>
      <c r="B4208" s="10"/>
      <c r="C4208" s="10"/>
      <c r="D4208" s="10"/>
      <c r="E4208" s="10"/>
      <c r="F4208" s="10"/>
      <c r="G4208" s="11"/>
      <c r="H4208" s="12"/>
      <c r="I4208" s="13"/>
      <c r="J4208" s="12"/>
      <c r="K4208" s="13"/>
      <c r="L4208" s="11"/>
      <c r="M4208" s="13"/>
      <c r="N4208" s="11"/>
      <c r="O4208" s="13"/>
      <c r="P4208" s="11"/>
      <c r="Q4208" s="13"/>
      <c r="R4208" s="10"/>
      <c r="S4208" s="10"/>
    </row>
    <row r="4209" spans="1:19" x14ac:dyDescent="0.25">
      <c r="A4209" t="str">
        <f t="shared" si="66"/>
        <v/>
      </c>
      <c r="B4209" s="10"/>
      <c r="C4209" s="10"/>
      <c r="D4209" s="10"/>
      <c r="E4209" s="10"/>
      <c r="F4209" s="10"/>
      <c r="G4209" s="11"/>
      <c r="H4209" s="12"/>
      <c r="I4209" s="13"/>
      <c r="J4209" s="12"/>
      <c r="K4209" s="13"/>
      <c r="L4209" s="11"/>
      <c r="M4209" s="13"/>
      <c r="N4209" s="11"/>
      <c r="O4209" s="13"/>
      <c r="P4209" s="11"/>
      <c r="Q4209" s="13"/>
      <c r="R4209" s="10"/>
      <c r="S4209" s="10"/>
    </row>
    <row r="4210" spans="1:19" x14ac:dyDescent="0.25">
      <c r="A4210" t="str">
        <f t="shared" si="66"/>
        <v/>
      </c>
      <c r="B4210" s="10"/>
      <c r="C4210" s="10"/>
      <c r="D4210" s="10"/>
      <c r="E4210" s="10"/>
      <c r="F4210" s="10"/>
      <c r="G4210" s="11"/>
      <c r="H4210" s="12"/>
      <c r="I4210" s="13"/>
      <c r="J4210" s="12"/>
      <c r="K4210" s="13"/>
      <c r="L4210" s="11"/>
      <c r="M4210" s="13"/>
      <c r="N4210" s="11"/>
      <c r="O4210" s="13"/>
      <c r="P4210" s="11"/>
      <c r="Q4210" s="13"/>
      <c r="R4210" s="10"/>
      <c r="S4210" s="10"/>
    </row>
    <row r="4211" spans="1:19" x14ac:dyDescent="0.25">
      <c r="A4211" t="str">
        <f t="shared" si="66"/>
        <v/>
      </c>
      <c r="B4211" s="10"/>
      <c r="C4211" s="10"/>
      <c r="D4211" s="10"/>
      <c r="E4211" s="10"/>
      <c r="F4211" s="10"/>
      <c r="G4211" s="11"/>
      <c r="H4211" s="12"/>
      <c r="I4211" s="13"/>
      <c r="J4211" s="12"/>
      <c r="K4211" s="13"/>
      <c r="L4211" s="11"/>
      <c r="M4211" s="13"/>
      <c r="N4211" s="11"/>
      <c r="O4211" s="13"/>
      <c r="P4211" s="11"/>
      <c r="Q4211" s="13"/>
      <c r="R4211" s="10"/>
      <c r="S4211" s="10"/>
    </row>
    <row r="4212" spans="1:19" x14ac:dyDescent="0.25">
      <c r="A4212" t="str">
        <f t="shared" si="66"/>
        <v/>
      </c>
      <c r="B4212" s="10"/>
      <c r="C4212" s="10"/>
      <c r="D4212" s="10"/>
      <c r="E4212" s="10"/>
      <c r="F4212" s="10"/>
      <c r="G4212" s="11"/>
      <c r="H4212" s="12"/>
      <c r="I4212" s="13"/>
      <c r="J4212" s="12"/>
      <c r="K4212" s="13"/>
      <c r="L4212" s="11"/>
      <c r="M4212" s="13"/>
      <c r="N4212" s="11"/>
      <c r="O4212" s="13"/>
      <c r="P4212" s="11"/>
      <c r="Q4212" s="13"/>
      <c r="R4212" s="10"/>
      <c r="S4212" s="10"/>
    </row>
    <row r="4213" spans="1:19" x14ac:dyDescent="0.25">
      <c r="A4213" t="str">
        <f t="shared" ref="A4213:A4276" si="67">B4211&amp;D4211</f>
        <v/>
      </c>
      <c r="B4213" s="10"/>
      <c r="C4213" s="10"/>
      <c r="D4213" s="10"/>
      <c r="E4213" s="10"/>
      <c r="F4213" s="10"/>
      <c r="G4213" s="11"/>
      <c r="H4213" s="12"/>
      <c r="I4213" s="13"/>
      <c r="J4213" s="12"/>
      <c r="K4213" s="13"/>
      <c r="L4213" s="11"/>
      <c r="M4213" s="13"/>
      <c r="N4213" s="11"/>
      <c r="O4213" s="13"/>
      <c r="P4213" s="11"/>
      <c r="Q4213" s="13"/>
      <c r="R4213" s="10"/>
      <c r="S4213" s="10"/>
    </row>
    <row r="4214" spans="1:19" x14ac:dyDescent="0.25">
      <c r="A4214" t="str">
        <f t="shared" si="67"/>
        <v/>
      </c>
      <c r="B4214" s="10"/>
      <c r="C4214" s="10"/>
      <c r="D4214" s="10"/>
      <c r="E4214" s="10"/>
      <c r="F4214" s="10"/>
      <c r="G4214" s="11"/>
      <c r="H4214" s="12"/>
      <c r="I4214" s="13"/>
      <c r="J4214" s="12"/>
      <c r="K4214" s="13"/>
      <c r="L4214" s="11"/>
      <c r="M4214" s="13"/>
      <c r="N4214" s="11"/>
      <c r="O4214" s="13"/>
      <c r="P4214" s="11"/>
      <c r="Q4214" s="13"/>
      <c r="R4214" s="10"/>
      <c r="S4214" s="10"/>
    </row>
    <row r="4215" spans="1:19" x14ac:dyDescent="0.25">
      <c r="A4215" t="str">
        <f t="shared" si="67"/>
        <v/>
      </c>
      <c r="B4215" s="10"/>
      <c r="C4215" s="10"/>
      <c r="D4215" s="10"/>
      <c r="E4215" s="10"/>
      <c r="F4215" s="10"/>
      <c r="G4215" s="11"/>
      <c r="H4215" s="12"/>
      <c r="I4215" s="13"/>
      <c r="J4215" s="12"/>
      <c r="K4215" s="13"/>
      <c r="L4215" s="11"/>
      <c r="M4215" s="13"/>
      <c r="N4215" s="11"/>
      <c r="O4215" s="13"/>
      <c r="P4215" s="11"/>
      <c r="Q4215" s="13"/>
      <c r="R4215" s="10"/>
      <c r="S4215" s="10"/>
    </row>
    <row r="4216" spans="1:19" x14ac:dyDescent="0.25">
      <c r="A4216" t="str">
        <f t="shared" si="67"/>
        <v/>
      </c>
      <c r="B4216" s="10"/>
      <c r="C4216" s="10"/>
      <c r="D4216" s="10"/>
      <c r="E4216" s="10"/>
      <c r="F4216" s="10"/>
      <c r="G4216" s="11"/>
      <c r="H4216" s="12"/>
      <c r="I4216" s="13"/>
      <c r="J4216" s="12"/>
      <c r="K4216" s="13"/>
      <c r="L4216" s="11"/>
      <c r="M4216" s="13"/>
      <c r="N4216" s="11"/>
      <c r="O4216" s="13"/>
      <c r="P4216" s="11"/>
      <c r="Q4216" s="13"/>
      <c r="R4216" s="10"/>
      <c r="S4216" s="10"/>
    </row>
    <row r="4217" spans="1:19" x14ac:dyDescent="0.25">
      <c r="A4217" t="str">
        <f t="shared" si="67"/>
        <v/>
      </c>
      <c r="B4217" s="10"/>
      <c r="C4217" s="10"/>
      <c r="D4217" s="10"/>
      <c r="E4217" s="10"/>
      <c r="F4217" s="10"/>
      <c r="G4217" s="11"/>
      <c r="H4217" s="12"/>
      <c r="I4217" s="13"/>
      <c r="J4217" s="12"/>
      <c r="K4217" s="13"/>
      <c r="L4217" s="11"/>
      <c r="M4217" s="13"/>
      <c r="N4217" s="11"/>
      <c r="O4217" s="13"/>
      <c r="P4217" s="11"/>
      <c r="Q4217" s="13"/>
      <c r="R4217" s="10"/>
      <c r="S4217" s="10"/>
    </row>
    <row r="4218" spans="1:19" x14ac:dyDescent="0.25">
      <c r="A4218" t="str">
        <f t="shared" si="67"/>
        <v/>
      </c>
      <c r="B4218" s="10"/>
      <c r="C4218" s="10"/>
      <c r="D4218" s="10"/>
      <c r="E4218" s="10"/>
      <c r="F4218" s="10"/>
      <c r="G4218" s="11"/>
      <c r="H4218" s="12"/>
      <c r="I4218" s="13"/>
      <c r="J4218" s="12"/>
      <c r="K4218" s="13"/>
      <c r="L4218" s="11"/>
      <c r="M4218" s="13"/>
      <c r="N4218" s="11"/>
      <c r="O4218" s="13"/>
      <c r="P4218" s="11"/>
      <c r="Q4218" s="13"/>
      <c r="R4218" s="10"/>
      <c r="S4218" s="10"/>
    </row>
    <row r="4219" spans="1:19" x14ac:dyDescent="0.25">
      <c r="A4219" t="str">
        <f t="shared" si="67"/>
        <v/>
      </c>
      <c r="B4219" s="10"/>
      <c r="C4219" s="10"/>
      <c r="D4219" s="10"/>
      <c r="E4219" s="10"/>
      <c r="F4219" s="10"/>
      <c r="G4219" s="11"/>
      <c r="H4219" s="12"/>
      <c r="I4219" s="13"/>
      <c r="J4219" s="12"/>
      <c r="K4219" s="13"/>
      <c r="L4219" s="11"/>
      <c r="M4219" s="13"/>
      <c r="N4219" s="11"/>
      <c r="O4219" s="13"/>
      <c r="P4219" s="11"/>
      <c r="Q4219" s="13"/>
      <c r="R4219" s="10"/>
      <c r="S4219" s="10"/>
    </row>
    <row r="4220" spans="1:19" x14ac:dyDescent="0.25">
      <c r="A4220" t="str">
        <f t="shared" si="67"/>
        <v/>
      </c>
      <c r="B4220" s="10"/>
      <c r="C4220" s="10"/>
      <c r="D4220" s="10"/>
      <c r="E4220" s="10"/>
      <c r="F4220" s="10"/>
      <c r="G4220" s="11"/>
      <c r="H4220" s="12"/>
      <c r="I4220" s="13"/>
      <c r="J4220" s="12"/>
      <c r="K4220" s="13"/>
      <c r="L4220" s="11"/>
      <c r="M4220" s="13"/>
      <c r="N4220" s="11"/>
      <c r="O4220" s="13"/>
      <c r="P4220" s="11"/>
      <c r="Q4220" s="13"/>
      <c r="R4220" s="10"/>
      <c r="S4220" s="10"/>
    </row>
    <row r="4221" spans="1:19" x14ac:dyDescent="0.25">
      <c r="A4221" t="str">
        <f t="shared" si="67"/>
        <v/>
      </c>
      <c r="B4221" s="10"/>
      <c r="C4221" s="10"/>
      <c r="D4221" s="10"/>
      <c r="E4221" s="10"/>
      <c r="F4221" s="10"/>
      <c r="G4221" s="11"/>
      <c r="H4221" s="12"/>
      <c r="I4221" s="13"/>
      <c r="J4221" s="12"/>
      <c r="K4221" s="13"/>
      <c r="L4221" s="11"/>
      <c r="M4221" s="13"/>
      <c r="N4221" s="11"/>
      <c r="O4221" s="13"/>
      <c r="P4221" s="11"/>
      <c r="Q4221" s="13"/>
      <c r="R4221" s="10"/>
      <c r="S4221" s="10"/>
    </row>
    <row r="4222" spans="1:19" x14ac:dyDescent="0.25">
      <c r="A4222" t="str">
        <f t="shared" si="67"/>
        <v/>
      </c>
      <c r="B4222" s="10"/>
      <c r="C4222" s="10"/>
      <c r="D4222" s="10"/>
      <c r="E4222" s="10"/>
      <c r="F4222" s="10"/>
      <c r="G4222" s="11"/>
      <c r="H4222" s="12"/>
      <c r="I4222" s="13"/>
      <c r="J4222" s="12"/>
      <c r="K4222" s="13"/>
      <c r="L4222" s="11"/>
      <c r="M4222" s="13"/>
      <c r="N4222" s="11"/>
      <c r="O4222" s="13"/>
      <c r="P4222" s="11"/>
      <c r="Q4222" s="13"/>
      <c r="R4222" s="10"/>
      <c r="S4222" s="10"/>
    </row>
    <row r="4223" spans="1:19" x14ac:dyDescent="0.25">
      <c r="A4223" t="str">
        <f t="shared" si="67"/>
        <v/>
      </c>
      <c r="B4223" s="10"/>
      <c r="C4223" s="10"/>
      <c r="D4223" s="10"/>
      <c r="E4223" s="10"/>
      <c r="F4223" s="10"/>
      <c r="G4223" s="11"/>
      <c r="H4223" s="12"/>
      <c r="I4223" s="13"/>
      <c r="J4223" s="12"/>
      <c r="K4223" s="13"/>
      <c r="L4223" s="11"/>
      <c r="M4223" s="13"/>
      <c r="N4223" s="11"/>
      <c r="O4223" s="13"/>
      <c r="P4223" s="11"/>
      <c r="Q4223" s="13"/>
      <c r="R4223" s="10"/>
      <c r="S4223" s="10"/>
    </row>
    <row r="4224" spans="1:19" x14ac:dyDescent="0.25">
      <c r="A4224" t="str">
        <f t="shared" si="67"/>
        <v/>
      </c>
      <c r="B4224" s="10"/>
      <c r="C4224" s="10"/>
      <c r="D4224" s="10"/>
      <c r="E4224" s="10"/>
      <c r="F4224" s="10"/>
      <c r="G4224" s="11"/>
      <c r="H4224" s="12"/>
      <c r="I4224" s="13"/>
      <c r="J4224" s="12"/>
      <c r="K4224" s="13"/>
      <c r="L4224" s="11"/>
      <c r="M4224" s="13"/>
      <c r="N4224" s="11"/>
      <c r="O4224" s="13"/>
      <c r="P4224" s="11"/>
      <c r="Q4224" s="13"/>
      <c r="R4224" s="10"/>
      <c r="S4224" s="10"/>
    </row>
    <row r="4225" spans="1:19" x14ac:dyDescent="0.25">
      <c r="A4225" t="str">
        <f t="shared" si="67"/>
        <v/>
      </c>
      <c r="B4225" s="10"/>
      <c r="C4225" s="10"/>
      <c r="D4225" s="10"/>
      <c r="E4225" s="10"/>
      <c r="F4225" s="10"/>
      <c r="G4225" s="11"/>
      <c r="H4225" s="12"/>
      <c r="I4225" s="13"/>
      <c r="J4225" s="12"/>
      <c r="K4225" s="13"/>
      <c r="L4225" s="11"/>
      <c r="M4225" s="13"/>
      <c r="N4225" s="11"/>
      <c r="O4225" s="13"/>
      <c r="P4225" s="11"/>
      <c r="Q4225" s="13"/>
      <c r="R4225" s="10"/>
      <c r="S4225" s="10"/>
    </row>
    <row r="4226" spans="1:19" x14ac:dyDescent="0.25">
      <c r="A4226" t="str">
        <f t="shared" si="67"/>
        <v/>
      </c>
      <c r="B4226" s="10"/>
      <c r="C4226" s="10"/>
      <c r="D4226" s="10"/>
      <c r="E4226" s="10"/>
      <c r="F4226" s="10"/>
      <c r="G4226" s="11"/>
      <c r="H4226" s="12"/>
      <c r="I4226" s="13"/>
      <c r="J4226" s="12"/>
      <c r="K4226" s="13"/>
      <c r="L4226" s="11"/>
      <c r="M4226" s="13"/>
      <c r="N4226" s="11"/>
      <c r="O4226" s="13"/>
      <c r="P4226" s="11"/>
      <c r="Q4226" s="13"/>
      <c r="R4226" s="10"/>
      <c r="S4226" s="10"/>
    </row>
    <row r="4227" spans="1:19" x14ac:dyDescent="0.25">
      <c r="A4227" t="str">
        <f t="shared" si="67"/>
        <v/>
      </c>
      <c r="B4227" s="10"/>
      <c r="C4227" s="10"/>
      <c r="D4227" s="10"/>
      <c r="E4227" s="10"/>
      <c r="F4227" s="10"/>
      <c r="G4227" s="11"/>
      <c r="H4227" s="12"/>
      <c r="I4227" s="13"/>
      <c r="J4227" s="12"/>
      <c r="K4227" s="13"/>
      <c r="L4227" s="11"/>
      <c r="M4227" s="13"/>
      <c r="N4227" s="11"/>
      <c r="O4227" s="13"/>
      <c r="P4227" s="11"/>
      <c r="Q4227" s="13"/>
      <c r="R4227" s="10"/>
      <c r="S4227" s="10"/>
    </row>
    <row r="4228" spans="1:19" x14ac:dyDescent="0.25">
      <c r="A4228" t="str">
        <f t="shared" si="67"/>
        <v/>
      </c>
      <c r="B4228" s="10"/>
      <c r="C4228" s="10"/>
      <c r="D4228" s="10"/>
      <c r="E4228" s="10"/>
      <c r="F4228" s="10"/>
      <c r="G4228" s="11"/>
      <c r="H4228" s="12"/>
      <c r="I4228" s="13"/>
      <c r="J4228" s="12"/>
      <c r="K4228" s="13"/>
      <c r="L4228" s="11"/>
      <c r="M4228" s="13"/>
      <c r="N4228" s="11"/>
      <c r="O4228" s="13"/>
      <c r="P4228" s="11"/>
      <c r="Q4228" s="13"/>
      <c r="R4228" s="10"/>
      <c r="S4228" s="10"/>
    </row>
    <row r="4229" spans="1:19" x14ac:dyDescent="0.25">
      <c r="A4229" t="str">
        <f t="shared" si="67"/>
        <v/>
      </c>
      <c r="B4229" s="10"/>
      <c r="C4229" s="10"/>
      <c r="D4229" s="10"/>
      <c r="E4229" s="10"/>
      <c r="F4229" s="10"/>
      <c r="G4229" s="11"/>
      <c r="H4229" s="12"/>
      <c r="I4229" s="13"/>
      <c r="J4229" s="12"/>
      <c r="K4229" s="13"/>
      <c r="L4229" s="11"/>
      <c r="M4229" s="13"/>
      <c r="N4229" s="11"/>
      <c r="O4229" s="13"/>
      <c r="P4229" s="11"/>
      <c r="Q4229" s="13"/>
      <c r="R4229" s="10"/>
      <c r="S4229" s="10"/>
    </row>
    <row r="4230" spans="1:19" x14ac:dyDescent="0.25">
      <c r="A4230" t="str">
        <f t="shared" si="67"/>
        <v/>
      </c>
      <c r="B4230" s="10"/>
      <c r="C4230" s="10"/>
      <c r="D4230" s="10"/>
      <c r="E4230" s="10"/>
      <c r="F4230" s="10"/>
      <c r="G4230" s="11"/>
      <c r="H4230" s="12"/>
      <c r="I4230" s="13"/>
      <c r="J4230" s="12"/>
      <c r="K4230" s="13"/>
      <c r="L4230" s="11"/>
      <c r="M4230" s="13"/>
      <c r="N4230" s="11"/>
      <c r="O4230" s="13"/>
      <c r="P4230" s="11"/>
      <c r="Q4230" s="13"/>
      <c r="R4230" s="10"/>
      <c r="S4230" s="10"/>
    </row>
    <row r="4231" spans="1:19" x14ac:dyDescent="0.25">
      <c r="A4231" t="str">
        <f t="shared" si="67"/>
        <v/>
      </c>
      <c r="B4231" s="10"/>
      <c r="C4231" s="10"/>
      <c r="D4231" s="10"/>
      <c r="E4231" s="10"/>
      <c r="F4231" s="10"/>
      <c r="G4231" s="11"/>
      <c r="H4231" s="12"/>
      <c r="I4231" s="13"/>
      <c r="J4231" s="12"/>
      <c r="K4231" s="13"/>
      <c r="L4231" s="11"/>
      <c r="M4231" s="13"/>
      <c r="N4231" s="11"/>
      <c r="O4231" s="13"/>
      <c r="P4231" s="11"/>
      <c r="Q4231" s="13"/>
      <c r="R4231" s="10"/>
      <c r="S4231" s="10"/>
    </row>
    <row r="4232" spans="1:19" x14ac:dyDescent="0.25">
      <c r="A4232" t="str">
        <f t="shared" si="67"/>
        <v/>
      </c>
      <c r="B4232" s="10"/>
      <c r="C4232" s="10"/>
      <c r="D4232" s="10"/>
      <c r="E4232" s="10"/>
      <c r="F4232" s="10"/>
      <c r="G4232" s="11"/>
      <c r="H4232" s="12"/>
      <c r="I4232" s="13"/>
      <c r="J4232" s="12"/>
      <c r="K4232" s="13"/>
      <c r="L4232" s="11"/>
      <c r="M4232" s="13"/>
      <c r="N4232" s="11"/>
      <c r="O4232" s="13"/>
      <c r="P4232" s="11"/>
      <c r="Q4232" s="13"/>
      <c r="R4232" s="10"/>
      <c r="S4232" s="10"/>
    </row>
    <row r="4233" spans="1:19" x14ac:dyDescent="0.25">
      <c r="A4233" t="str">
        <f t="shared" si="67"/>
        <v/>
      </c>
      <c r="B4233" s="10"/>
      <c r="C4233" s="10"/>
      <c r="D4233" s="10"/>
      <c r="E4233" s="10"/>
      <c r="F4233" s="10"/>
      <c r="G4233" s="11"/>
      <c r="H4233" s="12"/>
      <c r="I4233" s="13"/>
      <c r="J4233" s="12"/>
      <c r="K4233" s="13"/>
      <c r="L4233" s="11"/>
      <c r="M4233" s="13"/>
      <c r="N4233" s="11"/>
      <c r="O4233" s="13"/>
      <c r="P4233" s="11"/>
      <c r="Q4233" s="13"/>
      <c r="R4233" s="10"/>
      <c r="S4233" s="10"/>
    </row>
    <row r="4234" spans="1:19" x14ac:dyDescent="0.25">
      <c r="A4234" t="str">
        <f t="shared" si="67"/>
        <v/>
      </c>
      <c r="B4234" s="10"/>
      <c r="C4234" s="10"/>
      <c r="D4234" s="10"/>
      <c r="E4234" s="10"/>
      <c r="F4234" s="10"/>
      <c r="G4234" s="11"/>
      <c r="H4234" s="12"/>
      <c r="I4234" s="13"/>
      <c r="J4234" s="12"/>
      <c r="K4234" s="13"/>
      <c r="L4234" s="11"/>
      <c r="M4234" s="13"/>
      <c r="N4234" s="11"/>
      <c r="O4234" s="13"/>
      <c r="P4234" s="11"/>
      <c r="Q4234" s="13"/>
      <c r="R4234" s="10"/>
      <c r="S4234" s="10"/>
    </row>
    <row r="4235" spans="1:19" x14ac:dyDescent="0.25">
      <c r="A4235" t="str">
        <f t="shared" si="67"/>
        <v/>
      </c>
      <c r="B4235" s="10"/>
      <c r="C4235" s="10"/>
      <c r="D4235" s="10"/>
      <c r="E4235" s="10"/>
      <c r="F4235" s="10"/>
      <c r="G4235" s="11"/>
      <c r="H4235" s="12"/>
      <c r="I4235" s="13"/>
      <c r="J4235" s="12"/>
      <c r="K4235" s="13"/>
      <c r="L4235" s="11"/>
      <c r="M4235" s="13"/>
      <c r="N4235" s="11"/>
      <c r="O4235" s="13"/>
      <c r="P4235" s="11"/>
      <c r="Q4235" s="13"/>
      <c r="R4235" s="10"/>
      <c r="S4235" s="10"/>
    </row>
    <row r="4236" spans="1:19" x14ac:dyDescent="0.25">
      <c r="A4236" t="str">
        <f t="shared" si="67"/>
        <v/>
      </c>
      <c r="B4236" s="10"/>
      <c r="C4236" s="10"/>
      <c r="D4236" s="10"/>
      <c r="E4236" s="10"/>
      <c r="F4236" s="10"/>
      <c r="G4236" s="11"/>
      <c r="H4236" s="12"/>
      <c r="I4236" s="13"/>
      <c r="J4236" s="12"/>
      <c r="K4236" s="13"/>
      <c r="L4236" s="11"/>
      <c r="M4236" s="13"/>
      <c r="N4236" s="11"/>
      <c r="O4236" s="13"/>
      <c r="P4236" s="11"/>
      <c r="Q4236" s="13"/>
      <c r="R4236" s="10"/>
      <c r="S4236" s="10"/>
    </row>
    <row r="4237" spans="1:19" x14ac:dyDescent="0.25">
      <c r="A4237" t="str">
        <f t="shared" si="67"/>
        <v/>
      </c>
      <c r="B4237" s="10"/>
      <c r="C4237" s="10"/>
      <c r="D4237" s="10"/>
      <c r="E4237" s="10"/>
      <c r="F4237" s="10"/>
      <c r="G4237" s="11"/>
      <c r="H4237" s="12"/>
      <c r="I4237" s="13"/>
      <c r="J4237" s="12"/>
      <c r="K4237" s="13"/>
      <c r="L4237" s="11"/>
      <c r="M4237" s="13"/>
      <c r="N4237" s="11"/>
      <c r="O4237" s="13"/>
      <c r="P4237" s="11"/>
      <c r="Q4237" s="13"/>
      <c r="R4237" s="10"/>
      <c r="S4237" s="10"/>
    </row>
    <row r="4238" spans="1:19" x14ac:dyDescent="0.25">
      <c r="A4238" t="str">
        <f t="shared" si="67"/>
        <v/>
      </c>
      <c r="B4238" s="10"/>
      <c r="C4238" s="10"/>
      <c r="D4238" s="10"/>
      <c r="E4238" s="10"/>
      <c r="F4238" s="10"/>
      <c r="G4238" s="11"/>
      <c r="H4238" s="12"/>
      <c r="I4238" s="13"/>
      <c r="J4238" s="12"/>
      <c r="K4238" s="13"/>
      <c r="L4238" s="11"/>
      <c r="M4238" s="13"/>
      <c r="N4238" s="11"/>
      <c r="O4238" s="13"/>
      <c r="P4238" s="11"/>
      <c r="Q4238" s="13"/>
      <c r="R4238" s="10"/>
      <c r="S4238" s="10"/>
    </row>
    <row r="4239" spans="1:19" x14ac:dyDescent="0.25">
      <c r="A4239" t="str">
        <f t="shared" si="67"/>
        <v/>
      </c>
      <c r="B4239" s="10"/>
      <c r="C4239" s="10"/>
      <c r="D4239" s="10"/>
      <c r="E4239" s="10"/>
      <c r="F4239" s="10"/>
      <c r="G4239" s="11"/>
      <c r="H4239" s="12"/>
      <c r="I4239" s="13"/>
      <c r="J4239" s="12"/>
      <c r="K4239" s="13"/>
      <c r="L4239" s="11"/>
      <c r="M4239" s="13"/>
      <c r="N4239" s="11"/>
      <c r="O4239" s="13"/>
      <c r="P4239" s="11"/>
      <c r="Q4239" s="13"/>
      <c r="R4239" s="10"/>
      <c r="S4239" s="10"/>
    </row>
    <row r="4240" spans="1:19" x14ac:dyDescent="0.25">
      <c r="A4240" t="str">
        <f t="shared" si="67"/>
        <v/>
      </c>
      <c r="B4240" s="10"/>
      <c r="C4240" s="10"/>
      <c r="D4240" s="10"/>
      <c r="E4240" s="10"/>
      <c r="F4240" s="10"/>
      <c r="G4240" s="11"/>
      <c r="H4240" s="12"/>
      <c r="I4240" s="13"/>
      <c r="J4240" s="12"/>
      <c r="K4240" s="13"/>
      <c r="L4240" s="11"/>
      <c r="M4240" s="13"/>
      <c r="N4240" s="11"/>
      <c r="O4240" s="13"/>
      <c r="P4240" s="11"/>
      <c r="Q4240" s="13"/>
      <c r="R4240" s="10"/>
      <c r="S4240" s="10"/>
    </row>
    <row r="4241" spans="1:19" x14ac:dyDescent="0.25">
      <c r="A4241" t="str">
        <f t="shared" si="67"/>
        <v/>
      </c>
      <c r="B4241" s="10"/>
      <c r="C4241" s="10"/>
      <c r="D4241" s="10"/>
      <c r="E4241" s="10"/>
      <c r="F4241" s="10"/>
      <c r="G4241" s="11"/>
      <c r="H4241" s="12"/>
      <c r="I4241" s="13"/>
      <c r="J4241" s="12"/>
      <c r="K4241" s="13"/>
      <c r="L4241" s="11"/>
      <c r="M4241" s="13"/>
      <c r="N4241" s="11"/>
      <c r="O4241" s="13"/>
      <c r="P4241" s="11"/>
      <c r="Q4241" s="13"/>
      <c r="R4241" s="10"/>
      <c r="S4241" s="10"/>
    </row>
    <row r="4242" spans="1:19" x14ac:dyDescent="0.25">
      <c r="A4242" t="str">
        <f t="shared" si="67"/>
        <v/>
      </c>
      <c r="B4242" s="10"/>
      <c r="C4242" s="10"/>
      <c r="D4242" s="10"/>
      <c r="E4242" s="10"/>
      <c r="F4242" s="10"/>
      <c r="G4242" s="11"/>
      <c r="H4242" s="12"/>
      <c r="I4242" s="13"/>
      <c r="J4242" s="12"/>
      <c r="K4242" s="13"/>
      <c r="L4242" s="11"/>
      <c r="M4242" s="13"/>
      <c r="N4242" s="11"/>
      <c r="O4242" s="13"/>
      <c r="P4242" s="11"/>
      <c r="Q4242" s="13"/>
      <c r="R4242" s="10"/>
      <c r="S4242" s="10"/>
    </row>
    <row r="4243" spans="1:19" x14ac:dyDescent="0.25">
      <c r="A4243" t="str">
        <f t="shared" si="67"/>
        <v/>
      </c>
      <c r="B4243" s="10"/>
      <c r="C4243" s="10"/>
      <c r="D4243" s="10"/>
      <c r="E4243" s="10"/>
      <c r="F4243" s="10"/>
      <c r="G4243" s="11"/>
      <c r="H4243" s="12"/>
      <c r="I4243" s="13"/>
      <c r="J4243" s="12"/>
      <c r="K4243" s="13"/>
      <c r="L4243" s="11"/>
      <c r="M4243" s="13"/>
      <c r="N4243" s="11"/>
      <c r="O4243" s="13"/>
      <c r="P4243" s="11"/>
      <c r="Q4243" s="13"/>
      <c r="R4243" s="10"/>
      <c r="S4243" s="10"/>
    </row>
    <row r="4244" spans="1:19" x14ac:dyDescent="0.25">
      <c r="A4244" t="str">
        <f t="shared" si="67"/>
        <v/>
      </c>
      <c r="B4244" s="10"/>
      <c r="C4244" s="10"/>
      <c r="D4244" s="10"/>
      <c r="E4244" s="10"/>
      <c r="F4244" s="10"/>
      <c r="G4244" s="11"/>
      <c r="H4244" s="12"/>
      <c r="I4244" s="13"/>
      <c r="J4244" s="12"/>
      <c r="K4244" s="13"/>
      <c r="L4244" s="11"/>
      <c r="M4244" s="13"/>
      <c r="N4244" s="11"/>
      <c r="O4244" s="13"/>
      <c r="P4244" s="11"/>
      <c r="Q4244" s="13"/>
      <c r="R4244" s="10"/>
      <c r="S4244" s="10"/>
    </row>
    <row r="4245" spans="1:19" x14ac:dyDescent="0.25">
      <c r="A4245" t="str">
        <f t="shared" si="67"/>
        <v/>
      </c>
      <c r="B4245" s="10"/>
      <c r="C4245" s="10"/>
      <c r="D4245" s="10"/>
      <c r="E4245" s="10"/>
      <c r="F4245" s="10"/>
      <c r="G4245" s="11"/>
      <c r="H4245" s="12"/>
      <c r="I4245" s="13"/>
      <c r="J4245" s="12"/>
      <c r="K4245" s="13"/>
      <c r="L4245" s="11"/>
      <c r="M4245" s="13"/>
      <c r="N4245" s="11"/>
      <c r="O4245" s="13"/>
      <c r="P4245" s="11"/>
      <c r="Q4245" s="13"/>
      <c r="R4245" s="10"/>
      <c r="S4245" s="10"/>
    </row>
    <row r="4246" spans="1:19" x14ac:dyDescent="0.25">
      <c r="A4246" t="str">
        <f t="shared" si="67"/>
        <v/>
      </c>
      <c r="B4246" s="10"/>
      <c r="C4246" s="10"/>
      <c r="D4246" s="10"/>
      <c r="E4246" s="10"/>
      <c r="F4246" s="10"/>
      <c r="G4246" s="11"/>
      <c r="H4246" s="12"/>
      <c r="I4246" s="13"/>
      <c r="J4246" s="12"/>
      <c r="K4246" s="13"/>
      <c r="L4246" s="11"/>
      <c r="M4246" s="13"/>
      <c r="N4246" s="11"/>
      <c r="O4246" s="13"/>
      <c r="P4246" s="11"/>
      <c r="Q4246" s="13"/>
      <c r="R4246" s="10"/>
      <c r="S4246" s="10"/>
    </row>
    <row r="4247" spans="1:19" x14ac:dyDescent="0.25">
      <c r="A4247" t="str">
        <f t="shared" si="67"/>
        <v/>
      </c>
      <c r="B4247" s="10"/>
      <c r="C4247" s="10"/>
      <c r="D4247" s="10"/>
      <c r="E4247" s="10"/>
      <c r="F4247" s="10"/>
      <c r="G4247" s="11"/>
      <c r="H4247" s="12"/>
      <c r="I4247" s="13"/>
      <c r="J4247" s="12"/>
      <c r="K4247" s="13"/>
      <c r="L4247" s="11"/>
      <c r="M4247" s="13"/>
      <c r="N4247" s="11"/>
      <c r="O4247" s="13"/>
      <c r="P4247" s="11"/>
      <c r="Q4247" s="13"/>
      <c r="R4247" s="10"/>
      <c r="S4247" s="10"/>
    </row>
    <row r="4248" spans="1:19" x14ac:dyDescent="0.25">
      <c r="A4248" t="str">
        <f t="shared" si="67"/>
        <v/>
      </c>
      <c r="B4248" s="10"/>
      <c r="C4248" s="10"/>
      <c r="D4248" s="10"/>
      <c r="E4248" s="10"/>
      <c r="F4248" s="10"/>
      <c r="G4248" s="11"/>
      <c r="H4248" s="12"/>
      <c r="I4248" s="13"/>
      <c r="J4248" s="12"/>
      <c r="K4248" s="13"/>
      <c r="L4248" s="11"/>
      <c r="M4248" s="13"/>
      <c r="N4248" s="11"/>
      <c r="O4248" s="13"/>
      <c r="P4248" s="11"/>
      <c r="Q4248" s="13"/>
      <c r="R4248" s="10"/>
      <c r="S4248" s="10"/>
    </row>
    <row r="4249" spans="1:19" x14ac:dyDescent="0.25">
      <c r="A4249" t="str">
        <f t="shared" si="67"/>
        <v/>
      </c>
      <c r="B4249" s="10"/>
      <c r="C4249" s="10"/>
      <c r="D4249" s="10"/>
      <c r="E4249" s="10"/>
      <c r="F4249" s="10"/>
      <c r="G4249" s="11"/>
      <c r="H4249" s="12"/>
      <c r="I4249" s="13"/>
      <c r="J4249" s="12"/>
      <c r="K4249" s="13"/>
      <c r="L4249" s="11"/>
      <c r="M4249" s="13"/>
      <c r="N4249" s="11"/>
      <c r="O4249" s="13"/>
      <c r="P4249" s="11"/>
      <c r="Q4249" s="13"/>
      <c r="R4249" s="10"/>
      <c r="S4249" s="10"/>
    </row>
    <row r="4250" spans="1:19" x14ac:dyDescent="0.25">
      <c r="A4250" t="str">
        <f t="shared" si="67"/>
        <v/>
      </c>
      <c r="B4250" s="10"/>
      <c r="C4250" s="10"/>
      <c r="D4250" s="10"/>
      <c r="E4250" s="10"/>
      <c r="F4250" s="10"/>
      <c r="G4250" s="11"/>
      <c r="H4250" s="12"/>
      <c r="I4250" s="13"/>
      <c r="J4250" s="12"/>
      <c r="K4250" s="13"/>
      <c r="L4250" s="11"/>
      <c r="M4250" s="13"/>
      <c r="N4250" s="11"/>
      <c r="O4250" s="13"/>
      <c r="P4250" s="11"/>
      <c r="Q4250" s="13"/>
      <c r="R4250" s="10"/>
      <c r="S4250" s="10"/>
    </row>
    <row r="4251" spans="1:19" x14ac:dyDescent="0.25">
      <c r="A4251" t="str">
        <f t="shared" si="67"/>
        <v/>
      </c>
      <c r="B4251" s="10"/>
      <c r="C4251" s="10"/>
      <c r="D4251" s="10"/>
      <c r="E4251" s="10"/>
      <c r="F4251" s="10"/>
      <c r="G4251" s="11"/>
      <c r="H4251" s="12"/>
      <c r="I4251" s="13"/>
      <c r="J4251" s="12"/>
      <c r="K4251" s="13"/>
      <c r="L4251" s="11"/>
      <c r="M4251" s="13"/>
      <c r="N4251" s="11"/>
      <c r="O4251" s="13"/>
      <c r="P4251" s="11"/>
      <c r="Q4251" s="13"/>
      <c r="R4251" s="10"/>
      <c r="S4251" s="10"/>
    </row>
    <row r="4252" spans="1:19" x14ac:dyDescent="0.25">
      <c r="A4252" t="str">
        <f t="shared" si="67"/>
        <v/>
      </c>
      <c r="B4252" s="10"/>
      <c r="C4252" s="10"/>
      <c r="D4252" s="10"/>
      <c r="E4252" s="10"/>
      <c r="F4252" s="10"/>
      <c r="G4252" s="11"/>
      <c r="H4252" s="12"/>
      <c r="I4252" s="13"/>
      <c r="J4252" s="12"/>
      <c r="K4252" s="13"/>
      <c r="L4252" s="11"/>
      <c r="M4252" s="13"/>
      <c r="N4252" s="11"/>
      <c r="O4252" s="13"/>
      <c r="P4252" s="11"/>
      <c r="Q4252" s="13"/>
      <c r="R4252" s="10"/>
      <c r="S4252" s="10"/>
    </row>
    <row r="4253" spans="1:19" x14ac:dyDescent="0.25">
      <c r="A4253" t="str">
        <f t="shared" si="67"/>
        <v/>
      </c>
      <c r="B4253" s="10"/>
      <c r="C4253" s="10"/>
      <c r="D4253" s="10"/>
      <c r="E4253" s="10"/>
      <c r="F4253" s="10"/>
      <c r="G4253" s="11"/>
      <c r="H4253" s="12"/>
      <c r="I4253" s="13"/>
      <c r="J4253" s="12"/>
      <c r="K4253" s="13"/>
      <c r="L4253" s="11"/>
      <c r="M4253" s="13"/>
      <c r="N4253" s="11"/>
      <c r="O4253" s="13"/>
      <c r="P4253" s="11"/>
      <c r="Q4253" s="13"/>
      <c r="R4253" s="10"/>
      <c r="S4253" s="10"/>
    </row>
    <row r="4254" spans="1:19" x14ac:dyDescent="0.25">
      <c r="A4254" t="str">
        <f t="shared" si="67"/>
        <v/>
      </c>
      <c r="B4254" s="10"/>
      <c r="C4254" s="10"/>
      <c r="D4254" s="10"/>
      <c r="E4254" s="10"/>
      <c r="F4254" s="10"/>
      <c r="G4254" s="11"/>
      <c r="H4254" s="12"/>
      <c r="I4254" s="13"/>
      <c r="J4254" s="12"/>
      <c r="K4254" s="13"/>
      <c r="L4254" s="11"/>
      <c r="M4254" s="13"/>
      <c r="N4254" s="11"/>
      <c r="O4254" s="13"/>
      <c r="P4254" s="11"/>
      <c r="Q4254" s="13"/>
      <c r="R4254" s="10"/>
      <c r="S4254" s="10"/>
    </row>
    <row r="4255" spans="1:19" x14ac:dyDescent="0.25">
      <c r="A4255" t="str">
        <f t="shared" si="67"/>
        <v/>
      </c>
      <c r="B4255" s="10"/>
      <c r="C4255" s="10"/>
      <c r="D4255" s="10"/>
      <c r="E4255" s="10"/>
      <c r="F4255" s="10"/>
      <c r="G4255" s="11"/>
      <c r="H4255" s="12"/>
      <c r="I4255" s="13"/>
      <c r="J4255" s="12"/>
      <c r="K4255" s="13"/>
      <c r="L4255" s="11"/>
      <c r="M4255" s="13"/>
      <c r="N4255" s="11"/>
      <c r="O4255" s="13"/>
      <c r="P4255" s="11"/>
      <c r="Q4255" s="13"/>
      <c r="R4255" s="10"/>
      <c r="S4255" s="10"/>
    </row>
    <row r="4256" spans="1:19" x14ac:dyDescent="0.25">
      <c r="A4256" t="str">
        <f t="shared" si="67"/>
        <v/>
      </c>
      <c r="B4256" s="10"/>
      <c r="C4256" s="10"/>
      <c r="D4256" s="10"/>
      <c r="E4256" s="10"/>
      <c r="F4256" s="10"/>
      <c r="G4256" s="11"/>
      <c r="H4256" s="12"/>
      <c r="I4256" s="13"/>
      <c r="J4256" s="12"/>
      <c r="K4256" s="13"/>
      <c r="L4256" s="11"/>
      <c r="M4256" s="13"/>
      <c r="N4256" s="11"/>
      <c r="O4256" s="13"/>
      <c r="P4256" s="11"/>
      <c r="Q4256" s="13"/>
      <c r="R4256" s="10"/>
      <c r="S4256" s="10"/>
    </row>
    <row r="4257" spans="1:19" x14ac:dyDescent="0.25">
      <c r="A4257" t="str">
        <f t="shared" si="67"/>
        <v/>
      </c>
      <c r="B4257" s="10"/>
      <c r="C4257" s="10"/>
      <c r="D4257" s="10"/>
      <c r="E4257" s="10"/>
      <c r="F4257" s="10"/>
      <c r="G4257" s="11"/>
      <c r="H4257" s="12"/>
      <c r="I4257" s="13"/>
      <c r="J4257" s="12"/>
      <c r="K4257" s="13"/>
      <c r="L4257" s="11"/>
      <c r="M4257" s="13"/>
      <c r="N4257" s="11"/>
      <c r="O4257" s="13"/>
      <c r="P4257" s="11"/>
      <c r="Q4257" s="13"/>
      <c r="R4257" s="10"/>
      <c r="S4257" s="10"/>
    </row>
    <row r="4258" spans="1:19" x14ac:dyDescent="0.25">
      <c r="A4258" t="str">
        <f t="shared" si="67"/>
        <v/>
      </c>
      <c r="B4258" s="10"/>
      <c r="C4258" s="10"/>
      <c r="D4258" s="10"/>
      <c r="E4258" s="10"/>
      <c r="F4258" s="10"/>
      <c r="G4258" s="11"/>
      <c r="H4258" s="12"/>
      <c r="I4258" s="13"/>
      <c r="J4258" s="12"/>
      <c r="K4258" s="13"/>
      <c r="L4258" s="11"/>
      <c r="M4258" s="13"/>
      <c r="N4258" s="11"/>
      <c r="O4258" s="13"/>
      <c r="P4258" s="11"/>
      <c r="Q4258" s="13"/>
      <c r="R4258" s="10"/>
      <c r="S4258" s="10"/>
    </row>
    <row r="4259" spans="1:19" x14ac:dyDescent="0.25">
      <c r="A4259" t="str">
        <f t="shared" si="67"/>
        <v/>
      </c>
      <c r="B4259" s="10"/>
      <c r="C4259" s="10"/>
      <c r="D4259" s="10"/>
      <c r="E4259" s="10"/>
      <c r="F4259" s="10"/>
      <c r="G4259" s="11"/>
      <c r="H4259" s="12"/>
      <c r="I4259" s="13"/>
      <c r="J4259" s="12"/>
      <c r="K4259" s="13"/>
      <c r="L4259" s="11"/>
      <c r="M4259" s="13"/>
      <c r="N4259" s="11"/>
      <c r="O4259" s="13"/>
      <c r="P4259" s="11"/>
      <c r="Q4259" s="13"/>
      <c r="R4259" s="10"/>
      <c r="S4259" s="10"/>
    </row>
    <row r="4260" spans="1:19" x14ac:dyDescent="0.25">
      <c r="A4260" t="str">
        <f t="shared" si="67"/>
        <v/>
      </c>
      <c r="B4260" s="10"/>
      <c r="C4260" s="10"/>
      <c r="D4260" s="10"/>
      <c r="E4260" s="10"/>
      <c r="F4260" s="10"/>
      <c r="G4260" s="11"/>
      <c r="H4260" s="12"/>
      <c r="I4260" s="13"/>
      <c r="J4260" s="12"/>
      <c r="K4260" s="13"/>
      <c r="L4260" s="11"/>
      <c r="M4260" s="13"/>
      <c r="N4260" s="11"/>
      <c r="O4260" s="13"/>
      <c r="P4260" s="11"/>
      <c r="Q4260" s="13"/>
      <c r="R4260" s="10"/>
      <c r="S4260" s="10"/>
    </row>
    <row r="4261" spans="1:19" x14ac:dyDescent="0.25">
      <c r="A4261" t="str">
        <f t="shared" si="67"/>
        <v/>
      </c>
      <c r="B4261" s="10"/>
      <c r="C4261" s="10"/>
      <c r="D4261" s="10"/>
      <c r="E4261" s="10"/>
      <c r="F4261" s="10"/>
      <c r="G4261" s="11"/>
      <c r="H4261" s="12"/>
      <c r="I4261" s="13"/>
      <c r="J4261" s="12"/>
      <c r="K4261" s="13"/>
      <c r="L4261" s="11"/>
      <c r="M4261" s="13"/>
      <c r="N4261" s="11"/>
      <c r="O4261" s="13"/>
      <c r="P4261" s="11"/>
      <c r="Q4261" s="13"/>
      <c r="R4261" s="10"/>
      <c r="S4261" s="10"/>
    </row>
    <row r="4262" spans="1:19" x14ac:dyDescent="0.25">
      <c r="A4262" t="str">
        <f t="shared" si="67"/>
        <v/>
      </c>
      <c r="B4262" s="10"/>
      <c r="C4262" s="10"/>
      <c r="D4262" s="10"/>
      <c r="E4262" s="10"/>
      <c r="F4262" s="10"/>
      <c r="G4262" s="11"/>
      <c r="H4262" s="12"/>
      <c r="I4262" s="13"/>
      <c r="J4262" s="12"/>
      <c r="K4262" s="13"/>
      <c r="L4262" s="11"/>
      <c r="M4262" s="13"/>
      <c r="N4262" s="11"/>
      <c r="O4262" s="13"/>
      <c r="P4262" s="11"/>
      <c r="Q4262" s="13"/>
      <c r="R4262" s="10"/>
      <c r="S4262" s="10"/>
    </row>
    <row r="4263" spans="1:19" x14ac:dyDescent="0.25">
      <c r="A4263" t="str">
        <f t="shared" si="67"/>
        <v/>
      </c>
      <c r="B4263" s="10"/>
      <c r="C4263" s="10"/>
      <c r="D4263" s="10"/>
      <c r="E4263" s="10"/>
      <c r="F4263" s="10"/>
      <c r="G4263" s="11"/>
      <c r="H4263" s="12"/>
      <c r="I4263" s="13"/>
      <c r="J4263" s="12"/>
      <c r="K4263" s="13"/>
      <c r="L4263" s="11"/>
      <c r="M4263" s="13"/>
      <c r="N4263" s="11"/>
      <c r="O4263" s="13"/>
      <c r="P4263" s="11"/>
      <c r="Q4263" s="13"/>
      <c r="R4263" s="10"/>
      <c r="S4263" s="10"/>
    </row>
    <row r="4264" spans="1:19" x14ac:dyDescent="0.25">
      <c r="A4264" t="str">
        <f t="shared" si="67"/>
        <v/>
      </c>
      <c r="B4264" s="10"/>
      <c r="C4264" s="10"/>
      <c r="D4264" s="10"/>
      <c r="E4264" s="10"/>
      <c r="F4264" s="10"/>
      <c r="G4264" s="11"/>
      <c r="H4264" s="12"/>
      <c r="I4264" s="13"/>
      <c r="J4264" s="12"/>
      <c r="K4264" s="13"/>
      <c r="L4264" s="11"/>
      <c r="M4264" s="13"/>
      <c r="N4264" s="11"/>
      <c r="O4264" s="13"/>
      <c r="P4264" s="11"/>
      <c r="Q4264" s="13"/>
      <c r="R4264" s="10"/>
      <c r="S4264" s="10"/>
    </row>
    <row r="4265" spans="1:19" x14ac:dyDescent="0.25">
      <c r="A4265" t="str">
        <f t="shared" si="67"/>
        <v/>
      </c>
      <c r="B4265" s="10"/>
      <c r="C4265" s="10"/>
      <c r="D4265" s="10"/>
      <c r="E4265" s="10"/>
      <c r="F4265" s="10"/>
      <c r="G4265" s="11"/>
      <c r="H4265" s="12"/>
      <c r="I4265" s="13"/>
      <c r="J4265" s="12"/>
      <c r="K4265" s="13"/>
      <c r="L4265" s="11"/>
      <c r="M4265" s="13"/>
      <c r="N4265" s="11"/>
      <c r="O4265" s="13"/>
      <c r="P4265" s="11"/>
      <c r="Q4265" s="13"/>
      <c r="R4265" s="10"/>
      <c r="S4265" s="10"/>
    </row>
    <row r="4266" spans="1:19" x14ac:dyDescent="0.25">
      <c r="A4266" t="str">
        <f t="shared" si="67"/>
        <v/>
      </c>
      <c r="B4266" s="10"/>
      <c r="C4266" s="10"/>
      <c r="D4266" s="10"/>
      <c r="E4266" s="10"/>
      <c r="F4266" s="10"/>
      <c r="G4266" s="11"/>
      <c r="H4266" s="12"/>
      <c r="I4266" s="13"/>
      <c r="J4266" s="12"/>
      <c r="K4266" s="13"/>
      <c r="L4266" s="11"/>
      <c r="M4266" s="13"/>
      <c r="N4266" s="11"/>
      <c r="O4266" s="13"/>
      <c r="P4266" s="11"/>
      <c r="Q4266" s="13"/>
      <c r="R4266" s="10"/>
      <c r="S4266" s="10"/>
    </row>
    <row r="4267" spans="1:19" x14ac:dyDescent="0.25">
      <c r="A4267" t="str">
        <f t="shared" si="67"/>
        <v/>
      </c>
      <c r="B4267" s="10"/>
      <c r="C4267" s="10"/>
      <c r="D4267" s="10"/>
      <c r="E4267" s="10"/>
      <c r="F4267" s="10"/>
      <c r="G4267" s="11"/>
      <c r="H4267" s="12"/>
      <c r="I4267" s="13"/>
      <c r="J4267" s="12"/>
      <c r="K4267" s="13"/>
      <c r="L4267" s="11"/>
      <c r="M4267" s="13"/>
      <c r="N4267" s="11"/>
      <c r="O4267" s="13"/>
      <c r="P4267" s="11"/>
      <c r="Q4267" s="13"/>
      <c r="R4267" s="10"/>
      <c r="S4267" s="10"/>
    </row>
    <row r="4268" spans="1:19" x14ac:dyDescent="0.25">
      <c r="A4268" t="str">
        <f t="shared" si="67"/>
        <v/>
      </c>
      <c r="B4268" s="10"/>
      <c r="C4268" s="10"/>
      <c r="D4268" s="10"/>
      <c r="E4268" s="10"/>
      <c r="F4268" s="10"/>
      <c r="G4268" s="11"/>
      <c r="H4268" s="12"/>
      <c r="I4268" s="13"/>
      <c r="J4268" s="12"/>
      <c r="K4268" s="13"/>
      <c r="L4268" s="11"/>
      <c r="M4268" s="13"/>
      <c r="N4268" s="11"/>
      <c r="O4268" s="13"/>
      <c r="P4268" s="11"/>
      <c r="Q4268" s="13"/>
      <c r="R4268" s="10"/>
      <c r="S4268" s="10"/>
    </row>
    <row r="4269" spans="1:19" x14ac:dyDescent="0.25">
      <c r="A4269" t="str">
        <f t="shared" si="67"/>
        <v/>
      </c>
      <c r="B4269" s="10"/>
      <c r="C4269" s="10"/>
      <c r="D4269" s="10"/>
      <c r="E4269" s="10"/>
      <c r="F4269" s="10"/>
      <c r="G4269" s="11"/>
      <c r="H4269" s="12"/>
      <c r="I4269" s="13"/>
      <c r="J4269" s="12"/>
      <c r="K4269" s="13"/>
      <c r="L4269" s="11"/>
      <c r="M4269" s="13"/>
      <c r="N4269" s="11"/>
      <c r="O4269" s="13"/>
      <c r="P4269" s="11"/>
      <c r="Q4269" s="13"/>
      <c r="R4269" s="10"/>
      <c r="S4269" s="10"/>
    </row>
    <row r="4270" spans="1:19" x14ac:dyDescent="0.25">
      <c r="A4270" t="str">
        <f t="shared" si="67"/>
        <v/>
      </c>
      <c r="B4270" s="10"/>
      <c r="C4270" s="10"/>
      <c r="D4270" s="10"/>
      <c r="E4270" s="10"/>
      <c r="F4270" s="10"/>
      <c r="G4270" s="11"/>
      <c r="H4270" s="12"/>
      <c r="I4270" s="13"/>
      <c r="J4270" s="12"/>
      <c r="K4270" s="13"/>
      <c r="L4270" s="11"/>
      <c r="M4270" s="13"/>
      <c r="N4270" s="11"/>
      <c r="O4270" s="13"/>
      <c r="P4270" s="11"/>
      <c r="Q4270" s="13"/>
      <c r="R4270" s="10"/>
      <c r="S4270" s="10"/>
    </row>
    <row r="4271" spans="1:19" x14ac:dyDescent="0.25">
      <c r="A4271" t="str">
        <f t="shared" si="67"/>
        <v/>
      </c>
      <c r="B4271" s="10"/>
      <c r="C4271" s="10"/>
      <c r="D4271" s="10"/>
      <c r="E4271" s="10"/>
      <c r="F4271" s="10"/>
      <c r="G4271" s="11"/>
      <c r="H4271" s="12"/>
      <c r="I4271" s="13"/>
      <c r="J4271" s="12"/>
      <c r="K4271" s="13"/>
      <c r="L4271" s="11"/>
      <c r="M4271" s="13"/>
      <c r="N4271" s="11"/>
      <c r="O4271" s="13"/>
      <c r="P4271" s="11"/>
      <c r="Q4271" s="13"/>
      <c r="R4271" s="10"/>
      <c r="S4271" s="10"/>
    </row>
    <row r="4272" spans="1:19" x14ac:dyDescent="0.25">
      <c r="A4272" t="str">
        <f t="shared" si="67"/>
        <v/>
      </c>
      <c r="B4272" s="10"/>
      <c r="C4272" s="10"/>
      <c r="D4272" s="10"/>
      <c r="E4272" s="10"/>
      <c r="F4272" s="10"/>
      <c r="G4272" s="11"/>
      <c r="H4272" s="12"/>
      <c r="I4272" s="13"/>
      <c r="J4272" s="12"/>
      <c r="K4272" s="13"/>
      <c r="L4272" s="11"/>
      <c r="M4272" s="13"/>
      <c r="N4272" s="11"/>
      <c r="O4272" s="13"/>
      <c r="P4272" s="11"/>
      <c r="Q4272" s="13"/>
      <c r="R4272" s="10"/>
      <c r="S4272" s="10"/>
    </row>
    <row r="4273" spans="1:19" x14ac:dyDescent="0.25">
      <c r="A4273" t="str">
        <f t="shared" si="67"/>
        <v/>
      </c>
      <c r="B4273" s="10"/>
      <c r="C4273" s="10"/>
      <c r="D4273" s="10"/>
      <c r="E4273" s="10"/>
      <c r="F4273" s="10"/>
      <c r="G4273" s="11"/>
      <c r="H4273" s="12"/>
      <c r="I4273" s="13"/>
      <c r="J4273" s="12"/>
      <c r="K4273" s="13"/>
      <c r="L4273" s="11"/>
      <c r="M4273" s="13"/>
      <c r="N4273" s="11"/>
      <c r="O4273" s="13"/>
      <c r="P4273" s="11"/>
      <c r="Q4273" s="13"/>
      <c r="R4273" s="10"/>
      <c r="S4273" s="10"/>
    </row>
    <row r="4274" spans="1:19" x14ac:dyDescent="0.25">
      <c r="A4274" t="str">
        <f t="shared" si="67"/>
        <v/>
      </c>
      <c r="B4274" s="10"/>
      <c r="C4274" s="10"/>
      <c r="D4274" s="10"/>
      <c r="E4274" s="10"/>
      <c r="F4274" s="10"/>
      <c r="G4274" s="11"/>
      <c r="H4274" s="12"/>
      <c r="I4274" s="13"/>
      <c r="J4274" s="12"/>
      <c r="K4274" s="13"/>
      <c r="L4274" s="11"/>
      <c r="M4274" s="13"/>
      <c r="N4274" s="11"/>
      <c r="O4274" s="13"/>
      <c r="P4274" s="11"/>
      <c r="Q4274" s="13"/>
      <c r="R4274" s="10"/>
      <c r="S4274" s="10"/>
    </row>
    <row r="4275" spans="1:19" x14ac:dyDescent="0.25">
      <c r="A4275" t="str">
        <f t="shared" si="67"/>
        <v/>
      </c>
      <c r="B4275" s="10"/>
      <c r="C4275" s="10"/>
      <c r="D4275" s="10"/>
      <c r="E4275" s="10"/>
      <c r="F4275" s="10"/>
      <c r="G4275" s="11"/>
      <c r="H4275" s="12"/>
      <c r="I4275" s="13"/>
      <c r="J4275" s="12"/>
      <c r="K4275" s="13"/>
      <c r="L4275" s="11"/>
      <c r="M4275" s="13"/>
      <c r="N4275" s="11"/>
      <c r="O4275" s="13"/>
      <c r="P4275" s="11"/>
      <c r="Q4275" s="13"/>
      <c r="R4275" s="10"/>
      <c r="S4275" s="10"/>
    </row>
    <row r="4276" spans="1:19" x14ac:dyDescent="0.25">
      <c r="A4276" t="str">
        <f t="shared" si="67"/>
        <v/>
      </c>
      <c r="B4276" s="10"/>
      <c r="C4276" s="10"/>
      <c r="D4276" s="10"/>
      <c r="E4276" s="10"/>
      <c r="F4276" s="10"/>
      <c r="G4276" s="11"/>
      <c r="H4276" s="12"/>
      <c r="I4276" s="13"/>
      <c r="J4276" s="12"/>
      <c r="K4276" s="13"/>
      <c r="L4276" s="11"/>
      <c r="M4276" s="13"/>
      <c r="N4276" s="11"/>
      <c r="O4276" s="13"/>
      <c r="P4276" s="11"/>
      <c r="Q4276" s="13"/>
      <c r="R4276" s="10"/>
      <c r="S4276" s="10"/>
    </row>
    <row r="4277" spans="1:19" x14ac:dyDescent="0.25">
      <c r="A4277" t="str">
        <f t="shared" ref="A4277:A4340" si="68">B4275&amp;D4275</f>
        <v/>
      </c>
      <c r="B4277" s="10"/>
      <c r="C4277" s="10"/>
      <c r="D4277" s="10"/>
      <c r="E4277" s="10"/>
      <c r="F4277" s="10"/>
      <c r="G4277" s="11"/>
      <c r="H4277" s="12"/>
      <c r="I4277" s="13"/>
      <c r="J4277" s="12"/>
      <c r="K4277" s="13"/>
      <c r="L4277" s="11"/>
      <c r="M4277" s="13"/>
      <c r="N4277" s="11"/>
      <c r="O4277" s="13"/>
      <c r="P4277" s="11"/>
      <c r="Q4277" s="13"/>
      <c r="R4277" s="10"/>
      <c r="S4277" s="10"/>
    </row>
    <row r="4278" spans="1:19" x14ac:dyDescent="0.25">
      <c r="A4278" t="str">
        <f t="shared" si="68"/>
        <v/>
      </c>
      <c r="B4278" s="10"/>
      <c r="C4278" s="10"/>
      <c r="D4278" s="10"/>
      <c r="E4278" s="10"/>
      <c r="F4278" s="10"/>
      <c r="G4278" s="11"/>
      <c r="H4278" s="12"/>
      <c r="I4278" s="13"/>
      <c r="J4278" s="12"/>
      <c r="K4278" s="13"/>
      <c r="L4278" s="11"/>
      <c r="M4278" s="13"/>
      <c r="N4278" s="11"/>
      <c r="O4278" s="13"/>
      <c r="P4278" s="11"/>
      <c r="Q4278" s="13"/>
      <c r="R4278" s="10"/>
      <c r="S4278" s="10"/>
    </row>
    <row r="4279" spans="1:19" x14ac:dyDescent="0.25">
      <c r="A4279" t="str">
        <f t="shared" si="68"/>
        <v/>
      </c>
      <c r="B4279" s="10"/>
      <c r="C4279" s="10"/>
      <c r="D4279" s="10"/>
      <c r="E4279" s="10"/>
      <c r="F4279" s="10"/>
      <c r="G4279" s="11"/>
      <c r="H4279" s="12"/>
      <c r="I4279" s="13"/>
      <c r="J4279" s="12"/>
      <c r="K4279" s="13"/>
      <c r="L4279" s="11"/>
      <c r="M4279" s="13"/>
      <c r="N4279" s="11"/>
      <c r="O4279" s="13"/>
      <c r="P4279" s="11"/>
      <c r="Q4279" s="13"/>
      <c r="R4279" s="10"/>
      <c r="S4279" s="10"/>
    </row>
    <row r="4280" spans="1:19" x14ac:dyDescent="0.25">
      <c r="A4280" t="str">
        <f t="shared" si="68"/>
        <v/>
      </c>
      <c r="B4280" s="10"/>
      <c r="C4280" s="10"/>
      <c r="D4280" s="10"/>
      <c r="E4280" s="10"/>
      <c r="F4280" s="10"/>
      <c r="G4280" s="11"/>
      <c r="H4280" s="12"/>
      <c r="I4280" s="13"/>
      <c r="J4280" s="12"/>
      <c r="K4280" s="13"/>
      <c r="L4280" s="11"/>
      <c r="M4280" s="13"/>
      <c r="N4280" s="11"/>
      <c r="O4280" s="13"/>
      <c r="P4280" s="11"/>
      <c r="Q4280" s="13"/>
      <c r="R4280" s="10"/>
      <c r="S4280" s="10"/>
    </row>
    <row r="4281" spans="1:19" x14ac:dyDescent="0.25">
      <c r="A4281" t="str">
        <f t="shared" si="68"/>
        <v/>
      </c>
      <c r="B4281" s="10"/>
      <c r="C4281" s="10"/>
      <c r="D4281" s="10"/>
      <c r="E4281" s="10"/>
      <c r="F4281" s="10"/>
      <c r="G4281" s="11"/>
      <c r="H4281" s="12"/>
      <c r="I4281" s="13"/>
      <c r="J4281" s="12"/>
      <c r="K4281" s="13"/>
      <c r="L4281" s="11"/>
      <c r="M4281" s="13"/>
      <c r="N4281" s="11"/>
      <c r="O4281" s="13"/>
      <c r="P4281" s="11"/>
      <c r="Q4281" s="13"/>
      <c r="R4281" s="10"/>
      <c r="S4281" s="10"/>
    </row>
    <row r="4282" spans="1:19" x14ac:dyDescent="0.25">
      <c r="A4282" t="str">
        <f t="shared" si="68"/>
        <v/>
      </c>
      <c r="B4282" s="10"/>
      <c r="C4282" s="10"/>
      <c r="D4282" s="10"/>
      <c r="E4282" s="10"/>
      <c r="F4282" s="10"/>
      <c r="G4282" s="11"/>
      <c r="H4282" s="12"/>
      <c r="I4282" s="13"/>
      <c r="J4282" s="12"/>
      <c r="K4282" s="13"/>
      <c r="L4282" s="11"/>
      <c r="M4282" s="13"/>
      <c r="N4282" s="11"/>
      <c r="O4282" s="13"/>
      <c r="P4282" s="11"/>
      <c r="Q4282" s="13"/>
      <c r="R4282" s="10"/>
      <c r="S4282" s="10"/>
    </row>
    <row r="4283" spans="1:19" x14ac:dyDescent="0.25">
      <c r="A4283" t="str">
        <f t="shared" si="68"/>
        <v/>
      </c>
      <c r="B4283" s="10"/>
      <c r="C4283" s="10"/>
      <c r="D4283" s="10"/>
      <c r="E4283" s="10"/>
      <c r="F4283" s="10"/>
      <c r="G4283" s="11"/>
      <c r="H4283" s="12"/>
      <c r="I4283" s="13"/>
      <c r="J4283" s="12"/>
      <c r="K4283" s="13"/>
      <c r="L4283" s="11"/>
      <c r="M4283" s="13"/>
      <c r="N4283" s="11"/>
      <c r="O4283" s="13"/>
      <c r="P4283" s="11"/>
      <c r="Q4283" s="13"/>
      <c r="R4283" s="10"/>
      <c r="S4283" s="10"/>
    </row>
    <row r="4284" spans="1:19" x14ac:dyDescent="0.25">
      <c r="A4284" t="str">
        <f t="shared" si="68"/>
        <v/>
      </c>
      <c r="B4284" s="10"/>
      <c r="C4284" s="10"/>
      <c r="D4284" s="10"/>
      <c r="E4284" s="10"/>
      <c r="F4284" s="10"/>
      <c r="G4284" s="11"/>
      <c r="H4284" s="12"/>
      <c r="I4284" s="13"/>
      <c r="J4284" s="12"/>
      <c r="K4284" s="13"/>
      <c r="L4284" s="11"/>
      <c r="M4284" s="13"/>
      <c r="N4284" s="11"/>
      <c r="O4284" s="13"/>
      <c r="P4284" s="11"/>
      <c r="Q4284" s="13"/>
      <c r="R4284" s="10"/>
      <c r="S4284" s="10"/>
    </row>
    <row r="4285" spans="1:19" x14ac:dyDescent="0.25">
      <c r="A4285" t="str">
        <f t="shared" si="68"/>
        <v/>
      </c>
      <c r="B4285" s="10"/>
      <c r="C4285" s="10"/>
      <c r="D4285" s="10"/>
      <c r="E4285" s="10"/>
      <c r="F4285" s="10"/>
      <c r="G4285" s="11"/>
      <c r="H4285" s="12"/>
      <c r="I4285" s="13"/>
      <c r="J4285" s="12"/>
      <c r="K4285" s="13"/>
      <c r="L4285" s="11"/>
      <c r="M4285" s="13"/>
      <c r="N4285" s="11"/>
      <c r="O4285" s="13"/>
      <c r="P4285" s="11"/>
      <c r="Q4285" s="13"/>
      <c r="R4285" s="10"/>
      <c r="S4285" s="10"/>
    </row>
    <row r="4286" spans="1:19" x14ac:dyDescent="0.25">
      <c r="A4286" t="str">
        <f t="shared" si="68"/>
        <v/>
      </c>
      <c r="B4286" s="10"/>
      <c r="C4286" s="10"/>
      <c r="D4286" s="10"/>
      <c r="E4286" s="10"/>
      <c r="F4286" s="10"/>
      <c r="G4286" s="11"/>
      <c r="H4286" s="12"/>
      <c r="I4286" s="13"/>
      <c r="J4286" s="12"/>
      <c r="K4286" s="13"/>
      <c r="L4286" s="11"/>
      <c r="M4286" s="13"/>
      <c r="N4286" s="11"/>
      <c r="O4286" s="13"/>
      <c r="P4286" s="11"/>
      <c r="Q4286" s="13"/>
      <c r="R4286" s="10"/>
      <c r="S4286" s="10"/>
    </row>
    <row r="4287" spans="1:19" x14ac:dyDescent="0.25">
      <c r="A4287" t="str">
        <f t="shared" si="68"/>
        <v/>
      </c>
      <c r="B4287" s="10"/>
      <c r="C4287" s="10"/>
      <c r="D4287" s="10"/>
      <c r="E4287" s="10"/>
      <c r="F4287" s="10"/>
      <c r="G4287" s="11"/>
      <c r="H4287" s="12"/>
      <c r="I4287" s="13"/>
      <c r="J4287" s="12"/>
      <c r="K4287" s="13"/>
      <c r="L4287" s="11"/>
      <c r="M4287" s="13"/>
      <c r="N4287" s="11"/>
      <c r="O4287" s="13"/>
      <c r="P4287" s="11"/>
      <c r="Q4287" s="13"/>
      <c r="R4287" s="10"/>
      <c r="S4287" s="10"/>
    </row>
    <row r="4288" spans="1:19" x14ac:dyDescent="0.25">
      <c r="A4288" t="str">
        <f t="shared" si="68"/>
        <v/>
      </c>
      <c r="B4288" s="10"/>
      <c r="C4288" s="10"/>
      <c r="D4288" s="10"/>
      <c r="E4288" s="10"/>
      <c r="F4288" s="10"/>
      <c r="G4288" s="11"/>
      <c r="H4288" s="12"/>
      <c r="I4288" s="13"/>
      <c r="J4288" s="12"/>
      <c r="K4288" s="13"/>
      <c r="L4288" s="11"/>
      <c r="M4288" s="13"/>
      <c r="N4288" s="11"/>
      <c r="O4288" s="13"/>
      <c r="P4288" s="11"/>
      <c r="Q4288" s="13"/>
      <c r="R4288" s="10"/>
      <c r="S4288" s="10"/>
    </row>
    <row r="4289" spans="1:19" x14ac:dyDescent="0.25">
      <c r="A4289" t="str">
        <f t="shared" si="68"/>
        <v/>
      </c>
      <c r="B4289" s="10"/>
      <c r="C4289" s="10"/>
      <c r="D4289" s="10"/>
      <c r="E4289" s="10"/>
      <c r="F4289" s="10"/>
      <c r="G4289" s="11"/>
      <c r="H4289" s="12"/>
      <c r="I4289" s="13"/>
      <c r="J4289" s="12"/>
      <c r="K4289" s="13"/>
      <c r="L4289" s="11"/>
      <c r="M4289" s="13"/>
      <c r="N4289" s="11"/>
      <c r="O4289" s="13"/>
      <c r="P4289" s="11"/>
      <c r="Q4289" s="13"/>
      <c r="R4289" s="10"/>
      <c r="S4289" s="10"/>
    </row>
    <row r="4290" spans="1:19" x14ac:dyDescent="0.25">
      <c r="A4290" t="str">
        <f t="shared" si="68"/>
        <v/>
      </c>
      <c r="B4290" s="10"/>
      <c r="C4290" s="10"/>
      <c r="D4290" s="10"/>
      <c r="E4290" s="10"/>
      <c r="F4290" s="10"/>
      <c r="G4290" s="11"/>
      <c r="H4290" s="12"/>
      <c r="I4290" s="13"/>
      <c r="J4290" s="12"/>
      <c r="K4290" s="13"/>
      <c r="L4290" s="11"/>
      <c r="M4290" s="13"/>
      <c r="N4290" s="11"/>
      <c r="O4290" s="13"/>
      <c r="P4290" s="11"/>
      <c r="Q4290" s="13"/>
      <c r="R4290" s="10"/>
      <c r="S4290" s="10"/>
    </row>
    <row r="4291" spans="1:19" x14ac:dyDescent="0.25">
      <c r="A4291" t="str">
        <f t="shared" si="68"/>
        <v/>
      </c>
      <c r="B4291" s="10"/>
      <c r="C4291" s="10"/>
      <c r="D4291" s="10"/>
      <c r="E4291" s="10"/>
      <c r="F4291" s="10"/>
      <c r="G4291" s="11"/>
      <c r="H4291" s="12"/>
      <c r="I4291" s="13"/>
      <c r="J4291" s="12"/>
      <c r="K4291" s="13"/>
      <c r="L4291" s="11"/>
      <c r="M4291" s="13"/>
      <c r="N4291" s="11"/>
      <c r="O4291" s="13"/>
      <c r="P4291" s="11"/>
      <c r="Q4291" s="13"/>
      <c r="R4291" s="10"/>
      <c r="S4291" s="10"/>
    </row>
    <row r="4292" spans="1:19" x14ac:dyDescent="0.25">
      <c r="A4292" t="str">
        <f t="shared" si="68"/>
        <v/>
      </c>
      <c r="B4292" s="10"/>
      <c r="C4292" s="10"/>
      <c r="D4292" s="10"/>
      <c r="E4292" s="10"/>
      <c r="F4292" s="10"/>
      <c r="G4292" s="11"/>
      <c r="H4292" s="12"/>
      <c r="I4292" s="13"/>
      <c r="J4292" s="12"/>
      <c r="K4292" s="13"/>
      <c r="L4292" s="11"/>
      <c r="M4292" s="13"/>
      <c r="N4292" s="11"/>
      <c r="O4292" s="13"/>
      <c r="P4292" s="11"/>
      <c r="Q4292" s="13"/>
      <c r="R4292" s="10"/>
      <c r="S4292" s="10"/>
    </row>
    <row r="4293" spans="1:19" x14ac:dyDescent="0.25">
      <c r="A4293" t="str">
        <f t="shared" si="68"/>
        <v/>
      </c>
      <c r="B4293" s="10"/>
      <c r="C4293" s="10"/>
      <c r="D4293" s="10"/>
      <c r="E4293" s="10"/>
      <c r="F4293" s="10"/>
      <c r="G4293" s="11"/>
      <c r="H4293" s="12"/>
      <c r="I4293" s="13"/>
      <c r="J4293" s="12"/>
      <c r="K4293" s="13"/>
      <c r="L4293" s="11"/>
      <c r="M4293" s="13"/>
      <c r="N4293" s="11"/>
      <c r="O4293" s="13"/>
      <c r="P4293" s="11"/>
      <c r="Q4293" s="13"/>
      <c r="R4293" s="10"/>
      <c r="S4293" s="10"/>
    </row>
    <row r="4294" spans="1:19" x14ac:dyDescent="0.25">
      <c r="A4294" t="str">
        <f t="shared" si="68"/>
        <v/>
      </c>
      <c r="B4294" s="10"/>
      <c r="C4294" s="10"/>
      <c r="D4294" s="10"/>
      <c r="E4294" s="10"/>
      <c r="F4294" s="10"/>
      <c r="G4294" s="11"/>
      <c r="H4294" s="12"/>
      <c r="I4294" s="13"/>
      <c r="J4294" s="12"/>
      <c r="K4294" s="13"/>
      <c r="L4294" s="11"/>
      <c r="M4294" s="13"/>
      <c r="N4294" s="11"/>
      <c r="O4294" s="13"/>
      <c r="P4294" s="11"/>
      <c r="Q4294" s="13"/>
      <c r="R4294" s="10"/>
      <c r="S4294" s="10"/>
    </row>
    <row r="4295" spans="1:19" x14ac:dyDescent="0.25">
      <c r="A4295" t="str">
        <f t="shared" si="68"/>
        <v/>
      </c>
      <c r="B4295" s="10"/>
      <c r="C4295" s="10"/>
      <c r="D4295" s="10"/>
      <c r="E4295" s="10"/>
      <c r="F4295" s="10"/>
      <c r="G4295" s="11"/>
      <c r="H4295" s="12"/>
      <c r="I4295" s="13"/>
      <c r="J4295" s="12"/>
      <c r="K4295" s="13"/>
      <c r="L4295" s="11"/>
      <c r="M4295" s="13"/>
      <c r="N4295" s="11"/>
      <c r="O4295" s="13"/>
      <c r="P4295" s="11"/>
      <c r="Q4295" s="13"/>
      <c r="R4295" s="10"/>
      <c r="S4295" s="10"/>
    </row>
    <row r="4296" spans="1:19" x14ac:dyDescent="0.25">
      <c r="A4296" t="str">
        <f t="shared" si="68"/>
        <v/>
      </c>
      <c r="B4296" s="10"/>
      <c r="C4296" s="10"/>
      <c r="D4296" s="10"/>
      <c r="E4296" s="10"/>
      <c r="F4296" s="10"/>
      <c r="G4296" s="11"/>
      <c r="H4296" s="12"/>
      <c r="I4296" s="13"/>
      <c r="J4296" s="12"/>
      <c r="K4296" s="13"/>
      <c r="L4296" s="11"/>
      <c r="M4296" s="13"/>
      <c r="N4296" s="11"/>
      <c r="O4296" s="13"/>
      <c r="P4296" s="11"/>
      <c r="Q4296" s="13"/>
      <c r="R4296" s="10"/>
      <c r="S4296" s="10"/>
    </row>
    <row r="4297" spans="1:19" x14ac:dyDescent="0.25">
      <c r="A4297" t="str">
        <f t="shared" si="68"/>
        <v/>
      </c>
      <c r="B4297" s="10"/>
      <c r="C4297" s="10"/>
      <c r="D4297" s="10"/>
      <c r="E4297" s="10"/>
      <c r="F4297" s="10"/>
      <c r="G4297" s="11"/>
      <c r="H4297" s="12"/>
      <c r="I4297" s="13"/>
      <c r="J4297" s="12"/>
      <c r="K4297" s="13"/>
      <c r="L4297" s="11"/>
      <c r="M4297" s="13"/>
      <c r="N4297" s="11"/>
      <c r="O4297" s="13"/>
      <c r="P4297" s="11"/>
      <c r="Q4297" s="13"/>
      <c r="R4297" s="10"/>
      <c r="S4297" s="10"/>
    </row>
    <row r="4298" spans="1:19" x14ac:dyDescent="0.25">
      <c r="A4298" t="str">
        <f t="shared" si="68"/>
        <v/>
      </c>
      <c r="B4298" s="10"/>
      <c r="C4298" s="10"/>
      <c r="D4298" s="10"/>
      <c r="E4298" s="10"/>
      <c r="F4298" s="10"/>
      <c r="G4298" s="11"/>
      <c r="H4298" s="12"/>
      <c r="I4298" s="13"/>
      <c r="J4298" s="12"/>
      <c r="K4298" s="13"/>
      <c r="L4298" s="11"/>
      <c r="M4298" s="13"/>
      <c r="N4298" s="11"/>
      <c r="O4298" s="13"/>
      <c r="P4298" s="11"/>
      <c r="Q4298" s="13"/>
      <c r="R4298" s="10"/>
      <c r="S4298" s="10"/>
    </row>
    <row r="4299" spans="1:19" x14ac:dyDescent="0.25">
      <c r="A4299" t="str">
        <f t="shared" si="68"/>
        <v/>
      </c>
      <c r="B4299" s="10"/>
      <c r="C4299" s="10"/>
      <c r="D4299" s="10"/>
      <c r="E4299" s="10"/>
      <c r="F4299" s="10"/>
      <c r="G4299" s="11"/>
      <c r="H4299" s="12"/>
      <c r="I4299" s="13"/>
      <c r="J4299" s="12"/>
      <c r="K4299" s="13"/>
      <c r="L4299" s="11"/>
      <c r="M4299" s="13"/>
      <c r="N4299" s="11"/>
      <c r="O4299" s="13"/>
      <c r="P4299" s="11"/>
      <c r="Q4299" s="13"/>
      <c r="R4299" s="10"/>
      <c r="S4299" s="10"/>
    </row>
    <row r="4300" spans="1:19" x14ac:dyDescent="0.25">
      <c r="A4300" t="str">
        <f t="shared" si="68"/>
        <v/>
      </c>
      <c r="B4300" s="10"/>
      <c r="C4300" s="10"/>
      <c r="D4300" s="10"/>
      <c r="E4300" s="10"/>
      <c r="F4300" s="10"/>
      <c r="G4300" s="11"/>
      <c r="H4300" s="12"/>
      <c r="I4300" s="13"/>
      <c r="J4300" s="12"/>
      <c r="K4300" s="13"/>
      <c r="L4300" s="11"/>
      <c r="M4300" s="13"/>
      <c r="N4300" s="11"/>
      <c r="O4300" s="13"/>
      <c r="P4300" s="11"/>
      <c r="Q4300" s="13"/>
      <c r="R4300" s="10"/>
      <c r="S4300" s="10"/>
    </row>
    <row r="4301" spans="1:19" x14ac:dyDescent="0.25">
      <c r="A4301" t="str">
        <f t="shared" si="68"/>
        <v/>
      </c>
      <c r="B4301" s="10"/>
      <c r="C4301" s="10"/>
      <c r="D4301" s="10"/>
      <c r="E4301" s="10"/>
      <c r="F4301" s="10"/>
      <c r="G4301" s="11"/>
      <c r="H4301" s="12"/>
      <c r="I4301" s="13"/>
      <c r="J4301" s="12"/>
      <c r="K4301" s="13"/>
      <c r="L4301" s="11"/>
      <c r="M4301" s="13"/>
      <c r="N4301" s="11"/>
      <c r="O4301" s="13"/>
      <c r="P4301" s="11"/>
      <c r="Q4301" s="13"/>
      <c r="R4301" s="10"/>
      <c r="S4301" s="10"/>
    </row>
    <row r="4302" spans="1:19" x14ac:dyDescent="0.25">
      <c r="A4302" t="str">
        <f t="shared" si="68"/>
        <v/>
      </c>
      <c r="B4302" s="10"/>
      <c r="C4302" s="10"/>
      <c r="D4302" s="10"/>
      <c r="E4302" s="10"/>
      <c r="F4302" s="10"/>
      <c r="G4302" s="11"/>
      <c r="H4302" s="12"/>
      <c r="I4302" s="13"/>
      <c r="J4302" s="12"/>
      <c r="K4302" s="13"/>
      <c r="L4302" s="11"/>
      <c r="M4302" s="13"/>
      <c r="N4302" s="11"/>
      <c r="O4302" s="13"/>
      <c r="P4302" s="11"/>
      <c r="Q4302" s="13"/>
      <c r="R4302" s="10"/>
      <c r="S4302" s="10"/>
    </row>
    <row r="4303" spans="1:19" x14ac:dyDescent="0.25">
      <c r="A4303" t="str">
        <f t="shared" si="68"/>
        <v/>
      </c>
      <c r="B4303" s="10"/>
      <c r="C4303" s="10"/>
      <c r="D4303" s="10"/>
      <c r="E4303" s="10"/>
      <c r="F4303" s="10"/>
      <c r="G4303" s="11"/>
      <c r="H4303" s="12"/>
      <c r="I4303" s="13"/>
      <c r="J4303" s="12"/>
      <c r="K4303" s="13"/>
      <c r="L4303" s="11"/>
      <c r="M4303" s="13"/>
      <c r="N4303" s="11"/>
      <c r="O4303" s="13"/>
      <c r="P4303" s="11"/>
      <c r="Q4303" s="13"/>
      <c r="R4303" s="10"/>
      <c r="S4303" s="10"/>
    </row>
    <row r="4304" spans="1:19" x14ac:dyDescent="0.25">
      <c r="A4304" t="str">
        <f t="shared" si="68"/>
        <v/>
      </c>
      <c r="B4304" s="10"/>
      <c r="C4304" s="10"/>
      <c r="D4304" s="10"/>
      <c r="E4304" s="10"/>
      <c r="F4304" s="10"/>
      <c r="G4304" s="11"/>
      <c r="H4304" s="12"/>
      <c r="I4304" s="13"/>
      <c r="J4304" s="12"/>
      <c r="K4304" s="13"/>
      <c r="L4304" s="11"/>
      <c r="M4304" s="13"/>
      <c r="N4304" s="11"/>
      <c r="O4304" s="13"/>
      <c r="P4304" s="11"/>
      <c r="Q4304" s="13"/>
      <c r="R4304" s="10"/>
      <c r="S4304" s="10"/>
    </row>
    <row r="4305" spans="1:19" x14ac:dyDescent="0.25">
      <c r="A4305" t="str">
        <f t="shared" si="68"/>
        <v/>
      </c>
      <c r="B4305" s="10"/>
      <c r="C4305" s="10"/>
      <c r="D4305" s="10"/>
      <c r="E4305" s="10"/>
      <c r="F4305" s="10"/>
      <c r="G4305" s="11"/>
      <c r="H4305" s="12"/>
      <c r="I4305" s="13"/>
      <c r="J4305" s="12"/>
      <c r="K4305" s="13"/>
      <c r="L4305" s="11"/>
      <c r="M4305" s="13"/>
      <c r="N4305" s="11"/>
      <c r="O4305" s="13"/>
      <c r="P4305" s="11"/>
      <c r="Q4305" s="13"/>
      <c r="R4305" s="10"/>
      <c r="S4305" s="10"/>
    </row>
    <row r="4306" spans="1:19" x14ac:dyDescent="0.25">
      <c r="A4306" t="str">
        <f t="shared" si="68"/>
        <v/>
      </c>
      <c r="B4306" s="10"/>
      <c r="C4306" s="10"/>
      <c r="D4306" s="10"/>
      <c r="E4306" s="10"/>
      <c r="F4306" s="10"/>
      <c r="G4306" s="11"/>
      <c r="H4306" s="12"/>
      <c r="I4306" s="13"/>
      <c r="J4306" s="12"/>
      <c r="K4306" s="13"/>
      <c r="L4306" s="11"/>
      <c r="M4306" s="13"/>
      <c r="N4306" s="11"/>
      <c r="O4306" s="13"/>
      <c r="P4306" s="11"/>
      <c r="Q4306" s="13"/>
      <c r="R4306" s="10"/>
      <c r="S4306" s="10"/>
    </row>
    <row r="4307" spans="1:19" x14ac:dyDescent="0.25">
      <c r="A4307" t="str">
        <f t="shared" si="68"/>
        <v/>
      </c>
      <c r="B4307" s="10"/>
      <c r="C4307" s="10"/>
      <c r="D4307" s="10"/>
      <c r="E4307" s="10"/>
      <c r="F4307" s="10"/>
      <c r="G4307" s="11"/>
      <c r="H4307" s="12"/>
      <c r="I4307" s="13"/>
      <c r="J4307" s="12"/>
      <c r="K4307" s="13"/>
      <c r="L4307" s="11"/>
      <c r="M4307" s="13"/>
      <c r="N4307" s="11"/>
      <c r="O4307" s="13"/>
      <c r="P4307" s="11"/>
      <c r="Q4307" s="13"/>
      <c r="R4307" s="10"/>
      <c r="S4307" s="10"/>
    </row>
    <row r="4308" spans="1:19" x14ac:dyDescent="0.25">
      <c r="A4308" t="str">
        <f t="shared" si="68"/>
        <v/>
      </c>
      <c r="B4308" s="10"/>
      <c r="C4308" s="10"/>
      <c r="D4308" s="10"/>
      <c r="E4308" s="10"/>
      <c r="F4308" s="10"/>
      <c r="G4308" s="11"/>
      <c r="H4308" s="12"/>
      <c r="I4308" s="13"/>
      <c r="J4308" s="12"/>
      <c r="K4308" s="13"/>
      <c r="L4308" s="11"/>
      <c r="M4308" s="13"/>
      <c r="N4308" s="11"/>
      <c r="O4308" s="13"/>
      <c r="P4308" s="11"/>
      <c r="Q4308" s="13"/>
      <c r="R4308" s="10"/>
      <c r="S4308" s="10"/>
    </row>
    <row r="4309" spans="1:19" x14ac:dyDescent="0.25">
      <c r="A4309" t="str">
        <f t="shared" si="68"/>
        <v/>
      </c>
      <c r="B4309" s="10"/>
      <c r="C4309" s="10"/>
      <c r="D4309" s="10"/>
      <c r="E4309" s="10"/>
      <c r="F4309" s="10"/>
      <c r="G4309" s="11"/>
      <c r="H4309" s="12"/>
      <c r="I4309" s="13"/>
      <c r="J4309" s="12"/>
      <c r="K4309" s="13"/>
      <c r="L4309" s="11"/>
      <c r="M4309" s="13"/>
      <c r="N4309" s="11"/>
      <c r="O4309" s="13"/>
      <c r="P4309" s="11"/>
      <c r="Q4309" s="13"/>
      <c r="R4309" s="10"/>
      <c r="S4309" s="10"/>
    </row>
    <row r="4310" spans="1:19" x14ac:dyDescent="0.25">
      <c r="A4310" t="str">
        <f t="shared" si="68"/>
        <v/>
      </c>
      <c r="B4310" s="10"/>
      <c r="C4310" s="10"/>
      <c r="D4310" s="10"/>
      <c r="E4310" s="10"/>
      <c r="F4310" s="10"/>
      <c r="G4310" s="11"/>
      <c r="H4310" s="12"/>
      <c r="I4310" s="13"/>
      <c r="J4310" s="12"/>
      <c r="K4310" s="13"/>
      <c r="L4310" s="11"/>
      <c r="M4310" s="13"/>
      <c r="N4310" s="11"/>
      <c r="O4310" s="13"/>
      <c r="P4310" s="11"/>
      <c r="Q4310" s="13"/>
      <c r="R4310" s="10"/>
      <c r="S4310" s="10"/>
    </row>
    <row r="4311" spans="1:19" x14ac:dyDescent="0.25">
      <c r="A4311" t="str">
        <f t="shared" si="68"/>
        <v/>
      </c>
      <c r="B4311" s="10"/>
      <c r="C4311" s="10"/>
      <c r="D4311" s="10"/>
      <c r="E4311" s="10"/>
      <c r="F4311" s="10"/>
      <c r="G4311" s="11"/>
      <c r="H4311" s="12"/>
      <c r="I4311" s="13"/>
      <c r="J4311" s="12"/>
      <c r="K4311" s="13"/>
      <c r="L4311" s="11"/>
      <c r="M4311" s="13"/>
      <c r="N4311" s="11"/>
      <c r="O4311" s="13"/>
      <c r="P4311" s="11"/>
      <c r="Q4311" s="13"/>
      <c r="R4311" s="10"/>
      <c r="S4311" s="10"/>
    </row>
    <row r="4312" spans="1:19" x14ac:dyDescent="0.25">
      <c r="A4312" t="str">
        <f t="shared" si="68"/>
        <v/>
      </c>
      <c r="B4312" s="10"/>
      <c r="C4312" s="10"/>
      <c r="D4312" s="10"/>
      <c r="E4312" s="10"/>
      <c r="F4312" s="10"/>
      <c r="G4312" s="11"/>
      <c r="H4312" s="12"/>
      <c r="I4312" s="13"/>
      <c r="J4312" s="12"/>
      <c r="K4312" s="13"/>
      <c r="L4312" s="11"/>
      <c r="M4312" s="13"/>
      <c r="N4312" s="11"/>
      <c r="O4312" s="13"/>
      <c r="P4312" s="11"/>
      <c r="Q4312" s="13"/>
      <c r="R4312" s="10"/>
      <c r="S4312" s="10"/>
    </row>
    <row r="4313" spans="1:19" x14ac:dyDescent="0.25">
      <c r="A4313" t="str">
        <f t="shared" si="68"/>
        <v/>
      </c>
      <c r="B4313" s="10"/>
      <c r="C4313" s="10"/>
      <c r="D4313" s="10"/>
      <c r="E4313" s="10"/>
      <c r="F4313" s="10"/>
      <c r="G4313" s="11"/>
      <c r="H4313" s="12"/>
      <c r="I4313" s="13"/>
      <c r="J4313" s="12"/>
      <c r="K4313" s="13"/>
      <c r="L4313" s="11"/>
      <c r="M4313" s="13"/>
      <c r="N4313" s="11"/>
      <c r="O4313" s="13"/>
      <c r="P4313" s="11"/>
      <c r="Q4313" s="13"/>
      <c r="R4313" s="10"/>
      <c r="S4313" s="10"/>
    </row>
    <row r="4314" spans="1:19" x14ac:dyDescent="0.25">
      <c r="A4314" t="str">
        <f t="shared" si="68"/>
        <v/>
      </c>
      <c r="B4314" s="10"/>
      <c r="C4314" s="10"/>
      <c r="D4314" s="10"/>
      <c r="E4314" s="10"/>
      <c r="F4314" s="10"/>
      <c r="G4314" s="11"/>
      <c r="H4314" s="12"/>
      <c r="I4314" s="13"/>
      <c r="J4314" s="12"/>
      <c r="K4314" s="13"/>
      <c r="L4314" s="11"/>
      <c r="M4314" s="13"/>
      <c r="N4314" s="11"/>
      <c r="O4314" s="13"/>
      <c r="P4314" s="11"/>
      <c r="Q4314" s="13"/>
      <c r="R4314" s="10"/>
      <c r="S4314" s="10"/>
    </row>
    <row r="4315" spans="1:19" x14ac:dyDescent="0.25">
      <c r="A4315" t="str">
        <f t="shared" si="68"/>
        <v/>
      </c>
      <c r="B4315" s="10"/>
      <c r="C4315" s="10"/>
      <c r="D4315" s="10"/>
      <c r="E4315" s="10"/>
      <c r="F4315" s="10"/>
      <c r="G4315" s="11"/>
      <c r="H4315" s="12"/>
      <c r="I4315" s="13"/>
      <c r="J4315" s="12"/>
      <c r="K4315" s="13"/>
      <c r="L4315" s="11"/>
      <c r="M4315" s="13"/>
      <c r="N4315" s="11"/>
      <c r="O4315" s="13"/>
      <c r="P4315" s="11"/>
      <c r="Q4315" s="13"/>
      <c r="R4315" s="10"/>
      <c r="S4315" s="10"/>
    </row>
    <row r="4316" spans="1:19" x14ac:dyDescent="0.25">
      <c r="A4316" t="str">
        <f t="shared" si="68"/>
        <v/>
      </c>
      <c r="B4316" s="10"/>
      <c r="C4316" s="10"/>
      <c r="D4316" s="10"/>
      <c r="E4316" s="10"/>
      <c r="F4316" s="10"/>
      <c r="G4316" s="11"/>
      <c r="H4316" s="12"/>
      <c r="I4316" s="13"/>
      <c r="J4316" s="12"/>
      <c r="K4316" s="13"/>
      <c r="L4316" s="11"/>
      <c r="M4316" s="13"/>
      <c r="N4316" s="11"/>
      <c r="O4316" s="13"/>
      <c r="P4316" s="11"/>
      <c r="Q4316" s="13"/>
      <c r="R4316" s="10"/>
      <c r="S4316" s="10"/>
    </row>
    <row r="4317" spans="1:19" x14ac:dyDescent="0.25">
      <c r="A4317" t="str">
        <f t="shared" si="68"/>
        <v/>
      </c>
      <c r="B4317" s="10"/>
      <c r="C4317" s="10"/>
      <c r="D4317" s="10"/>
      <c r="E4317" s="10"/>
      <c r="F4317" s="10"/>
      <c r="G4317" s="11"/>
      <c r="H4317" s="12"/>
      <c r="I4317" s="13"/>
      <c r="J4317" s="12"/>
      <c r="K4317" s="13"/>
      <c r="L4317" s="11"/>
      <c r="M4317" s="13"/>
      <c r="N4317" s="11"/>
      <c r="O4317" s="13"/>
      <c r="P4317" s="11"/>
      <c r="Q4317" s="13"/>
      <c r="R4317" s="10"/>
      <c r="S4317" s="10"/>
    </row>
    <row r="4318" spans="1:19" x14ac:dyDescent="0.25">
      <c r="A4318" t="str">
        <f t="shared" si="68"/>
        <v/>
      </c>
      <c r="B4318" s="10"/>
      <c r="C4318" s="10"/>
      <c r="D4318" s="10"/>
      <c r="E4318" s="10"/>
      <c r="F4318" s="10"/>
      <c r="G4318" s="11"/>
      <c r="H4318" s="12"/>
      <c r="I4318" s="13"/>
      <c r="J4318" s="12"/>
      <c r="K4318" s="13"/>
      <c r="L4318" s="11"/>
      <c r="M4318" s="13"/>
      <c r="N4318" s="11"/>
      <c r="O4318" s="13"/>
      <c r="P4318" s="11"/>
      <c r="Q4318" s="13"/>
      <c r="R4318" s="10"/>
      <c r="S4318" s="10"/>
    </row>
    <row r="4319" spans="1:19" x14ac:dyDescent="0.25">
      <c r="A4319" t="str">
        <f t="shared" si="68"/>
        <v/>
      </c>
      <c r="B4319" s="10"/>
      <c r="C4319" s="10"/>
      <c r="D4319" s="10"/>
      <c r="E4319" s="10"/>
      <c r="F4319" s="10"/>
      <c r="G4319" s="11"/>
      <c r="H4319" s="12"/>
      <c r="I4319" s="13"/>
      <c r="J4319" s="12"/>
      <c r="K4319" s="13"/>
      <c r="L4319" s="11"/>
      <c r="M4319" s="13"/>
      <c r="N4319" s="11"/>
      <c r="O4319" s="13"/>
      <c r="P4319" s="11"/>
      <c r="Q4319" s="13"/>
      <c r="R4319" s="10"/>
      <c r="S4319" s="10"/>
    </row>
    <row r="4320" spans="1:19" x14ac:dyDescent="0.25">
      <c r="A4320" t="str">
        <f t="shared" si="68"/>
        <v/>
      </c>
      <c r="B4320" s="10"/>
      <c r="C4320" s="10"/>
      <c r="D4320" s="10"/>
      <c r="E4320" s="10"/>
      <c r="F4320" s="10"/>
      <c r="G4320" s="11"/>
      <c r="H4320" s="12"/>
      <c r="I4320" s="13"/>
      <c r="J4320" s="12"/>
      <c r="K4320" s="13"/>
      <c r="L4320" s="11"/>
      <c r="M4320" s="13"/>
      <c r="N4320" s="11"/>
      <c r="O4320" s="13"/>
      <c r="P4320" s="11"/>
      <c r="Q4320" s="13"/>
      <c r="R4320" s="10"/>
      <c r="S4320" s="10"/>
    </row>
    <row r="4321" spans="1:19" x14ac:dyDescent="0.25">
      <c r="A4321" t="str">
        <f t="shared" si="68"/>
        <v/>
      </c>
      <c r="B4321" s="10"/>
      <c r="C4321" s="10"/>
      <c r="D4321" s="10"/>
      <c r="E4321" s="10"/>
      <c r="F4321" s="10"/>
      <c r="G4321" s="11"/>
      <c r="H4321" s="12"/>
      <c r="I4321" s="13"/>
      <c r="J4321" s="12"/>
      <c r="K4321" s="13"/>
      <c r="L4321" s="11"/>
      <c r="M4321" s="13"/>
      <c r="N4321" s="11"/>
      <c r="O4321" s="13"/>
      <c r="P4321" s="11"/>
      <c r="Q4321" s="13"/>
      <c r="R4321" s="10"/>
      <c r="S4321" s="10"/>
    </row>
    <row r="4322" spans="1:19" x14ac:dyDescent="0.25">
      <c r="A4322" t="str">
        <f t="shared" si="68"/>
        <v/>
      </c>
      <c r="B4322" s="10"/>
      <c r="C4322" s="10"/>
      <c r="D4322" s="10"/>
      <c r="E4322" s="10"/>
      <c r="F4322" s="10"/>
      <c r="G4322" s="11"/>
      <c r="H4322" s="12"/>
      <c r="I4322" s="13"/>
      <c r="J4322" s="12"/>
      <c r="K4322" s="13"/>
      <c r="L4322" s="11"/>
      <c r="M4322" s="13"/>
      <c r="N4322" s="11"/>
      <c r="O4322" s="13"/>
      <c r="P4322" s="11"/>
      <c r="Q4322" s="13"/>
      <c r="R4322" s="10"/>
      <c r="S4322" s="10"/>
    </row>
    <row r="4323" spans="1:19" x14ac:dyDescent="0.25">
      <c r="A4323" t="str">
        <f t="shared" si="68"/>
        <v/>
      </c>
      <c r="B4323" s="10"/>
      <c r="C4323" s="10"/>
      <c r="D4323" s="10"/>
      <c r="E4323" s="10"/>
      <c r="F4323" s="10"/>
      <c r="G4323" s="11"/>
      <c r="H4323" s="12"/>
      <c r="I4323" s="13"/>
      <c r="J4323" s="12"/>
      <c r="K4323" s="13"/>
      <c r="L4323" s="11"/>
      <c r="M4323" s="13"/>
      <c r="N4323" s="11"/>
      <c r="O4323" s="13"/>
      <c r="P4323" s="11"/>
      <c r="Q4323" s="13"/>
      <c r="R4323" s="10"/>
      <c r="S4323" s="10"/>
    </row>
    <row r="4324" spans="1:19" x14ac:dyDescent="0.25">
      <c r="A4324" t="str">
        <f t="shared" si="68"/>
        <v/>
      </c>
      <c r="B4324" s="10"/>
      <c r="C4324" s="10"/>
      <c r="D4324" s="10"/>
      <c r="E4324" s="10"/>
      <c r="F4324" s="10"/>
      <c r="G4324" s="11"/>
      <c r="H4324" s="12"/>
      <c r="I4324" s="13"/>
      <c r="J4324" s="12"/>
      <c r="K4324" s="13"/>
      <c r="L4324" s="11"/>
      <c r="M4324" s="13"/>
      <c r="N4324" s="11"/>
      <c r="O4324" s="13"/>
      <c r="P4324" s="11"/>
      <c r="Q4324" s="13"/>
      <c r="R4324" s="10"/>
      <c r="S4324" s="10"/>
    </row>
    <row r="4325" spans="1:19" x14ac:dyDescent="0.25">
      <c r="A4325" t="str">
        <f t="shared" si="68"/>
        <v/>
      </c>
      <c r="B4325" s="10"/>
      <c r="C4325" s="10"/>
      <c r="D4325" s="10"/>
      <c r="E4325" s="10"/>
      <c r="F4325" s="10"/>
      <c r="G4325" s="11"/>
      <c r="H4325" s="12"/>
      <c r="I4325" s="13"/>
      <c r="J4325" s="12"/>
      <c r="K4325" s="13"/>
      <c r="L4325" s="11"/>
      <c r="M4325" s="13"/>
      <c r="N4325" s="11"/>
      <c r="O4325" s="13"/>
      <c r="P4325" s="11"/>
      <c r="Q4325" s="13"/>
      <c r="R4325" s="10"/>
      <c r="S4325" s="10"/>
    </row>
    <row r="4326" spans="1:19" x14ac:dyDescent="0.25">
      <c r="A4326" t="str">
        <f t="shared" si="68"/>
        <v/>
      </c>
      <c r="B4326" s="10"/>
      <c r="C4326" s="10"/>
      <c r="D4326" s="10"/>
      <c r="E4326" s="10"/>
      <c r="F4326" s="10"/>
      <c r="G4326" s="11"/>
      <c r="H4326" s="12"/>
      <c r="I4326" s="13"/>
      <c r="J4326" s="12"/>
      <c r="K4326" s="13"/>
      <c r="L4326" s="11"/>
      <c r="M4326" s="13"/>
      <c r="N4326" s="11"/>
      <c r="O4326" s="13"/>
      <c r="P4326" s="11"/>
      <c r="Q4326" s="13"/>
      <c r="R4326" s="10"/>
      <c r="S4326" s="10"/>
    </row>
    <row r="4327" spans="1:19" x14ac:dyDescent="0.25">
      <c r="A4327" t="str">
        <f t="shared" si="68"/>
        <v/>
      </c>
      <c r="B4327" s="10"/>
      <c r="C4327" s="10"/>
      <c r="D4327" s="10"/>
      <c r="E4327" s="10"/>
      <c r="F4327" s="10"/>
      <c r="G4327" s="11"/>
      <c r="H4327" s="12"/>
      <c r="I4327" s="13"/>
      <c r="J4327" s="12"/>
      <c r="K4327" s="13"/>
      <c r="L4327" s="11"/>
      <c r="M4327" s="13"/>
      <c r="N4327" s="11"/>
      <c r="O4327" s="13"/>
      <c r="P4327" s="11"/>
      <c r="Q4327" s="13"/>
      <c r="R4327" s="10"/>
      <c r="S4327" s="10"/>
    </row>
    <row r="4328" spans="1:19" x14ac:dyDescent="0.25">
      <c r="A4328" t="str">
        <f t="shared" si="68"/>
        <v/>
      </c>
      <c r="B4328" s="10"/>
      <c r="C4328" s="10"/>
      <c r="D4328" s="10"/>
      <c r="E4328" s="10"/>
      <c r="F4328" s="10"/>
      <c r="G4328" s="11"/>
      <c r="H4328" s="12"/>
      <c r="I4328" s="13"/>
      <c r="J4328" s="12"/>
      <c r="K4328" s="13"/>
      <c r="L4328" s="11"/>
      <c r="M4328" s="13"/>
      <c r="N4328" s="11"/>
      <c r="O4328" s="13"/>
      <c r="P4328" s="11"/>
      <c r="Q4328" s="13"/>
      <c r="R4328" s="10"/>
      <c r="S4328" s="10"/>
    </row>
    <row r="4329" spans="1:19" x14ac:dyDescent="0.25">
      <c r="A4329" t="str">
        <f t="shared" si="68"/>
        <v/>
      </c>
      <c r="B4329" s="10"/>
      <c r="C4329" s="10"/>
      <c r="D4329" s="10"/>
      <c r="E4329" s="10"/>
      <c r="F4329" s="10"/>
      <c r="G4329" s="11"/>
      <c r="H4329" s="12"/>
      <c r="I4329" s="13"/>
      <c r="J4329" s="12"/>
      <c r="K4329" s="13"/>
      <c r="L4329" s="11"/>
      <c r="M4329" s="13"/>
      <c r="N4329" s="11"/>
      <c r="O4329" s="13"/>
      <c r="P4329" s="11"/>
      <c r="Q4329" s="13"/>
      <c r="R4329" s="10"/>
      <c r="S4329" s="10"/>
    </row>
    <row r="4330" spans="1:19" x14ac:dyDescent="0.25">
      <c r="A4330" t="str">
        <f t="shared" si="68"/>
        <v/>
      </c>
      <c r="B4330" s="10"/>
      <c r="C4330" s="10"/>
      <c r="D4330" s="10"/>
      <c r="E4330" s="10"/>
      <c r="F4330" s="10"/>
      <c r="G4330" s="11"/>
      <c r="H4330" s="12"/>
      <c r="I4330" s="13"/>
      <c r="J4330" s="12"/>
      <c r="K4330" s="13"/>
      <c r="L4330" s="11"/>
      <c r="M4330" s="13"/>
      <c r="N4330" s="11"/>
      <c r="O4330" s="13"/>
      <c r="P4330" s="11"/>
      <c r="Q4330" s="13"/>
      <c r="R4330" s="10"/>
      <c r="S4330" s="10"/>
    </row>
    <row r="4331" spans="1:19" x14ac:dyDescent="0.25">
      <c r="A4331" t="str">
        <f t="shared" si="68"/>
        <v/>
      </c>
      <c r="B4331" s="10"/>
      <c r="C4331" s="10"/>
      <c r="D4331" s="10"/>
      <c r="E4331" s="10"/>
      <c r="F4331" s="10"/>
      <c r="G4331" s="11"/>
      <c r="H4331" s="12"/>
      <c r="I4331" s="13"/>
      <c r="J4331" s="12"/>
      <c r="K4331" s="13"/>
      <c r="L4331" s="11"/>
      <c r="M4331" s="13"/>
      <c r="N4331" s="11"/>
      <c r="O4331" s="13"/>
      <c r="P4331" s="11"/>
      <c r="Q4331" s="13"/>
      <c r="R4331" s="10"/>
      <c r="S4331" s="10"/>
    </row>
    <row r="4332" spans="1:19" x14ac:dyDescent="0.25">
      <c r="A4332" t="str">
        <f t="shared" si="68"/>
        <v/>
      </c>
      <c r="B4332" s="10"/>
      <c r="C4332" s="10"/>
      <c r="D4332" s="10"/>
      <c r="E4332" s="10"/>
      <c r="F4332" s="10"/>
      <c r="G4332" s="11"/>
      <c r="H4332" s="12"/>
      <c r="I4332" s="13"/>
      <c r="J4332" s="12"/>
      <c r="K4332" s="13"/>
      <c r="L4332" s="11"/>
      <c r="M4332" s="13"/>
      <c r="N4332" s="11"/>
      <c r="O4332" s="13"/>
      <c r="P4332" s="11"/>
      <c r="Q4332" s="13"/>
      <c r="R4332" s="10"/>
      <c r="S4332" s="10"/>
    </row>
    <row r="4333" spans="1:19" x14ac:dyDescent="0.25">
      <c r="A4333" t="str">
        <f t="shared" si="68"/>
        <v/>
      </c>
      <c r="B4333" s="10"/>
      <c r="C4333" s="10"/>
      <c r="D4333" s="10"/>
      <c r="E4333" s="10"/>
      <c r="F4333" s="10"/>
      <c r="G4333" s="11"/>
      <c r="H4333" s="12"/>
      <c r="I4333" s="13"/>
      <c r="J4333" s="12"/>
      <c r="K4333" s="13"/>
      <c r="L4333" s="11"/>
      <c r="M4333" s="13"/>
      <c r="N4333" s="11"/>
      <c r="O4333" s="13"/>
      <c r="P4333" s="11"/>
      <c r="Q4333" s="13"/>
      <c r="R4333" s="10"/>
      <c r="S4333" s="10"/>
    </row>
    <row r="4334" spans="1:19" x14ac:dyDescent="0.25">
      <c r="A4334" t="str">
        <f t="shared" si="68"/>
        <v/>
      </c>
      <c r="B4334" s="10"/>
      <c r="C4334" s="10"/>
      <c r="D4334" s="10"/>
      <c r="E4334" s="10"/>
      <c r="F4334" s="10"/>
      <c r="G4334" s="11"/>
      <c r="H4334" s="12"/>
      <c r="I4334" s="13"/>
      <c r="J4334" s="12"/>
      <c r="K4334" s="13"/>
      <c r="L4334" s="11"/>
      <c r="M4334" s="13"/>
      <c r="N4334" s="11"/>
      <c r="O4334" s="13"/>
      <c r="P4334" s="11"/>
      <c r="Q4334" s="13"/>
      <c r="R4334" s="10"/>
      <c r="S4334" s="10"/>
    </row>
    <row r="4335" spans="1:19" x14ac:dyDescent="0.25">
      <c r="A4335" t="str">
        <f t="shared" si="68"/>
        <v/>
      </c>
      <c r="B4335" s="10"/>
      <c r="C4335" s="10"/>
      <c r="D4335" s="10"/>
      <c r="E4335" s="10"/>
      <c r="F4335" s="10"/>
      <c r="G4335" s="11"/>
      <c r="H4335" s="12"/>
      <c r="I4335" s="13"/>
      <c r="J4335" s="12"/>
      <c r="K4335" s="13"/>
      <c r="L4335" s="11"/>
      <c r="M4335" s="13"/>
      <c r="N4335" s="11"/>
      <c r="O4335" s="13"/>
      <c r="P4335" s="11"/>
      <c r="Q4335" s="13"/>
      <c r="R4335" s="10"/>
      <c r="S4335" s="10"/>
    </row>
    <row r="4336" spans="1:19" x14ac:dyDescent="0.25">
      <c r="A4336" t="str">
        <f t="shared" si="68"/>
        <v/>
      </c>
      <c r="B4336" s="10"/>
      <c r="C4336" s="10"/>
      <c r="D4336" s="10"/>
      <c r="E4336" s="10"/>
      <c r="F4336" s="10"/>
      <c r="G4336" s="11"/>
      <c r="H4336" s="12"/>
      <c r="I4336" s="13"/>
      <c r="J4336" s="12"/>
      <c r="K4336" s="13"/>
      <c r="L4336" s="11"/>
      <c r="M4336" s="13"/>
      <c r="N4336" s="11"/>
      <c r="O4336" s="13"/>
      <c r="P4336" s="11"/>
      <c r="Q4336" s="13"/>
      <c r="R4336" s="10"/>
      <c r="S4336" s="10"/>
    </row>
    <row r="4337" spans="1:19" x14ac:dyDescent="0.25">
      <c r="A4337" t="str">
        <f t="shared" si="68"/>
        <v/>
      </c>
      <c r="B4337" s="10"/>
      <c r="C4337" s="10"/>
      <c r="D4337" s="10"/>
      <c r="E4337" s="10"/>
      <c r="F4337" s="10"/>
      <c r="G4337" s="11"/>
      <c r="H4337" s="12"/>
      <c r="I4337" s="13"/>
      <c r="J4337" s="12"/>
      <c r="K4337" s="13"/>
      <c r="L4337" s="11"/>
      <c r="M4337" s="13"/>
      <c r="N4337" s="11"/>
      <c r="O4337" s="13"/>
      <c r="P4337" s="11"/>
      <c r="Q4337" s="13"/>
      <c r="R4337" s="10"/>
      <c r="S4337" s="10"/>
    </row>
    <row r="4338" spans="1:19" x14ac:dyDescent="0.25">
      <c r="A4338" t="str">
        <f t="shared" si="68"/>
        <v/>
      </c>
      <c r="B4338" s="10"/>
      <c r="C4338" s="10"/>
      <c r="D4338" s="10"/>
      <c r="E4338" s="10"/>
      <c r="F4338" s="10"/>
      <c r="G4338" s="11"/>
      <c r="H4338" s="12"/>
      <c r="I4338" s="13"/>
      <c r="J4338" s="12"/>
      <c r="K4338" s="13"/>
      <c r="L4338" s="11"/>
      <c r="M4338" s="13"/>
      <c r="N4338" s="11"/>
      <c r="O4338" s="13"/>
      <c r="P4338" s="11"/>
      <c r="Q4338" s="13"/>
      <c r="R4338" s="10"/>
      <c r="S4338" s="10"/>
    </row>
    <row r="4339" spans="1:19" x14ac:dyDescent="0.25">
      <c r="A4339" t="str">
        <f t="shared" si="68"/>
        <v/>
      </c>
      <c r="B4339" s="10"/>
      <c r="C4339" s="10"/>
      <c r="D4339" s="10"/>
      <c r="E4339" s="10"/>
      <c r="F4339" s="10"/>
      <c r="G4339" s="11"/>
      <c r="H4339" s="12"/>
      <c r="I4339" s="13"/>
      <c r="J4339" s="12"/>
      <c r="K4339" s="13"/>
      <c r="L4339" s="11"/>
      <c r="M4339" s="13"/>
      <c r="N4339" s="11"/>
      <c r="O4339" s="13"/>
      <c r="P4339" s="11"/>
      <c r="Q4339" s="13"/>
      <c r="R4339" s="10"/>
      <c r="S4339" s="10"/>
    </row>
    <row r="4340" spans="1:19" x14ac:dyDescent="0.25">
      <c r="A4340" t="str">
        <f t="shared" si="68"/>
        <v/>
      </c>
      <c r="B4340" s="10"/>
      <c r="C4340" s="10"/>
      <c r="D4340" s="10"/>
      <c r="E4340" s="10"/>
      <c r="F4340" s="10"/>
      <c r="G4340" s="11"/>
      <c r="H4340" s="12"/>
      <c r="I4340" s="13"/>
      <c r="J4340" s="12"/>
      <c r="K4340" s="13"/>
      <c r="L4340" s="11"/>
      <c r="M4340" s="13"/>
      <c r="N4340" s="11"/>
      <c r="O4340" s="13"/>
      <c r="P4340" s="11"/>
      <c r="Q4340" s="13"/>
      <c r="R4340" s="10"/>
      <c r="S4340" s="10"/>
    </row>
    <row r="4341" spans="1:19" x14ac:dyDescent="0.25">
      <c r="A4341" t="str">
        <f t="shared" ref="A4341:A4404" si="69">B4339&amp;D4339</f>
        <v/>
      </c>
      <c r="B4341" s="10"/>
      <c r="C4341" s="10"/>
      <c r="D4341" s="10"/>
      <c r="E4341" s="10"/>
      <c r="F4341" s="10"/>
      <c r="G4341" s="11"/>
      <c r="H4341" s="12"/>
      <c r="I4341" s="13"/>
      <c r="J4341" s="12"/>
      <c r="K4341" s="13"/>
      <c r="L4341" s="11"/>
      <c r="M4341" s="13"/>
      <c r="N4341" s="11"/>
      <c r="O4341" s="13"/>
      <c r="P4341" s="11"/>
      <c r="Q4341" s="13"/>
      <c r="R4341" s="10"/>
      <c r="S4341" s="10"/>
    </row>
    <row r="4342" spans="1:19" x14ac:dyDescent="0.25">
      <c r="A4342" t="str">
        <f t="shared" si="69"/>
        <v/>
      </c>
      <c r="B4342" s="10"/>
      <c r="C4342" s="10"/>
      <c r="D4342" s="10"/>
      <c r="E4342" s="10"/>
      <c r="F4342" s="10"/>
      <c r="G4342" s="11"/>
      <c r="H4342" s="12"/>
      <c r="I4342" s="13"/>
      <c r="J4342" s="12"/>
      <c r="K4342" s="13"/>
      <c r="L4342" s="11"/>
      <c r="M4342" s="13"/>
      <c r="N4342" s="11"/>
      <c r="O4342" s="13"/>
      <c r="P4342" s="11"/>
      <c r="Q4342" s="13"/>
      <c r="R4342" s="10"/>
      <c r="S4342" s="10"/>
    </row>
    <row r="4343" spans="1:19" x14ac:dyDescent="0.25">
      <c r="A4343" t="str">
        <f t="shared" si="69"/>
        <v/>
      </c>
      <c r="B4343" s="10"/>
      <c r="C4343" s="10"/>
      <c r="D4343" s="10"/>
      <c r="E4343" s="10"/>
      <c r="F4343" s="10"/>
      <c r="G4343" s="11"/>
      <c r="H4343" s="12"/>
      <c r="I4343" s="13"/>
      <c r="J4343" s="12"/>
      <c r="K4343" s="13"/>
      <c r="L4343" s="11"/>
      <c r="M4343" s="13"/>
      <c r="N4343" s="11"/>
      <c r="O4343" s="13"/>
      <c r="P4343" s="11"/>
      <c r="Q4343" s="13"/>
      <c r="R4343" s="10"/>
      <c r="S4343" s="10"/>
    </row>
    <row r="4344" spans="1:19" x14ac:dyDescent="0.25">
      <c r="A4344" t="str">
        <f t="shared" si="69"/>
        <v/>
      </c>
      <c r="B4344" s="10"/>
      <c r="C4344" s="10"/>
      <c r="D4344" s="10"/>
      <c r="E4344" s="10"/>
      <c r="F4344" s="10"/>
      <c r="G4344" s="11"/>
      <c r="H4344" s="12"/>
      <c r="I4344" s="13"/>
      <c r="J4344" s="12"/>
      <c r="K4344" s="13"/>
      <c r="L4344" s="11"/>
      <c r="M4344" s="13"/>
      <c r="N4344" s="11"/>
      <c r="O4344" s="13"/>
      <c r="P4344" s="11"/>
      <c r="Q4344" s="13"/>
      <c r="R4344" s="10"/>
      <c r="S4344" s="10"/>
    </row>
    <row r="4345" spans="1:19" x14ac:dyDescent="0.25">
      <c r="A4345" t="str">
        <f t="shared" si="69"/>
        <v/>
      </c>
      <c r="B4345" s="10"/>
      <c r="C4345" s="10"/>
      <c r="D4345" s="10"/>
      <c r="E4345" s="10"/>
      <c r="F4345" s="10"/>
      <c r="G4345" s="11"/>
      <c r="H4345" s="12"/>
      <c r="I4345" s="13"/>
      <c r="J4345" s="12"/>
      <c r="K4345" s="13"/>
      <c r="L4345" s="11"/>
      <c r="M4345" s="13"/>
      <c r="N4345" s="11"/>
      <c r="O4345" s="13"/>
      <c r="P4345" s="11"/>
      <c r="Q4345" s="13"/>
      <c r="R4345" s="10"/>
      <c r="S4345" s="10"/>
    </row>
    <row r="4346" spans="1:19" x14ac:dyDescent="0.25">
      <c r="A4346" t="str">
        <f t="shared" si="69"/>
        <v/>
      </c>
      <c r="B4346" s="10"/>
      <c r="C4346" s="10"/>
      <c r="D4346" s="10"/>
      <c r="E4346" s="10"/>
      <c r="F4346" s="10"/>
      <c r="G4346" s="11"/>
      <c r="H4346" s="12"/>
      <c r="I4346" s="13"/>
      <c r="J4346" s="12"/>
      <c r="K4346" s="13"/>
      <c r="L4346" s="11"/>
      <c r="M4346" s="13"/>
      <c r="N4346" s="11"/>
      <c r="O4346" s="13"/>
      <c r="P4346" s="11"/>
      <c r="Q4346" s="13"/>
      <c r="R4346" s="10"/>
      <c r="S4346" s="10"/>
    </row>
    <row r="4347" spans="1:19" x14ac:dyDescent="0.25">
      <c r="A4347" t="str">
        <f t="shared" si="69"/>
        <v/>
      </c>
      <c r="B4347" s="10"/>
      <c r="C4347" s="10"/>
      <c r="D4347" s="10"/>
      <c r="E4347" s="10"/>
      <c r="F4347" s="10"/>
      <c r="G4347" s="11"/>
      <c r="H4347" s="12"/>
      <c r="I4347" s="13"/>
      <c r="J4347" s="12"/>
      <c r="K4347" s="13"/>
      <c r="L4347" s="11"/>
      <c r="M4347" s="13"/>
      <c r="N4347" s="11"/>
      <c r="O4347" s="13"/>
      <c r="P4347" s="11"/>
      <c r="Q4347" s="13"/>
      <c r="R4347" s="10"/>
      <c r="S4347" s="10"/>
    </row>
    <row r="4348" spans="1:19" x14ac:dyDescent="0.25">
      <c r="A4348" t="str">
        <f t="shared" si="69"/>
        <v/>
      </c>
      <c r="B4348" s="10"/>
      <c r="C4348" s="10"/>
      <c r="D4348" s="10"/>
      <c r="E4348" s="10"/>
      <c r="F4348" s="10"/>
      <c r="G4348" s="11"/>
      <c r="H4348" s="12"/>
      <c r="I4348" s="13"/>
      <c r="J4348" s="12"/>
      <c r="K4348" s="13"/>
      <c r="L4348" s="11"/>
      <c r="M4348" s="13"/>
      <c r="N4348" s="11"/>
      <c r="O4348" s="13"/>
      <c r="P4348" s="11"/>
      <c r="Q4348" s="13"/>
      <c r="R4348" s="10"/>
      <c r="S4348" s="10"/>
    </row>
    <row r="4349" spans="1:19" x14ac:dyDescent="0.25">
      <c r="A4349" t="str">
        <f t="shared" si="69"/>
        <v/>
      </c>
      <c r="B4349" s="10"/>
      <c r="C4349" s="10"/>
      <c r="D4349" s="10"/>
      <c r="E4349" s="10"/>
      <c r="F4349" s="10"/>
      <c r="G4349" s="11"/>
      <c r="H4349" s="12"/>
      <c r="I4349" s="13"/>
      <c r="J4349" s="12"/>
      <c r="K4349" s="13"/>
      <c r="L4349" s="11"/>
      <c r="M4349" s="13"/>
      <c r="N4349" s="11"/>
      <c r="O4349" s="13"/>
      <c r="P4349" s="11"/>
      <c r="Q4349" s="13"/>
      <c r="R4349" s="10"/>
      <c r="S4349" s="10"/>
    </row>
    <row r="4350" spans="1:19" x14ac:dyDescent="0.25">
      <c r="A4350" t="str">
        <f t="shared" si="69"/>
        <v/>
      </c>
      <c r="B4350" s="10"/>
      <c r="C4350" s="10"/>
      <c r="D4350" s="10"/>
      <c r="E4350" s="10"/>
      <c r="F4350" s="10"/>
      <c r="G4350" s="11"/>
      <c r="H4350" s="12"/>
      <c r="I4350" s="13"/>
      <c r="J4350" s="12"/>
      <c r="K4350" s="13"/>
      <c r="L4350" s="11"/>
      <c r="M4350" s="13"/>
      <c r="N4350" s="11"/>
      <c r="O4350" s="13"/>
      <c r="P4350" s="11"/>
      <c r="Q4350" s="13"/>
      <c r="R4350" s="10"/>
      <c r="S4350" s="10"/>
    </row>
    <row r="4351" spans="1:19" x14ac:dyDescent="0.25">
      <c r="A4351" t="str">
        <f t="shared" si="69"/>
        <v/>
      </c>
      <c r="B4351" s="10"/>
      <c r="C4351" s="10"/>
      <c r="D4351" s="10"/>
      <c r="E4351" s="10"/>
      <c r="F4351" s="10"/>
      <c r="G4351" s="11"/>
      <c r="H4351" s="12"/>
      <c r="I4351" s="13"/>
      <c r="J4351" s="12"/>
      <c r="K4351" s="13"/>
      <c r="L4351" s="11"/>
      <c r="M4351" s="13"/>
      <c r="N4351" s="11"/>
      <c r="O4351" s="13"/>
      <c r="P4351" s="11"/>
      <c r="Q4351" s="13"/>
      <c r="R4351" s="10"/>
      <c r="S4351" s="10"/>
    </row>
    <row r="4352" spans="1:19" x14ac:dyDescent="0.25">
      <c r="A4352" t="str">
        <f t="shared" si="69"/>
        <v/>
      </c>
      <c r="B4352" s="10"/>
      <c r="C4352" s="10"/>
      <c r="D4352" s="10"/>
      <c r="E4352" s="10"/>
      <c r="F4352" s="10"/>
      <c r="G4352" s="11"/>
      <c r="H4352" s="12"/>
      <c r="I4352" s="13"/>
      <c r="J4352" s="12"/>
      <c r="K4352" s="13"/>
      <c r="L4352" s="11"/>
      <c r="M4352" s="13"/>
      <c r="N4352" s="11"/>
      <c r="O4352" s="13"/>
      <c r="P4352" s="11"/>
      <c r="Q4352" s="13"/>
      <c r="R4352" s="10"/>
      <c r="S4352" s="10"/>
    </row>
    <row r="4353" spans="1:19" x14ac:dyDescent="0.25">
      <c r="A4353" t="str">
        <f t="shared" si="69"/>
        <v/>
      </c>
      <c r="B4353" s="10"/>
      <c r="C4353" s="10"/>
      <c r="D4353" s="10"/>
      <c r="E4353" s="10"/>
      <c r="F4353" s="10"/>
      <c r="G4353" s="11"/>
      <c r="H4353" s="12"/>
      <c r="I4353" s="13"/>
      <c r="J4353" s="12"/>
      <c r="K4353" s="13"/>
      <c r="L4353" s="11"/>
      <c r="M4353" s="13"/>
      <c r="N4353" s="11"/>
      <c r="O4353" s="13"/>
      <c r="P4353" s="11"/>
      <c r="Q4353" s="13"/>
      <c r="R4353" s="10"/>
      <c r="S4353" s="10"/>
    </row>
    <row r="4354" spans="1:19" x14ac:dyDescent="0.25">
      <c r="A4354" t="str">
        <f t="shared" si="69"/>
        <v/>
      </c>
      <c r="B4354" s="10"/>
      <c r="C4354" s="10"/>
      <c r="D4354" s="10"/>
      <c r="E4354" s="10"/>
      <c r="F4354" s="10"/>
      <c r="G4354" s="11"/>
      <c r="H4354" s="12"/>
      <c r="I4354" s="13"/>
      <c r="J4354" s="12"/>
      <c r="K4354" s="13"/>
      <c r="L4354" s="11"/>
      <c r="M4354" s="13"/>
      <c r="N4354" s="11"/>
      <c r="O4354" s="13"/>
      <c r="P4354" s="11"/>
      <c r="Q4354" s="13"/>
      <c r="R4354" s="10"/>
      <c r="S4354" s="10"/>
    </row>
    <row r="4355" spans="1:19" x14ac:dyDescent="0.25">
      <c r="A4355" t="str">
        <f t="shared" si="69"/>
        <v/>
      </c>
      <c r="B4355" s="10"/>
      <c r="C4355" s="10"/>
      <c r="D4355" s="10"/>
      <c r="E4355" s="10"/>
      <c r="F4355" s="10"/>
      <c r="G4355" s="11"/>
      <c r="H4355" s="12"/>
      <c r="I4355" s="13"/>
      <c r="J4355" s="12"/>
      <c r="K4355" s="13"/>
      <c r="L4355" s="11"/>
      <c r="M4355" s="13"/>
      <c r="N4355" s="11"/>
      <c r="O4355" s="13"/>
      <c r="P4355" s="11"/>
      <c r="Q4355" s="13"/>
      <c r="R4355" s="10"/>
      <c r="S4355" s="10"/>
    </row>
    <row r="4356" spans="1:19" x14ac:dyDescent="0.25">
      <c r="A4356" t="str">
        <f t="shared" si="69"/>
        <v/>
      </c>
      <c r="B4356" s="10"/>
      <c r="C4356" s="10"/>
      <c r="D4356" s="10"/>
      <c r="E4356" s="10"/>
      <c r="F4356" s="10"/>
      <c r="G4356" s="11"/>
      <c r="H4356" s="12"/>
      <c r="I4356" s="13"/>
      <c r="J4356" s="12"/>
      <c r="K4356" s="13"/>
      <c r="L4356" s="11"/>
      <c r="M4356" s="13"/>
      <c r="N4356" s="11"/>
      <c r="O4356" s="13"/>
      <c r="P4356" s="11"/>
      <c r="Q4356" s="13"/>
      <c r="R4356" s="10"/>
      <c r="S4356" s="10"/>
    </row>
    <row r="4357" spans="1:19" x14ac:dyDescent="0.25">
      <c r="A4357" t="str">
        <f t="shared" si="69"/>
        <v/>
      </c>
      <c r="B4357" s="10"/>
      <c r="C4357" s="10"/>
      <c r="D4357" s="10"/>
      <c r="E4357" s="10"/>
      <c r="F4357" s="10"/>
      <c r="G4357" s="11"/>
      <c r="H4357" s="12"/>
      <c r="I4357" s="13"/>
      <c r="J4357" s="12"/>
      <c r="K4357" s="13"/>
      <c r="L4357" s="11"/>
      <c r="M4357" s="13"/>
      <c r="N4357" s="11"/>
      <c r="O4357" s="13"/>
      <c r="P4357" s="11"/>
      <c r="Q4357" s="13"/>
      <c r="R4357" s="10"/>
      <c r="S4357" s="10"/>
    </row>
    <row r="4358" spans="1:19" x14ac:dyDescent="0.25">
      <c r="A4358" t="str">
        <f t="shared" si="69"/>
        <v/>
      </c>
      <c r="B4358" s="10"/>
      <c r="C4358" s="10"/>
      <c r="D4358" s="10"/>
      <c r="E4358" s="10"/>
      <c r="F4358" s="10"/>
      <c r="G4358" s="11"/>
      <c r="H4358" s="12"/>
      <c r="I4358" s="13"/>
      <c r="J4358" s="12"/>
      <c r="K4358" s="13"/>
      <c r="L4358" s="11"/>
      <c r="M4358" s="13"/>
      <c r="N4358" s="11"/>
      <c r="O4358" s="13"/>
      <c r="P4358" s="11"/>
      <c r="Q4358" s="13"/>
      <c r="R4358" s="10"/>
      <c r="S4358" s="10"/>
    </row>
    <row r="4359" spans="1:19" x14ac:dyDescent="0.25">
      <c r="A4359" t="str">
        <f t="shared" si="69"/>
        <v/>
      </c>
      <c r="B4359" s="10"/>
      <c r="C4359" s="10"/>
      <c r="D4359" s="10"/>
      <c r="E4359" s="10"/>
      <c r="F4359" s="10"/>
      <c r="G4359" s="11"/>
      <c r="H4359" s="12"/>
      <c r="I4359" s="13"/>
      <c r="J4359" s="12"/>
      <c r="K4359" s="13"/>
      <c r="L4359" s="11"/>
      <c r="M4359" s="13"/>
      <c r="N4359" s="11"/>
      <c r="O4359" s="13"/>
      <c r="P4359" s="11"/>
      <c r="Q4359" s="13"/>
      <c r="R4359" s="10"/>
      <c r="S4359" s="10"/>
    </row>
    <row r="4360" spans="1:19" x14ac:dyDescent="0.25">
      <c r="A4360" t="str">
        <f t="shared" si="69"/>
        <v/>
      </c>
      <c r="B4360" s="10"/>
      <c r="C4360" s="10"/>
      <c r="D4360" s="10"/>
      <c r="E4360" s="10"/>
      <c r="F4360" s="10"/>
      <c r="G4360" s="11"/>
      <c r="H4360" s="12"/>
      <c r="I4360" s="13"/>
      <c r="J4360" s="12"/>
      <c r="K4360" s="13"/>
      <c r="L4360" s="11"/>
      <c r="M4360" s="13"/>
      <c r="N4360" s="11"/>
      <c r="O4360" s="13"/>
      <c r="P4360" s="11"/>
      <c r="Q4360" s="13"/>
      <c r="R4360" s="10"/>
      <c r="S4360" s="10"/>
    </row>
    <row r="4361" spans="1:19" x14ac:dyDescent="0.25">
      <c r="A4361" t="str">
        <f t="shared" si="69"/>
        <v/>
      </c>
      <c r="B4361" s="10"/>
      <c r="C4361" s="10"/>
      <c r="D4361" s="10"/>
      <c r="E4361" s="10"/>
      <c r="F4361" s="10"/>
      <c r="G4361" s="11"/>
      <c r="H4361" s="12"/>
      <c r="I4361" s="13"/>
      <c r="J4361" s="12"/>
      <c r="K4361" s="13"/>
      <c r="L4361" s="11"/>
      <c r="M4361" s="13"/>
      <c r="N4361" s="11"/>
      <c r="O4361" s="13"/>
      <c r="P4361" s="11"/>
      <c r="Q4361" s="13"/>
      <c r="R4361" s="10"/>
      <c r="S4361" s="10"/>
    </row>
    <row r="4362" spans="1:19" x14ac:dyDescent="0.25">
      <c r="A4362" t="str">
        <f t="shared" si="69"/>
        <v/>
      </c>
      <c r="B4362" s="10"/>
      <c r="C4362" s="10"/>
      <c r="D4362" s="10"/>
      <c r="E4362" s="10"/>
      <c r="F4362" s="10"/>
      <c r="G4362" s="11"/>
      <c r="H4362" s="12"/>
      <c r="I4362" s="13"/>
      <c r="J4362" s="12"/>
      <c r="K4362" s="13"/>
      <c r="L4362" s="11"/>
      <c r="M4362" s="13"/>
      <c r="N4362" s="11"/>
      <c r="O4362" s="13"/>
      <c r="P4362" s="11"/>
      <c r="Q4362" s="13"/>
      <c r="R4362" s="10"/>
      <c r="S4362" s="10"/>
    </row>
    <row r="4363" spans="1:19" x14ac:dyDescent="0.25">
      <c r="A4363" t="str">
        <f t="shared" si="69"/>
        <v/>
      </c>
      <c r="B4363" s="10"/>
      <c r="C4363" s="10"/>
      <c r="D4363" s="10"/>
      <c r="E4363" s="10"/>
      <c r="F4363" s="10"/>
      <c r="G4363" s="11"/>
      <c r="H4363" s="12"/>
      <c r="I4363" s="13"/>
      <c r="J4363" s="12"/>
      <c r="K4363" s="13"/>
      <c r="L4363" s="11"/>
      <c r="M4363" s="13"/>
      <c r="N4363" s="11"/>
      <c r="O4363" s="13"/>
      <c r="P4363" s="11"/>
      <c r="Q4363" s="13"/>
      <c r="R4363" s="10"/>
      <c r="S4363" s="10"/>
    </row>
    <row r="4364" spans="1:19" x14ac:dyDescent="0.25">
      <c r="A4364" t="str">
        <f t="shared" si="69"/>
        <v/>
      </c>
      <c r="B4364" s="10"/>
      <c r="C4364" s="10"/>
      <c r="D4364" s="10"/>
      <c r="E4364" s="10"/>
      <c r="F4364" s="10"/>
      <c r="G4364" s="11"/>
      <c r="H4364" s="12"/>
      <c r="I4364" s="13"/>
      <c r="J4364" s="12"/>
      <c r="K4364" s="13"/>
      <c r="L4364" s="11"/>
      <c r="M4364" s="13"/>
      <c r="N4364" s="11"/>
      <c r="O4364" s="13"/>
      <c r="P4364" s="11"/>
      <c r="Q4364" s="13"/>
      <c r="R4364" s="10"/>
      <c r="S4364" s="10"/>
    </row>
    <row r="4365" spans="1:19" x14ac:dyDescent="0.25">
      <c r="A4365" t="str">
        <f t="shared" si="69"/>
        <v/>
      </c>
      <c r="B4365" s="10"/>
      <c r="C4365" s="10"/>
      <c r="D4365" s="10"/>
      <c r="E4365" s="10"/>
      <c r="F4365" s="10"/>
      <c r="G4365" s="11"/>
      <c r="H4365" s="12"/>
      <c r="I4365" s="13"/>
      <c r="J4365" s="12"/>
      <c r="K4365" s="13"/>
      <c r="L4365" s="11"/>
      <c r="M4365" s="13"/>
      <c r="N4365" s="11"/>
      <c r="O4365" s="13"/>
      <c r="P4365" s="11"/>
      <c r="Q4365" s="13"/>
      <c r="R4365" s="10"/>
      <c r="S4365" s="10"/>
    </row>
    <row r="4366" spans="1:19" x14ac:dyDescent="0.25">
      <c r="A4366" t="str">
        <f t="shared" si="69"/>
        <v/>
      </c>
      <c r="B4366" s="10"/>
      <c r="C4366" s="10"/>
      <c r="D4366" s="10"/>
      <c r="E4366" s="10"/>
      <c r="F4366" s="10"/>
      <c r="G4366" s="11"/>
      <c r="H4366" s="12"/>
      <c r="I4366" s="13"/>
      <c r="J4366" s="12"/>
      <c r="K4366" s="13"/>
      <c r="L4366" s="11"/>
      <c r="M4366" s="13"/>
      <c r="N4366" s="11"/>
      <c r="O4366" s="13"/>
      <c r="P4366" s="11"/>
      <c r="Q4366" s="13"/>
      <c r="R4366" s="10"/>
      <c r="S4366" s="10"/>
    </row>
    <row r="4367" spans="1:19" x14ac:dyDescent="0.25">
      <c r="A4367" t="str">
        <f t="shared" si="69"/>
        <v/>
      </c>
      <c r="B4367" s="10"/>
      <c r="C4367" s="10"/>
      <c r="D4367" s="10"/>
      <c r="E4367" s="10"/>
      <c r="F4367" s="10"/>
      <c r="G4367" s="11"/>
      <c r="H4367" s="12"/>
      <c r="I4367" s="13"/>
      <c r="J4367" s="12"/>
      <c r="K4367" s="13"/>
      <c r="L4367" s="11"/>
      <c r="M4367" s="13"/>
      <c r="N4367" s="11"/>
      <c r="O4367" s="13"/>
      <c r="P4367" s="11"/>
      <c r="Q4367" s="13"/>
      <c r="R4367" s="10"/>
      <c r="S4367" s="10"/>
    </row>
    <row r="4368" spans="1:19" x14ac:dyDescent="0.25">
      <c r="A4368" t="str">
        <f t="shared" si="69"/>
        <v/>
      </c>
      <c r="B4368" s="10"/>
      <c r="C4368" s="10"/>
      <c r="D4368" s="10"/>
      <c r="E4368" s="10"/>
      <c r="F4368" s="10"/>
      <c r="G4368" s="11"/>
      <c r="H4368" s="12"/>
      <c r="I4368" s="13"/>
      <c r="J4368" s="12"/>
      <c r="K4368" s="13"/>
      <c r="L4368" s="11"/>
      <c r="M4368" s="13"/>
      <c r="N4368" s="11"/>
      <c r="O4368" s="13"/>
      <c r="P4368" s="11"/>
      <c r="Q4368" s="13"/>
      <c r="R4368" s="10"/>
      <c r="S4368" s="10"/>
    </row>
    <row r="4369" spans="1:19" x14ac:dyDescent="0.25">
      <c r="A4369" t="str">
        <f t="shared" si="69"/>
        <v/>
      </c>
      <c r="B4369" s="10"/>
      <c r="C4369" s="10"/>
      <c r="D4369" s="10"/>
      <c r="E4369" s="10"/>
      <c r="F4369" s="10"/>
      <c r="G4369" s="11"/>
      <c r="H4369" s="12"/>
      <c r="I4369" s="13"/>
      <c r="J4369" s="12"/>
      <c r="K4369" s="13"/>
      <c r="L4369" s="11"/>
      <c r="M4369" s="13"/>
      <c r="N4369" s="11"/>
      <c r="O4369" s="13"/>
      <c r="P4369" s="11"/>
      <c r="Q4369" s="13"/>
      <c r="R4369" s="10"/>
      <c r="S4369" s="10"/>
    </row>
    <row r="4370" spans="1:19" x14ac:dyDescent="0.25">
      <c r="A4370" t="str">
        <f t="shared" si="69"/>
        <v/>
      </c>
      <c r="B4370" s="10"/>
      <c r="C4370" s="10"/>
      <c r="D4370" s="10"/>
      <c r="E4370" s="10"/>
      <c r="F4370" s="10"/>
      <c r="G4370" s="11"/>
      <c r="H4370" s="12"/>
      <c r="I4370" s="13"/>
      <c r="J4370" s="12"/>
      <c r="K4370" s="13"/>
      <c r="L4370" s="11"/>
      <c r="M4370" s="13"/>
      <c r="N4370" s="11"/>
      <c r="O4370" s="13"/>
      <c r="P4370" s="11"/>
      <c r="Q4370" s="13"/>
      <c r="R4370" s="10"/>
      <c r="S4370" s="10"/>
    </row>
    <row r="4371" spans="1:19" x14ac:dyDescent="0.25">
      <c r="A4371" t="str">
        <f t="shared" si="69"/>
        <v/>
      </c>
      <c r="B4371" s="10"/>
      <c r="C4371" s="10"/>
      <c r="D4371" s="10"/>
      <c r="E4371" s="10"/>
      <c r="F4371" s="10"/>
      <c r="G4371" s="11"/>
      <c r="H4371" s="12"/>
      <c r="I4371" s="13"/>
      <c r="J4371" s="12"/>
      <c r="K4371" s="13"/>
      <c r="L4371" s="11"/>
      <c r="M4371" s="13"/>
      <c r="N4371" s="11"/>
      <c r="O4371" s="13"/>
      <c r="P4371" s="11"/>
      <c r="Q4371" s="13"/>
      <c r="R4371" s="10"/>
      <c r="S4371" s="10"/>
    </row>
    <row r="4372" spans="1:19" x14ac:dyDescent="0.25">
      <c r="A4372" t="str">
        <f t="shared" si="69"/>
        <v/>
      </c>
      <c r="B4372" s="10"/>
      <c r="C4372" s="10"/>
      <c r="D4372" s="10"/>
      <c r="E4372" s="10"/>
      <c r="F4372" s="10"/>
      <c r="G4372" s="11"/>
      <c r="H4372" s="12"/>
      <c r="I4372" s="13"/>
      <c r="J4372" s="12"/>
      <c r="K4372" s="13"/>
      <c r="L4372" s="11"/>
      <c r="M4372" s="13"/>
      <c r="N4372" s="11"/>
      <c r="O4372" s="13"/>
      <c r="P4372" s="11"/>
      <c r="Q4372" s="13"/>
      <c r="R4372" s="10"/>
      <c r="S4372" s="10"/>
    </row>
    <row r="4373" spans="1:19" x14ac:dyDescent="0.25">
      <c r="A4373" t="str">
        <f t="shared" si="69"/>
        <v/>
      </c>
      <c r="B4373" s="10"/>
      <c r="C4373" s="10"/>
      <c r="D4373" s="10"/>
      <c r="E4373" s="10"/>
      <c r="F4373" s="10"/>
      <c r="G4373" s="11"/>
      <c r="H4373" s="12"/>
      <c r="I4373" s="13"/>
      <c r="J4373" s="12"/>
      <c r="K4373" s="13"/>
      <c r="L4373" s="11"/>
      <c r="M4373" s="13"/>
      <c r="N4373" s="11"/>
      <c r="O4373" s="13"/>
      <c r="P4373" s="11"/>
      <c r="Q4373" s="13"/>
      <c r="R4373" s="10"/>
      <c r="S4373" s="10"/>
    </row>
    <row r="4374" spans="1:19" x14ac:dyDescent="0.25">
      <c r="A4374" t="str">
        <f t="shared" si="69"/>
        <v/>
      </c>
      <c r="B4374" s="10"/>
      <c r="C4374" s="10"/>
      <c r="D4374" s="10"/>
      <c r="E4374" s="10"/>
      <c r="F4374" s="10"/>
      <c r="G4374" s="11"/>
      <c r="H4374" s="12"/>
      <c r="I4374" s="13"/>
      <c r="J4374" s="12"/>
      <c r="K4374" s="13"/>
      <c r="L4374" s="11"/>
      <c r="M4374" s="13"/>
      <c r="N4374" s="11"/>
      <c r="O4374" s="13"/>
      <c r="P4374" s="11"/>
      <c r="Q4374" s="13"/>
      <c r="R4374" s="10"/>
      <c r="S4374" s="10"/>
    </row>
    <row r="4375" spans="1:19" x14ac:dyDescent="0.25">
      <c r="A4375" t="str">
        <f t="shared" si="69"/>
        <v/>
      </c>
      <c r="B4375" s="10"/>
      <c r="C4375" s="10"/>
      <c r="D4375" s="10"/>
      <c r="E4375" s="10"/>
      <c r="F4375" s="10"/>
      <c r="G4375" s="11"/>
      <c r="H4375" s="12"/>
      <c r="I4375" s="13"/>
      <c r="J4375" s="12"/>
      <c r="K4375" s="13"/>
      <c r="L4375" s="11"/>
      <c r="M4375" s="13"/>
      <c r="N4375" s="11"/>
      <c r="O4375" s="13"/>
      <c r="P4375" s="11"/>
      <c r="Q4375" s="13"/>
      <c r="R4375" s="10"/>
      <c r="S4375" s="10"/>
    </row>
    <row r="4376" spans="1:19" x14ac:dyDescent="0.25">
      <c r="A4376" t="str">
        <f t="shared" si="69"/>
        <v/>
      </c>
      <c r="B4376" s="10"/>
      <c r="C4376" s="10"/>
      <c r="D4376" s="10"/>
      <c r="E4376" s="10"/>
      <c r="F4376" s="10"/>
      <c r="G4376" s="11"/>
      <c r="H4376" s="12"/>
      <c r="I4376" s="13"/>
      <c r="J4376" s="12"/>
      <c r="K4376" s="13"/>
      <c r="L4376" s="11"/>
      <c r="M4376" s="13"/>
      <c r="N4376" s="11"/>
      <c r="O4376" s="13"/>
      <c r="P4376" s="11"/>
      <c r="Q4376" s="13"/>
      <c r="R4376" s="10"/>
      <c r="S4376" s="10"/>
    </row>
    <row r="4377" spans="1:19" x14ac:dyDescent="0.25">
      <c r="A4377" t="str">
        <f t="shared" si="69"/>
        <v/>
      </c>
      <c r="B4377" s="10"/>
      <c r="C4377" s="10"/>
      <c r="D4377" s="10"/>
      <c r="E4377" s="10"/>
      <c r="F4377" s="10"/>
      <c r="G4377" s="11"/>
      <c r="H4377" s="12"/>
      <c r="I4377" s="13"/>
      <c r="J4377" s="12"/>
      <c r="K4377" s="13"/>
      <c r="L4377" s="11"/>
      <c r="M4377" s="13"/>
      <c r="N4377" s="11"/>
      <c r="O4377" s="13"/>
      <c r="P4377" s="11"/>
      <c r="Q4377" s="13"/>
      <c r="R4377" s="10"/>
      <c r="S4377" s="10"/>
    </row>
    <row r="4378" spans="1:19" x14ac:dyDescent="0.25">
      <c r="A4378" t="str">
        <f t="shared" si="69"/>
        <v/>
      </c>
      <c r="B4378" s="10"/>
      <c r="C4378" s="10"/>
      <c r="D4378" s="10"/>
      <c r="E4378" s="10"/>
      <c r="F4378" s="10"/>
      <c r="G4378" s="11"/>
      <c r="H4378" s="12"/>
      <c r="I4378" s="13"/>
      <c r="J4378" s="12"/>
      <c r="K4378" s="13"/>
      <c r="L4378" s="11"/>
      <c r="M4378" s="13"/>
      <c r="N4378" s="11"/>
      <c r="O4378" s="13"/>
      <c r="P4378" s="11"/>
      <c r="Q4378" s="13"/>
      <c r="R4378" s="10"/>
      <c r="S4378" s="10"/>
    </row>
    <row r="4379" spans="1:19" x14ac:dyDescent="0.25">
      <c r="A4379" t="str">
        <f t="shared" si="69"/>
        <v/>
      </c>
      <c r="B4379" s="10"/>
      <c r="C4379" s="10"/>
      <c r="D4379" s="10"/>
      <c r="E4379" s="10"/>
      <c r="F4379" s="10"/>
      <c r="G4379" s="11"/>
      <c r="H4379" s="12"/>
      <c r="I4379" s="13"/>
      <c r="J4379" s="12"/>
      <c r="K4379" s="13"/>
      <c r="L4379" s="11"/>
      <c r="M4379" s="13"/>
      <c r="N4379" s="11"/>
      <c r="O4379" s="13"/>
      <c r="P4379" s="11"/>
      <c r="Q4379" s="13"/>
      <c r="R4379" s="10"/>
      <c r="S4379" s="10"/>
    </row>
    <row r="4380" spans="1:19" x14ac:dyDescent="0.25">
      <c r="A4380" t="str">
        <f t="shared" si="69"/>
        <v/>
      </c>
      <c r="B4380" s="10"/>
      <c r="C4380" s="10"/>
      <c r="D4380" s="10"/>
      <c r="E4380" s="10"/>
      <c r="F4380" s="10"/>
      <c r="G4380" s="11"/>
      <c r="H4380" s="12"/>
      <c r="I4380" s="13"/>
      <c r="J4380" s="12"/>
      <c r="K4380" s="13"/>
      <c r="L4380" s="11"/>
      <c r="M4380" s="13"/>
      <c r="N4380" s="11"/>
      <c r="O4380" s="13"/>
      <c r="P4380" s="11"/>
      <c r="Q4380" s="13"/>
      <c r="R4380" s="10"/>
      <c r="S4380" s="10"/>
    </row>
    <row r="4381" spans="1:19" x14ac:dyDescent="0.25">
      <c r="A4381" t="str">
        <f t="shared" si="69"/>
        <v/>
      </c>
      <c r="B4381" s="10"/>
      <c r="C4381" s="10"/>
      <c r="D4381" s="10"/>
      <c r="E4381" s="10"/>
      <c r="F4381" s="10"/>
      <c r="G4381" s="11"/>
      <c r="H4381" s="12"/>
      <c r="I4381" s="13"/>
      <c r="J4381" s="12"/>
      <c r="K4381" s="13"/>
      <c r="L4381" s="11"/>
      <c r="M4381" s="13"/>
      <c r="N4381" s="11"/>
      <c r="O4381" s="13"/>
      <c r="P4381" s="11"/>
      <c r="Q4381" s="13"/>
      <c r="R4381" s="10"/>
      <c r="S4381" s="10"/>
    </row>
    <row r="4382" spans="1:19" x14ac:dyDescent="0.25">
      <c r="A4382" t="str">
        <f t="shared" si="69"/>
        <v/>
      </c>
      <c r="B4382" s="10"/>
      <c r="C4382" s="10"/>
      <c r="D4382" s="10"/>
      <c r="E4382" s="10"/>
      <c r="F4382" s="10"/>
      <c r="G4382" s="11"/>
      <c r="H4382" s="12"/>
      <c r="I4382" s="13"/>
      <c r="J4382" s="12"/>
      <c r="K4382" s="13"/>
      <c r="L4382" s="11"/>
      <c r="M4382" s="13"/>
      <c r="N4382" s="11"/>
      <c r="O4382" s="13"/>
      <c r="P4382" s="11"/>
      <c r="Q4382" s="13"/>
      <c r="R4382" s="10"/>
      <c r="S4382" s="10"/>
    </row>
    <row r="4383" spans="1:19" x14ac:dyDescent="0.25">
      <c r="A4383" t="str">
        <f t="shared" si="69"/>
        <v/>
      </c>
      <c r="B4383" s="10"/>
      <c r="C4383" s="10"/>
      <c r="D4383" s="10"/>
      <c r="E4383" s="10"/>
      <c r="F4383" s="10"/>
      <c r="G4383" s="11"/>
      <c r="H4383" s="12"/>
      <c r="I4383" s="13"/>
      <c r="J4383" s="12"/>
      <c r="K4383" s="13"/>
      <c r="L4383" s="11"/>
      <c r="M4383" s="13"/>
      <c r="N4383" s="11"/>
      <c r="O4383" s="13"/>
      <c r="P4383" s="11"/>
      <c r="Q4383" s="13"/>
      <c r="R4383" s="10"/>
      <c r="S4383" s="10"/>
    </row>
    <row r="4384" spans="1:19" x14ac:dyDescent="0.25">
      <c r="A4384" t="str">
        <f t="shared" si="69"/>
        <v/>
      </c>
      <c r="B4384" s="10"/>
      <c r="C4384" s="10"/>
      <c r="D4384" s="10"/>
      <c r="E4384" s="10"/>
      <c r="F4384" s="10"/>
      <c r="G4384" s="11"/>
      <c r="H4384" s="12"/>
      <c r="I4384" s="13"/>
      <c r="J4384" s="12"/>
      <c r="K4384" s="13"/>
      <c r="L4384" s="11"/>
      <c r="M4384" s="13"/>
      <c r="N4384" s="11"/>
      <c r="O4384" s="13"/>
      <c r="P4384" s="11"/>
      <c r="Q4384" s="13"/>
      <c r="R4384" s="10"/>
      <c r="S4384" s="10"/>
    </row>
    <row r="4385" spans="1:19" x14ac:dyDescent="0.25">
      <c r="A4385" t="str">
        <f t="shared" si="69"/>
        <v/>
      </c>
      <c r="B4385" s="10"/>
      <c r="C4385" s="10"/>
      <c r="D4385" s="10"/>
      <c r="E4385" s="10"/>
      <c r="F4385" s="10"/>
      <c r="G4385" s="11"/>
      <c r="H4385" s="12"/>
      <c r="I4385" s="13"/>
      <c r="J4385" s="12"/>
      <c r="K4385" s="13"/>
      <c r="L4385" s="11"/>
      <c r="M4385" s="13"/>
      <c r="N4385" s="11"/>
      <c r="O4385" s="13"/>
      <c r="P4385" s="11"/>
      <c r="Q4385" s="13"/>
      <c r="R4385" s="10"/>
      <c r="S4385" s="10"/>
    </row>
    <row r="4386" spans="1:19" x14ac:dyDescent="0.25">
      <c r="A4386" t="str">
        <f t="shared" si="69"/>
        <v/>
      </c>
      <c r="B4386" s="10"/>
      <c r="C4386" s="10"/>
      <c r="D4386" s="10"/>
      <c r="E4386" s="10"/>
      <c r="F4386" s="10"/>
      <c r="G4386" s="11"/>
      <c r="H4386" s="12"/>
      <c r="I4386" s="13"/>
      <c r="J4386" s="12"/>
      <c r="K4386" s="13"/>
      <c r="L4386" s="11"/>
      <c r="M4386" s="13"/>
      <c r="N4386" s="11"/>
      <c r="O4386" s="13"/>
      <c r="P4386" s="11"/>
      <c r="Q4386" s="13"/>
      <c r="R4386" s="10"/>
      <c r="S4386" s="10"/>
    </row>
    <row r="4387" spans="1:19" x14ac:dyDescent="0.25">
      <c r="A4387" t="str">
        <f t="shared" si="69"/>
        <v/>
      </c>
      <c r="B4387" s="10"/>
      <c r="C4387" s="10"/>
      <c r="D4387" s="10"/>
      <c r="E4387" s="10"/>
      <c r="F4387" s="10"/>
      <c r="G4387" s="11"/>
      <c r="H4387" s="12"/>
      <c r="I4387" s="13"/>
      <c r="J4387" s="12"/>
      <c r="K4387" s="13"/>
      <c r="L4387" s="11"/>
      <c r="M4387" s="13"/>
      <c r="N4387" s="11"/>
      <c r="O4387" s="13"/>
      <c r="P4387" s="11"/>
      <c r="Q4387" s="13"/>
      <c r="R4387" s="10"/>
      <c r="S4387" s="10"/>
    </row>
    <row r="4388" spans="1:19" x14ac:dyDescent="0.25">
      <c r="A4388" t="str">
        <f t="shared" si="69"/>
        <v/>
      </c>
      <c r="B4388" s="10"/>
      <c r="C4388" s="10"/>
      <c r="D4388" s="10"/>
      <c r="E4388" s="10"/>
      <c r="F4388" s="10"/>
      <c r="G4388" s="11"/>
      <c r="H4388" s="12"/>
      <c r="I4388" s="13"/>
      <c r="J4388" s="12"/>
      <c r="K4388" s="13"/>
      <c r="L4388" s="11"/>
      <c r="M4388" s="13"/>
      <c r="N4388" s="11"/>
      <c r="O4388" s="13"/>
      <c r="P4388" s="11"/>
      <c r="Q4388" s="13"/>
      <c r="R4388" s="10"/>
      <c r="S4388" s="10"/>
    </row>
    <row r="4389" spans="1:19" x14ac:dyDescent="0.25">
      <c r="A4389" t="str">
        <f t="shared" si="69"/>
        <v/>
      </c>
      <c r="B4389" s="10"/>
      <c r="C4389" s="10"/>
      <c r="D4389" s="10"/>
      <c r="E4389" s="10"/>
      <c r="F4389" s="10"/>
      <c r="G4389" s="11"/>
      <c r="H4389" s="12"/>
      <c r="I4389" s="13"/>
      <c r="J4389" s="12"/>
      <c r="K4389" s="13"/>
      <c r="L4389" s="11"/>
      <c r="M4389" s="13"/>
      <c r="N4389" s="11"/>
      <c r="O4389" s="13"/>
      <c r="P4389" s="11"/>
      <c r="Q4389" s="13"/>
      <c r="R4389" s="10"/>
      <c r="S4389" s="10"/>
    </row>
    <row r="4390" spans="1:19" x14ac:dyDescent="0.25">
      <c r="A4390" t="str">
        <f t="shared" si="69"/>
        <v/>
      </c>
      <c r="B4390" s="10"/>
      <c r="C4390" s="10"/>
      <c r="D4390" s="10"/>
      <c r="E4390" s="10"/>
      <c r="F4390" s="10"/>
      <c r="G4390" s="11"/>
      <c r="H4390" s="12"/>
      <c r="I4390" s="13"/>
      <c r="J4390" s="12"/>
      <c r="K4390" s="13"/>
      <c r="L4390" s="11"/>
      <c r="M4390" s="13"/>
      <c r="N4390" s="11"/>
      <c r="O4390" s="13"/>
      <c r="P4390" s="11"/>
      <c r="Q4390" s="13"/>
      <c r="R4390" s="10"/>
      <c r="S4390" s="10"/>
    </row>
    <row r="4391" spans="1:19" x14ac:dyDescent="0.25">
      <c r="A4391" t="str">
        <f t="shared" si="69"/>
        <v/>
      </c>
      <c r="B4391" s="10"/>
      <c r="C4391" s="10"/>
      <c r="D4391" s="10"/>
      <c r="E4391" s="10"/>
      <c r="F4391" s="10"/>
      <c r="G4391" s="11"/>
      <c r="H4391" s="12"/>
      <c r="I4391" s="13"/>
      <c r="J4391" s="12"/>
      <c r="K4391" s="13"/>
      <c r="L4391" s="11"/>
      <c r="M4391" s="13"/>
      <c r="N4391" s="11"/>
      <c r="O4391" s="13"/>
      <c r="P4391" s="11"/>
      <c r="Q4391" s="13"/>
      <c r="R4391" s="10"/>
      <c r="S4391" s="10"/>
    </row>
    <row r="4392" spans="1:19" x14ac:dyDescent="0.25">
      <c r="A4392" t="str">
        <f t="shared" si="69"/>
        <v/>
      </c>
      <c r="B4392" s="10"/>
      <c r="C4392" s="10"/>
      <c r="D4392" s="10"/>
      <c r="E4392" s="10"/>
      <c r="F4392" s="10"/>
      <c r="G4392" s="11"/>
      <c r="H4392" s="12"/>
      <c r="I4392" s="13"/>
      <c r="J4392" s="12"/>
      <c r="K4392" s="13"/>
      <c r="L4392" s="11"/>
      <c r="M4392" s="13"/>
      <c r="N4392" s="11"/>
      <c r="O4392" s="13"/>
      <c r="P4392" s="11"/>
      <c r="Q4392" s="13"/>
      <c r="R4392" s="10"/>
      <c r="S4392" s="10"/>
    </row>
    <row r="4393" spans="1:19" x14ac:dyDescent="0.25">
      <c r="A4393" t="str">
        <f t="shared" si="69"/>
        <v/>
      </c>
      <c r="B4393" s="10"/>
      <c r="C4393" s="10"/>
      <c r="D4393" s="10"/>
      <c r="E4393" s="10"/>
      <c r="F4393" s="10"/>
      <c r="G4393" s="11"/>
      <c r="H4393" s="12"/>
      <c r="I4393" s="13"/>
      <c r="J4393" s="12"/>
      <c r="K4393" s="13"/>
      <c r="L4393" s="11"/>
      <c r="M4393" s="13"/>
      <c r="N4393" s="11"/>
      <c r="O4393" s="13"/>
      <c r="P4393" s="11"/>
      <c r="Q4393" s="13"/>
      <c r="R4393" s="10"/>
      <c r="S4393" s="10"/>
    </row>
    <row r="4394" spans="1:19" x14ac:dyDescent="0.25">
      <c r="A4394" t="str">
        <f t="shared" si="69"/>
        <v/>
      </c>
      <c r="B4394" s="10"/>
      <c r="C4394" s="10"/>
      <c r="D4394" s="10"/>
      <c r="E4394" s="10"/>
      <c r="F4394" s="10"/>
      <c r="G4394" s="11"/>
      <c r="H4394" s="12"/>
      <c r="I4394" s="13"/>
      <c r="J4394" s="12"/>
      <c r="K4394" s="13"/>
      <c r="L4394" s="11"/>
      <c r="M4394" s="13"/>
      <c r="N4394" s="11"/>
      <c r="O4394" s="13"/>
      <c r="P4394" s="11"/>
      <c r="Q4394" s="13"/>
      <c r="R4394" s="10"/>
      <c r="S4394" s="10"/>
    </row>
    <row r="4395" spans="1:19" x14ac:dyDescent="0.25">
      <c r="A4395" t="str">
        <f t="shared" si="69"/>
        <v/>
      </c>
      <c r="B4395" s="10"/>
      <c r="C4395" s="10"/>
      <c r="D4395" s="10"/>
      <c r="E4395" s="10"/>
      <c r="F4395" s="10"/>
      <c r="G4395" s="11"/>
      <c r="H4395" s="12"/>
      <c r="I4395" s="13"/>
      <c r="J4395" s="12"/>
      <c r="K4395" s="13"/>
      <c r="L4395" s="11"/>
      <c r="M4395" s="13"/>
      <c r="N4395" s="11"/>
      <c r="O4395" s="13"/>
      <c r="P4395" s="11"/>
      <c r="Q4395" s="13"/>
      <c r="R4395" s="10"/>
      <c r="S4395" s="10"/>
    </row>
    <row r="4396" spans="1:19" x14ac:dyDescent="0.25">
      <c r="A4396" t="str">
        <f t="shared" si="69"/>
        <v/>
      </c>
      <c r="B4396" s="10"/>
      <c r="C4396" s="10"/>
      <c r="D4396" s="10"/>
      <c r="E4396" s="10"/>
      <c r="F4396" s="10"/>
      <c r="G4396" s="11"/>
      <c r="H4396" s="12"/>
      <c r="I4396" s="13"/>
      <c r="J4396" s="12"/>
      <c r="K4396" s="13"/>
      <c r="L4396" s="11"/>
      <c r="M4396" s="13"/>
      <c r="N4396" s="11"/>
      <c r="O4396" s="13"/>
      <c r="P4396" s="11"/>
      <c r="Q4396" s="13"/>
      <c r="R4396" s="10"/>
      <c r="S4396" s="10"/>
    </row>
    <row r="4397" spans="1:19" x14ac:dyDescent="0.25">
      <c r="A4397" t="str">
        <f t="shared" si="69"/>
        <v/>
      </c>
      <c r="B4397" s="10"/>
      <c r="C4397" s="10"/>
      <c r="D4397" s="10"/>
      <c r="E4397" s="10"/>
      <c r="F4397" s="10"/>
      <c r="G4397" s="11"/>
      <c r="H4397" s="12"/>
      <c r="I4397" s="13"/>
      <c r="J4397" s="12"/>
      <c r="K4397" s="13"/>
      <c r="L4397" s="11"/>
      <c r="M4397" s="13"/>
      <c r="N4397" s="11"/>
      <c r="O4397" s="13"/>
      <c r="P4397" s="11"/>
      <c r="Q4397" s="13"/>
      <c r="R4397" s="10"/>
      <c r="S4397" s="10"/>
    </row>
    <row r="4398" spans="1:19" x14ac:dyDescent="0.25">
      <c r="A4398" t="str">
        <f t="shared" si="69"/>
        <v/>
      </c>
      <c r="B4398" s="10"/>
      <c r="C4398" s="10"/>
      <c r="D4398" s="10"/>
      <c r="E4398" s="10"/>
      <c r="F4398" s="10"/>
      <c r="G4398" s="11"/>
      <c r="H4398" s="12"/>
      <c r="I4398" s="13"/>
      <c r="J4398" s="12"/>
      <c r="K4398" s="13"/>
      <c r="L4398" s="11"/>
      <c r="M4398" s="13"/>
      <c r="N4398" s="11"/>
      <c r="O4398" s="13"/>
      <c r="P4398" s="11"/>
      <c r="Q4398" s="13"/>
      <c r="R4398" s="10"/>
      <c r="S4398" s="10"/>
    </row>
    <row r="4399" spans="1:19" x14ac:dyDescent="0.25">
      <c r="A4399" t="str">
        <f t="shared" si="69"/>
        <v/>
      </c>
      <c r="B4399" s="10"/>
      <c r="C4399" s="10"/>
      <c r="D4399" s="10"/>
      <c r="E4399" s="10"/>
      <c r="F4399" s="10"/>
      <c r="G4399" s="11"/>
      <c r="H4399" s="12"/>
      <c r="I4399" s="13"/>
      <c r="J4399" s="12"/>
      <c r="K4399" s="13"/>
      <c r="L4399" s="11"/>
      <c r="M4399" s="13"/>
      <c r="N4399" s="11"/>
      <c r="O4399" s="13"/>
      <c r="P4399" s="11"/>
      <c r="Q4399" s="13"/>
      <c r="R4399" s="10"/>
      <c r="S4399" s="10"/>
    </row>
    <row r="4400" spans="1:19" x14ac:dyDescent="0.25">
      <c r="A4400" t="str">
        <f t="shared" si="69"/>
        <v/>
      </c>
      <c r="B4400" s="10"/>
      <c r="C4400" s="10"/>
      <c r="D4400" s="10"/>
      <c r="E4400" s="10"/>
      <c r="F4400" s="10"/>
      <c r="G4400" s="11"/>
      <c r="H4400" s="12"/>
      <c r="I4400" s="13"/>
      <c r="J4400" s="12"/>
      <c r="K4400" s="13"/>
      <c r="L4400" s="11"/>
      <c r="M4400" s="13"/>
      <c r="N4400" s="11"/>
      <c r="O4400" s="13"/>
      <c r="P4400" s="11"/>
      <c r="Q4400" s="13"/>
      <c r="R4400" s="10"/>
      <c r="S4400" s="10"/>
    </row>
    <row r="4401" spans="1:19" x14ac:dyDescent="0.25">
      <c r="A4401" t="str">
        <f t="shared" si="69"/>
        <v/>
      </c>
      <c r="B4401" s="10"/>
      <c r="C4401" s="10"/>
      <c r="D4401" s="10"/>
      <c r="E4401" s="10"/>
      <c r="F4401" s="10"/>
      <c r="G4401" s="11"/>
      <c r="H4401" s="12"/>
      <c r="I4401" s="13"/>
      <c r="J4401" s="12"/>
      <c r="K4401" s="13"/>
      <c r="L4401" s="11"/>
      <c r="M4401" s="13"/>
      <c r="N4401" s="11"/>
      <c r="O4401" s="13"/>
      <c r="P4401" s="11"/>
      <c r="Q4401" s="13"/>
      <c r="R4401" s="10"/>
      <c r="S4401" s="10"/>
    </row>
    <row r="4402" spans="1:19" x14ac:dyDescent="0.25">
      <c r="A4402" t="str">
        <f t="shared" si="69"/>
        <v/>
      </c>
      <c r="B4402" s="10"/>
      <c r="C4402" s="10"/>
      <c r="D4402" s="10"/>
      <c r="E4402" s="10"/>
      <c r="F4402" s="10"/>
      <c r="G4402" s="11"/>
      <c r="H4402" s="12"/>
      <c r="I4402" s="13"/>
      <c r="J4402" s="12"/>
      <c r="K4402" s="13"/>
      <c r="L4402" s="11"/>
      <c r="M4402" s="13"/>
      <c r="N4402" s="11"/>
      <c r="O4402" s="13"/>
      <c r="P4402" s="11"/>
      <c r="Q4402" s="13"/>
      <c r="R4402" s="10"/>
      <c r="S4402" s="10"/>
    </row>
    <row r="4403" spans="1:19" x14ac:dyDescent="0.25">
      <c r="A4403" t="str">
        <f t="shared" si="69"/>
        <v/>
      </c>
      <c r="B4403" s="10"/>
      <c r="C4403" s="10"/>
      <c r="D4403" s="10"/>
      <c r="E4403" s="10"/>
      <c r="F4403" s="10"/>
      <c r="G4403" s="11"/>
      <c r="H4403" s="12"/>
      <c r="I4403" s="13"/>
      <c r="J4403" s="12"/>
      <c r="K4403" s="13"/>
      <c r="L4403" s="11"/>
      <c r="M4403" s="13"/>
      <c r="N4403" s="11"/>
      <c r="O4403" s="13"/>
      <c r="P4403" s="11"/>
      <c r="Q4403" s="13"/>
      <c r="R4403" s="10"/>
      <c r="S4403" s="10"/>
    </row>
    <row r="4404" spans="1:19" x14ac:dyDescent="0.25">
      <c r="A4404" t="str">
        <f t="shared" si="69"/>
        <v/>
      </c>
      <c r="B4404" s="10"/>
      <c r="C4404" s="10"/>
      <c r="D4404" s="10"/>
      <c r="E4404" s="10"/>
      <c r="F4404" s="10"/>
      <c r="G4404" s="11"/>
      <c r="H4404" s="12"/>
      <c r="I4404" s="13"/>
      <c r="J4404" s="12"/>
      <c r="K4404" s="13"/>
      <c r="L4404" s="11"/>
      <c r="M4404" s="13"/>
      <c r="N4404" s="11"/>
      <c r="O4404" s="13"/>
      <c r="P4404" s="11"/>
      <c r="Q4404" s="13"/>
      <c r="R4404" s="10"/>
      <c r="S4404" s="10"/>
    </row>
    <row r="4405" spans="1:19" x14ac:dyDescent="0.25">
      <c r="A4405" t="str">
        <f t="shared" ref="A4405:A4468" si="70">B4403&amp;D4403</f>
        <v/>
      </c>
      <c r="B4405" s="10"/>
      <c r="C4405" s="10"/>
      <c r="D4405" s="10"/>
      <c r="E4405" s="10"/>
      <c r="F4405" s="10"/>
      <c r="G4405" s="11"/>
      <c r="H4405" s="12"/>
      <c r="I4405" s="13"/>
      <c r="J4405" s="12"/>
      <c r="K4405" s="13"/>
      <c r="L4405" s="11"/>
      <c r="M4405" s="13"/>
      <c r="N4405" s="11"/>
      <c r="O4405" s="13"/>
      <c r="P4405" s="11"/>
      <c r="Q4405" s="13"/>
      <c r="R4405" s="10"/>
      <c r="S4405" s="10"/>
    </row>
    <row r="4406" spans="1:19" x14ac:dyDescent="0.25">
      <c r="A4406" t="str">
        <f t="shared" si="70"/>
        <v/>
      </c>
      <c r="B4406" s="10"/>
      <c r="C4406" s="10"/>
      <c r="D4406" s="10"/>
      <c r="E4406" s="10"/>
      <c r="F4406" s="10"/>
      <c r="G4406" s="11"/>
      <c r="H4406" s="12"/>
      <c r="I4406" s="13"/>
      <c r="J4406" s="12"/>
      <c r="K4406" s="13"/>
      <c r="L4406" s="11"/>
      <c r="M4406" s="13"/>
      <c r="N4406" s="11"/>
      <c r="O4406" s="13"/>
      <c r="P4406" s="11"/>
      <c r="Q4406" s="13"/>
      <c r="R4406" s="10"/>
      <c r="S4406" s="10"/>
    </row>
    <row r="4407" spans="1:19" x14ac:dyDescent="0.25">
      <c r="A4407" t="str">
        <f t="shared" si="70"/>
        <v/>
      </c>
      <c r="B4407" s="10"/>
      <c r="C4407" s="10"/>
      <c r="D4407" s="10"/>
      <c r="E4407" s="10"/>
      <c r="F4407" s="10"/>
      <c r="G4407" s="11"/>
      <c r="H4407" s="12"/>
      <c r="I4407" s="13"/>
      <c r="J4407" s="12"/>
      <c r="K4407" s="13"/>
      <c r="L4407" s="11"/>
      <c r="M4407" s="13"/>
      <c r="N4407" s="11"/>
      <c r="O4407" s="13"/>
      <c r="P4407" s="11"/>
      <c r="Q4407" s="13"/>
      <c r="R4407" s="10"/>
      <c r="S4407" s="10"/>
    </row>
    <row r="4408" spans="1:19" x14ac:dyDescent="0.25">
      <c r="A4408" t="str">
        <f t="shared" si="70"/>
        <v/>
      </c>
      <c r="B4408" s="10"/>
      <c r="C4408" s="10"/>
      <c r="D4408" s="10"/>
      <c r="E4408" s="10"/>
      <c r="F4408" s="10"/>
      <c r="G4408" s="11"/>
      <c r="H4408" s="12"/>
      <c r="I4408" s="13"/>
      <c r="J4408" s="12"/>
      <c r="K4408" s="13"/>
      <c r="L4408" s="11"/>
      <c r="M4408" s="13"/>
      <c r="N4408" s="11"/>
      <c r="O4408" s="13"/>
      <c r="P4408" s="11"/>
      <c r="Q4408" s="13"/>
      <c r="R4408" s="10"/>
      <c r="S4408" s="10"/>
    </row>
    <row r="4409" spans="1:19" x14ac:dyDescent="0.25">
      <c r="A4409" t="str">
        <f t="shared" si="70"/>
        <v/>
      </c>
      <c r="B4409" s="10"/>
      <c r="C4409" s="10"/>
      <c r="D4409" s="10"/>
      <c r="E4409" s="10"/>
      <c r="F4409" s="10"/>
      <c r="G4409" s="11"/>
      <c r="H4409" s="12"/>
      <c r="I4409" s="13"/>
      <c r="J4409" s="12"/>
      <c r="K4409" s="13"/>
      <c r="L4409" s="11"/>
      <c r="M4409" s="13"/>
      <c r="N4409" s="11"/>
      <c r="O4409" s="13"/>
      <c r="P4409" s="11"/>
      <c r="Q4409" s="13"/>
      <c r="R4409" s="10"/>
      <c r="S4409" s="10"/>
    </row>
    <row r="4410" spans="1:19" x14ac:dyDescent="0.25">
      <c r="A4410" t="str">
        <f t="shared" si="70"/>
        <v/>
      </c>
      <c r="B4410" s="10"/>
      <c r="C4410" s="10"/>
      <c r="D4410" s="10"/>
      <c r="E4410" s="10"/>
      <c r="F4410" s="10"/>
      <c r="G4410" s="11"/>
      <c r="H4410" s="12"/>
      <c r="I4410" s="13"/>
      <c r="J4410" s="12"/>
      <c r="K4410" s="13"/>
      <c r="L4410" s="11"/>
      <c r="M4410" s="13"/>
      <c r="N4410" s="11"/>
      <c r="O4410" s="13"/>
      <c r="P4410" s="11"/>
      <c r="Q4410" s="13"/>
      <c r="R4410" s="10"/>
      <c r="S4410" s="10"/>
    </row>
    <row r="4411" spans="1:19" x14ac:dyDescent="0.25">
      <c r="A4411" t="str">
        <f t="shared" si="70"/>
        <v/>
      </c>
      <c r="B4411" s="10"/>
      <c r="C4411" s="10"/>
      <c r="D4411" s="10"/>
      <c r="E4411" s="10"/>
      <c r="F4411" s="10"/>
      <c r="G4411" s="11"/>
      <c r="H4411" s="12"/>
      <c r="I4411" s="13"/>
      <c r="J4411" s="12"/>
      <c r="K4411" s="13"/>
      <c r="L4411" s="11"/>
      <c r="M4411" s="13"/>
      <c r="N4411" s="11"/>
      <c r="O4411" s="13"/>
      <c r="P4411" s="11"/>
      <c r="Q4411" s="13"/>
      <c r="R4411" s="10"/>
      <c r="S4411" s="10"/>
    </row>
    <row r="4412" spans="1:19" x14ac:dyDescent="0.25">
      <c r="A4412" t="str">
        <f t="shared" si="70"/>
        <v/>
      </c>
      <c r="B4412" s="10"/>
      <c r="C4412" s="10"/>
      <c r="D4412" s="10"/>
      <c r="E4412" s="10"/>
      <c r="F4412" s="10"/>
      <c r="G4412" s="11"/>
      <c r="H4412" s="12"/>
      <c r="I4412" s="13"/>
      <c r="J4412" s="12"/>
      <c r="K4412" s="13"/>
      <c r="L4412" s="11"/>
      <c r="M4412" s="13"/>
      <c r="N4412" s="11"/>
      <c r="O4412" s="13"/>
      <c r="P4412" s="11"/>
      <c r="Q4412" s="13"/>
      <c r="R4412" s="10"/>
      <c r="S4412" s="10"/>
    </row>
    <row r="4413" spans="1:19" x14ac:dyDescent="0.25">
      <c r="A4413" t="str">
        <f t="shared" si="70"/>
        <v/>
      </c>
      <c r="B4413" s="10"/>
      <c r="C4413" s="10"/>
      <c r="D4413" s="10"/>
      <c r="E4413" s="10"/>
      <c r="F4413" s="10"/>
      <c r="G4413" s="11"/>
      <c r="H4413" s="12"/>
      <c r="I4413" s="13"/>
      <c r="J4413" s="12"/>
      <c r="K4413" s="13"/>
      <c r="L4413" s="11"/>
      <c r="M4413" s="13"/>
      <c r="N4413" s="11"/>
      <c r="O4413" s="13"/>
      <c r="P4413" s="11"/>
      <c r="Q4413" s="13"/>
      <c r="R4413" s="10"/>
      <c r="S4413" s="10"/>
    </row>
    <row r="4414" spans="1:19" x14ac:dyDescent="0.25">
      <c r="A4414" t="str">
        <f t="shared" si="70"/>
        <v/>
      </c>
      <c r="B4414" s="10"/>
      <c r="C4414" s="10"/>
      <c r="D4414" s="10"/>
      <c r="E4414" s="10"/>
      <c r="F4414" s="10"/>
      <c r="G4414" s="11"/>
      <c r="H4414" s="12"/>
      <c r="I4414" s="13"/>
      <c r="J4414" s="12"/>
      <c r="K4414" s="13"/>
      <c r="L4414" s="11"/>
      <c r="M4414" s="13"/>
      <c r="N4414" s="11"/>
      <c r="O4414" s="13"/>
      <c r="P4414" s="11"/>
      <c r="Q4414" s="13"/>
      <c r="R4414" s="10"/>
      <c r="S4414" s="10"/>
    </row>
    <row r="4415" spans="1:19" x14ac:dyDescent="0.25">
      <c r="A4415" t="str">
        <f t="shared" si="70"/>
        <v/>
      </c>
      <c r="B4415" s="10"/>
      <c r="C4415" s="10"/>
      <c r="D4415" s="10"/>
      <c r="E4415" s="10"/>
      <c r="F4415" s="10"/>
      <c r="G4415" s="11"/>
      <c r="H4415" s="12"/>
      <c r="I4415" s="13"/>
      <c r="J4415" s="12"/>
      <c r="K4415" s="13"/>
      <c r="L4415" s="11"/>
      <c r="M4415" s="13"/>
      <c r="N4415" s="11"/>
      <c r="O4415" s="13"/>
      <c r="P4415" s="11"/>
      <c r="Q4415" s="13"/>
      <c r="R4415" s="10"/>
      <c r="S4415" s="10"/>
    </row>
    <row r="4416" spans="1:19" x14ac:dyDescent="0.25">
      <c r="A4416" t="str">
        <f t="shared" si="70"/>
        <v/>
      </c>
      <c r="B4416" s="10"/>
      <c r="C4416" s="10"/>
      <c r="D4416" s="10"/>
      <c r="E4416" s="10"/>
      <c r="F4416" s="10"/>
      <c r="G4416" s="11"/>
      <c r="H4416" s="12"/>
      <c r="I4416" s="13"/>
      <c r="J4416" s="12"/>
      <c r="K4416" s="13"/>
      <c r="L4416" s="11"/>
      <c r="M4416" s="13"/>
      <c r="N4416" s="11"/>
      <c r="O4416" s="13"/>
      <c r="P4416" s="11"/>
      <c r="Q4416" s="13"/>
      <c r="R4416" s="10"/>
      <c r="S4416" s="10"/>
    </row>
    <row r="4417" spans="1:19" x14ac:dyDescent="0.25">
      <c r="A4417" t="str">
        <f t="shared" si="70"/>
        <v/>
      </c>
      <c r="B4417" s="10"/>
      <c r="C4417" s="10"/>
      <c r="D4417" s="10"/>
      <c r="E4417" s="10"/>
      <c r="F4417" s="10"/>
      <c r="G4417" s="11"/>
      <c r="H4417" s="12"/>
      <c r="I4417" s="13"/>
      <c r="J4417" s="12"/>
      <c r="K4417" s="13"/>
      <c r="L4417" s="11"/>
      <c r="M4417" s="13"/>
      <c r="N4417" s="11"/>
      <c r="O4417" s="13"/>
      <c r="P4417" s="11"/>
      <c r="Q4417" s="13"/>
      <c r="R4417" s="10"/>
      <c r="S4417" s="10"/>
    </row>
    <row r="4418" spans="1:19" x14ac:dyDescent="0.25">
      <c r="A4418" t="str">
        <f t="shared" si="70"/>
        <v/>
      </c>
      <c r="B4418" s="10"/>
      <c r="C4418" s="10"/>
      <c r="D4418" s="10"/>
      <c r="E4418" s="10"/>
      <c r="F4418" s="10"/>
      <c r="G4418" s="11"/>
      <c r="H4418" s="12"/>
      <c r="I4418" s="13"/>
      <c r="J4418" s="12"/>
      <c r="K4418" s="13"/>
      <c r="L4418" s="11"/>
      <c r="M4418" s="13"/>
      <c r="N4418" s="11"/>
      <c r="O4418" s="13"/>
      <c r="P4418" s="11"/>
      <c r="Q4418" s="13"/>
      <c r="R4418" s="10"/>
      <c r="S4418" s="10"/>
    </row>
    <row r="4419" spans="1:19" x14ac:dyDescent="0.25">
      <c r="A4419" t="str">
        <f t="shared" si="70"/>
        <v/>
      </c>
      <c r="B4419" s="10"/>
      <c r="C4419" s="10"/>
      <c r="D4419" s="10"/>
      <c r="E4419" s="10"/>
      <c r="F4419" s="10"/>
      <c r="G4419" s="11"/>
      <c r="H4419" s="12"/>
      <c r="I4419" s="13"/>
      <c r="J4419" s="12"/>
      <c r="K4419" s="13"/>
      <c r="L4419" s="11"/>
      <c r="M4419" s="13"/>
      <c r="N4419" s="11"/>
      <c r="O4419" s="13"/>
      <c r="P4419" s="11"/>
      <c r="Q4419" s="13"/>
      <c r="R4419" s="10"/>
      <c r="S4419" s="10"/>
    </row>
    <row r="4420" spans="1:19" x14ac:dyDescent="0.25">
      <c r="A4420" t="str">
        <f t="shared" si="70"/>
        <v/>
      </c>
      <c r="B4420" s="10"/>
      <c r="C4420" s="10"/>
      <c r="D4420" s="10"/>
      <c r="E4420" s="10"/>
      <c r="F4420" s="10"/>
      <c r="G4420" s="11"/>
      <c r="H4420" s="12"/>
      <c r="I4420" s="13"/>
      <c r="J4420" s="12"/>
      <c r="K4420" s="13"/>
      <c r="L4420" s="11"/>
      <c r="M4420" s="13"/>
      <c r="N4420" s="11"/>
      <c r="O4420" s="13"/>
      <c r="P4420" s="11"/>
      <c r="Q4420" s="13"/>
      <c r="R4420" s="10"/>
      <c r="S4420" s="10"/>
    </row>
    <row r="4421" spans="1:19" x14ac:dyDescent="0.25">
      <c r="A4421" t="str">
        <f t="shared" si="70"/>
        <v/>
      </c>
      <c r="B4421" s="10"/>
      <c r="C4421" s="10"/>
      <c r="D4421" s="10"/>
      <c r="E4421" s="10"/>
      <c r="F4421" s="10"/>
      <c r="G4421" s="11"/>
      <c r="H4421" s="12"/>
      <c r="I4421" s="13"/>
      <c r="J4421" s="12"/>
      <c r="K4421" s="13"/>
      <c r="L4421" s="11"/>
      <c r="M4421" s="13"/>
      <c r="N4421" s="11"/>
      <c r="O4421" s="13"/>
      <c r="P4421" s="11"/>
      <c r="Q4421" s="13"/>
      <c r="R4421" s="10"/>
      <c r="S4421" s="10"/>
    </row>
    <row r="4422" spans="1:19" x14ac:dyDescent="0.25">
      <c r="A4422" t="str">
        <f t="shared" si="70"/>
        <v/>
      </c>
      <c r="B4422" s="10"/>
      <c r="C4422" s="10"/>
      <c r="D4422" s="10"/>
      <c r="E4422" s="10"/>
      <c r="F4422" s="10"/>
      <c r="G4422" s="11"/>
      <c r="H4422" s="12"/>
      <c r="I4422" s="13"/>
      <c r="J4422" s="12"/>
      <c r="K4422" s="13"/>
      <c r="L4422" s="11"/>
      <c r="M4422" s="13"/>
      <c r="N4422" s="11"/>
      <c r="O4422" s="13"/>
      <c r="P4422" s="11"/>
      <c r="Q4422" s="13"/>
      <c r="R4422" s="10"/>
      <c r="S4422" s="10"/>
    </row>
    <row r="4423" spans="1:19" x14ac:dyDescent="0.25">
      <c r="A4423" t="str">
        <f t="shared" si="70"/>
        <v/>
      </c>
      <c r="B4423" s="10"/>
      <c r="C4423" s="10"/>
      <c r="D4423" s="10"/>
      <c r="E4423" s="10"/>
      <c r="F4423" s="10"/>
      <c r="G4423" s="11"/>
      <c r="H4423" s="12"/>
      <c r="I4423" s="13"/>
      <c r="J4423" s="12"/>
      <c r="K4423" s="13"/>
      <c r="L4423" s="11"/>
      <c r="M4423" s="13"/>
      <c r="N4423" s="11"/>
      <c r="O4423" s="13"/>
      <c r="P4423" s="11"/>
      <c r="Q4423" s="13"/>
      <c r="R4423" s="10"/>
      <c r="S4423" s="10"/>
    </row>
    <row r="4424" spans="1:19" x14ac:dyDescent="0.25">
      <c r="A4424" t="str">
        <f t="shared" si="70"/>
        <v/>
      </c>
      <c r="B4424" s="10"/>
      <c r="C4424" s="10"/>
      <c r="D4424" s="10"/>
      <c r="E4424" s="10"/>
      <c r="F4424" s="10"/>
      <c r="G4424" s="11"/>
      <c r="H4424" s="12"/>
      <c r="I4424" s="13"/>
      <c r="J4424" s="12"/>
      <c r="K4424" s="13"/>
      <c r="L4424" s="11"/>
      <c r="M4424" s="13"/>
      <c r="N4424" s="11"/>
      <c r="O4424" s="13"/>
      <c r="P4424" s="11"/>
      <c r="Q4424" s="13"/>
      <c r="R4424" s="10"/>
      <c r="S4424" s="10"/>
    </row>
    <row r="4425" spans="1:19" x14ac:dyDescent="0.25">
      <c r="A4425" t="str">
        <f t="shared" si="70"/>
        <v/>
      </c>
      <c r="B4425" s="10"/>
      <c r="C4425" s="10"/>
      <c r="D4425" s="10"/>
      <c r="E4425" s="10"/>
      <c r="F4425" s="10"/>
      <c r="G4425" s="11"/>
      <c r="H4425" s="12"/>
      <c r="I4425" s="13"/>
      <c r="J4425" s="12"/>
      <c r="K4425" s="13"/>
      <c r="L4425" s="11"/>
      <c r="M4425" s="13"/>
      <c r="N4425" s="11"/>
      <c r="O4425" s="13"/>
      <c r="P4425" s="11"/>
      <c r="Q4425" s="13"/>
      <c r="R4425" s="10"/>
      <c r="S4425" s="10"/>
    </row>
    <row r="4426" spans="1:19" x14ac:dyDescent="0.25">
      <c r="A4426" t="str">
        <f t="shared" si="70"/>
        <v/>
      </c>
      <c r="B4426" s="10"/>
      <c r="C4426" s="10"/>
      <c r="D4426" s="10"/>
      <c r="E4426" s="10"/>
      <c r="F4426" s="10"/>
      <c r="G4426" s="11"/>
      <c r="H4426" s="12"/>
      <c r="I4426" s="13"/>
      <c r="J4426" s="12"/>
      <c r="K4426" s="13"/>
      <c r="L4426" s="11"/>
      <c r="M4426" s="13"/>
      <c r="N4426" s="11"/>
      <c r="O4426" s="13"/>
      <c r="P4426" s="11"/>
      <c r="Q4426" s="13"/>
      <c r="R4426" s="10"/>
      <c r="S4426" s="10"/>
    </row>
    <row r="4427" spans="1:19" x14ac:dyDescent="0.25">
      <c r="A4427" t="str">
        <f t="shared" si="70"/>
        <v/>
      </c>
      <c r="B4427" s="10"/>
      <c r="C4427" s="10"/>
      <c r="D4427" s="10"/>
      <c r="E4427" s="10"/>
      <c r="F4427" s="10"/>
      <c r="G4427" s="11"/>
      <c r="H4427" s="12"/>
      <c r="I4427" s="13"/>
      <c r="J4427" s="12"/>
      <c r="K4427" s="13"/>
      <c r="L4427" s="11"/>
      <c r="M4427" s="13"/>
      <c r="N4427" s="11"/>
      <c r="O4427" s="13"/>
      <c r="P4427" s="11"/>
      <c r="Q4427" s="13"/>
      <c r="R4427" s="10"/>
      <c r="S4427" s="10"/>
    </row>
    <row r="4428" spans="1:19" x14ac:dyDescent="0.25">
      <c r="A4428" t="str">
        <f t="shared" si="70"/>
        <v/>
      </c>
      <c r="B4428" s="10"/>
      <c r="C4428" s="10"/>
      <c r="D4428" s="10"/>
      <c r="E4428" s="10"/>
      <c r="F4428" s="10"/>
      <c r="G4428" s="11"/>
      <c r="H4428" s="12"/>
      <c r="I4428" s="13"/>
      <c r="J4428" s="12"/>
      <c r="K4428" s="13"/>
      <c r="L4428" s="11"/>
      <c r="M4428" s="13"/>
      <c r="N4428" s="11"/>
      <c r="O4428" s="13"/>
      <c r="P4428" s="11"/>
      <c r="Q4428" s="13"/>
      <c r="R4428" s="10"/>
      <c r="S4428" s="10"/>
    </row>
    <row r="4429" spans="1:19" x14ac:dyDescent="0.25">
      <c r="A4429" t="str">
        <f t="shared" si="70"/>
        <v/>
      </c>
      <c r="B4429" s="10"/>
      <c r="C4429" s="10"/>
      <c r="D4429" s="10"/>
      <c r="E4429" s="10"/>
      <c r="F4429" s="10"/>
      <c r="G4429" s="11"/>
      <c r="H4429" s="12"/>
      <c r="I4429" s="13"/>
      <c r="J4429" s="12"/>
      <c r="K4429" s="13"/>
      <c r="L4429" s="11"/>
      <c r="M4429" s="13"/>
      <c r="N4429" s="11"/>
      <c r="O4429" s="13"/>
      <c r="P4429" s="11"/>
      <c r="Q4429" s="13"/>
      <c r="R4429" s="10"/>
      <c r="S4429" s="10"/>
    </row>
    <row r="4430" spans="1:19" x14ac:dyDescent="0.25">
      <c r="A4430" t="str">
        <f t="shared" si="70"/>
        <v/>
      </c>
      <c r="B4430" s="10"/>
      <c r="C4430" s="10"/>
      <c r="D4430" s="10"/>
      <c r="E4430" s="10"/>
      <c r="F4430" s="10"/>
      <c r="G4430" s="11"/>
      <c r="H4430" s="12"/>
      <c r="I4430" s="13"/>
      <c r="J4430" s="12"/>
      <c r="K4430" s="13"/>
      <c r="L4430" s="11"/>
      <c r="M4430" s="13"/>
      <c r="N4430" s="11"/>
      <c r="O4430" s="13"/>
      <c r="P4430" s="11"/>
      <c r="Q4430" s="13"/>
      <c r="R4430" s="10"/>
      <c r="S4430" s="10"/>
    </row>
    <row r="4431" spans="1:19" x14ac:dyDescent="0.25">
      <c r="A4431" t="str">
        <f t="shared" si="70"/>
        <v/>
      </c>
      <c r="B4431" s="10"/>
      <c r="C4431" s="10"/>
      <c r="D4431" s="10"/>
      <c r="E4431" s="10"/>
      <c r="F4431" s="10"/>
      <c r="G4431" s="11"/>
      <c r="H4431" s="12"/>
      <c r="I4431" s="13"/>
      <c r="J4431" s="12"/>
      <c r="K4431" s="13"/>
      <c r="L4431" s="11"/>
      <c r="M4431" s="13"/>
      <c r="N4431" s="11"/>
      <c r="O4431" s="13"/>
      <c r="P4431" s="11"/>
      <c r="Q4431" s="13"/>
      <c r="R4431" s="10"/>
      <c r="S4431" s="10"/>
    </row>
    <row r="4432" spans="1:19" x14ac:dyDescent="0.25">
      <c r="A4432" t="str">
        <f t="shared" si="70"/>
        <v/>
      </c>
      <c r="B4432" s="10"/>
      <c r="C4432" s="10"/>
      <c r="D4432" s="10"/>
      <c r="E4432" s="10"/>
      <c r="F4432" s="10"/>
      <c r="G4432" s="11"/>
      <c r="H4432" s="12"/>
      <c r="I4432" s="13"/>
      <c r="J4432" s="12"/>
      <c r="K4432" s="13"/>
      <c r="L4432" s="11"/>
      <c r="M4432" s="13"/>
      <c r="N4432" s="11"/>
      <c r="O4432" s="13"/>
      <c r="P4432" s="11"/>
      <c r="Q4432" s="13"/>
      <c r="R4432" s="10"/>
      <c r="S4432" s="10"/>
    </row>
    <row r="4433" spans="1:19" x14ac:dyDescent="0.25">
      <c r="A4433" t="str">
        <f t="shared" si="70"/>
        <v/>
      </c>
      <c r="B4433" s="10"/>
      <c r="C4433" s="10"/>
      <c r="D4433" s="10"/>
      <c r="E4433" s="10"/>
      <c r="F4433" s="10"/>
      <c r="G4433" s="11"/>
      <c r="H4433" s="12"/>
      <c r="I4433" s="13"/>
      <c r="J4433" s="12"/>
      <c r="K4433" s="13"/>
      <c r="L4433" s="11"/>
      <c r="M4433" s="13"/>
      <c r="N4433" s="11"/>
      <c r="O4433" s="13"/>
      <c r="P4433" s="11"/>
      <c r="Q4433" s="13"/>
      <c r="R4433" s="10"/>
      <c r="S4433" s="10"/>
    </row>
    <row r="4434" spans="1:19" x14ac:dyDescent="0.25">
      <c r="A4434" t="str">
        <f t="shared" si="70"/>
        <v/>
      </c>
      <c r="B4434" s="10"/>
      <c r="C4434" s="10"/>
      <c r="D4434" s="10"/>
      <c r="E4434" s="10"/>
      <c r="F4434" s="10"/>
      <c r="G4434" s="11"/>
      <c r="H4434" s="12"/>
      <c r="I4434" s="13"/>
      <c r="J4434" s="12"/>
      <c r="K4434" s="13"/>
      <c r="L4434" s="11"/>
      <c r="M4434" s="13"/>
      <c r="N4434" s="11"/>
      <c r="O4434" s="13"/>
      <c r="P4434" s="11"/>
      <c r="Q4434" s="13"/>
      <c r="R4434" s="10"/>
      <c r="S4434" s="10"/>
    </row>
    <row r="4435" spans="1:19" x14ac:dyDescent="0.25">
      <c r="A4435" t="str">
        <f t="shared" si="70"/>
        <v/>
      </c>
      <c r="B4435" s="10"/>
      <c r="C4435" s="10"/>
      <c r="D4435" s="10"/>
      <c r="E4435" s="10"/>
      <c r="F4435" s="10"/>
      <c r="G4435" s="11"/>
      <c r="H4435" s="12"/>
      <c r="I4435" s="13"/>
      <c r="J4435" s="12"/>
      <c r="K4435" s="13"/>
      <c r="L4435" s="11"/>
      <c r="M4435" s="13"/>
      <c r="N4435" s="11"/>
      <c r="O4435" s="13"/>
      <c r="P4435" s="11"/>
      <c r="Q4435" s="13"/>
      <c r="R4435" s="10"/>
      <c r="S4435" s="10"/>
    </row>
    <row r="4436" spans="1:19" x14ac:dyDescent="0.25">
      <c r="A4436" t="str">
        <f t="shared" si="70"/>
        <v/>
      </c>
      <c r="B4436" s="10"/>
      <c r="C4436" s="10"/>
      <c r="D4436" s="10"/>
      <c r="E4436" s="10"/>
      <c r="F4436" s="10"/>
      <c r="G4436" s="11"/>
      <c r="H4436" s="12"/>
      <c r="I4436" s="13"/>
      <c r="J4436" s="12"/>
      <c r="K4436" s="13"/>
      <c r="L4436" s="11"/>
      <c r="M4436" s="13"/>
      <c r="N4436" s="11"/>
      <c r="O4436" s="13"/>
      <c r="P4436" s="11"/>
      <c r="Q4436" s="13"/>
      <c r="R4436" s="10"/>
      <c r="S4436" s="10"/>
    </row>
    <row r="4437" spans="1:19" x14ac:dyDescent="0.25">
      <c r="A4437" t="str">
        <f t="shared" si="70"/>
        <v/>
      </c>
      <c r="B4437" s="10"/>
      <c r="C4437" s="10"/>
      <c r="D4437" s="10"/>
      <c r="E4437" s="10"/>
      <c r="F4437" s="10"/>
      <c r="G4437" s="11"/>
      <c r="H4437" s="12"/>
      <c r="I4437" s="13"/>
      <c r="J4437" s="12"/>
      <c r="K4437" s="13"/>
      <c r="L4437" s="11"/>
      <c r="M4437" s="13"/>
      <c r="N4437" s="11"/>
      <c r="O4437" s="13"/>
      <c r="P4437" s="11"/>
      <c r="Q4437" s="13"/>
      <c r="R4437" s="10"/>
      <c r="S4437" s="10"/>
    </row>
    <row r="4438" spans="1:19" x14ac:dyDescent="0.25">
      <c r="A4438" t="str">
        <f t="shared" si="70"/>
        <v/>
      </c>
      <c r="B4438" s="10"/>
      <c r="C4438" s="10"/>
      <c r="D4438" s="10"/>
      <c r="E4438" s="10"/>
      <c r="F4438" s="10"/>
      <c r="G4438" s="11"/>
      <c r="H4438" s="12"/>
      <c r="I4438" s="13"/>
      <c r="J4438" s="12"/>
      <c r="K4438" s="13"/>
      <c r="L4438" s="11"/>
      <c r="M4438" s="13"/>
      <c r="N4438" s="11"/>
      <c r="O4438" s="13"/>
      <c r="P4438" s="11"/>
      <c r="Q4438" s="13"/>
      <c r="R4438" s="10"/>
      <c r="S4438" s="10"/>
    </row>
    <row r="4439" spans="1:19" x14ac:dyDescent="0.25">
      <c r="A4439" t="str">
        <f t="shared" si="70"/>
        <v/>
      </c>
      <c r="B4439" s="10"/>
      <c r="C4439" s="10"/>
      <c r="D4439" s="10"/>
      <c r="E4439" s="10"/>
      <c r="F4439" s="10"/>
      <c r="G4439" s="11"/>
      <c r="H4439" s="12"/>
      <c r="I4439" s="13"/>
      <c r="J4439" s="12"/>
      <c r="K4439" s="13"/>
      <c r="L4439" s="11"/>
      <c r="M4439" s="13"/>
      <c r="N4439" s="11"/>
      <c r="O4439" s="13"/>
      <c r="P4439" s="11"/>
      <c r="Q4439" s="13"/>
      <c r="R4439" s="10"/>
      <c r="S4439" s="10"/>
    </row>
    <row r="4440" spans="1:19" x14ac:dyDescent="0.25">
      <c r="A4440" t="str">
        <f t="shared" si="70"/>
        <v/>
      </c>
      <c r="B4440" s="10"/>
      <c r="C4440" s="10"/>
      <c r="D4440" s="10"/>
      <c r="E4440" s="10"/>
      <c r="F4440" s="10"/>
      <c r="G4440" s="11"/>
      <c r="H4440" s="12"/>
      <c r="I4440" s="13"/>
      <c r="J4440" s="12"/>
      <c r="K4440" s="13"/>
      <c r="L4440" s="11"/>
      <c r="M4440" s="13"/>
      <c r="N4440" s="11"/>
      <c r="O4440" s="13"/>
      <c r="P4440" s="11"/>
      <c r="Q4440" s="13"/>
      <c r="R4440" s="10"/>
      <c r="S4440" s="10"/>
    </row>
    <row r="4441" spans="1:19" x14ac:dyDescent="0.25">
      <c r="A4441" t="str">
        <f t="shared" si="70"/>
        <v/>
      </c>
      <c r="B4441" s="10"/>
      <c r="C4441" s="10"/>
      <c r="D4441" s="10"/>
      <c r="E4441" s="10"/>
      <c r="F4441" s="10"/>
      <c r="G4441" s="11"/>
      <c r="H4441" s="12"/>
      <c r="I4441" s="13"/>
      <c r="J4441" s="12"/>
      <c r="K4441" s="13"/>
      <c r="L4441" s="11"/>
      <c r="M4441" s="13"/>
      <c r="N4441" s="11"/>
      <c r="O4441" s="13"/>
      <c r="P4441" s="11"/>
      <c r="Q4441" s="13"/>
      <c r="R4441" s="10"/>
      <c r="S4441" s="10"/>
    </row>
    <row r="4442" spans="1:19" x14ac:dyDescent="0.25">
      <c r="A4442" t="str">
        <f t="shared" si="70"/>
        <v/>
      </c>
      <c r="B4442" s="10"/>
      <c r="C4442" s="10"/>
      <c r="D4442" s="10"/>
      <c r="E4442" s="10"/>
      <c r="F4442" s="10"/>
      <c r="G4442" s="11"/>
      <c r="H4442" s="12"/>
      <c r="I4442" s="13"/>
      <c r="J4442" s="12"/>
      <c r="K4442" s="13"/>
      <c r="L4442" s="11"/>
      <c r="M4442" s="13"/>
      <c r="N4442" s="11"/>
      <c r="O4442" s="13"/>
      <c r="P4442" s="11"/>
      <c r="Q4442" s="13"/>
      <c r="R4442" s="10"/>
      <c r="S4442" s="10"/>
    </row>
    <row r="4443" spans="1:19" x14ac:dyDescent="0.25">
      <c r="A4443" t="str">
        <f t="shared" si="70"/>
        <v/>
      </c>
      <c r="B4443" s="10"/>
      <c r="C4443" s="10"/>
      <c r="D4443" s="10"/>
      <c r="E4443" s="10"/>
      <c r="F4443" s="10"/>
      <c r="G4443" s="11"/>
      <c r="H4443" s="12"/>
      <c r="I4443" s="13"/>
      <c r="J4443" s="12"/>
      <c r="K4443" s="13"/>
      <c r="L4443" s="11"/>
      <c r="M4443" s="13"/>
      <c r="N4443" s="11"/>
      <c r="O4443" s="13"/>
      <c r="P4443" s="11"/>
      <c r="Q4443" s="13"/>
      <c r="R4443" s="10"/>
      <c r="S4443" s="10"/>
    </row>
    <row r="4444" spans="1:19" x14ac:dyDescent="0.25">
      <c r="A4444" t="str">
        <f t="shared" si="70"/>
        <v/>
      </c>
      <c r="B4444" s="10"/>
      <c r="C4444" s="10"/>
      <c r="D4444" s="10"/>
      <c r="E4444" s="10"/>
      <c r="F4444" s="10"/>
      <c r="G4444" s="11"/>
      <c r="H4444" s="12"/>
      <c r="I4444" s="13"/>
      <c r="J4444" s="12"/>
      <c r="K4444" s="13"/>
      <c r="L4444" s="11"/>
      <c r="M4444" s="13"/>
      <c r="N4444" s="11"/>
      <c r="O4444" s="13"/>
      <c r="P4444" s="11"/>
      <c r="Q4444" s="13"/>
      <c r="R4444" s="10"/>
      <c r="S4444" s="10"/>
    </row>
    <row r="4445" spans="1:19" x14ac:dyDescent="0.25">
      <c r="A4445" t="str">
        <f t="shared" si="70"/>
        <v/>
      </c>
      <c r="B4445" s="10"/>
      <c r="C4445" s="10"/>
      <c r="D4445" s="10"/>
      <c r="E4445" s="10"/>
      <c r="F4445" s="10"/>
      <c r="G4445" s="11"/>
      <c r="H4445" s="12"/>
      <c r="I4445" s="13"/>
      <c r="J4445" s="12"/>
      <c r="K4445" s="13"/>
      <c r="L4445" s="11"/>
      <c r="M4445" s="13"/>
      <c r="N4445" s="11"/>
      <c r="O4445" s="13"/>
      <c r="P4445" s="11"/>
      <c r="Q4445" s="13"/>
      <c r="R4445" s="10"/>
      <c r="S4445" s="10"/>
    </row>
    <row r="4446" spans="1:19" x14ac:dyDescent="0.25">
      <c r="A4446" t="str">
        <f t="shared" si="70"/>
        <v/>
      </c>
      <c r="B4446" s="10"/>
      <c r="C4446" s="10"/>
      <c r="D4446" s="10"/>
      <c r="E4446" s="10"/>
      <c r="F4446" s="10"/>
      <c r="G4446" s="11"/>
      <c r="H4446" s="12"/>
      <c r="I4446" s="13"/>
      <c r="J4446" s="12"/>
      <c r="K4446" s="13"/>
      <c r="L4446" s="11"/>
      <c r="M4446" s="13"/>
      <c r="N4446" s="11"/>
      <c r="O4446" s="13"/>
      <c r="P4446" s="11"/>
      <c r="Q4446" s="13"/>
      <c r="R4446" s="10"/>
      <c r="S4446" s="10"/>
    </row>
    <row r="4447" spans="1:19" x14ac:dyDescent="0.25">
      <c r="A4447" t="str">
        <f t="shared" si="70"/>
        <v/>
      </c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</row>
    <row r="4448" spans="1:19" x14ac:dyDescent="0.25">
      <c r="A4448" t="str">
        <f t="shared" si="70"/>
        <v/>
      </c>
      <c r="B4448" s="10"/>
      <c r="C4448" s="10"/>
      <c r="D4448" s="10"/>
      <c r="E4448" s="10"/>
      <c r="F4448" s="10"/>
      <c r="G4448" s="11"/>
      <c r="H4448" s="12"/>
      <c r="I4448" s="13"/>
      <c r="J4448" s="12"/>
      <c r="K4448" s="13"/>
      <c r="L4448" s="11"/>
      <c r="M4448" s="13"/>
      <c r="N4448" s="11"/>
      <c r="O4448" s="13"/>
      <c r="P4448" s="11"/>
      <c r="Q4448" s="13"/>
      <c r="R4448" s="10"/>
      <c r="S4448" s="10"/>
    </row>
    <row r="4449" spans="1:19" x14ac:dyDescent="0.25">
      <c r="A4449" t="str">
        <f t="shared" si="70"/>
        <v/>
      </c>
      <c r="B4449" s="10"/>
      <c r="C4449" s="10"/>
      <c r="D4449" s="10"/>
      <c r="E4449" s="10"/>
      <c r="F4449" s="10"/>
      <c r="G4449" s="11"/>
      <c r="H4449" s="12"/>
      <c r="I4449" s="13"/>
      <c r="J4449" s="12"/>
      <c r="K4449" s="13"/>
      <c r="L4449" s="11"/>
      <c r="M4449" s="13"/>
      <c r="N4449" s="11"/>
      <c r="O4449" s="13"/>
      <c r="P4449" s="11"/>
      <c r="Q4449" s="13"/>
      <c r="R4449" s="10"/>
      <c r="S4449" s="10"/>
    </row>
    <row r="4450" spans="1:19" x14ac:dyDescent="0.25">
      <c r="A4450" t="str">
        <f t="shared" si="70"/>
        <v/>
      </c>
      <c r="B4450" s="10"/>
      <c r="C4450" s="10"/>
      <c r="D4450" s="10"/>
      <c r="E4450" s="10"/>
      <c r="F4450" s="10"/>
      <c r="G4450" s="11"/>
      <c r="H4450" s="12"/>
      <c r="I4450" s="13"/>
      <c r="J4450" s="12"/>
      <c r="K4450" s="13"/>
      <c r="L4450" s="11"/>
      <c r="M4450" s="13"/>
      <c r="N4450" s="11"/>
      <c r="O4450" s="13"/>
      <c r="P4450" s="11"/>
      <c r="Q4450" s="13"/>
      <c r="R4450" s="10"/>
      <c r="S4450" s="10"/>
    </row>
    <row r="4451" spans="1:19" x14ac:dyDescent="0.25">
      <c r="A4451" t="str">
        <f t="shared" si="70"/>
        <v/>
      </c>
      <c r="B4451" s="10"/>
      <c r="C4451" s="10"/>
      <c r="D4451" s="10"/>
      <c r="E4451" s="10"/>
      <c r="F4451" s="10"/>
      <c r="G4451" s="11"/>
      <c r="H4451" s="12"/>
      <c r="I4451" s="13"/>
      <c r="J4451" s="12"/>
      <c r="K4451" s="13"/>
      <c r="L4451" s="11"/>
      <c r="M4451" s="13"/>
      <c r="N4451" s="11"/>
      <c r="O4451" s="13"/>
      <c r="P4451" s="11"/>
      <c r="Q4451" s="13"/>
      <c r="R4451" s="10"/>
      <c r="S4451" s="10"/>
    </row>
    <row r="4452" spans="1:19" x14ac:dyDescent="0.25">
      <c r="A4452" t="str">
        <f t="shared" si="70"/>
        <v/>
      </c>
      <c r="B4452" s="10"/>
      <c r="C4452" s="10"/>
      <c r="D4452" s="10"/>
      <c r="E4452" s="10"/>
      <c r="F4452" s="10"/>
      <c r="G4452" s="11"/>
      <c r="H4452" s="12"/>
      <c r="I4452" s="13"/>
      <c r="J4452" s="12"/>
      <c r="K4452" s="13"/>
      <c r="L4452" s="11"/>
      <c r="M4452" s="13"/>
      <c r="N4452" s="11"/>
      <c r="O4452" s="13"/>
      <c r="P4452" s="11"/>
      <c r="Q4452" s="13"/>
      <c r="R4452" s="10"/>
      <c r="S4452" s="10"/>
    </row>
    <row r="4453" spans="1:19" x14ac:dyDescent="0.25">
      <c r="A4453" t="str">
        <f t="shared" si="70"/>
        <v/>
      </c>
      <c r="B4453" s="10"/>
      <c r="C4453" s="10"/>
      <c r="D4453" s="10"/>
      <c r="E4453" s="10"/>
      <c r="F4453" s="10"/>
      <c r="G4453" s="11"/>
      <c r="H4453" s="12"/>
      <c r="I4453" s="13"/>
      <c r="J4453" s="12"/>
      <c r="K4453" s="13"/>
      <c r="L4453" s="11"/>
      <c r="M4453" s="13"/>
      <c r="N4453" s="11"/>
      <c r="O4453" s="13"/>
      <c r="P4453" s="11"/>
      <c r="Q4453" s="13"/>
      <c r="R4453" s="10"/>
      <c r="S4453" s="10"/>
    </row>
    <row r="4454" spans="1:19" x14ac:dyDescent="0.25">
      <c r="A4454" t="str">
        <f t="shared" si="70"/>
        <v/>
      </c>
      <c r="B4454" s="10"/>
      <c r="C4454" s="10"/>
      <c r="D4454" s="10"/>
      <c r="E4454" s="10"/>
      <c r="F4454" s="10"/>
      <c r="G4454" s="11"/>
      <c r="H4454" s="12"/>
      <c r="I4454" s="13"/>
      <c r="J4454" s="12"/>
      <c r="K4454" s="13"/>
      <c r="L4454" s="11"/>
      <c r="M4454" s="13"/>
      <c r="N4454" s="11"/>
      <c r="O4454" s="13"/>
      <c r="P4454" s="11"/>
      <c r="Q4454" s="13"/>
      <c r="R4454" s="10"/>
      <c r="S4454" s="10"/>
    </row>
    <row r="4455" spans="1:19" x14ac:dyDescent="0.25">
      <c r="A4455" t="str">
        <f t="shared" si="70"/>
        <v/>
      </c>
      <c r="B4455" s="10"/>
      <c r="C4455" s="10"/>
      <c r="D4455" s="10"/>
      <c r="E4455" s="10"/>
      <c r="F4455" s="10"/>
      <c r="G4455" s="11"/>
      <c r="H4455" s="12"/>
      <c r="I4455" s="13"/>
      <c r="J4455" s="12"/>
      <c r="K4455" s="13"/>
      <c r="L4455" s="11"/>
      <c r="M4455" s="13"/>
      <c r="N4455" s="11"/>
      <c r="O4455" s="13"/>
      <c r="P4455" s="11"/>
      <c r="Q4455" s="13"/>
      <c r="R4455" s="10"/>
      <c r="S4455" s="10"/>
    </row>
    <row r="4456" spans="1:19" x14ac:dyDescent="0.25">
      <c r="A4456" t="str">
        <f t="shared" si="70"/>
        <v/>
      </c>
      <c r="B4456" s="10"/>
      <c r="C4456" s="10"/>
      <c r="D4456" s="10"/>
      <c r="E4456" s="10"/>
      <c r="F4456" s="10"/>
      <c r="G4456" s="11"/>
      <c r="H4456" s="12"/>
      <c r="I4456" s="13"/>
      <c r="J4456" s="12"/>
      <c r="K4456" s="13"/>
      <c r="L4456" s="11"/>
      <c r="M4456" s="13"/>
      <c r="N4456" s="11"/>
      <c r="O4456" s="13"/>
      <c r="P4456" s="11"/>
      <c r="Q4456" s="13"/>
      <c r="R4456" s="10"/>
      <c r="S4456" s="10"/>
    </row>
    <row r="4457" spans="1:19" x14ac:dyDescent="0.25">
      <c r="A4457" t="str">
        <f t="shared" si="70"/>
        <v/>
      </c>
      <c r="B4457" s="10"/>
      <c r="C4457" s="10"/>
      <c r="D4457" s="10"/>
      <c r="E4457" s="10"/>
      <c r="F4457" s="10"/>
      <c r="G4457" s="11"/>
      <c r="H4457" s="12"/>
      <c r="I4457" s="13"/>
      <c r="J4457" s="12"/>
      <c r="K4457" s="13"/>
      <c r="L4457" s="11"/>
      <c r="M4457" s="13"/>
      <c r="N4457" s="11"/>
      <c r="O4457" s="13"/>
      <c r="P4457" s="11"/>
      <c r="Q4457" s="13"/>
      <c r="R4457" s="10"/>
      <c r="S4457" s="10"/>
    </row>
    <row r="4458" spans="1:19" x14ac:dyDescent="0.25">
      <c r="A4458" t="str">
        <f t="shared" si="70"/>
        <v/>
      </c>
      <c r="B4458" s="10"/>
      <c r="C4458" s="10"/>
      <c r="D4458" s="10"/>
      <c r="E4458" s="10"/>
      <c r="F4458" s="10"/>
      <c r="G4458" s="11"/>
      <c r="H4458" s="12"/>
      <c r="I4458" s="13"/>
      <c r="J4458" s="12"/>
      <c r="K4458" s="13"/>
      <c r="L4458" s="11"/>
      <c r="M4458" s="13"/>
      <c r="N4458" s="11"/>
      <c r="O4458" s="13"/>
      <c r="P4458" s="11"/>
      <c r="Q4458" s="13"/>
      <c r="R4458" s="10"/>
      <c r="S4458" s="10"/>
    </row>
    <row r="4459" spans="1:19" x14ac:dyDescent="0.25">
      <c r="A4459" t="str">
        <f t="shared" si="70"/>
        <v/>
      </c>
      <c r="B4459" s="10"/>
      <c r="C4459" s="10"/>
      <c r="D4459" s="10"/>
      <c r="E4459" s="10"/>
      <c r="F4459" s="10"/>
      <c r="G4459" s="11"/>
      <c r="H4459" s="12"/>
      <c r="I4459" s="13"/>
      <c r="J4459" s="12"/>
      <c r="K4459" s="13"/>
      <c r="L4459" s="11"/>
      <c r="M4459" s="13"/>
      <c r="N4459" s="11"/>
      <c r="O4459" s="13"/>
      <c r="P4459" s="11"/>
      <c r="Q4459" s="13"/>
      <c r="R4459" s="10"/>
      <c r="S4459" s="10"/>
    </row>
    <row r="4460" spans="1:19" x14ac:dyDescent="0.25">
      <c r="A4460" t="str">
        <f t="shared" si="70"/>
        <v/>
      </c>
      <c r="B4460" s="10"/>
      <c r="C4460" s="10"/>
      <c r="D4460" s="10"/>
      <c r="E4460" s="10"/>
      <c r="F4460" s="10"/>
      <c r="G4460" s="11"/>
      <c r="H4460" s="12"/>
      <c r="I4460" s="13"/>
      <c r="J4460" s="12"/>
      <c r="K4460" s="13"/>
      <c r="L4460" s="11"/>
      <c r="M4460" s="13"/>
      <c r="N4460" s="11"/>
      <c r="O4460" s="13"/>
      <c r="P4460" s="11"/>
      <c r="Q4460" s="13"/>
      <c r="R4460" s="10"/>
      <c r="S4460" s="10"/>
    </row>
    <row r="4461" spans="1:19" x14ac:dyDescent="0.25">
      <c r="A4461" t="str">
        <f t="shared" si="70"/>
        <v/>
      </c>
      <c r="B4461" s="10"/>
      <c r="C4461" s="10"/>
      <c r="D4461" s="10"/>
      <c r="E4461" s="10"/>
      <c r="F4461" s="10"/>
      <c r="G4461" s="11"/>
      <c r="H4461" s="12"/>
      <c r="I4461" s="13"/>
      <c r="J4461" s="12"/>
      <c r="K4461" s="13"/>
      <c r="L4461" s="11"/>
      <c r="M4461" s="13"/>
      <c r="N4461" s="11"/>
      <c r="O4461" s="13"/>
      <c r="P4461" s="11"/>
      <c r="Q4461" s="13"/>
      <c r="R4461" s="10"/>
      <c r="S4461" s="10"/>
    </row>
    <row r="4462" spans="1:19" x14ac:dyDescent="0.25">
      <c r="A4462" t="str">
        <f t="shared" si="70"/>
        <v/>
      </c>
      <c r="B4462" s="10"/>
      <c r="C4462" s="10"/>
      <c r="D4462" s="10"/>
      <c r="E4462" s="10"/>
      <c r="F4462" s="10"/>
      <c r="G4462" s="11"/>
      <c r="H4462" s="12"/>
      <c r="I4462" s="13"/>
      <c r="J4462" s="12"/>
      <c r="K4462" s="13"/>
      <c r="L4462" s="11"/>
      <c r="M4462" s="13"/>
      <c r="N4462" s="11"/>
      <c r="O4462" s="13"/>
      <c r="P4462" s="11"/>
      <c r="Q4462" s="13"/>
      <c r="R4462" s="10"/>
      <c r="S4462" s="10"/>
    </row>
    <row r="4463" spans="1:19" x14ac:dyDescent="0.25">
      <c r="A4463" t="str">
        <f t="shared" si="70"/>
        <v/>
      </c>
      <c r="B4463" s="10"/>
      <c r="C4463" s="10"/>
      <c r="D4463" s="10"/>
      <c r="E4463" s="10"/>
      <c r="F4463" s="10"/>
      <c r="G4463" s="11"/>
      <c r="H4463" s="12"/>
      <c r="I4463" s="13"/>
      <c r="J4463" s="12"/>
      <c r="K4463" s="13"/>
      <c r="L4463" s="11"/>
      <c r="M4463" s="13"/>
      <c r="N4463" s="11"/>
      <c r="O4463" s="13"/>
      <c r="P4463" s="11"/>
      <c r="Q4463" s="13"/>
      <c r="R4463" s="10"/>
      <c r="S4463" s="10"/>
    </row>
    <row r="4464" spans="1:19" x14ac:dyDescent="0.25">
      <c r="A4464" t="str">
        <f t="shared" si="70"/>
        <v/>
      </c>
      <c r="B4464" s="10"/>
      <c r="C4464" s="10"/>
      <c r="D4464" s="10"/>
      <c r="E4464" s="10"/>
      <c r="F4464" s="10"/>
      <c r="G4464" s="11"/>
      <c r="H4464" s="12"/>
      <c r="I4464" s="13"/>
      <c r="J4464" s="12"/>
      <c r="K4464" s="13"/>
      <c r="L4464" s="11"/>
      <c r="M4464" s="13"/>
      <c r="N4464" s="11"/>
      <c r="O4464" s="13"/>
      <c r="P4464" s="11"/>
      <c r="Q4464" s="13"/>
      <c r="R4464" s="10"/>
      <c r="S4464" s="10"/>
    </row>
    <row r="4465" spans="1:1" x14ac:dyDescent="0.25">
      <c r="A4465" t="str">
        <f t="shared" si="70"/>
        <v/>
      </c>
    </row>
    <row r="4466" spans="1:1" x14ac:dyDescent="0.25">
      <c r="A4466" t="str">
        <f t="shared" si="70"/>
        <v/>
      </c>
    </row>
    <row r="4467" spans="1:1" x14ac:dyDescent="0.25">
      <c r="A4467" t="str">
        <f t="shared" si="70"/>
        <v/>
      </c>
    </row>
    <row r="4468" spans="1:1" x14ac:dyDescent="0.25">
      <c r="A4468" t="str">
        <f t="shared" si="70"/>
        <v/>
      </c>
    </row>
    <row r="4469" spans="1:1" x14ac:dyDescent="0.25">
      <c r="A4469" t="str">
        <f t="shared" ref="A4469:A4532" si="71">B4467&amp;D4467</f>
        <v/>
      </c>
    </row>
    <row r="4470" spans="1:1" x14ac:dyDescent="0.25">
      <c r="A4470" t="str">
        <f t="shared" si="71"/>
        <v/>
      </c>
    </row>
    <row r="4471" spans="1:1" x14ac:dyDescent="0.25">
      <c r="A4471" t="str">
        <f t="shared" si="71"/>
        <v/>
      </c>
    </row>
    <row r="4472" spans="1:1" x14ac:dyDescent="0.25">
      <c r="A4472" t="str">
        <f t="shared" si="71"/>
        <v/>
      </c>
    </row>
    <row r="4473" spans="1:1" x14ac:dyDescent="0.25">
      <c r="A4473" t="str">
        <f t="shared" si="71"/>
        <v/>
      </c>
    </row>
    <row r="4474" spans="1:1" x14ac:dyDescent="0.25">
      <c r="A4474" t="str">
        <f t="shared" si="71"/>
        <v/>
      </c>
    </row>
    <row r="4475" spans="1:1" x14ac:dyDescent="0.25">
      <c r="A4475" t="str">
        <f t="shared" si="71"/>
        <v/>
      </c>
    </row>
    <row r="4476" spans="1:1" x14ac:dyDescent="0.25">
      <c r="A4476" t="str">
        <f t="shared" si="71"/>
        <v/>
      </c>
    </row>
    <row r="4477" spans="1:1" x14ac:dyDescent="0.25">
      <c r="A4477" t="str">
        <f t="shared" si="71"/>
        <v/>
      </c>
    </row>
    <row r="4478" spans="1:1" x14ac:dyDescent="0.25">
      <c r="A4478" t="str">
        <f t="shared" si="71"/>
        <v/>
      </c>
    </row>
    <row r="4479" spans="1:1" x14ac:dyDescent="0.25">
      <c r="A4479" t="str">
        <f t="shared" si="71"/>
        <v/>
      </c>
    </row>
    <row r="4480" spans="1:1" x14ac:dyDescent="0.25">
      <c r="A4480" t="str">
        <f t="shared" si="71"/>
        <v/>
      </c>
    </row>
    <row r="4481" spans="1:1" x14ac:dyDescent="0.25">
      <c r="A4481" t="str">
        <f t="shared" si="71"/>
        <v/>
      </c>
    </row>
    <row r="4482" spans="1:1" x14ac:dyDescent="0.25">
      <c r="A4482" t="str">
        <f t="shared" si="71"/>
        <v/>
      </c>
    </row>
    <row r="4483" spans="1:1" x14ac:dyDescent="0.25">
      <c r="A4483" t="str">
        <f t="shared" si="71"/>
        <v/>
      </c>
    </row>
    <row r="4484" spans="1:1" x14ac:dyDescent="0.25">
      <c r="A4484" t="str">
        <f t="shared" si="71"/>
        <v/>
      </c>
    </row>
    <row r="4485" spans="1:1" x14ac:dyDescent="0.25">
      <c r="A4485" t="str">
        <f t="shared" si="71"/>
        <v/>
      </c>
    </row>
    <row r="4486" spans="1:1" x14ac:dyDescent="0.25">
      <c r="A4486" t="str">
        <f t="shared" si="71"/>
        <v/>
      </c>
    </row>
    <row r="4487" spans="1:1" x14ac:dyDescent="0.25">
      <c r="A4487" t="str">
        <f t="shared" si="71"/>
        <v/>
      </c>
    </row>
    <row r="4488" spans="1:1" x14ac:dyDescent="0.25">
      <c r="A4488" t="str">
        <f t="shared" si="71"/>
        <v/>
      </c>
    </row>
    <row r="4489" spans="1:1" x14ac:dyDescent="0.25">
      <c r="A4489" t="str">
        <f t="shared" si="71"/>
        <v/>
      </c>
    </row>
    <row r="4490" spans="1:1" x14ac:dyDescent="0.25">
      <c r="A4490" t="str">
        <f t="shared" si="71"/>
        <v/>
      </c>
    </row>
    <row r="4491" spans="1:1" x14ac:dyDescent="0.25">
      <c r="A4491" t="str">
        <f t="shared" si="71"/>
        <v/>
      </c>
    </row>
    <row r="4492" spans="1:1" x14ac:dyDescent="0.25">
      <c r="A4492" t="str">
        <f t="shared" si="71"/>
        <v/>
      </c>
    </row>
    <row r="4493" spans="1:1" x14ac:dyDescent="0.25">
      <c r="A4493" t="str">
        <f t="shared" si="71"/>
        <v/>
      </c>
    </row>
    <row r="4494" spans="1:1" x14ac:dyDescent="0.25">
      <c r="A4494" t="str">
        <f t="shared" si="71"/>
        <v/>
      </c>
    </row>
    <row r="4495" spans="1:1" x14ac:dyDescent="0.25">
      <c r="A4495" t="str">
        <f t="shared" si="71"/>
        <v/>
      </c>
    </row>
    <row r="4496" spans="1:1" x14ac:dyDescent="0.25">
      <c r="A4496" t="str">
        <f t="shared" si="71"/>
        <v/>
      </c>
    </row>
    <row r="4497" spans="1:1" x14ac:dyDescent="0.25">
      <c r="A4497" t="str">
        <f t="shared" si="71"/>
        <v/>
      </c>
    </row>
    <row r="4498" spans="1:1" x14ac:dyDescent="0.25">
      <c r="A4498" t="str">
        <f t="shared" si="71"/>
        <v/>
      </c>
    </row>
    <row r="4499" spans="1:1" x14ac:dyDescent="0.25">
      <c r="A4499" t="str">
        <f t="shared" si="71"/>
        <v/>
      </c>
    </row>
    <row r="4500" spans="1:1" x14ac:dyDescent="0.25">
      <c r="A4500" t="str">
        <f t="shared" si="71"/>
        <v/>
      </c>
    </row>
    <row r="4501" spans="1:1" x14ac:dyDescent="0.25">
      <c r="A4501" t="str">
        <f t="shared" si="71"/>
        <v/>
      </c>
    </row>
    <row r="4502" spans="1:1" x14ac:dyDescent="0.25">
      <c r="A4502" t="str">
        <f t="shared" si="71"/>
        <v/>
      </c>
    </row>
    <row r="4503" spans="1:1" x14ac:dyDescent="0.25">
      <c r="A4503" t="str">
        <f t="shared" si="71"/>
        <v/>
      </c>
    </row>
    <row r="4504" spans="1:1" x14ac:dyDescent="0.25">
      <c r="A4504" t="str">
        <f t="shared" si="71"/>
        <v/>
      </c>
    </row>
    <row r="4505" spans="1:1" x14ac:dyDescent="0.25">
      <c r="A4505" t="str">
        <f t="shared" si="71"/>
        <v/>
      </c>
    </row>
    <row r="4506" spans="1:1" x14ac:dyDescent="0.25">
      <c r="A4506" t="str">
        <f t="shared" si="71"/>
        <v/>
      </c>
    </row>
    <row r="4507" spans="1:1" x14ac:dyDescent="0.25">
      <c r="A4507" t="str">
        <f t="shared" si="71"/>
        <v/>
      </c>
    </row>
    <row r="4508" spans="1:1" x14ac:dyDescent="0.25">
      <c r="A4508" t="str">
        <f t="shared" si="71"/>
        <v/>
      </c>
    </row>
    <row r="4509" spans="1:1" x14ac:dyDescent="0.25">
      <c r="A4509" t="str">
        <f t="shared" si="71"/>
        <v/>
      </c>
    </row>
    <row r="4510" spans="1:1" x14ac:dyDescent="0.25">
      <c r="A4510" t="str">
        <f t="shared" si="71"/>
        <v/>
      </c>
    </row>
    <row r="4511" spans="1:1" x14ac:dyDescent="0.25">
      <c r="A4511" t="str">
        <f t="shared" si="71"/>
        <v/>
      </c>
    </row>
    <row r="4512" spans="1:1" x14ac:dyDescent="0.25">
      <c r="A4512" t="str">
        <f t="shared" si="71"/>
        <v/>
      </c>
    </row>
    <row r="4513" spans="1:1" x14ac:dyDescent="0.25">
      <c r="A4513" t="str">
        <f t="shared" si="71"/>
        <v/>
      </c>
    </row>
    <row r="4514" spans="1:1" x14ac:dyDescent="0.25">
      <c r="A4514" t="str">
        <f t="shared" si="71"/>
        <v/>
      </c>
    </row>
    <row r="4515" spans="1:1" x14ac:dyDescent="0.25">
      <c r="A4515" t="str">
        <f t="shared" si="71"/>
        <v/>
      </c>
    </row>
    <row r="4516" spans="1:1" x14ac:dyDescent="0.25">
      <c r="A4516" t="str">
        <f t="shared" si="71"/>
        <v/>
      </c>
    </row>
    <row r="4517" spans="1:1" x14ac:dyDescent="0.25">
      <c r="A4517" t="str">
        <f t="shared" si="71"/>
        <v/>
      </c>
    </row>
    <row r="4518" spans="1:1" x14ac:dyDescent="0.25">
      <c r="A4518" t="str">
        <f t="shared" si="71"/>
        <v/>
      </c>
    </row>
    <row r="4519" spans="1:1" x14ac:dyDescent="0.25">
      <c r="A4519" t="str">
        <f t="shared" si="71"/>
        <v/>
      </c>
    </row>
    <row r="4520" spans="1:1" x14ac:dyDescent="0.25">
      <c r="A4520" t="str">
        <f t="shared" si="71"/>
        <v/>
      </c>
    </row>
    <row r="4521" spans="1:1" x14ac:dyDescent="0.25">
      <c r="A4521" t="str">
        <f t="shared" si="71"/>
        <v/>
      </c>
    </row>
    <row r="4522" spans="1:1" x14ac:dyDescent="0.25">
      <c r="A4522" t="str">
        <f t="shared" si="71"/>
        <v/>
      </c>
    </row>
    <row r="4523" spans="1:1" x14ac:dyDescent="0.25">
      <c r="A4523" t="str">
        <f t="shared" si="71"/>
        <v/>
      </c>
    </row>
    <row r="4524" spans="1:1" x14ac:dyDescent="0.25">
      <c r="A4524" t="str">
        <f t="shared" si="71"/>
        <v/>
      </c>
    </row>
    <row r="4525" spans="1:1" x14ac:dyDescent="0.25">
      <c r="A4525" t="str">
        <f t="shared" si="71"/>
        <v/>
      </c>
    </row>
    <row r="4526" spans="1:1" x14ac:dyDescent="0.25">
      <c r="A4526" t="str">
        <f t="shared" si="71"/>
        <v/>
      </c>
    </row>
    <row r="4527" spans="1:1" x14ac:dyDescent="0.25">
      <c r="A4527" t="str">
        <f t="shared" si="71"/>
        <v/>
      </c>
    </row>
    <row r="4528" spans="1:1" x14ac:dyDescent="0.25">
      <c r="A4528" t="str">
        <f t="shared" si="71"/>
        <v/>
      </c>
    </row>
    <row r="4529" spans="1:1" x14ac:dyDescent="0.25">
      <c r="A4529" t="str">
        <f t="shared" si="71"/>
        <v/>
      </c>
    </row>
    <row r="4530" spans="1:1" x14ac:dyDescent="0.25">
      <c r="A4530" t="str">
        <f t="shared" si="71"/>
        <v/>
      </c>
    </row>
    <row r="4531" spans="1:1" x14ac:dyDescent="0.25">
      <c r="A4531" t="str">
        <f t="shared" si="71"/>
        <v/>
      </c>
    </row>
    <row r="4532" spans="1:1" x14ac:dyDescent="0.25">
      <c r="A4532" t="str">
        <f t="shared" si="71"/>
        <v/>
      </c>
    </row>
    <row r="4533" spans="1:1" x14ac:dyDescent="0.25">
      <c r="A4533" t="str">
        <f t="shared" ref="A4533:A4596" si="72">B4531&amp;D4531</f>
        <v/>
      </c>
    </row>
    <row r="4534" spans="1:1" x14ac:dyDescent="0.25">
      <c r="A4534" t="str">
        <f t="shared" si="72"/>
        <v/>
      </c>
    </row>
    <row r="4535" spans="1:1" x14ac:dyDescent="0.25">
      <c r="A4535" t="str">
        <f t="shared" si="72"/>
        <v/>
      </c>
    </row>
    <row r="4536" spans="1:1" x14ac:dyDescent="0.25">
      <c r="A4536" t="str">
        <f t="shared" si="72"/>
        <v/>
      </c>
    </row>
    <row r="4537" spans="1:1" x14ac:dyDescent="0.25">
      <c r="A4537" t="str">
        <f t="shared" si="72"/>
        <v/>
      </c>
    </row>
    <row r="4538" spans="1:1" x14ac:dyDescent="0.25">
      <c r="A4538" t="str">
        <f t="shared" si="72"/>
        <v/>
      </c>
    </row>
    <row r="4539" spans="1:1" x14ac:dyDescent="0.25">
      <c r="A4539" t="str">
        <f t="shared" si="72"/>
        <v/>
      </c>
    </row>
    <row r="4540" spans="1:1" x14ac:dyDescent="0.25">
      <c r="A4540" t="str">
        <f t="shared" si="72"/>
        <v/>
      </c>
    </row>
    <row r="4541" spans="1:1" x14ac:dyDescent="0.25">
      <c r="A4541" t="str">
        <f t="shared" si="72"/>
        <v/>
      </c>
    </row>
    <row r="4542" spans="1:1" x14ac:dyDescent="0.25">
      <c r="A4542" t="str">
        <f t="shared" si="72"/>
        <v/>
      </c>
    </row>
    <row r="4543" spans="1:1" x14ac:dyDescent="0.25">
      <c r="A4543" t="str">
        <f t="shared" si="72"/>
        <v/>
      </c>
    </row>
    <row r="4544" spans="1:1" x14ac:dyDescent="0.25">
      <c r="A4544" t="str">
        <f t="shared" si="72"/>
        <v/>
      </c>
    </row>
    <row r="4545" spans="1:1" x14ac:dyDescent="0.25">
      <c r="A4545" t="str">
        <f t="shared" si="72"/>
        <v/>
      </c>
    </row>
    <row r="4546" spans="1:1" x14ac:dyDescent="0.25">
      <c r="A4546" t="str">
        <f t="shared" si="72"/>
        <v/>
      </c>
    </row>
    <row r="4547" spans="1:1" x14ac:dyDescent="0.25">
      <c r="A4547" t="str">
        <f t="shared" si="72"/>
        <v/>
      </c>
    </row>
    <row r="4548" spans="1:1" x14ac:dyDescent="0.25">
      <c r="A4548" t="str">
        <f t="shared" si="72"/>
        <v/>
      </c>
    </row>
    <row r="4549" spans="1:1" x14ac:dyDescent="0.25">
      <c r="A4549" t="str">
        <f t="shared" si="72"/>
        <v/>
      </c>
    </row>
    <row r="4550" spans="1:1" x14ac:dyDescent="0.25">
      <c r="A4550" t="str">
        <f t="shared" si="72"/>
        <v/>
      </c>
    </row>
    <row r="4551" spans="1:1" x14ac:dyDescent="0.25">
      <c r="A4551" t="str">
        <f t="shared" si="72"/>
        <v/>
      </c>
    </row>
    <row r="4552" spans="1:1" x14ac:dyDescent="0.25">
      <c r="A4552" t="str">
        <f t="shared" si="72"/>
        <v/>
      </c>
    </row>
    <row r="4553" spans="1:1" x14ac:dyDescent="0.25">
      <c r="A4553" t="str">
        <f t="shared" si="72"/>
        <v/>
      </c>
    </row>
    <row r="4554" spans="1:1" x14ac:dyDescent="0.25">
      <c r="A4554" t="str">
        <f t="shared" si="72"/>
        <v/>
      </c>
    </row>
    <row r="4555" spans="1:1" x14ac:dyDescent="0.25">
      <c r="A4555" t="str">
        <f t="shared" si="72"/>
        <v/>
      </c>
    </row>
    <row r="4556" spans="1:1" x14ac:dyDescent="0.25">
      <c r="A4556" t="str">
        <f t="shared" si="72"/>
        <v/>
      </c>
    </row>
    <row r="4557" spans="1:1" x14ac:dyDescent="0.25">
      <c r="A4557" t="str">
        <f t="shared" si="72"/>
        <v/>
      </c>
    </row>
    <row r="4558" spans="1:1" x14ac:dyDescent="0.25">
      <c r="A4558" t="str">
        <f t="shared" si="72"/>
        <v/>
      </c>
    </row>
    <row r="4559" spans="1:1" x14ac:dyDescent="0.25">
      <c r="A4559" t="str">
        <f t="shared" si="72"/>
        <v/>
      </c>
    </row>
    <row r="4560" spans="1:1" x14ac:dyDescent="0.25">
      <c r="A4560" t="str">
        <f t="shared" si="72"/>
        <v/>
      </c>
    </row>
    <row r="4561" spans="1:1" x14ac:dyDescent="0.25">
      <c r="A4561" t="str">
        <f t="shared" si="72"/>
        <v/>
      </c>
    </row>
    <row r="4562" spans="1:1" x14ac:dyDescent="0.25">
      <c r="A4562" t="str">
        <f t="shared" si="72"/>
        <v/>
      </c>
    </row>
    <row r="4563" spans="1:1" x14ac:dyDescent="0.25">
      <c r="A4563" t="str">
        <f t="shared" si="72"/>
        <v/>
      </c>
    </row>
    <row r="4564" spans="1:1" x14ac:dyDescent="0.25">
      <c r="A4564" t="str">
        <f t="shared" si="72"/>
        <v/>
      </c>
    </row>
    <row r="4565" spans="1:1" x14ac:dyDescent="0.25">
      <c r="A4565" t="str">
        <f t="shared" si="72"/>
        <v/>
      </c>
    </row>
    <row r="4566" spans="1:1" x14ac:dyDescent="0.25">
      <c r="A4566" t="str">
        <f t="shared" si="72"/>
        <v/>
      </c>
    </row>
    <row r="4567" spans="1:1" x14ac:dyDescent="0.25">
      <c r="A4567" t="str">
        <f t="shared" si="72"/>
        <v/>
      </c>
    </row>
    <row r="4568" spans="1:1" x14ac:dyDescent="0.25">
      <c r="A4568" t="str">
        <f t="shared" si="72"/>
        <v/>
      </c>
    </row>
    <row r="4569" spans="1:1" x14ac:dyDescent="0.25">
      <c r="A4569" t="str">
        <f t="shared" si="72"/>
        <v/>
      </c>
    </row>
    <row r="4570" spans="1:1" x14ac:dyDescent="0.25">
      <c r="A4570" t="str">
        <f t="shared" si="72"/>
        <v/>
      </c>
    </row>
    <row r="4571" spans="1:1" x14ac:dyDescent="0.25">
      <c r="A4571" t="str">
        <f t="shared" si="72"/>
        <v/>
      </c>
    </row>
    <row r="4572" spans="1:1" x14ac:dyDescent="0.25">
      <c r="A4572" t="str">
        <f t="shared" si="72"/>
        <v/>
      </c>
    </row>
    <row r="4573" spans="1:1" x14ac:dyDescent="0.25">
      <c r="A4573" t="str">
        <f t="shared" si="72"/>
        <v/>
      </c>
    </row>
    <row r="4574" spans="1:1" x14ac:dyDescent="0.25">
      <c r="A4574" t="str">
        <f t="shared" si="72"/>
        <v/>
      </c>
    </row>
    <row r="4575" spans="1:1" x14ac:dyDescent="0.25">
      <c r="A4575" t="str">
        <f t="shared" si="72"/>
        <v/>
      </c>
    </row>
    <row r="4576" spans="1:1" x14ac:dyDescent="0.25">
      <c r="A4576" t="str">
        <f t="shared" si="72"/>
        <v/>
      </c>
    </row>
    <row r="4577" spans="1:1" x14ac:dyDescent="0.25">
      <c r="A4577" t="str">
        <f t="shared" si="72"/>
        <v/>
      </c>
    </row>
    <row r="4578" spans="1:1" x14ac:dyDescent="0.25">
      <c r="A4578" t="str">
        <f t="shared" si="72"/>
        <v/>
      </c>
    </row>
    <row r="4579" spans="1:1" x14ac:dyDescent="0.25">
      <c r="A4579" t="str">
        <f t="shared" si="72"/>
        <v/>
      </c>
    </row>
    <row r="4580" spans="1:1" x14ac:dyDescent="0.25">
      <c r="A4580" t="str">
        <f t="shared" si="72"/>
        <v/>
      </c>
    </row>
    <row r="4581" spans="1:1" x14ac:dyDescent="0.25">
      <c r="A4581" t="str">
        <f t="shared" si="72"/>
        <v/>
      </c>
    </row>
    <row r="4582" spans="1:1" x14ac:dyDescent="0.25">
      <c r="A4582" t="str">
        <f t="shared" si="72"/>
        <v/>
      </c>
    </row>
    <row r="4583" spans="1:1" x14ac:dyDescent="0.25">
      <c r="A4583" t="str">
        <f t="shared" si="72"/>
        <v/>
      </c>
    </row>
    <row r="4584" spans="1:1" x14ac:dyDescent="0.25">
      <c r="A4584" t="str">
        <f t="shared" si="72"/>
        <v/>
      </c>
    </row>
    <row r="4585" spans="1:1" x14ac:dyDescent="0.25">
      <c r="A4585" t="str">
        <f t="shared" si="72"/>
        <v/>
      </c>
    </row>
    <row r="4586" spans="1:1" x14ac:dyDescent="0.25">
      <c r="A4586" t="str">
        <f t="shared" si="72"/>
        <v/>
      </c>
    </row>
    <row r="4587" spans="1:1" x14ac:dyDescent="0.25">
      <c r="A4587" t="str">
        <f t="shared" si="72"/>
        <v/>
      </c>
    </row>
    <row r="4588" spans="1:1" x14ac:dyDescent="0.25">
      <c r="A4588" t="str">
        <f t="shared" si="72"/>
        <v/>
      </c>
    </row>
    <row r="4589" spans="1:1" x14ac:dyDescent="0.25">
      <c r="A4589" t="str">
        <f t="shared" si="72"/>
        <v/>
      </c>
    </row>
    <row r="4590" spans="1:1" x14ac:dyDescent="0.25">
      <c r="A4590" t="str">
        <f t="shared" si="72"/>
        <v/>
      </c>
    </row>
    <row r="4591" spans="1:1" x14ac:dyDescent="0.25">
      <c r="A4591" t="str">
        <f t="shared" si="72"/>
        <v/>
      </c>
    </row>
    <row r="4592" spans="1:1" x14ac:dyDescent="0.25">
      <c r="A4592" t="str">
        <f t="shared" si="72"/>
        <v/>
      </c>
    </row>
    <row r="4593" spans="1:1" x14ac:dyDescent="0.25">
      <c r="A4593" t="str">
        <f t="shared" si="72"/>
        <v/>
      </c>
    </row>
    <row r="4594" spans="1:1" x14ac:dyDescent="0.25">
      <c r="A4594" t="str">
        <f t="shared" si="72"/>
        <v/>
      </c>
    </row>
    <row r="4595" spans="1:1" x14ac:dyDescent="0.25">
      <c r="A4595" t="str">
        <f t="shared" si="72"/>
        <v/>
      </c>
    </row>
    <row r="4596" spans="1:1" x14ac:dyDescent="0.25">
      <c r="A4596" t="str">
        <f t="shared" si="72"/>
        <v/>
      </c>
    </row>
    <row r="4597" spans="1:1" x14ac:dyDescent="0.25">
      <c r="A4597" t="str">
        <f t="shared" ref="A4597:A4660" si="73">B4595&amp;D4595</f>
        <v/>
      </c>
    </row>
    <row r="4598" spans="1:1" x14ac:dyDescent="0.25">
      <c r="A4598" t="str">
        <f t="shared" si="73"/>
        <v/>
      </c>
    </row>
    <row r="4599" spans="1:1" x14ac:dyDescent="0.25">
      <c r="A4599" t="str">
        <f t="shared" si="73"/>
        <v/>
      </c>
    </row>
    <row r="4600" spans="1:1" x14ac:dyDescent="0.25">
      <c r="A4600" t="str">
        <f t="shared" si="73"/>
        <v/>
      </c>
    </row>
    <row r="4601" spans="1:1" x14ac:dyDescent="0.25">
      <c r="A4601" t="str">
        <f t="shared" si="73"/>
        <v/>
      </c>
    </row>
    <row r="4602" spans="1:1" x14ac:dyDescent="0.25">
      <c r="A4602" t="str">
        <f t="shared" si="73"/>
        <v/>
      </c>
    </row>
    <row r="4603" spans="1:1" x14ac:dyDescent="0.25">
      <c r="A4603" t="str">
        <f t="shared" si="73"/>
        <v/>
      </c>
    </row>
    <row r="4604" spans="1:1" x14ac:dyDescent="0.25">
      <c r="A4604" t="str">
        <f t="shared" si="73"/>
        <v/>
      </c>
    </row>
    <row r="4605" spans="1:1" x14ac:dyDescent="0.25">
      <c r="A4605" t="str">
        <f t="shared" si="73"/>
        <v/>
      </c>
    </row>
    <row r="4606" spans="1:1" x14ac:dyDescent="0.25">
      <c r="A4606" t="str">
        <f t="shared" si="73"/>
        <v/>
      </c>
    </row>
    <row r="4607" spans="1:1" x14ac:dyDescent="0.25">
      <c r="A4607" t="str">
        <f t="shared" si="73"/>
        <v/>
      </c>
    </row>
    <row r="4608" spans="1:1" x14ac:dyDescent="0.25">
      <c r="A4608" t="str">
        <f t="shared" si="73"/>
        <v/>
      </c>
    </row>
    <row r="4609" spans="1:1" x14ac:dyDescent="0.25">
      <c r="A4609" t="str">
        <f t="shared" si="73"/>
        <v/>
      </c>
    </row>
    <row r="4610" spans="1:1" x14ac:dyDescent="0.25">
      <c r="A4610" t="str">
        <f t="shared" si="73"/>
        <v/>
      </c>
    </row>
    <row r="4611" spans="1:1" x14ac:dyDescent="0.25">
      <c r="A4611" t="str">
        <f t="shared" si="73"/>
        <v/>
      </c>
    </row>
    <row r="4612" spans="1:1" x14ac:dyDescent="0.25">
      <c r="A4612" t="str">
        <f t="shared" si="73"/>
        <v/>
      </c>
    </row>
    <row r="4613" spans="1:1" x14ac:dyDescent="0.25">
      <c r="A4613" t="str">
        <f t="shared" si="73"/>
        <v/>
      </c>
    </row>
    <row r="4614" spans="1:1" x14ac:dyDescent="0.25">
      <c r="A4614" t="str">
        <f t="shared" si="73"/>
        <v/>
      </c>
    </row>
    <row r="4615" spans="1:1" x14ac:dyDescent="0.25">
      <c r="A4615" t="str">
        <f t="shared" si="73"/>
        <v/>
      </c>
    </row>
    <row r="4616" spans="1:1" x14ac:dyDescent="0.25">
      <c r="A4616" t="str">
        <f t="shared" si="73"/>
        <v/>
      </c>
    </row>
    <row r="4617" spans="1:1" x14ac:dyDescent="0.25">
      <c r="A4617" t="str">
        <f t="shared" si="73"/>
        <v/>
      </c>
    </row>
    <row r="4618" spans="1:1" x14ac:dyDescent="0.25">
      <c r="A4618" t="str">
        <f t="shared" si="73"/>
        <v/>
      </c>
    </row>
    <row r="4619" spans="1:1" x14ac:dyDescent="0.25">
      <c r="A4619" t="str">
        <f t="shared" si="73"/>
        <v/>
      </c>
    </row>
    <row r="4620" spans="1:1" x14ac:dyDescent="0.25">
      <c r="A4620" t="str">
        <f t="shared" si="73"/>
        <v/>
      </c>
    </row>
    <row r="4621" spans="1:1" x14ac:dyDescent="0.25">
      <c r="A4621" t="str">
        <f t="shared" si="73"/>
        <v/>
      </c>
    </row>
    <row r="4622" spans="1:1" x14ac:dyDescent="0.25">
      <c r="A4622" t="str">
        <f t="shared" si="73"/>
        <v/>
      </c>
    </row>
    <row r="4623" spans="1:1" x14ac:dyDescent="0.25">
      <c r="A4623" t="str">
        <f t="shared" si="73"/>
        <v/>
      </c>
    </row>
    <row r="4624" spans="1:1" x14ac:dyDescent="0.25">
      <c r="A4624" t="str">
        <f t="shared" si="73"/>
        <v/>
      </c>
    </row>
    <row r="4625" spans="1:1" x14ac:dyDescent="0.25">
      <c r="A4625" t="str">
        <f t="shared" si="73"/>
        <v/>
      </c>
    </row>
    <row r="4626" spans="1:1" x14ac:dyDescent="0.25">
      <c r="A4626" t="str">
        <f t="shared" si="73"/>
        <v/>
      </c>
    </row>
    <row r="4627" spans="1:1" x14ac:dyDescent="0.25">
      <c r="A4627" t="str">
        <f t="shared" si="73"/>
        <v/>
      </c>
    </row>
    <row r="4628" spans="1:1" x14ac:dyDescent="0.25">
      <c r="A4628" t="str">
        <f t="shared" si="73"/>
        <v/>
      </c>
    </row>
    <row r="4629" spans="1:1" x14ac:dyDescent="0.25">
      <c r="A4629" t="str">
        <f t="shared" si="73"/>
        <v/>
      </c>
    </row>
    <row r="4630" spans="1:1" x14ac:dyDescent="0.25">
      <c r="A4630" t="str">
        <f t="shared" si="73"/>
        <v/>
      </c>
    </row>
    <row r="4631" spans="1:1" x14ac:dyDescent="0.25">
      <c r="A4631" t="str">
        <f t="shared" si="73"/>
        <v/>
      </c>
    </row>
    <row r="4632" spans="1:1" x14ac:dyDescent="0.25">
      <c r="A4632" t="str">
        <f t="shared" si="73"/>
        <v/>
      </c>
    </row>
    <row r="4633" spans="1:1" x14ac:dyDescent="0.25">
      <c r="A4633" t="str">
        <f t="shared" si="73"/>
        <v/>
      </c>
    </row>
    <row r="4634" spans="1:1" x14ac:dyDescent="0.25">
      <c r="A4634" t="str">
        <f t="shared" si="73"/>
        <v/>
      </c>
    </row>
    <row r="4635" spans="1:1" x14ac:dyDescent="0.25">
      <c r="A4635" t="str">
        <f t="shared" si="73"/>
        <v/>
      </c>
    </row>
    <row r="4636" spans="1:1" x14ac:dyDescent="0.25">
      <c r="A4636" t="str">
        <f t="shared" si="73"/>
        <v/>
      </c>
    </row>
    <row r="4637" spans="1:1" x14ac:dyDescent="0.25">
      <c r="A4637" t="str">
        <f t="shared" si="73"/>
        <v/>
      </c>
    </row>
    <row r="4638" spans="1:1" x14ac:dyDescent="0.25">
      <c r="A4638" t="str">
        <f t="shared" si="73"/>
        <v/>
      </c>
    </row>
    <row r="4639" spans="1:1" x14ac:dyDescent="0.25">
      <c r="A4639" t="str">
        <f t="shared" si="73"/>
        <v/>
      </c>
    </row>
    <row r="4640" spans="1:1" x14ac:dyDescent="0.25">
      <c r="A4640" t="str">
        <f t="shared" si="73"/>
        <v/>
      </c>
    </row>
    <row r="4641" spans="1:1" x14ac:dyDescent="0.25">
      <c r="A4641" t="str">
        <f t="shared" si="73"/>
        <v/>
      </c>
    </row>
    <row r="4642" spans="1:1" x14ac:dyDescent="0.25">
      <c r="A4642" t="str">
        <f t="shared" si="73"/>
        <v/>
      </c>
    </row>
    <row r="4643" spans="1:1" x14ac:dyDescent="0.25">
      <c r="A4643" t="str">
        <f t="shared" si="73"/>
        <v/>
      </c>
    </row>
    <row r="4644" spans="1:1" x14ac:dyDescent="0.25">
      <c r="A4644" t="str">
        <f t="shared" si="73"/>
        <v/>
      </c>
    </row>
    <row r="4645" spans="1:1" x14ac:dyDescent="0.25">
      <c r="A4645" t="str">
        <f t="shared" si="73"/>
        <v/>
      </c>
    </row>
    <row r="4646" spans="1:1" x14ac:dyDescent="0.25">
      <c r="A4646" t="str">
        <f t="shared" si="73"/>
        <v/>
      </c>
    </row>
    <row r="4647" spans="1:1" x14ac:dyDescent="0.25">
      <c r="A4647" t="str">
        <f t="shared" si="73"/>
        <v/>
      </c>
    </row>
    <row r="4648" spans="1:1" x14ac:dyDescent="0.25">
      <c r="A4648" t="str">
        <f t="shared" si="73"/>
        <v/>
      </c>
    </row>
    <row r="4649" spans="1:1" x14ac:dyDescent="0.25">
      <c r="A4649" t="str">
        <f t="shared" si="73"/>
        <v/>
      </c>
    </row>
    <row r="4650" spans="1:1" x14ac:dyDescent="0.25">
      <c r="A4650" t="str">
        <f t="shared" si="73"/>
        <v/>
      </c>
    </row>
    <row r="4651" spans="1:1" x14ac:dyDescent="0.25">
      <c r="A4651" t="str">
        <f t="shared" si="73"/>
        <v/>
      </c>
    </row>
    <row r="4652" spans="1:1" x14ac:dyDescent="0.25">
      <c r="A4652" t="str">
        <f t="shared" si="73"/>
        <v/>
      </c>
    </row>
    <row r="4653" spans="1:1" x14ac:dyDescent="0.25">
      <c r="A4653" t="str">
        <f t="shared" si="73"/>
        <v/>
      </c>
    </row>
    <row r="4654" spans="1:1" x14ac:dyDescent="0.25">
      <c r="A4654" t="str">
        <f t="shared" si="73"/>
        <v/>
      </c>
    </row>
    <row r="4655" spans="1:1" x14ac:dyDescent="0.25">
      <c r="A4655" t="str">
        <f t="shared" si="73"/>
        <v/>
      </c>
    </row>
    <row r="4656" spans="1:1" x14ac:dyDescent="0.25">
      <c r="A4656" t="str">
        <f t="shared" si="73"/>
        <v/>
      </c>
    </row>
    <row r="4657" spans="1:1" x14ac:dyDescent="0.25">
      <c r="A4657" t="str">
        <f t="shared" si="73"/>
        <v/>
      </c>
    </row>
    <row r="4658" spans="1:1" x14ac:dyDescent="0.25">
      <c r="A4658" t="str">
        <f t="shared" si="73"/>
        <v/>
      </c>
    </row>
    <row r="4659" spans="1:1" x14ac:dyDescent="0.25">
      <c r="A4659" t="str">
        <f t="shared" si="73"/>
        <v/>
      </c>
    </row>
    <row r="4660" spans="1:1" x14ac:dyDescent="0.25">
      <c r="A4660" t="str">
        <f t="shared" si="73"/>
        <v/>
      </c>
    </row>
    <row r="4661" spans="1:1" x14ac:dyDescent="0.25">
      <c r="A4661" t="str">
        <f t="shared" ref="A4661:A4724" si="74">B4659&amp;D4659</f>
        <v/>
      </c>
    </row>
    <row r="4662" spans="1:1" x14ac:dyDescent="0.25">
      <c r="A4662" t="str">
        <f t="shared" si="74"/>
        <v/>
      </c>
    </row>
    <row r="4663" spans="1:1" x14ac:dyDescent="0.25">
      <c r="A4663" t="str">
        <f t="shared" si="74"/>
        <v/>
      </c>
    </row>
    <row r="4664" spans="1:1" x14ac:dyDescent="0.25">
      <c r="A4664" t="str">
        <f t="shared" si="74"/>
        <v/>
      </c>
    </row>
    <row r="4665" spans="1:1" x14ac:dyDescent="0.25">
      <c r="A4665" t="str">
        <f t="shared" si="74"/>
        <v/>
      </c>
    </row>
    <row r="4666" spans="1:1" x14ac:dyDescent="0.25">
      <c r="A4666" t="str">
        <f t="shared" si="74"/>
        <v/>
      </c>
    </row>
    <row r="4667" spans="1:1" x14ac:dyDescent="0.25">
      <c r="A4667" t="str">
        <f t="shared" si="74"/>
        <v/>
      </c>
    </row>
    <row r="4668" spans="1:1" x14ac:dyDescent="0.25">
      <c r="A4668" t="str">
        <f t="shared" si="74"/>
        <v/>
      </c>
    </row>
    <row r="4669" spans="1:1" x14ac:dyDescent="0.25">
      <c r="A4669" t="str">
        <f t="shared" si="74"/>
        <v/>
      </c>
    </row>
    <row r="4670" spans="1:1" x14ac:dyDescent="0.25">
      <c r="A4670" t="str">
        <f t="shared" si="74"/>
        <v/>
      </c>
    </row>
    <row r="4671" spans="1:1" x14ac:dyDescent="0.25">
      <c r="A4671" t="str">
        <f t="shared" si="74"/>
        <v/>
      </c>
    </row>
    <row r="4672" spans="1:1" x14ac:dyDescent="0.25">
      <c r="A4672" t="str">
        <f t="shared" si="74"/>
        <v/>
      </c>
    </row>
    <row r="4673" spans="1:1" x14ac:dyDescent="0.25">
      <c r="A4673" t="str">
        <f t="shared" si="74"/>
        <v/>
      </c>
    </row>
    <row r="4674" spans="1:1" x14ac:dyDescent="0.25">
      <c r="A4674" t="str">
        <f t="shared" si="74"/>
        <v/>
      </c>
    </row>
    <row r="4675" spans="1:1" x14ac:dyDescent="0.25">
      <c r="A4675" t="str">
        <f t="shared" si="74"/>
        <v/>
      </c>
    </row>
    <row r="4676" spans="1:1" x14ac:dyDescent="0.25">
      <c r="A4676" t="str">
        <f t="shared" si="74"/>
        <v/>
      </c>
    </row>
    <row r="4677" spans="1:1" x14ac:dyDescent="0.25">
      <c r="A4677" t="str">
        <f t="shared" si="74"/>
        <v/>
      </c>
    </row>
    <row r="4678" spans="1:1" x14ac:dyDescent="0.25">
      <c r="A4678" t="str">
        <f t="shared" si="74"/>
        <v/>
      </c>
    </row>
    <row r="4679" spans="1:1" x14ac:dyDescent="0.25">
      <c r="A4679" t="str">
        <f t="shared" si="74"/>
        <v/>
      </c>
    </row>
    <row r="4680" spans="1:1" x14ac:dyDescent="0.25">
      <c r="A4680" t="str">
        <f t="shared" si="74"/>
        <v/>
      </c>
    </row>
    <row r="4681" spans="1:1" x14ac:dyDescent="0.25">
      <c r="A4681" t="str">
        <f t="shared" si="74"/>
        <v/>
      </c>
    </row>
    <row r="4682" spans="1:1" x14ac:dyDescent="0.25">
      <c r="A4682" t="str">
        <f t="shared" si="74"/>
        <v/>
      </c>
    </row>
    <row r="4683" spans="1:1" x14ac:dyDescent="0.25">
      <c r="A4683" t="str">
        <f t="shared" si="74"/>
        <v/>
      </c>
    </row>
    <row r="4684" spans="1:1" x14ac:dyDescent="0.25">
      <c r="A4684" t="str">
        <f t="shared" si="74"/>
        <v/>
      </c>
    </row>
    <row r="4685" spans="1:1" x14ac:dyDescent="0.25">
      <c r="A4685" t="str">
        <f t="shared" si="74"/>
        <v/>
      </c>
    </row>
    <row r="4686" spans="1:1" x14ac:dyDescent="0.25">
      <c r="A4686" t="str">
        <f t="shared" si="74"/>
        <v/>
      </c>
    </row>
    <row r="4687" spans="1:1" x14ac:dyDescent="0.25">
      <c r="A4687" t="str">
        <f t="shared" si="74"/>
        <v/>
      </c>
    </row>
    <row r="4688" spans="1:1" x14ac:dyDescent="0.25">
      <c r="A4688" t="str">
        <f t="shared" si="74"/>
        <v/>
      </c>
    </row>
    <row r="4689" spans="1:1" x14ac:dyDescent="0.25">
      <c r="A4689" t="str">
        <f t="shared" si="74"/>
        <v/>
      </c>
    </row>
    <row r="4690" spans="1:1" x14ac:dyDescent="0.25">
      <c r="A4690" t="str">
        <f t="shared" si="74"/>
        <v/>
      </c>
    </row>
    <row r="4691" spans="1:1" x14ac:dyDescent="0.25">
      <c r="A4691" t="str">
        <f t="shared" si="74"/>
        <v/>
      </c>
    </row>
    <row r="4692" spans="1:1" x14ac:dyDescent="0.25">
      <c r="A4692" t="str">
        <f t="shared" si="74"/>
        <v/>
      </c>
    </row>
    <row r="4693" spans="1:1" x14ac:dyDescent="0.25">
      <c r="A4693" t="str">
        <f t="shared" si="74"/>
        <v/>
      </c>
    </row>
    <row r="4694" spans="1:1" x14ac:dyDescent="0.25">
      <c r="A4694" t="str">
        <f t="shared" si="74"/>
        <v/>
      </c>
    </row>
    <row r="4695" spans="1:1" x14ac:dyDescent="0.25">
      <c r="A4695" t="str">
        <f t="shared" si="74"/>
        <v/>
      </c>
    </row>
    <row r="4696" spans="1:1" x14ac:dyDescent="0.25">
      <c r="A4696" t="str">
        <f t="shared" si="74"/>
        <v/>
      </c>
    </row>
    <row r="4697" spans="1:1" x14ac:dyDescent="0.25">
      <c r="A4697" t="str">
        <f t="shared" si="74"/>
        <v/>
      </c>
    </row>
    <row r="4698" spans="1:1" x14ac:dyDescent="0.25">
      <c r="A4698" t="str">
        <f t="shared" si="74"/>
        <v/>
      </c>
    </row>
    <row r="4699" spans="1:1" x14ac:dyDescent="0.25">
      <c r="A4699" t="str">
        <f t="shared" si="74"/>
        <v/>
      </c>
    </row>
    <row r="4700" spans="1:1" x14ac:dyDescent="0.25">
      <c r="A4700" t="str">
        <f t="shared" si="74"/>
        <v/>
      </c>
    </row>
    <row r="4701" spans="1:1" x14ac:dyDescent="0.25">
      <c r="A4701" t="str">
        <f t="shared" si="74"/>
        <v/>
      </c>
    </row>
    <row r="4702" spans="1:1" x14ac:dyDescent="0.25">
      <c r="A4702" t="str">
        <f t="shared" si="74"/>
        <v/>
      </c>
    </row>
    <row r="4703" spans="1:1" x14ac:dyDescent="0.25">
      <c r="A4703" t="str">
        <f t="shared" si="74"/>
        <v/>
      </c>
    </row>
    <row r="4704" spans="1:1" x14ac:dyDescent="0.25">
      <c r="A4704" t="str">
        <f t="shared" si="74"/>
        <v/>
      </c>
    </row>
    <row r="4705" spans="1:1" x14ac:dyDescent="0.25">
      <c r="A4705" t="str">
        <f t="shared" si="74"/>
        <v/>
      </c>
    </row>
    <row r="4706" spans="1:1" x14ac:dyDescent="0.25">
      <c r="A4706" t="str">
        <f t="shared" si="74"/>
        <v/>
      </c>
    </row>
    <row r="4707" spans="1:1" x14ac:dyDescent="0.25">
      <c r="A4707" t="str">
        <f t="shared" si="74"/>
        <v/>
      </c>
    </row>
    <row r="4708" spans="1:1" x14ac:dyDescent="0.25">
      <c r="A4708" t="str">
        <f t="shared" si="74"/>
        <v/>
      </c>
    </row>
    <row r="4709" spans="1:1" x14ac:dyDescent="0.25">
      <c r="A4709" t="str">
        <f t="shared" si="74"/>
        <v/>
      </c>
    </row>
    <row r="4710" spans="1:1" x14ac:dyDescent="0.25">
      <c r="A4710" t="str">
        <f t="shared" si="74"/>
        <v/>
      </c>
    </row>
    <row r="4711" spans="1:1" x14ac:dyDescent="0.25">
      <c r="A4711" t="str">
        <f t="shared" si="74"/>
        <v/>
      </c>
    </row>
    <row r="4712" spans="1:1" x14ac:dyDescent="0.25">
      <c r="A4712" t="str">
        <f t="shared" si="74"/>
        <v/>
      </c>
    </row>
    <row r="4713" spans="1:1" x14ac:dyDescent="0.25">
      <c r="A4713" t="str">
        <f t="shared" si="74"/>
        <v/>
      </c>
    </row>
    <row r="4714" spans="1:1" x14ac:dyDescent="0.25">
      <c r="A4714" t="str">
        <f t="shared" si="74"/>
        <v/>
      </c>
    </row>
    <row r="4715" spans="1:1" x14ac:dyDescent="0.25">
      <c r="A4715" t="str">
        <f t="shared" si="74"/>
        <v/>
      </c>
    </row>
    <row r="4716" spans="1:1" x14ac:dyDescent="0.25">
      <c r="A4716" t="str">
        <f t="shared" si="74"/>
        <v/>
      </c>
    </row>
    <row r="4717" spans="1:1" x14ac:dyDescent="0.25">
      <c r="A4717" t="str">
        <f t="shared" si="74"/>
        <v/>
      </c>
    </row>
    <row r="4718" spans="1:1" x14ac:dyDescent="0.25">
      <c r="A4718" t="str">
        <f t="shared" si="74"/>
        <v/>
      </c>
    </row>
    <row r="4719" spans="1:1" x14ac:dyDescent="0.25">
      <c r="A4719" t="str">
        <f t="shared" si="74"/>
        <v/>
      </c>
    </row>
    <row r="4720" spans="1:1" x14ac:dyDescent="0.25">
      <c r="A4720" t="str">
        <f t="shared" si="74"/>
        <v/>
      </c>
    </row>
    <row r="4721" spans="1:1" x14ac:dyDescent="0.25">
      <c r="A4721" t="str">
        <f t="shared" si="74"/>
        <v/>
      </c>
    </row>
    <row r="4722" spans="1:1" x14ac:dyDescent="0.25">
      <c r="A4722" t="str">
        <f t="shared" si="74"/>
        <v/>
      </c>
    </row>
    <row r="4723" spans="1:1" x14ac:dyDescent="0.25">
      <c r="A4723" t="str">
        <f t="shared" si="74"/>
        <v/>
      </c>
    </row>
    <row r="4724" spans="1:1" x14ac:dyDescent="0.25">
      <c r="A4724" t="str">
        <f t="shared" si="74"/>
        <v/>
      </c>
    </row>
    <row r="4725" spans="1:1" x14ac:dyDescent="0.25">
      <c r="A4725" t="str">
        <f t="shared" ref="A4725:A4788" si="75">B4723&amp;D4723</f>
        <v/>
      </c>
    </row>
    <row r="4726" spans="1:1" x14ac:dyDescent="0.25">
      <c r="A4726" t="str">
        <f t="shared" si="75"/>
        <v/>
      </c>
    </row>
    <row r="4727" spans="1:1" x14ac:dyDescent="0.25">
      <c r="A4727" t="str">
        <f t="shared" si="75"/>
        <v/>
      </c>
    </row>
    <row r="4728" spans="1:1" x14ac:dyDescent="0.25">
      <c r="A4728" t="str">
        <f t="shared" si="75"/>
        <v/>
      </c>
    </row>
    <row r="4729" spans="1:1" x14ac:dyDescent="0.25">
      <c r="A4729" t="str">
        <f t="shared" si="75"/>
        <v/>
      </c>
    </row>
    <row r="4730" spans="1:1" x14ac:dyDescent="0.25">
      <c r="A4730" t="str">
        <f t="shared" si="75"/>
        <v/>
      </c>
    </row>
    <row r="4731" spans="1:1" x14ac:dyDescent="0.25">
      <c r="A4731" t="str">
        <f t="shared" si="75"/>
        <v/>
      </c>
    </row>
    <row r="4732" spans="1:1" x14ac:dyDescent="0.25">
      <c r="A4732" t="str">
        <f t="shared" si="75"/>
        <v/>
      </c>
    </row>
    <row r="4733" spans="1:1" x14ac:dyDescent="0.25">
      <c r="A4733" t="str">
        <f t="shared" si="75"/>
        <v/>
      </c>
    </row>
    <row r="4734" spans="1:1" x14ac:dyDescent="0.25">
      <c r="A4734" t="str">
        <f t="shared" si="75"/>
        <v/>
      </c>
    </row>
    <row r="4735" spans="1:1" x14ac:dyDescent="0.25">
      <c r="A4735" t="str">
        <f t="shared" si="75"/>
        <v/>
      </c>
    </row>
    <row r="4736" spans="1:1" x14ac:dyDescent="0.25">
      <c r="A4736" t="str">
        <f t="shared" si="75"/>
        <v/>
      </c>
    </row>
    <row r="4737" spans="1:1" x14ac:dyDescent="0.25">
      <c r="A4737" t="str">
        <f t="shared" si="75"/>
        <v/>
      </c>
    </row>
    <row r="4738" spans="1:1" x14ac:dyDescent="0.25">
      <c r="A4738" t="str">
        <f t="shared" si="75"/>
        <v/>
      </c>
    </row>
    <row r="4739" spans="1:1" x14ac:dyDescent="0.25">
      <c r="A4739" t="str">
        <f t="shared" si="75"/>
        <v/>
      </c>
    </row>
    <row r="4740" spans="1:1" x14ac:dyDescent="0.25">
      <c r="A4740" t="str">
        <f t="shared" si="75"/>
        <v/>
      </c>
    </row>
    <row r="4741" spans="1:1" x14ac:dyDescent="0.25">
      <c r="A4741" t="str">
        <f t="shared" si="75"/>
        <v/>
      </c>
    </row>
    <row r="4742" spans="1:1" x14ac:dyDescent="0.25">
      <c r="A4742" t="str">
        <f t="shared" si="75"/>
        <v/>
      </c>
    </row>
    <row r="4743" spans="1:1" x14ac:dyDescent="0.25">
      <c r="A4743" t="str">
        <f t="shared" si="75"/>
        <v/>
      </c>
    </row>
    <row r="4744" spans="1:1" x14ac:dyDescent="0.25">
      <c r="A4744" t="str">
        <f t="shared" si="75"/>
        <v/>
      </c>
    </row>
    <row r="4745" spans="1:1" x14ac:dyDescent="0.25">
      <c r="A4745" t="str">
        <f t="shared" si="75"/>
        <v/>
      </c>
    </row>
    <row r="4746" spans="1:1" x14ac:dyDescent="0.25">
      <c r="A4746" t="str">
        <f t="shared" si="75"/>
        <v/>
      </c>
    </row>
    <row r="4747" spans="1:1" x14ac:dyDescent="0.25">
      <c r="A4747" t="str">
        <f t="shared" si="75"/>
        <v/>
      </c>
    </row>
    <row r="4748" spans="1:1" x14ac:dyDescent="0.25">
      <c r="A4748" t="str">
        <f t="shared" si="75"/>
        <v/>
      </c>
    </row>
    <row r="4749" spans="1:1" x14ac:dyDescent="0.25">
      <c r="A4749" t="str">
        <f t="shared" si="75"/>
        <v/>
      </c>
    </row>
    <row r="4750" spans="1:1" x14ac:dyDescent="0.25">
      <c r="A4750" t="str">
        <f t="shared" si="75"/>
        <v/>
      </c>
    </row>
    <row r="4751" spans="1:1" x14ac:dyDescent="0.25">
      <c r="A4751" t="str">
        <f t="shared" si="75"/>
        <v/>
      </c>
    </row>
    <row r="4752" spans="1:1" x14ac:dyDescent="0.25">
      <c r="A4752" t="str">
        <f t="shared" si="75"/>
        <v/>
      </c>
    </row>
    <row r="4753" spans="1:1" x14ac:dyDescent="0.25">
      <c r="A4753" t="str">
        <f t="shared" si="75"/>
        <v/>
      </c>
    </row>
    <row r="4754" spans="1:1" x14ac:dyDescent="0.25">
      <c r="A4754" t="str">
        <f t="shared" si="75"/>
        <v/>
      </c>
    </row>
    <row r="4755" spans="1:1" x14ac:dyDescent="0.25">
      <c r="A4755" t="str">
        <f t="shared" si="75"/>
        <v/>
      </c>
    </row>
    <row r="4756" spans="1:1" x14ac:dyDescent="0.25">
      <c r="A4756" t="str">
        <f t="shared" si="75"/>
        <v/>
      </c>
    </row>
    <row r="4757" spans="1:1" x14ac:dyDescent="0.25">
      <c r="A4757" t="str">
        <f t="shared" si="75"/>
        <v/>
      </c>
    </row>
    <row r="4758" spans="1:1" x14ac:dyDescent="0.25">
      <c r="A4758" t="str">
        <f t="shared" si="75"/>
        <v/>
      </c>
    </row>
    <row r="4759" spans="1:1" x14ac:dyDescent="0.25">
      <c r="A4759" t="str">
        <f t="shared" si="75"/>
        <v/>
      </c>
    </row>
    <row r="4760" spans="1:1" x14ac:dyDescent="0.25">
      <c r="A4760" t="str">
        <f t="shared" si="75"/>
        <v/>
      </c>
    </row>
    <row r="4761" spans="1:1" x14ac:dyDescent="0.25">
      <c r="A4761" t="str">
        <f t="shared" si="75"/>
        <v/>
      </c>
    </row>
    <row r="4762" spans="1:1" x14ac:dyDescent="0.25">
      <c r="A4762" t="str">
        <f t="shared" si="75"/>
        <v/>
      </c>
    </row>
    <row r="4763" spans="1:1" x14ac:dyDescent="0.25">
      <c r="A4763" t="str">
        <f t="shared" si="75"/>
        <v/>
      </c>
    </row>
    <row r="4764" spans="1:1" x14ac:dyDescent="0.25">
      <c r="A4764" t="str">
        <f t="shared" si="75"/>
        <v/>
      </c>
    </row>
    <row r="4765" spans="1:1" x14ac:dyDescent="0.25">
      <c r="A4765" t="str">
        <f t="shared" si="75"/>
        <v/>
      </c>
    </row>
    <row r="4766" spans="1:1" x14ac:dyDescent="0.25">
      <c r="A4766" t="str">
        <f t="shared" si="75"/>
        <v/>
      </c>
    </row>
    <row r="4767" spans="1:1" x14ac:dyDescent="0.25">
      <c r="A4767" t="str">
        <f t="shared" si="75"/>
        <v/>
      </c>
    </row>
    <row r="4768" spans="1:1" x14ac:dyDescent="0.25">
      <c r="A4768" t="str">
        <f t="shared" si="75"/>
        <v/>
      </c>
    </row>
    <row r="4769" spans="1:1" x14ac:dyDescent="0.25">
      <c r="A4769" t="str">
        <f t="shared" si="75"/>
        <v/>
      </c>
    </row>
    <row r="4770" spans="1:1" x14ac:dyDescent="0.25">
      <c r="A4770" t="str">
        <f t="shared" si="75"/>
        <v/>
      </c>
    </row>
    <row r="4771" spans="1:1" x14ac:dyDescent="0.25">
      <c r="A4771" t="str">
        <f t="shared" si="75"/>
        <v/>
      </c>
    </row>
    <row r="4772" spans="1:1" x14ac:dyDescent="0.25">
      <c r="A4772" t="str">
        <f t="shared" si="75"/>
        <v/>
      </c>
    </row>
    <row r="4773" spans="1:1" x14ac:dyDescent="0.25">
      <c r="A4773" t="str">
        <f t="shared" si="75"/>
        <v/>
      </c>
    </row>
    <row r="4774" spans="1:1" x14ac:dyDescent="0.25">
      <c r="A4774" t="str">
        <f t="shared" si="75"/>
        <v/>
      </c>
    </row>
    <row r="4775" spans="1:1" x14ac:dyDescent="0.25">
      <c r="A4775" t="str">
        <f t="shared" si="75"/>
        <v/>
      </c>
    </row>
    <row r="4776" spans="1:1" x14ac:dyDescent="0.25">
      <c r="A4776" t="str">
        <f t="shared" si="75"/>
        <v/>
      </c>
    </row>
    <row r="4777" spans="1:1" x14ac:dyDescent="0.25">
      <c r="A4777" t="str">
        <f t="shared" si="75"/>
        <v/>
      </c>
    </row>
    <row r="4778" spans="1:1" x14ac:dyDescent="0.25">
      <c r="A4778" t="str">
        <f t="shared" si="75"/>
        <v/>
      </c>
    </row>
    <row r="4779" spans="1:1" x14ac:dyDescent="0.25">
      <c r="A4779" t="str">
        <f t="shared" si="75"/>
        <v/>
      </c>
    </row>
    <row r="4780" spans="1:1" x14ac:dyDescent="0.25">
      <c r="A4780" t="str">
        <f t="shared" si="75"/>
        <v/>
      </c>
    </row>
    <row r="4781" spans="1:1" x14ac:dyDescent="0.25">
      <c r="A4781" t="str">
        <f t="shared" si="75"/>
        <v/>
      </c>
    </row>
    <row r="4782" spans="1:1" x14ac:dyDescent="0.25">
      <c r="A4782" t="str">
        <f t="shared" si="75"/>
        <v/>
      </c>
    </row>
    <row r="4783" spans="1:1" x14ac:dyDescent="0.25">
      <c r="A4783" t="str">
        <f t="shared" si="75"/>
        <v/>
      </c>
    </row>
    <row r="4784" spans="1:1" x14ac:dyDescent="0.25">
      <c r="A4784" t="str">
        <f t="shared" si="75"/>
        <v/>
      </c>
    </row>
    <row r="4785" spans="1:1" x14ac:dyDescent="0.25">
      <c r="A4785" t="str">
        <f t="shared" si="75"/>
        <v/>
      </c>
    </row>
    <row r="4786" spans="1:1" x14ac:dyDescent="0.25">
      <c r="A4786" t="str">
        <f t="shared" si="75"/>
        <v/>
      </c>
    </row>
    <row r="4787" spans="1:1" x14ac:dyDescent="0.25">
      <c r="A4787" t="str">
        <f t="shared" si="75"/>
        <v/>
      </c>
    </row>
    <row r="4788" spans="1:1" x14ac:dyDescent="0.25">
      <c r="A4788" t="str">
        <f t="shared" si="75"/>
        <v/>
      </c>
    </row>
    <row r="4789" spans="1:1" x14ac:dyDescent="0.25">
      <c r="A4789" t="str">
        <f t="shared" ref="A4789:A4852" si="76">B4787&amp;D4787</f>
        <v/>
      </c>
    </row>
    <row r="4790" spans="1:1" x14ac:dyDescent="0.25">
      <c r="A4790" t="str">
        <f t="shared" si="76"/>
        <v/>
      </c>
    </row>
    <row r="4791" spans="1:1" x14ac:dyDescent="0.25">
      <c r="A4791" t="str">
        <f t="shared" si="76"/>
        <v/>
      </c>
    </row>
    <row r="4792" spans="1:1" x14ac:dyDescent="0.25">
      <c r="A4792" t="str">
        <f t="shared" si="76"/>
        <v/>
      </c>
    </row>
    <row r="4793" spans="1:1" x14ac:dyDescent="0.25">
      <c r="A4793" t="str">
        <f t="shared" si="76"/>
        <v/>
      </c>
    </row>
    <row r="4794" spans="1:1" x14ac:dyDescent="0.25">
      <c r="A4794" t="str">
        <f t="shared" si="76"/>
        <v/>
      </c>
    </row>
    <row r="4795" spans="1:1" x14ac:dyDescent="0.25">
      <c r="A4795" t="str">
        <f t="shared" si="76"/>
        <v/>
      </c>
    </row>
    <row r="4796" spans="1:1" x14ac:dyDescent="0.25">
      <c r="A4796" t="str">
        <f t="shared" si="76"/>
        <v/>
      </c>
    </row>
    <row r="4797" spans="1:1" x14ac:dyDescent="0.25">
      <c r="A4797" t="str">
        <f t="shared" si="76"/>
        <v/>
      </c>
    </row>
    <row r="4798" spans="1:1" x14ac:dyDescent="0.25">
      <c r="A4798" t="str">
        <f t="shared" si="76"/>
        <v/>
      </c>
    </row>
    <row r="4799" spans="1:1" x14ac:dyDescent="0.25">
      <c r="A4799" t="str">
        <f t="shared" si="76"/>
        <v/>
      </c>
    </row>
    <row r="4800" spans="1:1" x14ac:dyDescent="0.25">
      <c r="A4800" t="str">
        <f t="shared" si="76"/>
        <v/>
      </c>
    </row>
    <row r="4801" spans="1:1" x14ac:dyDescent="0.25">
      <c r="A4801" t="str">
        <f t="shared" si="76"/>
        <v/>
      </c>
    </row>
    <row r="4802" spans="1:1" x14ac:dyDescent="0.25">
      <c r="A4802" t="str">
        <f t="shared" si="76"/>
        <v/>
      </c>
    </row>
    <row r="4803" spans="1:1" x14ac:dyDescent="0.25">
      <c r="A4803" t="str">
        <f t="shared" si="76"/>
        <v/>
      </c>
    </row>
    <row r="4804" spans="1:1" x14ac:dyDescent="0.25">
      <c r="A4804" t="str">
        <f t="shared" si="76"/>
        <v/>
      </c>
    </row>
    <row r="4805" spans="1:1" x14ac:dyDescent="0.25">
      <c r="A4805" t="str">
        <f t="shared" si="76"/>
        <v/>
      </c>
    </row>
    <row r="4806" spans="1:1" x14ac:dyDescent="0.25">
      <c r="A4806" t="str">
        <f t="shared" si="76"/>
        <v/>
      </c>
    </row>
    <row r="4807" spans="1:1" x14ac:dyDescent="0.25">
      <c r="A4807" t="str">
        <f t="shared" si="76"/>
        <v/>
      </c>
    </row>
    <row r="4808" spans="1:1" x14ac:dyDescent="0.25">
      <c r="A4808" t="str">
        <f t="shared" si="76"/>
        <v/>
      </c>
    </row>
    <row r="4809" spans="1:1" x14ac:dyDescent="0.25">
      <c r="A4809" t="str">
        <f t="shared" si="76"/>
        <v/>
      </c>
    </row>
    <row r="4810" spans="1:1" x14ac:dyDescent="0.25">
      <c r="A4810" t="str">
        <f t="shared" si="76"/>
        <v/>
      </c>
    </row>
    <row r="4811" spans="1:1" x14ac:dyDescent="0.25">
      <c r="A4811" t="str">
        <f t="shared" si="76"/>
        <v/>
      </c>
    </row>
    <row r="4812" spans="1:1" x14ac:dyDescent="0.25">
      <c r="A4812" t="str">
        <f t="shared" si="76"/>
        <v/>
      </c>
    </row>
    <row r="4813" spans="1:1" x14ac:dyDescent="0.25">
      <c r="A4813" t="str">
        <f t="shared" si="76"/>
        <v/>
      </c>
    </row>
    <row r="4814" spans="1:1" x14ac:dyDescent="0.25">
      <c r="A4814" t="str">
        <f t="shared" si="76"/>
        <v/>
      </c>
    </row>
    <row r="4815" spans="1:1" x14ac:dyDescent="0.25">
      <c r="A4815" t="str">
        <f t="shared" si="76"/>
        <v/>
      </c>
    </row>
    <row r="4816" spans="1:1" x14ac:dyDescent="0.25">
      <c r="A4816" t="str">
        <f t="shared" si="76"/>
        <v/>
      </c>
    </row>
    <row r="4817" spans="1:1" x14ac:dyDescent="0.25">
      <c r="A4817" t="str">
        <f t="shared" si="76"/>
        <v/>
      </c>
    </row>
    <row r="4818" spans="1:1" x14ac:dyDescent="0.25">
      <c r="A4818" t="str">
        <f t="shared" si="76"/>
        <v/>
      </c>
    </row>
    <row r="4819" spans="1:1" x14ac:dyDescent="0.25">
      <c r="A4819" t="str">
        <f t="shared" si="76"/>
        <v/>
      </c>
    </row>
    <row r="4820" spans="1:1" x14ac:dyDescent="0.25">
      <c r="A4820" t="str">
        <f t="shared" si="76"/>
        <v/>
      </c>
    </row>
    <row r="4821" spans="1:1" x14ac:dyDescent="0.25">
      <c r="A4821" t="str">
        <f t="shared" si="76"/>
        <v/>
      </c>
    </row>
    <row r="4822" spans="1:1" x14ac:dyDescent="0.25">
      <c r="A4822" t="str">
        <f t="shared" si="76"/>
        <v/>
      </c>
    </row>
    <row r="4823" spans="1:1" x14ac:dyDescent="0.25">
      <c r="A4823" t="str">
        <f t="shared" si="76"/>
        <v/>
      </c>
    </row>
    <row r="4824" spans="1:1" x14ac:dyDescent="0.25">
      <c r="A4824" t="str">
        <f t="shared" si="76"/>
        <v/>
      </c>
    </row>
    <row r="4825" spans="1:1" x14ac:dyDescent="0.25">
      <c r="A4825" t="str">
        <f t="shared" si="76"/>
        <v/>
      </c>
    </row>
    <row r="4826" spans="1:1" x14ac:dyDescent="0.25">
      <c r="A4826" t="str">
        <f t="shared" si="76"/>
        <v/>
      </c>
    </row>
    <row r="4827" spans="1:1" x14ac:dyDescent="0.25">
      <c r="A4827" t="str">
        <f t="shared" si="76"/>
        <v/>
      </c>
    </row>
    <row r="4828" spans="1:1" x14ac:dyDescent="0.25">
      <c r="A4828" t="str">
        <f t="shared" si="76"/>
        <v/>
      </c>
    </row>
    <row r="4829" spans="1:1" x14ac:dyDescent="0.25">
      <c r="A4829" t="str">
        <f t="shared" si="76"/>
        <v/>
      </c>
    </row>
    <row r="4830" spans="1:1" x14ac:dyDescent="0.25">
      <c r="A4830" t="str">
        <f t="shared" si="76"/>
        <v/>
      </c>
    </row>
    <row r="4831" spans="1:1" x14ac:dyDescent="0.25">
      <c r="A4831" t="str">
        <f t="shared" si="76"/>
        <v/>
      </c>
    </row>
    <row r="4832" spans="1:1" x14ac:dyDescent="0.25">
      <c r="A4832" t="str">
        <f t="shared" si="76"/>
        <v/>
      </c>
    </row>
    <row r="4833" spans="1:1" x14ac:dyDescent="0.25">
      <c r="A4833" t="str">
        <f t="shared" si="76"/>
        <v/>
      </c>
    </row>
    <row r="4834" spans="1:1" x14ac:dyDescent="0.25">
      <c r="A4834" t="str">
        <f t="shared" si="76"/>
        <v/>
      </c>
    </row>
    <row r="4835" spans="1:1" x14ac:dyDescent="0.25">
      <c r="A4835" t="str">
        <f t="shared" si="76"/>
        <v/>
      </c>
    </row>
    <row r="4836" spans="1:1" x14ac:dyDescent="0.25">
      <c r="A4836" t="str">
        <f t="shared" si="76"/>
        <v/>
      </c>
    </row>
    <row r="4837" spans="1:1" x14ac:dyDescent="0.25">
      <c r="A4837" t="str">
        <f t="shared" si="76"/>
        <v/>
      </c>
    </row>
    <row r="4838" spans="1:1" x14ac:dyDescent="0.25">
      <c r="A4838" t="str">
        <f t="shared" si="76"/>
        <v/>
      </c>
    </row>
    <row r="4839" spans="1:1" x14ac:dyDescent="0.25">
      <c r="A4839" t="str">
        <f t="shared" si="76"/>
        <v/>
      </c>
    </row>
    <row r="4840" spans="1:1" x14ac:dyDescent="0.25">
      <c r="A4840" t="str">
        <f t="shared" si="76"/>
        <v/>
      </c>
    </row>
    <row r="4841" spans="1:1" x14ac:dyDescent="0.25">
      <c r="A4841" t="str">
        <f t="shared" si="76"/>
        <v/>
      </c>
    </row>
    <row r="4842" spans="1:1" x14ac:dyDescent="0.25">
      <c r="A4842" t="str">
        <f t="shared" si="76"/>
        <v/>
      </c>
    </row>
    <row r="4843" spans="1:1" x14ac:dyDescent="0.25">
      <c r="A4843" t="str">
        <f t="shared" si="76"/>
        <v/>
      </c>
    </row>
    <row r="4844" spans="1:1" x14ac:dyDescent="0.25">
      <c r="A4844" t="str">
        <f t="shared" si="76"/>
        <v/>
      </c>
    </row>
    <row r="4845" spans="1:1" x14ac:dyDescent="0.25">
      <c r="A4845" t="str">
        <f t="shared" si="76"/>
        <v/>
      </c>
    </row>
    <row r="4846" spans="1:1" x14ac:dyDescent="0.25">
      <c r="A4846" t="str">
        <f t="shared" si="76"/>
        <v/>
      </c>
    </row>
    <row r="4847" spans="1:1" x14ac:dyDescent="0.25">
      <c r="A4847" t="str">
        <f t="shared" si="76"/>
        <v/>
      </c>
    </row>
    <row r="4848" spans="1:1" x14ac:dyDescent="0.25">
      <c r="A4848" t="str">
        <f t="shared" si="76"/>
        <v/>
      </c>
    </row>
    <row r="4849" spans="1:1" x14ac:dyDescent="0.25">
      <c r="A4849" t="str">
        <f t="shared" si="76"/>
        <v/>
      </c>
    </row>
    <row r="4850" spans="1:1" x14ac:dyDescent="0.25">
      <c r="A4850" t="str">
        <f t="shared" si="76"/>
        <v/>
      </c>
    </row>
    <row r="4851" spans="1:1" x14ac:dyDescent="0.25">
      <c r="A4851" t="str">
        <f t="shared" si="76"/>
        <v/>
      </c>
    </row>
    <row r="4852" spans="1:1" x14ac:dyDescent="0.25">
      <c r="A4852" t="str">
        <f t="shared" si="76"/>
        <v/>
      </c>
    </row>
    <row r="4853" spans="1:1" x14ac:dyDescent="0.25">
      <c r="A4853" t="str">
        <f t="shared" ref="A4853:A4916" si="77">B4851&amp;D4851</f>
        <v/>
      </c>
    </row>
    <row r="4854" spans="1:1" x14ac:dyDescent="0.25">
      <c r="A4854" t="str">
        <f t="shared" si="77"/>
        <v/>
      </c>
    </row>
    <row r="4855" spans="1:1" x14ac:dyDescent="0.25">
      <c r="A4855" t="str">
        <f t="shared" si="77"/>
        <v/>
      </c>
    </row>
    <row r="4856" spans="1:1" x14ac:dyDescent="0.25">
      <c r="A4856" t="str">
        <f t="shared" si="77"/>
        <v/>
      </c>
    </row>
    <row r="4857" spans="1:1" x14ac:dyDescent="0.25">
      <c r="A4857" t="str">
        <f t="shared" si="77"/>
        <v/>
      </c>
    </row>
    <row r="4858" spans="1:1" x14ac:dyDescent="0.25">
      <c r="A4858" t="str">
        <f t="shared" si="77"/>
        <v/>
      </c>
    </row>
    <row r="4859" spans="1:1" x14ac:dyDescent="0.25">
      <c r="A4859" t="str">
        <f t="shared" si="77"/>
        <v/>
      </c>
    </row>
    <row r="4860" spans="1:1" x14ac:dyDescent="0.25">
      <c r="A4860" t="str">
        <f t="shared" si="77"/>
        <v/>
      </c>
    </row>
    <row r="4861" spans="1:1" x14ac:dyDescent="0.25">
      <c r="A4861" t="str">
        <f t="shared" si="77"/>
        <v/>
      </c>
    </row>
    <row r="4862" spans="1:1" x14ac:dyDescent="0.25">
      <c r="A4862" t="str">
        <f t="shared" si="77"/>
        <v/>
      </c>
    </row>
    <row r="4863" spans="1:1" x14ac:dyDescent="0.25">
      <c r="A4863" t="str">
        <f t="shared" si="77"/>
        <v/>
      </c>
    </row>
    <row r="4864" spans="1:1" x14ac:dyDescent="0.25">
      <c r="A4864" t="str">
        <f t="shared" si="77"/>
        <v/>
      </c>
    </row>
    <row r="4865" spans="1:1" x14ac:dyDescent="0.25">
      <c r="A4865" t="str">
        <f t="shared" si="77"/>
        <v/>
      </c>
    </row>
    <row r="4866" spans="1:1" x14ac:dyDescent="0.25">
      <c r="A4866" t="str">
        <f t="shared" si="77"/>
        <v/>
      </c>
    </row>
    <row r="4867" spans="1:1" x14ac:dyDescent="0.25">
      <c r="A4867" t="str">
        <f t="shared" si="77"/>
        <v/>
      </c>
    </row>
    <row r="4868" spans="1:1" x14ac:dyDescent="0.25">
      <c r="A4868" t="str">
        <f t="shared" si="77"/>
        <v/>
      </c>
    </row>
    <row r="4869" spans="1:1" x14ac:dyDescent="0.25">
      <c r="A4869" t="str">
        <f t="shared" si="77"/>
        <v/>
      </c>
    </row>
    <row r="4870" spans="1:1" x14ac:dyDescent="0.25">
      <c r="A4870" t="str">
        <f t="shared" si="77"/>
        <v/>
      </c>
    </row>
    <row r="4871" spans="1:1" x14ac:dyDescent="0.25">
      <c r="A4871" t="str">
        <f t="shared" si="77"/>
        <v/>
      </c>
    </row>
    <row r="4872" spans="1:1" x14ac:dyDescent="0.25">
      <c r="A4872" t="str">
        <f t="shared" si="77"/>
        <v/>
      </c>
    </row>
    <row r="4873" spans="1:1" x14ac:dyDescent="0.25">
      <c r="A4873" t="str">
        <f t="shared" si="77"/>
        <v/>
      </c>
    </row>
    <row r="4874" spans="1:1" x14ac:dyDescent="0.25">
      <c r="A4874" t="str">
        <f t="shared" si="77"/>
        <v/>
      </c>
    </row>
    <row r="4875" spans="1:1" x14ac:dyDescent="0.25">
      <c r="A4875" t="str">
        <f t="shared" si="77"/>
        <v/>
      </c>
    </row>
    <row r="4876" spans="1:1" x14ac:dyDescent="0.25">
      <c r="A4876" t="str">
        <f t="shared" si="77"/>
        <v/>
      </c>
    </row>
    <row r="4877" spans="1:1" x14ac:dyDescent="0.25">
      <c r="A4877" t="str">
        <f t="shared" si="77"/>
        <v/>
      </c>
    </row>
    <row r="4878" spans="1:1" x14ac:dyDescent="0.25">
      <c r="A4878" t="str">
        <f t="shared" si="77"/>
        <v/>
      </c>
    </row>
    <row r="4879" spans="1:1" x14ac:dyDescent="0.25">
      <c r="A4879" t="str">
        <f t="shared" si="77"/>
        <v/>
      </c>
    </row>
    <row r="4880" spans="1:1" x14ac:dyDescent="0.25">
      <c r="A4880" t="str">
        <f t="shared" si="77"/>
        <v/>
      </c>
    </row>
    <row r="4881" spans="1:1" x14ac:dyDescent="0.25">
      <c r="A4881" t="str">
        <f t="shared" si="77"/>
        <v/>
      </c>
    </row>
    <row r="4882" spans="1:1" x14ac:dyDescent="0.25">
      <c r="A4882" t="str">
        <f t="shared" si="77"/>
        <v/>
      </c>
    </row>
    <row r="4883" spans="1:1" x14ac:dyDescent="0.25">
      <c r="A4883" t="str">
        <f t="shared" si="77"/>
        <v/>
      </c>
    </row>
    <row r="4884" spans="1:1" x14ac:dyDescent="0.25">
      <c r="A4884" t="str">
        <f t="shared" si="77"/>
        <v/>
      </c>
    </row>
    <row r="4885" spans="1:1" x14ac:dyDescent="0.25">
      <c r="A4885" t="str">
        <f t="shared" si="77"/>
        <v/>
      </c>
    </row>
    <row r="4886" spans="1:1" x14ac:dyDescent="0.25">
      <c r="A4886" t="str">
        <f t="shared" si="77"/>
        <v/>
      </c>
    </row>
    <row r="4887" spans="1:1" x14ac:dyDescent="0.25">
      <c r="A4887" t="str">
        <f t="shared" si="77"/>
        <v/>
      </c>
    </row>
    <row r="4888" spans="1:1" x14ac:dyDescent="0.25">
      <c r="A4888" t="str">
        <f t="shared" si="77"/>
        <v/>
      </c>
    </row>
    <row r="4889" spans="1:1" x14ac:dyDescent="0.25">
      <c r="A4889" t="str">
        <f t="shared" si="77"/>
        <v/>
      </c>
    </row>
    <row r="4890" spans="1:1" x14ac:dyDescent="0.25">
      <c r="A4890" t="str">
        <f t="shared" si="77"/>
        <v/>
      </c>
    </row>
    <row r="4891" spans="1:1" x14ac:dyDescent="0.25">
      <c r="A4891" t="str">
        <f t="shared" si="77"/>
        <v/>
      </c>
    </row>
    <row r="4892" spans="1:1" x14ac:dyDescent="0.25">
      <c r="A4892" t="str">
        <f t="shared" si="77"/>
        <v/>
      </c>
    </row>
    <row r="4893" spans="1:1" x14ac:dyDescent="0.25">
      <c r="A4893" t="str">
        <f t="shared" si="77"/>
        <v/>
      </c>
    </row>
    <row r="4894" spans="1:1" x14ac:dyDescent="0.25">
      <c r="A4894" t="str">
        <f t="shared" si="77"/>
        <v/>
      </c>
    </row>
    <row r="4895" spans="1:1" x14ac:dyDescent="0.25">
      <c r="A4895" t="str">
        <f t="shared" si="77"/>
        <v/>
      </c>
    </row>
    <row r="4896" spans="1:1" x14ac:dyDescent="0.25">
      <c r="A4896" t="str">
        <f t="shared" si="77"/>
        <v/>
      </c>
    </row>
    <row r="4897" spans="1:1" x14ac:dyDescent="0.25">
      <c r="A4897" t="str">
        <f t="shared" si="77"/>
        <v/>
      </c>
    </row>
    <row r="4898" spans="1:1" x14ac:dyDescent="0.25">
      <c r="A4898" t="str">
        <f t="shared" si="77"/>
        <v/>
      </c>
    </row>
    <row r="4899" spans="1:1" x14ac:dyDescent="0.25">
      <c r="A4899" t="str">
        <f t="shared" si="77"/>
        <v/>
      </c>
    </row>
    <row r="4900" spans="1:1" x14ac:dyDescent="0.25">
      <c r="A4900" t="str">
        <f t="shared" si="77"/>
        <v/>
      </c>
    </row>
    <row r="4901" spans="1:1" x14ac:dyDescent="0.25">
      <c r="A4901" t="str">
        <f t="shared" si="77"/>
        <v/>
      </c>
    </row>
    <row r="4902" spans="1:1" x14ac:dyDescent="0.25">
      <c r="A4902" t="str">
        <f t="shared" si="77"/>
        <v/>
      </c>
    </row>
    <row r="4903" spans="1:1" x14ac:dyDescent="0.25">
      <c r="A4903" t="str">
        <f t="shared" si="77"/>
        <v/>
      </c>
    </row>
    <row r="4904" spans="1:1" x14ac:dyDescent="0.25">
      <c r="A4904" t="str">
        <f t="shared" si="77"/>
        <v/>
      </c>
    </row>
    <row r="4905" spans="1:1" x14ac:dyDescent="0.25">
      <c r="A4905" t="str">
        <f t="shared" si="77"/>
        <v/>
      </c>
    </row>
    <row r="4906" spans="1:1" x14ac:dyDescent="0.25">
      <c r="A4906" t="str">
        <f t="shared" si="77"/>
        <v/>
      </c>
    </row>
    <row r="4907" spans="1:1" x14ac:dyDescent="0.25">
      <c r="A4907" t="str">
        <f t="shared" si="77"/>
        <v/>
      </c>
    </row>
    <row r="4908" spans="1:1" x14ac:dyDescent="0.25">
      <c r="A4908" t="str">
        <f t="shared" si="77"/>
        <v/>
      </c>
    </row>
    <row r="4909" spans="1:1" x14ac:dyDescent="0.25">
      <c r="A4909" t="str">
        <f t="shared" si="77"/>
        <v/>
      </c>
    </row>
    <row r="4910" spans="1:1" x14ac:dyDescent="0.25">
      <c r="A4910" t="str">
        <f t="shared" si="77"/>
        <v/>
      </c>
    </row>
    <row r="4911" spans="1:1" x14ac:dyDescent="0.25">
      <c r="A4911" t="str">
        <f t="shared" si="77"/>
        <v/>
      </c>
    </row>
    <row r="4912" spans="1:1" x14ac:dyDescent="0.25">
      <c r="A4912" t="str">
        <f t="shared" si="77"/>
        <v/>
      </c>
    </row>
    <row r="4913" spans="1:1" x14ac:dyDescent="0.25">
      <c r="A4913" t="str">
        <f t="shared" si="77"/>
        <v/>
      </c>
    </row>
    <row r="4914" spans="1:1" x14ac:dyDescent="0.25">
      <c r="A4914" t="str">
        <f t="shared" si="77"/>
        <v/>
      </c>
    </row>
    <row r="4915" spans="1:1" x14ac:dyDescent="0.25">
      <c r="A4915" t="str">
        <f t="shared" si="77"/>
        <v/>
      </c>
    </row>
    <row r="4916" spans="1:1" x14ac:dyDescent="0.25">
      <c r="A4916" t="str">
        <f t="shared" si="77"/>
        <v/>
      </c>
    </row>
    <row r="4917" spans="1:1" x14ac:dyDescent="0.25">
      <c r="A4917" t="str">
        <f t="shared" ref="A4917:A4980" si="78">B4915&amp;D4915</f>
        <v/>
      </c>
    </row>
    <row r="4918" spans="1:1" x14ac:dyDescent="0.25">
      <c r="A4918" t="str">
        <f t="shared" si="78"/>
        <v/>
      </c>
    </row>
    <row r="4919" spans="1:1" x14ac:dyDescent="0.25">
      <c r="A4919" t="str">
        <f t="shared" si="78"/>
        <v/>
      </c>
    </row>
    <row r="4920" spans="1:1" x14ac:dyDescent="0.25">
      <c r="A4920" t="str">
        <f t="shared" si="78"/>
        <v/>
      </c>
    </row>
    <row r="4921" spans="1:1" x14ac:dyDescent="0.25">
      <c r="A4921" t="str">
        <f t="shared" si="78"/>
        <v/>
      </c>
    </row>
    <row r="4922" spans="1:1" x14ac:dyDescent="0.25">
      <c r="A4922" t="str">
        <f t="shared" si="78"/>
        <v/>
      </c>
    </row>
    <row r="4923" spans="1:1" x14ac:dyDescent="0.25">
      <c r="A4923" t="str">
        <f t="shared" si="78"/>
        <v/>
      </c>
    </row>
    <row r="4924" spans="1:1" x14ac:dyDescent="0.25">
      <c r="A4924" t="str">
        <f t="shared" si="78"/>
        <v/>
      </c>
    </row>
    <row r="4925" spans="1:1" x14ac:dyDescent="0.25">
      <c r="A4925" t="str">
        <f t="shared" si="78"/>
        <v/>
      </c>
    </row>
    <row r="4926" spans="1:1" x14ac:dyDescent="0.25">
      <c r="A4926" t="str">
        <f t="shared" si="78"/>
        <v/>
      </c>
    </row>
    <row r="4927" spans="1:1" x14ac:dyDescent="0.25">
      <c r="A4927" t="str">
        <f t="shared" si="78"/>
        <v/>
      </c>
    </row>
    <row r="4928" spans="1:1" x14ac:dyDescent="0.25">
      <c r="A4928" t="str">
        <f t="shared" si="78"/>
        <v/>
      </c>
    </row>
    <row r="4929" spans="1:1" x14ac:dyDescent="0.25">
      <c r="A4929" t="str">
        <f t="shared" si="78"/>
        <v/>
      </c>
    </row>
    <row r="4930" spans="1:1" x14ac:dyDescent="0.25">
      <c r="A4930" t="str">
        <f t="shared" si="78"/>
        <v/>
      </c>
    </row>
    <row r="4931" spans="1:1" x14ac:dyDescent="0.25">
      <c r="A4931" t="str">
        <f t="shared" si="78"/>
        <v/>
      </c>
    </row>
    <row r="4932" spans="1:1" x14ac:dyDescent="0.25">
      <c r="A4932" t="str">
        <f t="shared" si="78"/>
        <v/>
      </c>
    </row>
    <row r="4933" spans="1:1" x14ac:dyDescent="0.25">
      <c r="A4933" t="str">
        <f t="shared" si="78"/>
        <v/>
      </c>
    </row>
    <row r="4934" spans="1:1" x14ac:dyDescent="0.25">
      <c r="A4934" t="str">
        <f t="shared" si="78"/>
        <v/>
      </c>
    </row>
    <row r="4935" spans="1:1" x14ac:dyDescent="0.25">
      <c r="A4935" t="str">
        <f t="shared" si="78"/>
        <v/>
      </c>
    </row>
    <row r="4936" spans="1:1" x14ac:dyDescent="0.25">
      <c r="A4936" t="str">
        <f t="shared" si="78"/>
        <v/>
      </c>
    </row>
    <row r="4937" spans="1:1" x14ac:dyDescent="0.25">
      <c r="A4937" t="str">
        <f t="shared" si="78"/>
        <v/>
      </c>
    </row>
    <row r="4938" spans="1:1" x14ac:dyDescent="0.25">
      <c r="A4938" t="str">
        <f t="shared" si="78"/>
        <v/>
      </c>
    </row>
    <row r="4939" spans="1:1" x14ac:dyDescent="0.25">
      <c r="A4939" t="str">
        <f t="shared" si="78"/>
        <v/>
      </c>
    </row>
    <row r="4940" spans="1:1" x14ac:dyDescent="0.25">
      <c r="A4940" t="str">
        <f t="shared" si="78"/>
        <v/>
      </c>
    </row>
    <row r="4941" spans="1:1" x14ac:dyDescent="0.25">
      <c r="A4941" t="str">
        <f t="shared" si="78"/>
        <v/>
      </c>
    </row>
    <row r="4942" spans="1:1" x14ac:dyDescent="0.25">
      <c r="A4942" t="str">
        <f t="shared" si="78"/>
        <v/>
      </c>
    </row>
    <row r="4943" spans="1:1" x14ac:dyDescent="0.25">
      <c r="A4943" t="str">
        <f t="shared" si="78"/>
        <v/>
      </c>
    </row>
    <row r="4944" spans="1:1" x14ac:dyDescent="0.25">
      <c r="A4944" t="str">
        <f t="shared" si="78"/>
        <v/>
      </c>
    </row>
    <row r="4945" spans="1:1" x14ac:dyDescent="0.25">
      <c r="A4945" t="str">
        <f t="shared" si="78"/>
        <v/>
      </c>
    </row>
    <row r="4946" spans="1:1" x14ac:dyDescent="0.25">
      <c r="A4946" t="str">
        <f t="shared" si="78"/>
        <v/>
      </c>
    </row>
    <row r="4947" spans="1:1" x14ac:dyDescent="0.25">
      <c r="A4947" t="str">
        <f t="shared" si="78"/>
        <v/>
      </c>
    </row>
    <row r="4948" spans="1:1" x14ac:dyDescent="0.25">
      <c r="A4948" t="str">
        <f t="shared" si="78"/>
        <v/>
      </c>
    </row>
    <row r="4949" spans="1:1" x14ac:dyDescent="0.25">
      <c r="A4949" t="str">
        <f t="shared" si="78"/>
        <v/>
      </c>
    </row>
    <row r="4950" spans="1:1" x14ac:dyDescent="0.25">
      <c r="A4950" t="str">
        <f t="shared" si="78"/>
        <v/>
      </c>
    </row>
    <row r="4951" spans="1:1" x14ac:dyDescent="0.25">
      <c r="A4951" t="str">
        <f t="shared" si="78"/>
        <v/>
      </c>
    </row>
    <row r="4952" spans="1:1" x14ac:dyDescent="0.25">
      <c r="A4952" t="str">
        <f t="shared" si="78"/>
        <v/>
      </c>
    </row>
    <row r="4953" spans="1:1" x14ac:dyDescent="0.25">
      <c r="A4953" t="str">
        <f t="shared" si="78"/>
        <v/>
      </c>
    </row>
    <row r="4954" spans="1:1" x14ac:dyDescent="0.25">
      <c r="A4954" t="str">
        <f t="shared" si="78"/>
        <v/>
      </c>
    </row>
    <row r="4955" spans="1:1" x14ac:dyDescent="0.25">
      <c r="A4955" t="str">
        <f t="shared" si="78"/>
        <v/>
      </c>
    </row>
    <row r="4956" spans="1:1" x14ac:dyDescent="0.25">
      <c r="A4956" t="str">
        <f t="shared" si="78"/>
        <v/>
      </c>
    </row>
    <row r="4957" spans="1:1" x14ac:dyDescent="0.25">
      <c r="A4957" t="str">
        <f t="shared" si="78"/>
        <v/>
      </c>
    </row>
    <row r="4958" spans="1:1" x14ac:dyDescent="0.25">
      <c r="A4958" t="str">
        <f t="shared" si="78"/>
        <v/>
      </c>
    </row>
    <row r="4959" spans="1:1" x14ac:dyDescent="0.25">
      <c r="A4959" t="str">
        <f t="shared" si="78"/>
        <v/>
      </c>
    </row>
    <row r="4960" spans="1:1" x14ac:dyDescent="0.25">
      <c r="A4960" t="str">
        <f t="shared" si="78"/>
        <v/>
      </c>
    </row>
    <row r="4961" spans="1:1" x14ac:dyDescent="0.25">
      <c r="A4961" t="str">
        <f t="shared" si="78"/>
        <v/>
      </c>
    </row>
    <row r="4962" spans="1:1" x14ac:dyDescent="0.25">
      <c r="A4962" t="str">
        <f t="shared" si="78"/>
        <v/>
      </c>
    </row>
    <row r="4963" spans="1:1" x14ac:dyDescent="0.25">
      <c r="A4963" t="str">
        <f t="shared" si="78"/>
        <v/>
      </c>
    </row>
    <row r="4964" spans="1:1" x14ac:dyDescent="0.25">
      <c r="A4964" t="str">
        <f t="shared" si="78"/>
        <v/>
      </c>
    </row>
    <row r="4965" spans="1:1" x14ac:dyDescent="0.25">
      <c r="A4965" t="str">
        <f t="shared" si="78"/>
        <v/>
      </c>
    </row>
    <row r="4966" spans="1:1" x14ac:dyDescent="0.25">
      <c r="A4966" t="str">
        <f t="shared" si="78"/>
        <v/>
      </c>
    </row>
    <row r="4967" spans="1:1" x14ac:dyDescent="0.25">
      <c r="A4967" t="str">
        <f t="shared" si="78"/>
        <v/>
      </c>
    </row>
    <row r="4968" spans="1:1" x14ac:dyDescent="0.25">
      <c r="A4968" t="str">
        <f t="shared" si="78"/>
        <v/>
      </c>
    </row>
    <row r="4969" spans="1:1" x14ac:dyDescent="0.25">
      <c r="A4969" t="str">
        <f t="shared" si="78"/>
        <v/>
      </c>
    </row>
    <row r="4970" spans="1:1" x14ac:dyDescent="0.25">
      <c r="A4970" t="str">
        <f t="shared" si="78"/>
        <v/>
      </c>
    </row>
    <row r="4971" spans="1:1" x14ac:dyDescent="0.25">
      <c r="A4971" t="str">
        <f t="shared" si="78"/>
        <v/>
      </c>
    </row>
    <row r="4972" spans="1:1" x14ac:dyDescent="0.25">
      <c r="A4972" t="str">
        <f t="shared" si="78"/>
        <v/>
      </c>
    </row>
    <row r="4973" spans="1:1" x14ac:dyDescent="0.25">
      <c r="A4973" t="str">
        <f t="shared" si="78"/>
        <v/>
      </c>
    </row>
    <row r="4974" spans="1:1" x14ac:dyDescent="0.25">
      <c r="A4974" t="str">
        <f t="shared" si="78"/>
        <v/>
      </c>
    </row>
    <row r="4975" spans="1:1" x14ac:dyDescent="0.25">
      <c r="A4975" t="str">
        <f t="shared" si="78"/>
        <v/>
      </c>
    </row>
    <row r="4976" spans="1:1" x14ac:dyDescent="0.25">
      <c r="A4976" t="str">
        <f t="shared" si="78"/>
        <v/>
      </c>
    </row>
    <row r="4977" spans="1:1" x14ac:dyDescent="0.25">
      <c r="A4977" t="str">
        <f t="shared" si="78"/>
        <v/>
      </c>
    </row>
    <row r="4978" spans="1:1" x14ac:dyDescent="0.25">
      <c r="A4978" t="str">
        <f t="shared" si="78"/>
        <v/>
      </c>
    </row>
    <row r="4979" spans="1:1" x14ac:dyDescent="0.25">
      <c r="A4979" t="str">
        <f t="shared" si="78"/>
        <v/>
      </c>
    </row>
    <row r="4980" spans="1:1" x14ac:dyDescent="0.25">
      <c r="A4980" t="str">
        <f t="shared" si="78"/>
        <v/>
      </c>
    </row>
    <row r="4981" spans="1:1" x14ac:dyDescent="0.25">
      <c r="A4981" t="str">
        <f t="shared" ref="A4981:A5044" si="79">B4979&amp;D4979</f>
        <v/>
      </c>
    </row>
    <row r="4982" spans="1:1" x14ac:dyDescent="0.25">
      <c r="A4982" t="str">
        <f t="shared" si="79"/>
        <v/>
      </c>
    </row>
    <row r="4983" spans="1:1" x14ac:dyDescent="0.25">
      <c r="A4983" t="str">
        <f t="shared" si="79"/>
        <v/>
      </c>
    </row>
    <row r="4984" spans="1:1" x14ac:dyDescent="0.25">
      <c r="A4984" t="str">
        <f t="shared" si="79"/>
        <v/>
      </c>
    </row>
    <row r="4985" spans="1:1" x14ac:dyDescent="0.25">
      <c r="A4985" t="str">
        <f t="shared" si="79"/>
        <v/>
      </c>
    </row>
    <row r="4986" spans="1:1" x14ac:dyDescent="0.25">
      <c r="A4986" t="str">
        <f t="shared" si="79"/>
        <v/>
      </c>
    </row>
    <row r="4987" spans="1:1" x14ac:dyDescent="0.25">
      <c r="A4987" t="str">
        <f t="shared" si="79"/>
        <v/>
      </c>
    </row>
    <row r="4988" spans="1:1" x14ac:dyDescent="0.25">
      <c r="A4988" t="str">
        <f t="shared" si="79"/>
        <v/>
      </c>
    </row>
    <row r="4989" spans="1:1" x14ac:dyDescent="0.25">
      <c r="A4989" t="str">
        <f t="shared" si="79"/>
        <v/>
      </c>
    </row>
    <row r="4990" spans="1:1" x14ac:dyDescent="0.25">
      <c r="A4990" t="str">
        <f t="shared" si="79"/>
        <v/>
      </c>
    </row>
    <row r="4991" spans="1:1" x14ac:dyDescent="0.25">
      <c r="A4991" t="str">
        <f t="shared" si="79"/>
        <v/>
      </c>
    </row>
    <row r="4992" spans="1:1" x14ac:dyDescent="0.25">
      <c r="A4992" t="str">
        <f t="shared" si="79"/>
        <v/>
      </c>
    </row>
    <row r="4993" spans="1:1" x14ac:dyDescent="0.25">
      <c r="A4993" t="str">
        <f t="shared" si="79"/>
        <v/>
      </c>
    </row>
    <row r="4994" spans="1:1" x14ac:dyDescent="0.25">
      <c r="A4994" t="str">
        <f t="shared" si="79"/>
        <v/>
      </c>
    </row>
    <row r="4995" spans="1:1" x14ac:dyDescent="0.25">
      <c r="A4995" t="str">
        <f t="shared" si="79"/>
        <v/>
      </c>
    </row>
    <row r="4996" spans="1:1" x14ac:dyDescent="0.25">
      <c r="A4996" t="str">
        <f t="shared" si="79"/>
        <v/>
      </c>
    </row>
    <row r="4997" spans="1:1" x14ac:dyDescent="0.25">
      <c r="A4997" t="str">
        <f t="shared" si="79"/>
        <v/>
      </c>
    </row>
    <row r="4998" spans="1:1" x14ac:dyDescent="0.25">
      <c r="A4998" t="str">
        <f t="shared" si="79"/>
        <v/>
      </c>
    </row>
    <row r="4999" spans="1:1" x14ac:dyDescent="0.25">
      <c r="A4999" t="str">
        <f t="shared" si="79"/>
        <v/>
      </c>
    </row>
    <row r="5000" spans="1:1" x14ac:dyDescent="0.25">
      <c r="A5000" t="str">
        <f t="shared" si="79"/>
        <v/>
      </c>
    </row>
    <row r="5001" spans="1:1" x14ac:dyDescent="0.25">
      <c r="A5001" t="str">
        <f t="shared" si="79"/>
        <v/>
      </c>
    </row>
    <row r="5002" spans="1:1" x14ac:dyDescent="0.25">
      <c r="A5002" t="str">
        <f t="shared" si="79"/>
        <v/>
      </c>
    </row>
    <row r="5003" spans="1:1" x14ac:dyDescent="0.25">
      <c r="A5003" t="str">
        <f t="shared" si="79"/>
        <v/>
      </c>
    </row>
    <row r="5004" spans="1:1" x14ac:dyDescent="0.25">
      <c r="A5004" t="str">
        <f t="shared" si="79"/>
        <v/>
      </c>
    </row>
    <row r="5005" spans="1:1" x14ac:dyDescent="0.25">
      <c r="A5005" t="str">
        <f t="shared" si="79"/>
        <v/>
      </c>
    </row>
    <row r="5006" spans="1:1" x14ac:dyDescent="0.25">
      <c r="A5006" t="str">
        <f t="shared" si="79"/>
        <v/>
      </c>
    </row>
    <row r="5007" spans="1:1" x14ac:dyDescent="0.25">
      <c r="A5007" t="str">
        <f t="shared" si="79"/>
        <v/>
      </c>
    </row>
    <row r="5008" spans="1:1" x14ac:dyDescent="0.25">
      <c r="A5008" t="str">
        <f t="shared" si="79"/>
        <v/>
      </c>
    </row>
    <row r="5009" spans="1:1" x14ac:dyDescent="0.25">
      <c r="A5009" t="str">
        <f t="shared" si="79"/>
        <v/>
      </c>
    </row>
    <row r="5010" spans="1:1" x14ac:dyDescent="0.25">
      <c r="A5010" t="str">
        <f t="shared" si="79"/>
        <v/>
      </c>
    </row>
    <row r="5011" spans="1:1" x14ac:dyDescent="0.25">
      <c r="A5011" t="str">
        <f t="shared" si="79"/>
        <v/>
      </c>
    </row>
    <row r="5012" spans="1:1" x14ac:dyDescent="0.25">
      <c r="A5012" t="str">
        <f t="shared" si="79"/>
        <v/>
      </c>
    </row>
    <row r="5013" spans="1:1" x14ac:dyDescent="0.25">
      <c r="A5013" t="str">
        <f t="shared" si="79"/>
        <v/>
      </c>
    </row>
    <row r="5014" spans="1:1" x14ac:dyDescent="0.25">
      <c r="A5014" t="str">
        <f t="shared" si="79"/>
        <v/>
      </c>
    </row>
    <row r="5015" spans="1:1" x14ac:dyDescent="0.25">
      <c r="A5015" t="str">
        <f t="shared" si="79"/>
        <v/>
      </c>
    </row>
    <row r="5016" spans="1:1" x14ac:dyDescent="0.25">
      <c r="A5016" t="str">
        <f t="shared" si="79"/>
        <v/>
      </c>
    </row>
    <row r="5017" spans="1:1" x14ac:dyDescent="0.25">
      <c r="A5017" t="str">
        <f t="shared" si="79"/>
        <v/>
      </c>
    </row>
    <row r="5018" spans="1:1" x14ac:dyDescent="0.25">
      <c r="A5018" t="str">
        <f t="shared" si="79"/>
        <v/>
      </c>
    </row>
    <row r="5019" spans="1:1" x14ac:dyDescent="0.25">
      <c r="A5019" t="str">
        <f t="shared" si="79"/>
        <v/>
      </c>
    </row>
    <row r="5020" spans="1:1" x14ac:dyDescent="0.25">
      <c r="A5020" t="str">
        <f t="shared" si="79"/>
        <v/>
      </c>
    </row>
    <row r="5021" spans="1:1" x14ac:dyDescent="0.25">
      <c r="A5021" t="str">
        <f t="shared" si="79"/>
        <v/>
      </c>
    </row>
    <row r="5022" spans="1:1" x14ac:dyDescent="0.25">
      <c r="A5022" t="str">
        <f t="shared" si="79"/>
        <v/>
      </c>
    </row>
    <row r="5023" spans="1:1" x14ac:dyDescent="0.25">
      <c r="A5023" t="str">
        <f t="shared" si="79"/>
        <v/>
      </c>
    </row>
    <row r="5024" spans="1:1" x14ac:dyDescent="0.25">
      <c r="A5024" t="str">
        <f t="shared" si="79"/>
        <v/>
      </c>
    </row>
    <row r="5025" spans="1:1" x14ac:dyDescent="0.25">
      <c r="A5025" t="str">
        <f t="shared" si="79"/>
        <v/>
      </c>
    </row>
    <row r="5026" spans="1:1" x14ac:dyDescent="0.25">
      <c r="A5026" t="str">
        <f t="shared" si="79"/>
        <v/>
      </c>
    </row>
    <row r="5027" spans="1:1" x14ac:dyDescent="0.25">
      <c r="A5027" t="str">
        <f t="shared" si="79"/>
        <v/>
      </c>
    </row>
    <row r="5028" spans="1:1" x14ac:dyDescent="0.25">
      <c r="A5028" t="str">
        <f t="shared" si="79"/>
        <v/>
      </c>
    </row>
    <row r="5029" spans="1:1" x14ac:dyDescent="0.25">
      <c r="A5029" t="str">
        <f t="shared" si="79"/>
        <v/>
      </c>
    </row>
    <row r="5030" spans="1:1" x14ac:dyDescent="0.25">
      <c r="A5030" t="str">
        <f t="shared" si="79"/>
        <v/>
      </c>
    </row>
    <row r="5031" spans="1:1" x14ac:dyDescent="0.25">
      <c r="A5031" t="str">
        <f t="shared" si="79"/>
        <v/>
      </c>
    </row>
    <row r="5032" spans="1:1" x14ac:dyDescent="0.25">
      <c r="A5032" t="str">
        <f t="shared" si="79"/>
        <v/>
      </c>
    </row>
    <row r="5033" spans="1:1" x14ac:dyDescent="0.25">
      <c r="A5033" t="str">
        <f t="shared" si="79"/>
        <v/>
      </c>
    </row>
    <row r="5034" spans="1:1" x14ac:dyDescent="0.25">
      <c r="A5034" t="str">
        <f t="shared" si="79"/>
        <v/>
      </c>
    </row>
    <row r="5035" spans="1:1" x14ac:dyDescent="0.25">
      <c r="A5035" t="str">
        <f t="shared" si="79"/>
        <v/>
      </c>
    </row>
    <row r="5036" spans="1:1" x14ac:dyDescent="0.25">
      <c r="A5036" t="str">
        <f t="shared" si="79"/>
        <v/>
      </c>
    </row>
    <row r="5037" spans="1:1" x14ac:dyDescent="0.25">
      <c r="A5037" t="str">
        <f t="shared" si="79"/>
        <v/>
      </c>
    </row>
    <row r="5038" spans="1:1" x14ac:dyDescent="0.25">
      <c r="A5038" t="str">
        <f t="shared" si="79"/>
        <v/>
      </c>
    </row>
    <row r="5039" spans="1:1" x14ac:dyDescent="0.25">
      <c r="A5039" t="str">
        <f t="shared" si="79"/>
        <v/>
      </c>
    </row>
    <row r="5040" spans="1:1" x14ac:dyDescent="0.25">
      <c r="A5040" t="str">
        <f t="shared" si="79"/>
        <v/>
      </c>
    </row>
    <row r="5041" spans="1:1" x14ac:dyDescent="0.25">
      <c r="A5041" t="str">
        <f t="shared" si="79"/>
        <v/>
      </c>
    </row>
    <row r="5042" spans="1:1" x14ac:dyDescent="0.25">
      <c r="A5042" t="str">
        <f t="shared" si="79"/>
        <v/>
      </c>
    </row>
    <row r="5043" spans="1:1" x14ac:dyDescent="0.25">
      <c r="A5043" t="str">
        <f t="shared" si="79"/>
        <v/>
      </c>
    </row>
    <row r="5044" spans="1:1" x14ac:dyDescent="0.25">
      <c r="A5044" t="str">
        <f t="shared" si="79"/>
        <v/>
      </c>
    </row>
    <row r="5045" spans="1:1" x14ac:dyDescent="0.25">
      <c r="A5045" t="str">
        <f t="shared" ref="A5045:A5108" si="80">B5043&amp;D5043</f>
        <v/>
      </c>
    </row>
    <row r="5046" spans="1:1" x14ac:dyDescent="0.25">
      <c r="A5046" t="str">
        <f t="shared" si="80"/>
        <v/>
      </c>
    </row>
    <row r="5047" spans="1:1" x14ac:dyDescent="0.25">
      <c r="A5047" t="str">
        <f t="shared" si="80"/>
        <v/>
      </c>
    </row>
    <row r="5048" spans="1:1" x14ac:dyDescent="0.25">
      <c r="A5048" t="str">
        <f t="shared" si="80"/>
        <v/>
      </c>
    </row>
    <row r="5049" spans="1:1" x14ac:dyDescent="0.25">
      <c r="A5049" t="str">
        <f t="shared" si="80"/>
        <v/>
      </c>
    </row>
    <row r="5050" spans="1:1" x14ac:dyDescent="0.25">
      <c r="A5050" t="str">
        <f t="shared" si="80"/>
        <v/>
      </c>
    </row>
    <row r="5051" spans="1:1" x14ac:dyDescent="0.25">
      <c r="A5051" t="str">
        <f t="shared" si="80"/>
        <v/>
      </c>
    </row>
    <row r="5052" spans="1:1" x14ac:dyDescent="0.25">
      <c r="A5052" t="str">
        <f t="shared" si="80"/>
        <v/>
      </c>
    </row>
    <row r="5053" spans="1:1" x14ac:dyDescent="0.25">
      <c r="A5053" t="str">
        <f t="shared" si="80"/>
        <v/>
      </c>
    </row>
    <row r="5054" spans="1:1" x14ac:dyDescent="0.25">
      <c r="A5054" t="str">
        <f t="shared" si="80"/>
        <v/>
      </c>
    </row>
    <row r="5055" spans="1:1" x14ac:dyDescent="0.25">
      <c r="A5055" t="str">
        <f t="shared" si="80"/>
        <v/>
      </c>
    </row>
    <row r="5056" spans="1:1" x14ac:dyDescent="0.25">
      <c r="A5056" t="str">
        <f t="shared" si="80"/>
        <v/>
      </c>
    </row>
    <row r="5057" spans="1:1" x14ac:dyDescent="0.25">
      <c r="A5057" t="str">
        <f t="shared" si="80"/>
        <v/>
      </c>
    </row>
    <row r="5058" spans="1:1" x14ac:dyDescent="0.25">
      <c r="A5058" t="str">
        <f t="shared" si="80"/>
        <v/>
      </c>
    </row>
    <row r="5059" spans="1:1" x14ac:dyDescent="0.25">
      <c r="A5059" t="str">
        <f t="shared" si="80"/>
        <v/>
      </c>
    </row>
    <row r="5060" spans="1:1" x14ac:dyDescent="0.25">
      <c r="A5060" t="str">
        <f t="shared" si="80"/>
        <v/>
      </c>
    </row>
    <row r="5061" spans="1:1" x14ac:dyDescent="0.25">
      <c r="A5061" t="str">
        <f t="shared" si="80"/>
        <v/>
      </c>
    </row>
    <row r="5062" spans="1:1" x14ac:dyDescent="0.25">
      <c r="A5062" t="str">
        <f t="shared" si="80"/>
        <v/>
      </c>
    </row>
    <row r="5063" spans="1:1" x14ac:dyDescent="0.25">
      <c r="A5063" t="str">
        <f t="shared" si="80"/>
        <v/>
      </c>
    </row>
    <row r="5064" spans="1:1" x14ac:dyDescent="0.25">
      <c r="A5064" t="str">
        <f t="shared" si="80"/>
        <v/>
      </c>
    </row>
    <row r="5065" spans="1:1" x14ac:dyDescent="0.25">
      <c r="A5065" t="str">
        <f t="shared" si="80"/>
        <v/>
      </c>
    </row>
    <row r="5066" spans="1:1" x14ac:dyDescent="0.25">
      <c r="A5066" t="str">
        <f t="shared" si="80"/>
        <v/>
      </c>
    </row>
    <row r="5067" spans="1:1" x14ac:dyDescent="0.25">
      <c r="A5067" t="str">
        <f t="shared" si="80"/>
        <v/>
      </c>
    </row>
    <row r="5068" spans="1:1" x14ac:dyDescent="0.25">
      <c r="A5068" t="str">
        <f t="shared" si="80"/>
        <v/>
      </c>
    </row>
    <row r="5069" spans="1:1" x14ac:dyDescent="0.25">
      <c r="A5069" t="str">
        <f t="shared" si="80"/>
        <v/>
      </c>
    </row>
    <row r="5070" spans="1:1" x14ac:dyDescent="0.25">
      <c r="A5070" t="str">
        <f t="shared" si="80"/>
        <v/>
      </c>
    </row>
    <row r="5071" spans="1:1" x14ac:dyDescent="0.25">
      <c r="A5071" t="str">
        <f t="shared" si="80"/>
        <v/>
      </c>
    </row>
    <row r="5072" spans="1:1" x14ac:dyDescent="0.25">
      <c r="A5072" t="str">
        <f t="shared" si="80"/>
        <v/>
      </c>
    </row>
    <row r="5073" spans="1:1" x14ac:dyDescent="0.25">
      <c r="A5073" t="str">
        <f t="shared" si="80"/>
        <v/>
      </c>
    </row>
    <row r="5074" spans="1:1" x14ac:dyDescent="0.25">
      <c r="A5074" t="str">
        <f t="shared" si="80"/>
        <v/>
      </c>
    </row>
    <row r="5075" spans="1:1" x14ac:dyDescent="0.25">
      <c r="A5075" t="str">
        <f t="shared" si="80"/>
        <v/>
      </c>
    </row>
    <row r="5076" spans="1:1" x14ac:dyDescent="0.25">
      <c r="A5076" t="str">
        <f t="shared" si="80"/>
        <v/>
      </c>
    </row>
    <row r="5077" spans="1:1" x14ac:dyDescent="0.25">
      <c r="A5077" t="str">
        <f t="shared" si="80"/>
        <v/>
      </c>
    </row>
    <row r="5078" spans="1:1" x14ac:dyDescent="0.25">
      <c r="A5078" t="str">
        <f t="shared" si="80"/>
        <v/>
      </c>
    </row>
    <row r="5079" spans="1:1" x14ac:dyDescent="0.25">
      <c r="A5079" t="str">
        <f t="shared" si="80"/>
        <v/>
      </c>
    </row>
    <row r="5080" spans="1:1" x14ac:dyDescent="0.25">
      <c r="A5080" t="str">
        <f t="shared" si="80"/>
        <v/>
      </c>
    </row>
    <row r="5081" spans="1:1" x14ac:dyDescent="0.25">
      <c r="A5081" t="str">
        <f t="shared" si="80"/>
        <v/>
      </c>
    </row>
    <row r="5082" spans="1:1" x14ac:dyDescent="0.25">
      <c r="A5082" t="str">
        <f t="shared" si="80"/>
        <v/>
      </c>
    </row>
    <row r="5083" spans="1:1" x14ac:dyDescent="0.25">
      <c r="A5083" t="str">
        <f t="shared" si="80"/>
        <v/>
      </c>
    </row>
    <row r="5084" spans="1:1" x14ac:dyDescent="0.25">
      <c r="A5084" t="str">
        <f t="shared" si="80"/>
        <v/>
      </c>
    </row>
    <row r="5085" spans="1:1" x14ac:dyDescent="0.25">
      <c r="A5085" t="str">
        <f t="shared" si="80"/>
        <v/>
      </c>
    </row>
    <row r="5086" spans="1:1" x14ac:dyDescent="0.25">
      <c r="A5086" t="str">
        <f t="shared" si="80"/>
        <v/>
      </c>
    </row>
    <row r="5087" spans="1:1" x14ac:dyDescent="0.25">
      <c r="A5087" t="str">
        <f t="shared" si="80"/>
        <v/>
      </c>
    </row>
    <row r="5088" spans="1:1" x14ac:dyDescent="0.25">
      <c r="A5088" t="str">
        <f t="shared" si="80"/>
        <v/>
      </c>
    </row>
    <row r="5089" spans="1:1" x14ac:dyDescent="0.25">
      <c r="A5089" t="str">
        <f t="shared" si="80"/>
        <v/>
      </c>
    </row>
    <row r="5090" spans="1:1" x14ac:dyDescent="0.25">
      <c r="A5090" t="str">
        <f t="shared" si="80"/>
        <v/>
      </c>
    </row>
    <row r="5091" spans="1:1" x14ac:dyDescent="0.25">
      <c r="A5091" t="str">
        <f t="shared" si="80"/>
        <v/>
      </c>
    </row>
    <row r="5092" spans="1:1" x14ac:dyDescent="0.25">
      <c r="A5092" t="str">
        <f t="shared" si="80"/>
        <v/>
      </c>
    </row>
    <row r="5093" spans="1:1" x14ac:dyDescent="0.25">
      <c r="A5093" t="str">
        <f t="shared" si="80"/>
        <v/>
      </c>
    </row>
    <row r="5094" spans="1:1" x14ac:dyDescent="0.25">
      <c r="A5094" t="str">
        <f t="shared" si="80"/>
        <v/>
      </c>
    </row>
    <row r="5095" spans="1:1" x14ac:dyDescent="0.25">
      <c r="A5095" t="str">
        <f t="shared" si="80"/>
        <v/>
      </c>
    </row>
    <row r="5096" spans="1:1" x14ac:dyDescent="0.25">
      <c r="A5096" t="str">
        <f t="shared" si="80"/>
        <v/>
      </c>
    </row>
    <row r="5097" spans="1:1" x14ac:dyDescent="0.25">
      <c r="A5097" t="str">
        <f t="shared" si="80"/>
        <v/>
      </c>
    </row>
    <row r="5098" spans="1:1" x14ac:dyDescent="0.25">
      <c r="A5098" t="str">
        <f t="shared" si="80"/>
        <v/>
      </c>
    </row>
    <row r="5099" spans="1:1" x14ac:dyDescent="0.25">
      <c r="A5099" t="str">
        <f t="shared" si="80"/>
        <v/>
      </c>
    </row>
    <row r="5100" spans="1:1" x14ac:dyDescent="0.25">
      <c r="A5100" t="str">
        <f t="shared" si="80"/>
        <v/>
      </c>
    </row>
    <row r="5101" spans="1:1" x14ac:dyDescent="0.25">
      <c r="A5101" t="str">
        <f t="shared" si="80"/>
        <v/>
      </c>
    </row>
    <row r="5102" spans="1:1" x14ac:dyDescent="0.25">
      <c r="A5102" t="str">
        <f t="shared" si="80"/>
        <v/>
      </c>
    </row>
    <row r="5103" spans="1:1" x14ac:dyDescent="0.25">
      <c r="A5103" t="str">
        <f t="shared" si="80"/>
        <v/>
      </c>
    </row>
    <row r="5104" spans="1:1" x14ac:dyDescent="0.25">
      <c r="A5104" t="str">
        <f t="shared" si="80"/>
        <v/>
      </c>
    </row>
    <row r="5105" spans="1:1" x14ac:dyDescent="0.25">
      <c r="A5105" t="str">
        <f t="shared" si="80"/>
        <v/>
      </c>
    </row>
    <row r="5106" spans="1:1" x14ac:dyDescent="0.25">
      <c r="A5106" t="str">
        <f t="shared" si="80"/>
        <v/>
      </c>
    </row>
    <row r="5107" spans="1:1" x14ac:dyDescent="0.25">
      <c r="A5107" t="str">
        <f t="shared" si="80"/>
        <v/>
      </c>
    </row>
    <row r="5108" spans="1:1" x14ac:dyDescent="0.25">
      <c r="A5108" t="str">
        <f t="shared" si="80"/>
        <v/>
      </c>
    </row>
    <row r="5109" spans="1:1" x14ac:dyDescent="0.25">
      <c r="A5109" t="str">
        <f t="shared" ref="A5109:A5172" si="81">B5107&amp;D5107</f>
        <v/>
      </c>
    </row>
    <row r="5110" spans="1:1" x14ac:dyDescent="0.25">
      <c r="A5110" t="str">
        <f t="shared" si="81"/>
        <v/>
      </c>
    </row>
    <row r="5111" spans="1:1" x14ac:dyDescent="0.25">
      <c r="A5111" t="str">
        <f t="shared" si="81"/>
        <v/>
      </c>
    </row>
    <row r="5112" spans="1:1" x14ac:dyDescent="0.25">
      <c r="A5112" t="str">
        <f t="shared" si="81"/>
        <v/>
      </c>
    </row>
    <row r="5113" spans="1:1" x14ac:dyDescent="0.25">
      <c r="A5113" t="str">
        <f t="shared" si="81"/>
        <v/>
      </c>
    </row>
    <row r="5114" spans="1:1" x14ac:dyDescent="0.25">
      <c r="A5114" t="str">
        <f t="shared" si="81"/>
        <v/>
      </c>
    </row>
    <row r="5115" spans="1:1" x14ac:dyDescent="0.25">
      <c r="A5115" t="str">
        <f t="shared" si="81"/>
        <v/>
      </c>
    </row>
    <row r="5116" spans="1:1" x14ac:dyDescent="0.25">
      <c r="A5116" t="str">
        <f t="shared" si="81"/>
        <v/>
      </c>
    </row>
    <row r="5117" spans="1:1" x14ac:dyDescent="0.25">
      <c r="A5117" t="str">
        <f t="shared" si="81"/>
        <v/>
      </c>
    </row>
    <row r="5118" spans="1:1" x14ac:dyDescent="0.25">
      <c r="A5118" t="str">
        <f t="shared" si="81"/>
        <v/>
      </c>
    </row>
    <row r="5119" spans="1:1" x14ac:dyDescent="0.25">
      <c r="A5119" t="str">
        <f t="shared" si="81"/>
        <v/>
      </c>
    </row>
    <row r="5120" spans="1:1" x14ac:dyDescent="0.25">
      <c r="A5120" t="str">
        <f t="shared" si="81"/>
        <v/>
      </c>
    </row>
    <row r="5121" spans="1:1" x14ac:dyDescent="0.25">
      <c r="A5121" t="str">
        <f t="shared" si="81"/>
        <v/>
      </c>
    </row>
    <row r="5122" spans="1:1" x14ac:dyDescent="0.25">
      <c r="A5122" t="str">
        <f t="shared" si="81"/>
        <v/>
      </c>
    </row>
    <row r="5123" spans="1:1" x14ac:dyDescent="0.25">
      <c r="A5123" t="str">
        <f t="shared" si="81"/>
        <v/>
      </c>
    </row>
    <row r="5124" spans="1:1" x14ac:dyDescent="0.25">
      <c r="A5124" t="str">
        <f t="shared" si="81"/>
        <v/>
      </c>
    </row>
    <row r="5125" spans="1:1" x14ac:dyDescent="0.25">
      <c r="A5125" t="str">
        <f t="shared" si="81"/>
        <v/>
      </c>
    </row>
    <row r="5126" spans="1:1" x14ac:dyDescent="0.25">
      <c r="A5126" t="str">
        <f t="shared" si="81"/>
        <v/>
      </c>
    </row>
    <row r="5127" spans="1:1" x14ac:dyDescent="0.25">
      <c r="A5127" t="str">
        <f t="shared" si="81"/>
        <v/>
      </c>
    </row>
    <row r="5128" spans="1:1" x14ac:dyDescent="0.25">
      <c r="A5128" t="str">
        <f t="shared" si="81"/>
        <v/>
      </c>
    </row>
    <row r="5129" spans="1:1" x14ac:dyDescent="0.25">
      <c r="A5129" t="str">
        <f t="shared" si="81"/>
        <v/>
      </c>
    </row>
    <row r="5130" spans="1:1" x14ac:dyDescent="0.25">
      <c r="A5130" t="str">
        <f t="shared" si="81"/>
        <v/>
      </c>
    </row>
    <row r="5131" spans="1:1" x14ac:dyDescent="0.25">
      <c r="A5131" t="str">
        <f t="shared" si="81"/>
        <v/>
      </c>
    </row>
    <row r="5132" spans="1:1" x14ac:dyDescent="0.25">
      <c r="A5132" t="str">
        <f t="shared" si="81"/>
        <v/>
      </c>
    </row>
    <row r="5133" spans="1:1" x14ac:dyDescent="0.25">
      <c r="A5133" t="str">
        <f t="shared" si="81"/>
        <v/>
      </c>
    </row>
    <row r="5134" spans="1:1" x14ac:dyDescent="0.25">
      <c r="A5134" t="str">
        <f t="shared" si="81"/>
        <v/>
      </c>
    </row>
    <row r="5135" spans="1:1" x14ac:dyDescent="0.25">
      <c r="A5135" t="str">
        <f t="shared" si="81"/>
        <v/>
      </c>
    </row>
    <row r="5136" spans="1:1" x14ac:dyDescent="0.25">
      <c r="A5136" t="str">
        <f t="shared" si="81"/>
        <v/>
      </c>
    </row>
    <row r="5137" spans="1:1" x14ac:dyDescent="0.25">
      <c r="A5137" t="str">
        <f t="shared" si="81"/>
        <v/>
      </c>
    </row>
    <row r="5138" spans="1:1" x14ac:dyDescent="0.25">
      <c r="A5138" t="str">
        <f t="shared" si="81"/>
        <v/>
      </c>
    </row>
    <row r="5139" spans="1:1" x14ac:dyDescent="0.25">
      <c r="A5139" t="str">
        <f t="shared" si="81"/>
        <v/>
      </c>
    </row>
    <row r="5140" spans="1:1" x14ac:dyDescent="0.25">
      <c r="A5140" t="str">
        <f t="shared" si="81"/>
        <v/>
      </c>
    </row>
    <row r="5141" spans="1:1" x14ac:dyDescent="0.25">
      <c r="A5141" t="str">
        <f t="shared" si="81"/>
        <v/>
      </c>
    </row>
    <row r="5142" spans="1:1" x14ac:dyDescent="0.25">
      <c r="A5142" t="str">
        <f t="shared" si="81"/>
        <v/>
      </c>
    </row>
    <row r="5143" spans="1:1" x14ac:dyDescent="0.25">
      <c r="A5143" t="str">
        <f t="shared" si="81"/>
        <v/>
      </c>
    </row>
    <row r="5144" spans="1:1" x14ac:dyDescent="0.25">
      <c r="A5144" t="str">
        <f t="shared" si="81"/>
        <v/>
      </c>
    </row>
    <row r="5145" spans="1:1" x14ac:dyDescent="0.25">
      <c r="A5145" t="str">
        <f t="shared" si="81"/>
        <v/>
      </c>
    </row>
    <row r="5146" spans="1:1" x14ac:dyDescent="0.25">
      <c r="A5146" t="str">
        <f t="shared" si="81"/>
        <v/>
      </c>
    </row>
    <row r="5147" spans="1:1" x14ac:dyDescent="0.25">
      <c r="A5147" t="str">
        <f t="shared" si="81"/>
        <v/>
      </c>
    </row>
    <row r="5148" spans="1:1" x14ac:dyDescent="0.25">
      <c r="A5148" t="str">
        <f t="shared" si="81"/>
        <v/>
      </c>
    </row>
    <row r="5149" spans="1:1" x14ac:dyDescent="0.25">
      <c r="A5149" t="str">
        <f t="shared" si="81"/>
        <v/>
      </c>
    </row>
    <row r="5150" spans="1:1" x14ac:dyDescent="0.25">
      <c r="A5150" t="str">
        <f t="shared" si="81"/>
        <v/>
      </c>
    </row>
    <row r="5151" spans="1:1" x14ac:dyDescent="0.25">
      <c r="A5151" t="str">
        <f t="shared" si="81"/>
        <v/>
      </c>
    </row>
    <row r="5152" spans="1:1" x14ac:dyDescent="0.25">
      <c r="A5152" t="str">
        <f t="shared" si="81"/>
        <v/>
      </c>
    </row>
    <row r="5153" spans="1:1" x14ac:dyDescent="0.25">
      <c r="A5153" t="str">
        <f t="shared" si="81"/>
        <v/>
      </c>
    </row>
    <row r="5154" spans="1:1" x14ac:dyDescent="0.25">
      <c r="A5154" t="str">
        <f t="shared" si="81"/>
        <v/>
      </c>
    </row>
    <row r="5155" spans="1:1" x14ac:dyDescent="0.25">
      <c r="A5155" t="str">
        <f t="shared" si="81"/>
        <v/>
      </c>
    </row>
    <row r="5156" spans="1:1" x14ac:dyDescent="0.25">
      <c r="A5156" t="str">
        <f t="shared" si="81"/>
        <v/>
      </c>
    </row>
    <row r="5157" spans="1:1" x14ac:dyDescent="0.25">
      <c r="A5157" t="str">
        <f t="shared" si="81"/>
        <v/>
      </c>
    </row>
    <row r="5158" spans="1:1" x14ac:dyDescent="0.25">
      <c r="A5158" t="str">
        <f t="shared" si="81"/>
        <v/>
      </c>
    </row>
    <row r="5159" spans="1:1" x14ac:dyDescent="0.25">
      <c r="A5159" t="str">
        <f t="shared" si="81"/>
        <v/>
      </c>
    </row>
    <row r="5160" spans="1:1" x14ac:dyDescent="0.25">
      <c r="A5160" t="str">
        <f t="shared" si="81"/>
        <v/>
      </c>
    </row>
    <row r="5161" spans="1:1" x14ac:dyDescent="0.25">
      <c r="A5161" t="str">
        <f t="shared" si="81"/>
        <v/>
      </c>
    </row>
    <row r="5162" spans="1:1" x14ac:dyDescent="0.25">
      <c r="A5162" t="str">
        <f t="shared" si="81"/>
        <v/>
      </c>
    </row>
    <row r="5163" spans="1:1" x14ac:dyDescent="0.25">
      <c r="A5163" t="str">
        <f t="shared" si="81"/>
        <v/>
      </c>
    </row>
    <row r="5164" spans="1:1" x14ac:dyDescent="0.25">
      <c r="A5164" t="str">
        <f t="shared" si="81"/>
        <v/>
      </c>
    </row>
    <row r="5165" spans="1:1" x14ac:dyDescent="0.25">
      <c r="A5165" t="str">
        <f t="shared" si="81"/>
        <v/>
      </c>
    </row>
    <row r="5166" spans="1:1" x14ac:dyDescent="0.25">
      <c r="A5166" t="str">
        <f t="shared" si="81"/>
        <v/>
      </c>
    </row>
    <row r="5167" spans="1:1" x14ac:dyDescent="0.25">
      <c r="A5167" t="str">
        <f t="shared" si="81"/>
        <v/>
      </c>
    </row>
    <row r="5168" spans="1:1" x14ac:dyDescent="0.25">
      <c r="A5168" t="str">
        <f t="shared" si="81"/>
        <v/>
      </c>
    </row>
    <row r="5169" spans="1:1" x14ac:dyDescent="0.25">
      <c r="A5169" t="str">
        <f t="shared" si="81"/>
        <v/>
      </c>
    </row>
    <row r="5170" spans="1:1" x14ac:dyDescent="0.25">
      <c r="A5170" t="str">
        <f t="shared" si="81"/>
        <v/>
      </c>
    </row>
    <row r="5171" spans="1:1" x14ac:dyDescent="0.25">
      <c r="A5171" t="str">
        <f t="shared" si="81"/>
        <v/>
      </c>
    </row>
    <row r="5172" spans="1:1" x14ac:dyDescent="0.25">
      <c r="A5172" t="str">
        <f t="shared" si="81"/>
        <v/>
      </c>
    </row>
    <row r="5173" spans="1:1" x14ac:dyDescent="0.25">
      <c r="A5173" t="str">
        <f t="shared" ref="A5173:A5236" si="82">B5171&amp;D5171</f>
        <v/>
      </c>
    </row>
    <row r="5174" spans="1:1" x14ac:dyDescent="0.25">
      <c r="A5174" t="str">
        <f t="shared" si="82"/>
        <v/>
      </c>
    </row>
    <row r="5175" spans="1:1" x14ac:dyDescent="0.25">
      <c r="A5175" t="str">
        <f t="shared" si="82"/>
        <v/>
      </c>
    </row>
    <row r="5176" spans="1:1" x14ac:dyDescent="0.25">
      <c r="A5176" t="str">
        <f t="shared" si="82"/>
        <v/>
      </c>
    </row>
    <row r="5177" spans="1:1" x14ac:dyDescent="0.25">
      <c r="A5177" t="str">
        <f t="shared" si="82"/>
        <v/>
      </c>
    </row>
    <row r="5178" spans="1:1" x14ac:dyDescent="0.25">
      <c r="A5178" t="str">
        <f t="shared" si="82"/>
        <v/>
      </c>
    </row>
    <row r="5179" spans="1:1" x14ac:dyDescent="0.25">
      <c r="A5179" t="str">
        <f t="shared" si="82"/>
        <v/>
      </c>
    </row>
    <row r="5180" spans="1:1" x14ac:dyDescent="0.25">
      <c r="A5180" t="str">
        <f t="shared" si="82"/>
        <v/>
      </c>
    </row>
    <row r="5181" spans="1:1" x14ac:dyDescent="0.25">
      <c r="A5181" t="str">
        <f t="shared" si="82"/>
        <v/>
      </c>
    </row>
    <row r="5182" spans="1:1" x14ac:dyDescent="0.25">
      <c r="A5182" t="str">
        <f t="shared" si="82"/>
        <v/>
      </c>
    </row>
    <row r="5183" spans="1:1" x14ac:dyDescent="0.25">
      <c r="A5183" t="str">
        <f t="shared" si="82"/>
        <v/>
      </c>
    </row>
    <row r="5184" spans="1:1" x14ac:dyDescent="0.25">
      <c r="A5184" t="str">
        <f t="shared" si="82"/>
        <v/>
      </c>
    </row>
    <row r="5185" spans="1:1" x14ac:dyDescent="0.25">
      <c r="A5185" t="str">
        <f t="shared" si="82"/>
        <v/>
      </c>
    </row>
    <row r="5186" spans="1:1" x14ac:dyDescent="0.25">
      <c r="A5186" t="str">
        <f t="shared" si="82"/>
        <v/>
      </c>
    </row>
    <row r="5187" spans="1:1" x14ac:dyDescent="0.25">
      <c r="A5187" t="str">
        <f t="shared" si="82"/>
        <v/>
      </c>
    </row>
    <row r="5188" spans="1:1" x14ac:dyDescent="0.25">
      <c r="A5188" t="str">
        <f t="shared" si="82"/>
        <v/>
      </c>
    </row>
    <row r="5189" spans="1:1" x14ac:dyDescent="0.25">
      <c r="A5189" t="str">
        <f t="shared" si="82"/>
        <v/>
      </c>
    </row>
    <row r="5190" spans="1:1" x14ac:dyDescent="0.25">
      <c r="A5190" t="str">
        <f t="shared" si="82"/>
        <v/>
      </c>
    </row>
    <row r="5191" spans="1:1" x14ac:dyDescent="0.25">
      <c r="A5191" t="str">
        <f t="shared" si="82"/>
        <v/>
      </c>
    </row>
    <row r="5192" spans="1:1" x14ac:dyDescent="0.25">
      <c r="A5192" t="str">
        <f t="shared" si="82"/>
        <v/>
      </c>
    </row>
    <row r="5193" spans="1:1" x14ac:dyDescent="0.25">
      <c r="A5193" t="str">
        <f t="shared" si="82"/>
        <v/>
      </c>
    </row>
    <row r="5194" spans="1:1" x14ac:dyDescent="0.25">
      <c r="A5194" t="str">
        <f t="shared" si="82"/>
        <v/>
      </c>
    </row>
    <row r="5195" spans="1:1" x14ac:dyDescent="0.25">
      <c r="A5195" t="str">
        <f t="shared" si="82"/>
        <v/>
      </c>
    </row>
    <row r="5196" spans="1:1" x14ac:dyDescent="0.25">
      <c r="A5196" t="str">
        <f t="shared" si="82"/>
        <v/>
      </c>
    </row>
    <row r="5197" spans="1:1" x14ac:dyDescent="0.25">
      <c r="A5197" t="str">
        <f t="shared" si="82"/>
        <v/>
      </c>
    </row>
    <row r="5198" spans="1:1" x14ac:dyDescent="0.25">
      <c r="A5198" t="str">
        <f t="shared" si="82"/>
        <v/>
      </c>
    </row>
    <row r="5199" spans="1:1" x14ac:dyDescent="0.25">
      <c r="A5199" t="str">
        <f t="shared" si="82"/>
        <v/>
      </c>
    </row>
    <row r="5200" spans="1:1" x14ac:dyDescent="0.25">
      <c r="A5200" t="str">
        <f t="shared" si="82"/>
        <v/>
      </c>
    </row>
    <row r="5201" spans="1:1" x14ac:dyDescent="0.25">
      <c r="A5201" t="str">
        <f t="shared" si="82"/>
        <v/>
      </c>
    </row>
    <row r="5202" spans="1:1" x14ac:dyDescent="0.25">
      <c r="A5202" t="str">
        <f t="shared" si="82"/>
        <v/>
      </c>
    </row>
    <row r="5203" spans="1:1" x14ac:dyDescent="0.25">
      <c r="A5203" t="str">
        <f t="shared" si="82"/>
        <v/>
      </c>
    </row>
    <row r="5204" spans="1:1" x14ac:dyDescent="0.25">
      <c r="A5204" t="str">
        <f t="shared" si="82"/>
        <v/>
      </c>
    </row>
    <row r="5205" spans="1:1" x14ac:dyDescent="0.25">
      <c r="A5205" t="str">
        <f t="shared" si="82"/>
        <v/>
      </c>
    </row>
    <row r="5206" spans="1:1" x14ac:dyDescent="0.25">
      <c r="A5206" t="str">
        <f t="shared" si="82"/>
        <v/>
      </c>
    </row>
    <row r="5207" spans="1:1" x14ac:dyDescent="0.25">
      <c r="A5207" t="str">
        <f t="shared" si="82"/>
        <v/>
      </c>
    </row>
    <row r="5208" spans="1:1" x14ac:dyDescent="0.25">
      <c r="A5208" t="str">
        <f t="shared" si="82"/>
        <v/>
      </c>
    </row>
    <row r="5209" spans="1:1" x14ac:dyDescent="0.25">
      <c r="A5209" t="str">
        <f t="shared" si="82"/>
        <v/>
      </c>
    </row>
    <row r="5210" spans="1:1" x14ac:dyDescent="0.25">
      <c r="A5210" t="str">
        <f t="shared" si="82"/>
        <v/>
      </c>
    </row>
    <row r="5211" spans="1:1" x14ac:dyDescent="0.25">
      <c r="A5211" t="str">
        <f t="shared" si="82"/>
        <v/>
      </c>
    </row>
    <row r="5212" spans="1:1" x14ac:dyDescent="0.25">
      <c r="A5212" t="str">
        <f t="shared" si="82"/>
        <v/>
      </c>
    </row>
    <row r="5213" spans="1:1" x14ac:dyDescent="0.25">
      <c r="A5213" t="str">
        <f t="shared" si="82"/>
        <v/>
      </c>
    </row>
    <row r="5214" spans="1:1" x14ac:dyDescent="0.25">
      <c r="A5214" t="str">
        <f t="shared" si="82"/>
        <v/>
      </c>
    </row>
    <row r="5215" spans="1:1" x14ac:dyDescent="0.25">
      <c r="A5215" t="str">
        <f t="shared" si="82"/>
        <v/>
      </c>
    </row>
    <row r="5216" spans="1:1" x14ac:dyDescent="0.25">
      <c r="A5216" t="str">
        <f t="shared" si="82"/>
        <v/>
      </c>
    </row>
    <row r="5217" spans="1:1" x14ac:dyDescent="0.25">
      <c r="A5217" t="str">
        <f t="shared" si="82"/>
        <v/>
      </c>
    </row>
    <row r="5218" spans="1:1" x14ac:dyDescent="0.25">
      <c r="A5218" t="str">
        <f t="shared" si="82"/>
        <v/>
      </c>
    </row>
    <row r="5219" spans="1:1" x14ac:dyDescent="0.25">
      <c r="A5219" t="str">
        <f t="shared" si="82"/>
        <v/>
      </c>
    </row>
    <row r="5220" spans="1:1" x14ac:dyDescent="0.25">
      <c r="A5220" t="str">
        <f t="shared" si="82"/>
        <v/>
      </c>
    </row>
    <row r="5221" spans="1:1" x14ac:dyDescent="0.25">
      <c r="A5221" t="str">
        <f t="shared" si="82"/>
        <v/>
      </c>
    </row>
    <row r="5222" spans="1:1" x14ac:dyDescent="0.25">
      <c r="A5222" t="str">
        <f t="shared" si="82"/>
        <v/>
      </c>
    </row>
    <row r="5223" spans="1:1" x14ac:dyDescent="0.25">
      <c r="A5223" t="str">
        <f t="shared" si="82"/>
        <v/>
      </c>
    </row>
    <row r="5224" spans="1:1" x14ac:dyDescent="0.25">
      <c r="A5224" t="str">
        <f t="shared" si="82"/>
        <v/>
      </c>
    </row>
    <row r="5225" spans="1:1" x14ac:dyDescent="0.25">
      <c r="A5225" t="str">
        <f t="shared" si="82"/>
        <v/>
      </c>
    </row>
    <row r="5226" spans="1:1" x14ac:dyDescent="0.25">
      <c r="A5226" t="str">
        <f t="shared" si="82"/>
        <v/>
      </c>
    </row>
    <row r="5227" spans="1:1" x14ac:dyDescent="0.25">
      <c r="A5227" t="str">
        <f t="shared" si="82"/>
        <v/>
      </c>
    </row>
    <row r="5228" spans="1:1" x14ac:dyDescent="0.25">
      <c r="A5228" t="str">
        <f t="shared" si="82"/>
        <v/>
      </c>
    </row>
    <row r="5229" spans="1:1" x14ac:dyDescent="0.25">
      <c r="A5229" t="str">
        <f t="shared" si="82"/>
        <v/>
      </c>
    </row>
    <row r="5230" spans="1:1" x14ac:dyDescent="0.25">
      <c r="A5230" t="str">
        <f t="shared" si="82"/>
        <v/>
      </c>
    </row>
    <row r="5231" spans="1:1" x14ac:dyDescent="0.25">
      <c r="A5231" t="str">
        <f t="shared" si="82"/>
        <v/>
      </c>
    </row>
    <row r="5232" spans="1:1" x14ac:dyDescent="0.25">
      <c r="A5232" t="str">
        <f t="shared" si="82"/>
        <v/>
      </c>
    </row>
    <row r="5233" spans="1:1" x14ac:dyDescent="0.25">
      <c r="A5233" t="str">
        <f t="shared" si="82"/>
        <v/>
      </c>
    </row>
    <row r="5234" spans="1:1" x14ac:dyDescent="0.25">
      <c r="A5234" t="str">
        <f t="shared" si="82"/>
        <v/>
      </c>
    </row>
    <row r="5235" spans="1:1" x14ac:dyDescent="0.25">
      <c r="A5235" t="str">
        <f t="shared" si="82"/>
        <v/>
      </c>
    </row>
    <row r="5236" spans="1:1" x14ac:dyDescent="0.25">
      <c r="A5236" t="str">
        <f t="shared" si="82"/>
        <v/>
      </c>
    </row>
    <row r="5237" spans="1:1" x14ac:dyDescent="0.25">
      <c r="A5237" t="str">
        <f t="shared" ref="A5237:A5300" si="83">B5235&amp;D5235</f>
        <v/>
      </c>
    </row>
    <row r="5238" spans="1:1" x14ac:dyDescent="0.25">
      <c r="A5238" t="str">
        <f t="shared" si="83"/>
        <v/>
      </c>
    </row>
    <row r="5239" spans="1:1" x14ac:dyDescent="0.25">
      <c r="A5239" t="str">
        <f t="shared" si="83"/>
        <v/>
      </c>
    </row>
    <row r="5240" spans="1:1" x14ac:dyDescent="0.25">
      <c r="A5240" t="str">
        <f t="shared" si="83"/>
        <v/>
      </c>
    </row>
    <row r="5241" spans="1:1" x14ac:dyDescent="0.25">
      <c r="A5241" t="str">
        <f t="shared" si="83"/>
        <v/>
      </c>
    </row>
    <row r="5242" spans="1:1" x14ac:dyDescent="0.25">
      <c r="A5242" t="str">
        <f t="shared" si="83"/>
        <v/>
      </c>
    </row>
    <row r="5243" spans="1:1" x14ac:dyDescent="0.25">
      <c r="A5243" t="str">
        <f t="shared" si="83"/>
        <v/>
      </c>
    </row>
    <row r="5244" spans="1:1" x14ac:dyDescent="0.25">
      <c r="A5244" t="str">
        <f t="shared" si="83"/>
        <v/>
      </c>
    </row>
    <row r="5245" spans="1:1" x14ac:dyDescent="0.25">
      <c r="A5245" t="str">
        <f t="shared" si="83"/>
        <v/>
      </c>
    </row>
    <row r="5246" spans="1:1" x14ac:dyDescent="0.25">
      <c r="A5246" t="str">
        <f t="shared" si="83"/>
        <v/>
      </c>
    </row>
    <row r="5247" spans="1:1" x14ac:dyDescent="0.25">
      <c r="A5247" t="str">
        <f t="shared" si="83"/>
        <v/>
      </c>
    </row>
    <row r="5248" spans="1:1" x14ac:dyDescent="0.25">
      <c r="A5248" t="str">
        <f t="shared" si="83"/>
        <v/>
      </c>
    </row>
    <row r="5249" spans="1:1" x14ac:dyDescent="0.25">
      <c r="A5249" t="str">
        <f t="shared" si="83"/>
        <v/>
      </c>
    </row>
    <row r="5250" spans="1:1" x14ac:dyDescent="0.25">
      <c r="A5250" t="str">
        <f t="shared" si="83"/>
        <v/>
      </c>
    </row>
    <row r="5251" spans="1:1" x14ac:dyDescent="0.25">
      <c r="A5251" t="str">
        <f t="shared" si="83"/>
        <v/>
      </c>
    </row>
    <row r="5252" spans="1:1" x14ac:dyDescent="0.25">
      <c r="A5252" t="str">
        <f t="shared" si="83"/>
        <v/>
      </c>
    </row>
    <row r="5253" spans="1:1" x14ac:dyDescent="0.25">
      <c r="A5253" t="str">
        <f t="shared" si="83"/>
        <v/>
      </c>
    </row>
    <row r="5254" spans="1:1" x14ac:dyDescent="0.25">
      <c r="A5254" t="str">
        <f t="shared" si="83"/>
        <v/>
      </c>
    </row>
    <row r="5255" spans="1:1" x14ac:dyDescent="0.25">
      <c r="A5255" t="str">
        <f t="shared" si="83"/>
        <v/>
      </c>
    </row>
    <row r="5256" spans="1:1" x14ac:dyDescent="0.25">
      <c r="A5256" t="str">
        <f t="shared" si="83"/>
        <v/>
      </c>
    </row>
    <row r="5257" spans="1:1" x14ac:dyDescent="0.25">
      <c r="A5257" t="str">
        <f t="shared" si="83"/>
        <v/>
      </c>
    </row>
    <row r="5258" spans="1:1" x14ac:dyDescent="0.25">
      <c r="A5258" t="str">
        <f t="shared" si="83"/>
        <v/>
      </c>
    </row>
    <row r="5259" spans="1:1" x14ac:dyDescent="0.25">
      <c r="A5259" t="str">
        <f t="shared" si="83"/>
        <v/>
      </c>
    </row>
    <row r="5260" spans="1:1" x14ac:dyDescent="0.25">
      <c r="A5260" t="str">
        <f t="shared" si="83"/>
        <v/>
      </c>
    </row>
    <row r="5261" spans="1:1" x14ac:dyDescent="0.25">
      <c r="A5261" t="str">
        <f t="shared" si="83"/>
        <v/>
      </c>
    </row>
    <row r="5262" spans="1:1" x14ac:dyDescent="0.25">
      <c r="A5262" t="str">
        <f t="shared" si="83"/>
        <v/>
      </c>
    </row>
    <row r="5263" spans="1:1" x14ac:dyDescent="0.25">
      <c r="A5263" t="str">
        <f t="shared" si="83"/>
        <v/>
      </c>
    </row>
    <row r="5264" spans="1:1" x14ac:dyDescent="0.25">
      <c r="A5264" t="str">
        <f t="shared" si="83"/>
        <v/>
      </c>
    </row>
    <row r="5265" spans="1:1" x14ac:dyDescent="0.25">
      <c r="A5265" t="str">
        <f t="shared" si="83"/>
        <v/>
      </c>
    </row>
    <row r="5266" spans="1:1" x14ac:dyDescent="0.25">
      <c r="A5266" t="str">
        <f t="shared" si="83"/>
        <v/>
      </c>
    </row>
    <row r="5267" spans="1:1" x14ac:dyDescent="0.25">
      <c r="A5267" t="str">
        <f t="shared" si="83"/>
        <v/>
      </c>
    </row>
    <row r="5268" spans="1:1" x14ac:dyDescent="0.25">
      <c r="A5268" t="str">
        <f t="shared" si="83"/>
        <v/>
      </c>
    </row>
    <row r="5269" spans="1:1" x14ac:dyDescent="0.25">
      <c r="A5269" t="str">
        <f t="shared" si="83"/>
        <v/>
      </c>
    </row>
    <row r="5270" spans="1:1" x14ac:dyDescent="0.25">
      <c r="A5270" t="str">
        <f t="shared" si="83"/>
        <v/>
      </c>
    </row>
    <row r="5271" spans="1:1" x14ac:dyDescent="0.25">
      <c r="A5271" t="str">
        <f t="shared" si="83"/>
        <v/>
      </c>
    </row>
    <row r="5272" spans="1:1" x14ac:dyDescent="0.25">
      <c r="A5272" t="str">
        <f t="shared" si="83"/>
        <v/>
      </c>
    </row>
    <row r="5273" spans="1:1" x14ac:dyDescent="0.25">
      <c r="A5273" t="str">
        <f t="shared" si="83"/>
        <v/>
      </c>
    </row>
    <row r="5274" spans="1:1" x14ac:dyDescent="0.25">
      <c r="A5274" t="str">
        <f t="shared" si="83"/>
        <v/>
      </c>
    </row>
    <row r="5275" spans="1:1" x14ac:dyDescent="0.25">
      <c r="A5275" t="str">
        <f t="shared" si="83"/>
        <v/>
      </c>
    </row>
    <row r="5276" spans="1:1" x14ac:dyDescent="0.25">
      <c r="A5276" t="str">
        <f t="shared" si="83"/>
        <v/>
      </c>
    </row>
    <row r="5277" spans="1:1" x14ac:dyDescent="0.25">
      <c r="A5277" t="str">
        <f t="shared" si="83"/>
        <v/>
      </c>
    </row>
    <row r="5278" spans="1:1" x14ac:dyDescent="0.25">
      <c r="A5278" t="str">
        <f t="shared" si="83"/>
        <v/>
      </c>
    </row>
    <row r="5279" spans="1:1" x14ac:dyDescent="0.25">
      <c r="A5279" t="str">
        <f t="shared" si="83"/>
        <v/>
      </c>
    </row>
    <row r="5280" spans="1:1" x14ac:dyDescent="0.25">
      <c r="A5280" t="str">
        <f t="shared" si="83"/>
        <v/>
      </c>
    </row>
    <row r="5281" spans="1:1" x14ac:dyDescent="0.25">
      <c r="A5281" t="str">
        <f t="shared" si="83"/>
        <v/>
      </c>
    </row>
    <row r="5282" spans="1:1" x14ac:dyDescent="0.25">
      <c r="A5282" t="str">
        <f t="shared" si="83"/>
        <v/>
      </c>
    </row>
    <row r="5283" spans="1:1" x14ac:dyDescent="0.25">
      <c r="A5283" t="str">
        <f t="shared" si="83"/>
        <v/>
      </c>
    </row>
    <row r="5284" spans="1:1" x14ac:dyDescent="0.25">
      <c r="A5284" t="str">
        <f t="shared" si="83"/>
        <v/>
      </c>
    </row>
    <row r="5285" spans="1:1" x14ac:dyDescent="0.25">
      <c r="A5285" t="str">
        <f t="shared" si="83"/>
        <v/>
      </c>
    </row>
    <row r="5286" spans="1:1" x14ac:dyDescent="0.25">
      <c r="A5286" t="str">
        <f t="shared" si="83"/>
        <v/>
      </c>
    </row>
    <row r="5287" spans="1:1" x14ac:dyDescent="0.25">
      <c r="A5287" t="str">
        <f t="shared" si="83"/>
        <v/>
      </c>
    </row>
    <row r="5288" spans="1:1" x14ac:dyDescent="0.25">
      <c r="A5288" t="str">
        <f t="shared" si="83"/>
        <v/>
      </c>
    </row>
    <row r="5289" spans="1:1" x14ac:dyDescent="0.25">
      <c r="A5289" t="str">
        <f t="shared" si="83"/>
        <v/>
      </c>
    </row>
    <row r="5290" spans="1:1" x14ac:dyDescent="0.25">
      <c r="A5290" t="str">
        <f t="shared" si="83"/>
        <v/>
      </c>
    </row>
    <row r="5291" spans="1:1" x14ac:dyDescent="0.25">
      <c r="A5291" t="str">
        <f t="shared" si="83"/>
        <v/>
      </c>
    </row>
    <row r="5292" spans="1:1" x14ac:dyDescent="0.25">
      <c r="A5292" t="str">
        <f t="shared" si="83"/>
        <v/>
      </c>
    </row>
    <row r="5293" spans="1:1" x14ac:dyDescent="0.25">
      <c r="A5293" t="str">
        <f t="shared" si="83"/>
        <v/>
      </c>
    </row>
    <row r="5294" spans="1:1" x14ac:dyDescent="0.25">
      <c r="A5294" t="str">
        <f t="shared" si="83"/>
        <v/>
      </c>
    </row>
    <row r="5295" spans="1:1" x14ac:dyDescent="0.25">
      <c r="A5295" t="str">
        <f t="shared" si="83"/>
        <v/>
      </c>
    </row>
    <row r="5296" spans="1:1" x14ac:dyDescent="0.25">
      <c r="A5296" t="str">
        <f t="shared" si="83"/>
        <v/>
      </c>
    </row>
    <row r="5297" spans="1:1" x14ac:dyDescent="0.25">
      <c r="A5297" t="str">
        <f t="shared" si="83"/>
        <v/>
      </c>
    </row>
    <row r="5298" spans="1:1" x14ac:dyDescent="0.25">
      <c r="A5298" t="str">
        <f t="shared" si="83"/>
        <v/>
      </c>
    </row>
    <row r="5299" spans="1:1" x14ac:dyDescent="0.25">
      <c r="A5299" t="str">
        <f t="shared" si="83"/>
        <v/>
      </c>
    </row>
    <row r="5300" spans="1:1" x14ac:dyDescent="0.25">
      <c r="A5300" t="str">
        <f t="shared" si="83"/>
        <v/>
      </c>
    </row>
    <row r="5301" spans="1:1" x14ac:dyDescent="0.25">
      <c r="A5301" t="str">
        <f t="shared" ref="A5301:A5364" si="84">B5299&amp;D5299</f>
        <v/>
      </c>
    </row>
    <row r="5302" spans="1:1" x14ac:dyDescent="0.25">
      <c r="A5302" t="str">
        <f t="shared" si="84"/>
        <v/>
      </c>
    </row>
    <row r="5303" spans="1:1" x14ac:dyDescent="0.25">
      <c r="A5303" t="str">
        <f t="shared" si="84"/>
        <v/>
      </c>
    </row>
    <row r="5304" spans="1:1" x14ac:dyDescent="0.25">
      <c r="A5304" t="str">
        <f t="shared" si="84"/>
        <v/>
      </c>
    </row>
    <row r="5305" spans="1:1" x14ac:dyDescent="0.25">
      <c r="A5305" t="str">
        <f t="shared" si="84"/>
        <v/>
      </c>
    </row>
    <row r="5306" spans="1:1" x14ac:dyDescent="0.25">
      <c r="A5306" t="str">
        <f t="shared" si="84"/>
        <v/>
      </c>
    </row>
    <row r="5307" spans="1:1" x14ac:dyDescent="0.25">
      <c r="A5307" t="str">
        <f t="shared" si="84"/>
        <v/>
      </c>
    </row>
    <row r="5308" spans="1:1" x14ac:dyDescent="0.25">
      <c r="A5308" t="str">
        <f t="shared" si="84"/>
        <v/>
      </c>
    </row>
    <row r="5309" spans="1:1" x14ac:dyDescent="0.25">
      <c r="A5309" t="str">
        <f t="shared" si="84"/>
        <v/>
      </c>
    </row>
    <row r="5310" spans="1:1" x14ac:dyDescent="0.25">
      <c r="A5310" t="str">
        <f t="shared" si="84"/>
        <v/>
      </c>
    </row>
    <row r="5311" spans="1:1" x14ac:dyDescent="0.25">
      <c r="A5311" t="str">
        <f t="shared" si="84"/>
        <v/>
      </c>
    </row>
    <row r="5312" spans="1:1" x14ac:dyDescent="0.25">
      <c r="A5312" t="str">
        <f t="shared" si="84"/>
        <v/>
      </c>
    </row>
    <row r="5313" spans="1:1" x14ac:dyDescent="0.25">
      <c r="A5313" t="str">
        <f t="shared" si="84"/>
        <v/>
      </c>
    </row>
    <row r="5314" spans="1:1" x14ac:dyDescent="0.25">
      <c r="A5314" t="str">
        <f t="shared" si="84"/>
        <v/>
      </c>
    </row>
    <row r="5315" spans="1:1" x14ac:dyDescent="0.25">
      <c r="A5315" t="str">
        <f t="shared" si="84"/>
        <v/>
      </c>
    </row>
    <row r="5316" spans="1:1" x14ac:dyDescent="0.25">
      <c r="A5316" t="str">
        <f t="shared" si="84"/>
        <v/>
      </c>
    </row>
    <row r="5317" spans="1:1" x14ac:dyDescent="0.25">
      <c r="A5317" t="str">
        <f t="shared" si="84"/>
        <v/>
      </c>
    </row>
    <row r="5318" spans="1:1" x14ac:dyDescent="0.25">
      <c r="A5318" t="str">
        <f t="shared" si="84"/>
        <v/>
      </c>
    </row>
    <row r="5319" spans="1:1" x14ac:dyDescent="0.25">
      <c r="A5319" t="str">
        <f t="shared" si="84"/>
        <v/>
      </c>
    </row>
    <row r="5320" spans="1:1" x14ac:dyDescent="0.25">
      <c r="A5320" t="str">
        <f t="shared" si="84"/>
        <v/>
      </c>
    </row>
    <row r="5321" spans="1:1" x14ac:dyDescent="0.25">
      <c r="A5321" t="str">
        <f t="shared" si="84"/>
        <v/>
      </c>
    </row>
    <row r="5322" spans="1:1" x14ac:dyDescent="0.25">
      <c r="A5322" t="str">
        <f t="shared" si="84"/>
        <v/>
      </c>
    </row>
    <row r="5323" spans="1:1" x14ac:dyDescent="0.25">
      <c r="A5323" t="str">
        <f t="shared" si="84"/>
        <v/>
      </c>
    </row>
    <row r="5324" spans="1:1" x14ac:dyDescent="0.25">
      <c r="A5324" t="str">
        <f t="shared" si="84"/>
        <v/>
      </c>
    </row>
    <row r="5325" spans="1:1" x14ac:dyDescent="0.25">
      <c r="A5325" t="str">
        <f t="shared" si="84"/>
        <v/>
      </c>
    </row>
    <row r="5326" spans="1:1" x14ac:dyDescent="0.25">
      <c r="A5326" t="str">
        <f t="shared" si="84"/>
        <v/>
      </c>
    </row>
    <row r="5327" spans="1:1" x14ac:dyDescent="0.25">
      <c r="A5327" t="str">
        <f t="shared" si="84"/>
        <v/>
      </c>
    </row>
    <row r="5328" spans="1:1" x14ac:dyDescent="0.25">
      <c r="A5328" t="str">
        <f t="shared" si="84"/>
        <v/>
      </c>
    </row>
    <row r="5329" spans="1:1" x14ac:dyDescent="0.25">
      <c r="A5329" t="str">
        <f t="shared" si="84"/>
        <v/>
      </c>
    </row>
    <row r="5330" spans="1:1" x14ac:dyDescent="0.25">
      <c r="A5330" t="str">
        <f t="shared" si="84"/>
        <v/>
      </c>
    </row>
    <row r="5331" spans="1:1" x14ac:dyDescent="0.25">
      <c r="A5331" t="str">
        <f t="shared" si="84"/>
        <v/>
      </c>
    </row>
    <row r="5332" spans="1:1" x14ac:dyDescent="0.25">
      <c r="A5332" t="str">
        <f t="shared" si="84"/>
        <v/>
      </c>
    </row>
    <row r="5333" spans="1:1" x14ac:dyDescent="0.25">
      <c r="A5333" t="str">
        <f t="shared" si="84"/>
        <v/>
      </c>
    </row>
    <row r="5334" spans="1:1" x14ac:dyDescent="0.25">
      <c r="A5334" t="str">
        <f t="shared" si="84"/>
        <v/>
      </c>
    </row>
    <row r="5335" spans="1:1" x14ac:dyDescent="0.25">
      <c r="A5335" t="str">
        <f t="shared" si="84"/>
        <v/>
      </c>
    </row>
    <row r="5336" spans="1:1" x14ac:dyDescent="0.25">
      <c r="A5336" t="str">
        <f t="shared" si="84"/>
        <v/>
      </c>
    </row>
    <row r="5337" spans="1:1" x14ac:dyDescent="0.25">
      <c r="A5337" t="str">
        <f t="shared" si="84"/>
        <v/>
      </c>
    </row>
    <row r="5338" spans="1:1" x14ac:dyDescent="0.25">
      <c r="A5338" t="str">
        <f t="shared" si="84"/>
        <v/>
      </c>
    </row>
    <row r="5339" spans="1:1" x14ac:dyDescent="0.25">
      <c r="A5339" t="str">
        <f t="shared" si="84"/>
        <v/>
      </c>
    </row>
    <row r="5340" spans="1:1" x14ac:dyDescent="0.25">
      <c r="A5340" t="str">
        <f t="shared" si="84"/>
        <v/>
      </c>
    </row>
    <row r="5341" spans="1:1" x14ac:dyDescent="0.25">
      <c r="A5341" t="str">
        <f t="shared" si="84"/>
        <v/>
      </c>
    </row>
    <row r="5342" spans="1:1" x14ac:dyDescent="0.25">
      <c r="A5342" t="str">
        <f t="shared" si="84"/>
        <v/>
      </c>
    </row>
    <row r="5343" spans="1:1" x14ac:dyDescent="0.25">
      <c r="A5343" t="str">
        <f t="shared" si="84"/>
        <v/>
      </c>
    </row>
    <row r="5344" spans="1:1" x14ac:dyDescent="0.25">
      <c r="A5344" t="str">
        <f t="shared" si="84"/>
        <v/>
      </c>
    </row>
    <row r="5345" spans="1:1" x14ac:dyDescent="0.25">
      <c r="A5345" t="str">
        <f t="shared" si="84"/>
        <v/>
      </c>
    </row>
    <row r="5346" spans="1:1" x14ac:dyDescent="0.25">
      <c r="A5346" t="str">
        <f t="shared" si="84"/>
        <v/>
      </c>
    </row>
    <row r="5347" spans="1:1" x14ac:dyDescent="0.25">
      <c r="A5347" t="str">
        <f t="shared" si="84"/>
        <v/>
      </c>
    </row>
    <row r="5348" spans="1:1" x14ac:dyDescent="0.25">
      <c r="A5348" t="str">
        <f t="shared" si="84"/>
        <v/>
      </c>
    </row>
    <row r="5349" spans="1:1" x14ac:dyDescent="0.25">
      <c r="A5349" t="str">
        <f t="shared" si="84"/>
        <v/>
      </c>
    </row>
    <row r="5350" spans="1:1" x14ac:dyDescent="0.25">
      <c r="A5350" t="str">
        <f t="shared" si="84"/>
        <v/>
      </c>
    </row>
    <row r="5351" spans="1:1" x14ac:dyDescent="0.25">
      <c r="A5351" t="str">
        <f t="shared" si="84"/>
        <v/>
      </c>
    </row>
    <row r="5352" spans="1:1" x14ac:dyDescent="0.25">
      <c r="A5352" t="str">
        <f t="shared" si="84"/>
        <v/>
      </c>
    </row>
    <row r="5353" spans="1:1" x14ac:dyDescent="0.25">
      <c r="A5353" t="str">
        <f t="shared" si="84"/>
        <v/>
      </c>
    </row>
    <row r="5354" spans="1:1" x14ac:dyDescent="0.25">
      <c r="A5354" t="str">
        <f t="shared" si="84"/>
        <v/>
      </c>
    </row>
    <row r="5355" spans="1:1" x14ac:dyDescent="0.25">
      <c r="A5355" t="str">
        <f t="shared" si="84"/>
        <v/>
      </c>
    </row>
    <row r="5356" spans="1:1" x14ac:dyDescent="0.25">
      <c r="A5356" t="str">
        <f t="shared" si="84"/>
        <v/>
      </c>
    </row>
    <row r="5357" spans="1:1" x14ac:dyDescent="0.25">
      <c r="A5357" t="str">
        <f t="shared" si="84"/>
        <v/>
      </c>
    </row>
    <row r="5358" spans="1:1" x14ac:dyDescent="0.25">
      <c r="A5358" t="str">
        <f t="shared" si="84"/>
        <v/>
      </c>
    </row>
    <row r="5359" spans="1:1" x14ac:dyDescent="0.25">
      <c r="A5359" t="str">
        <f t="shared" si="84"/>
        <v/>
      </c>
    </row>
    <row r="5360" spans="1:1" x14ac:dyDescent="0.25">
      <c r="A5360" t="str">
        <f t="shared" si="84"/>
        <v/>
      </c>
    </row>
    <row r="5361" spans="1:1" x14ac:dyDescent="0.25">
      <c r="A5361" t="str">
        <f t="shared" si="84"/>
        <v/>
      </c>
    </row>
    <row r="5362" spans="1:1" x14ac:dyDescent="0.25">
      <c r="A5362" t="str">
        <f t="shared" si="84"/>
        <v/>
      </c>
    </row>
    <row r="5363" spans="1:1" x14ac:dyDescent="0.25">
      <c r="A5363" t="str">
        <f t="shared" si="84"/>
        <v/>
      </c>
    </row>
    <row r="5364" spans="1:1" x14ac:dyDescent="0.25">
      <c r="A5364" t="str">
        <f t="shared" si="84"/>
        <v/>
      </c>
    </row>
    <row r="5365" spans="1:1" x14ac:dyDescent="0.25">
      <c r="A5365" t="str">
        <f t="shared" ref="A5365:A5428" si="85">B5363&amp;D5363</f>
        <v/>
      </c>
    </row>
    <row r="5366" spans="1:1" x14ac:dyDescent="0.25">
      <c r="A5366" t="str">
        <f t="shared" si="85"/>
        <v/>
      </c>
    </row>
    <row r="5367" spans="1:1" x14ac:dyDescent="0.25">
      <c r="A5367" t="str">
        <f t="shared" si="85"/>
        <v/>
      </c>
    </row>
    <row r="5368" spans="1:1" x14ac:dyDescent="0.25">
      <c r="A5368" t="str">
        <f t="shared" si="85"/>
        <v/>
      </c>
    </row>
    <row r="5369" spans="1:1" x14ac:dyDescent="0.25">
      <c r="A5369" t="str">
        <f t="shared" si="85"/>
        <v/>
      </c>
    </row>
    <row r="5370" spans="1:1" x14ac:dyDescent="0.25">
      <c r="A5370" t="str">
        <f t="shared" si="85"/>
        <v/>
      </c>
    </row>
    <row r="5371" spans="1:1" x14ac:dyDescent="0.25">
      <c r="A5371" t="str">
        <f t="shared" si="85"/>
        <v/>
      </c>
    </row>
    <row r="5372" spans="1:1" x14ac:dyDescent="0.25">
      <c r="A5372" t="str">
        <f t="shared" si="85"/>
        <v/>
      </c>
    </row>
    <row r="5373" spans="1:1" x14ac:dyDescent="0.25">
      <c r="A5373" t="str">
        <f t="shared" si="85"/>
        <v/>
      </c>
    </row>
    <row r="5374" spans="1:1" x14ac:dyDescent="0.25">
      <c r="A5374" t="str">
        <f t="shared" si="85"/>
        <v/>
      </c>
    </row>
    <row r="5375" spans="1:1" x14ac:dyDescent="0.25">
      <c r="A5375" t="str">
        <f t="shared" si="85"/>
        <v/>
      </c>
    </row>
    <row r="5376" spans="1:1" x14ac:dyDescent="0.25">
      <c r="A5376" t="str">
        <f t="shared" si="85"/>
        <v/>
      </c>
    </row>
    <row r="5377" spans="1:1" x14ac:dyDescent="0.25">
      <c r="A5377" t="str">
        <f t="shared" si="85"/>
        <v/>
      </c>
    </row>
    <row r="5378" spans="1:1" x14ac:dyDescent="0.25">
      <c r="A5378" t="str">
        <f t="shared" si="85"/>
        <v/>
      </c>
    </row>
    <row r="5379" spans="1:1" x14ac:dyDescent="0.25">
      <c r="A5379" t="str">
        <f t="shared" si="85"/>
        <v/>
      </c>
    </row>
    <row r="5380" spans="1:1" x14ac:dyDescent="0.25">
      <c r="A5380" t="str">
        <f t="shared" si="85"/>
        <v/>
      </c>
    </row>
    <row r="5381" spans="1:1" x14ac:dyDescent="0.25">
      <c r="A5381" t="str">
        <f t="shared" si="85"/>
        <v/>
      </c>
    </row>
    <row r="5382" spans="1:1" x14ac:dyDescent="0.25">
      <c r="A5382" t="str">
        <f t="shared" si="85"/>
        <v/>
      </c>
    </row>
    <row r="5383" spans="1:1" x14ac:dyDescent="0.25">
      <c r="A5383" t="str">
        <f t="shared" si="85"/>
        <v/>
      </c>
    </row>
    <row r="5384" spans="1:1" x14ac:dyDescent="0.25">
      <c r="A5384" t="str">
        <f t="shared" si="85"/>
        <v/>
      </c>
    </row>
    <row r="5385" spans="1:1" x14ac:dyDescent="0.25">
      <c r="A5385" t="str">
        <f t="shared" si="85"/>
        <v/>
      </c>
    </row>
    <row r="5386" spans="1:1" x14ac:dyDescent="0.25">
      <c r="A5386" t="str">
        <f t="shared" si="85"/>
        <v/>
      </c>
    </row>
    <row r="5387" spans="1:1" x14ac:dyDescent="0.25">
      <c r="A5387" t="str">
        <f t="shared" si="85"/>
        <v/>
      </c>
    </row>
    <row r="5388" spans="1:1" x14ac:dyDescent="0.25">
      <c r="A5388" t="str">
        <f t="shared" si="85"/>
        <v/>
      </c>
    </row>
    <row r="5389" spans="1:1" x14ac:dyDescent="0.25">
      <c r="A5389" t="str">
        <f t="shared" si="85"/>
        <v/>
      </c>
    </row>
    <row r="5390" spans="1:1" x14ac:dyDescent="0.25">
      <c r="A5390" t="str">
        <f t="shared" si="85"/>
        <v/>
      </c>
    </row>
    <row r="5391" spans="1:1" x14ac:dyDescent="0.25">
      <c r="A5391" t="str">
        <f t="shared" si="85"/>
        <v/>
      </c>
    </row>
    <row r="5392" spans="1:1" x14ac:dyDescent="0.25">
      <c r="A5392" t="str">
        <f t="shared" si="85"/>
        <v/>
      </c>
    </row>
    <row r="5393" spans="1:1" x14ac:dyDescent="0.25">
      <c r="A5393" t="str">
        <f t="shared" si="85"/>
        <v/>
      </c>
    </row>
    <row r="5394" spans="1:1" x14ac:dyDescent="0.25">
      <c r="A5394" t="str">
        <f t="shared" si="85"/>
        <v/>
      </c>
    </row>
    <row r="5395" spans="1:1" x14ac:dyDescent="0.25">
      <c r="A5395" t="str">
        <f t="shared" si="85"/>
        <v/>
      </c>
    </row>
    <row r="5396" spans="1:1" x14ac:dyDescent="0.25">
      <c r="A5396" t="str">
        <f t="shared" si="85"/>
        <v/>
      </c>
    </row>
    <row r="5397" spans="1:1" x14ac:dyDescent="0.25">
      <c r="A5397" t="str">
        <f t="shared" si="85"/>
        <v/>
      </c>
    </row>
    <row r="5398" spans="1:1" x14ac:dyDescent="0.25">
      <c r="A5398" t="str">
        <f t="shared" si="85"/>
        <v/>
      </c>
    </row>
    <row r="5399" spans="1:1" x14ac:dyDescent="0.25">
      <c r="A5399" t="str">
        <f t="shared" si="85"/>
        <v/>
      </c>
    </row>
    <row r="5400" spans="1:1" x14ac:dyDescent="0.25">
      <c r="A5400" t="str">
        <f t="shared" si="85"/>
        <v/>
      </c>
    </row>
    <row r="5401" spans="1:1" x14ac:dyDescent="0.25">
      <c r="A5401" t="str">
        <f t="shared" si="85"/>
        <v/>
      </c>
    </row>
    <row r="5402" spans="1:1" x14ac:dyDescent="0.25">
      <c r="A5402" t="str">
        <f t="shared" si="85"/>
        <v/>
      </c>
    </row>
    <row r="5403" spans="1:1" x14ac:dyDescent="0.25">
      <c r="A5403" t="str">
        <f t="shared" si="85"/>
        <v/>
      </c>
    </row>
    <row r="5404" spans="1:1" x14ac:dyDescent="0.25">
      <c r="A5404" t="str">
        <f t="shared" si="85"/>
        <v/>
      </c>
    </row>
    <row r="5405" spans="1:1" x14ac:dyDescent="0.25">
      <c r="A5405" t="str">
        <f t="shared" si="85"/>
        <v/>
      </c>
    </row>
    <row r="5406" spans="1:1" x14ac:dyDescent="0.25">
      <c r="A5406" t="str">
        <f t="shared" si="85"/>
        <v/>
      </c>
    </row>
    <row r="5407" spans="1:1" x14ac:dyDescent="0.25">
      <c r="A5407" t="str">
        <f t="shared" si="85"/>
        <v/>
      </c>
    </row>
    <row r="5408" spans="1:1" x14ac:dyDescent="0.25">
      <c r="A5408" t="str">
        <f t="shared" si="85"/>
        <v/>
      </c>
    </row>
    <row r="5409" spans="1:1" x14ac:dyDescent="0.25">
      <c r="A5409" t="str">
        <f t="shared" si="85"/>
        <v/>
      </c>
    </row>
    <row r="5410" spans="1:1" x14ac:dyDescent="0.25">
      <c r="A5410" t="str">
        <f t="shared" si="85"/>
        <v/>
      </c>
    </row>
    <row r="5411" spans="1:1" x14ac:dyDescent="0.25">
      <c r="A5411" t="str">
        <f t="shared" si="85"/>
        <v/>
      </c>
    </row>
    <row r="5412" spans="1:1" x14ac:dyDescent="0.25">
      <c r="A5412" t="str">
        <f t="shared" si="85"/>
        <v/>
      </c>
    </row>
    <row r="5413" spans="1:1" x14ac:dyDescent="0.25">
      <c r="A5413" t="str">
        <f t="shared" si="85"/>
        <v/>
      </c>
    </row>
    <row r="5414" spans="1:1" x14ac:dyDescent="0.25">
      <c r="A5414" t="str">
        <f t="shared" si="85"/>
        <v/>
      </c>
    </row>
    <row r="5415" spans="1:1" x14ac:dyDescent="0.25">
      <c r="A5415" t="str">
        <f t="shared" si="85"/>
        <v/>
      </c>
    </row>
    <row r="5416" spans="1:1" x14ac:dyDescent="0.25">
      <c r="A5416" t="str">
        <f t="shared" si="85"/>
        <v/>
      </c>
    </row>
    <row r="5417" spans="1:1" x14ac:dyDescent="0.25">
      <c r="A5417" t="str">
        <f t="shared" si="85"/>
        <v/>
      </c>
    </row>
    <row r="5418" spans="1:1" x14ac:dyDescent="0.25">
      <c r="A5418" t="str">
        <f t="shared" si="85"/>
        <v/>
      </c>
    </row>
    <row r="5419" spans="1:1" x14ac:dyDescent="0.25">
      <c r="A5419" t="str">
        <f t="shared" si="85"/>
        <v/>
      </c>
    </row>
    <row r="5420" spans="1:1" x14ac:dyDescent="0.25">
      <c r="A5420" t="str">
        <f t="shared" si="85"/>
        <v/>
      </c>
    </row>
    <row r="5421" spans="1:1" x14ac:dyDescent="0.25">
      <c r="A5421" t="str">
        <f t="shared" si="85"/>
        <v/>
      </c>
    </row>
    <row r="5422" spans="1:1" x14ac:dyDescent="0.25">
      <c r="A5422" t="str">
        <f t="shared" si="85"/>
        <v/>
      </c>
    </row>
    <row r="5423" spans="1:1" x14ac:dyDescent="0.25">
      <c r="A5423" t="str">
        <f t="shared" si="85"/>
        <v/>
      </c>
    </row>
    <row r="5424" spans="1:1" x14ac:dyDescent="0.25">
      <c r="A5424" t="str">
        <f t="shared" si="85"/>
        <v/>
      </c>
    </row>
    <row r="5425" spans="1:1" x14ac:dyDescent="0.25">
      <c r="A5425" t="str">
        <f t="shared" si="85"/>
        <v/>
      </c>
    </row>
    <row r="5426" spans="1:1" x14ac:dyDescent="0.25">
      <c r="A5426" t="str">
        <f t="shared" si="85"/>
        <v/>
      </c>
    </row>
    <row r="5427" spans="1:1" x14ac:dyDescent="0.25">
      <c r="A5427" t="str">
        <f t="shared" si="85"/>
        <v/>
      </c>
    </row>
    <row r="5428" spans="1:1" x14ac:dyDescent="0.25">
      <c r="A5428" t="str">
        <f t="shared" si="85"/>
        <v/>
      </c>
    </row>
    <row r="5429" spans="1:1" x14ac:dyDescent="0.25">
      <c r="A5429" t="str">
        <f t="shared" ref="A5429:A5492" si="86">B5427&amp;D5427</f>
        <v/>
      </c>
    </row>
    <row r="5430" spans="1:1" x14ac:dyDescent="0.25">
      <c r="A5430" t="str">
        <f t="shared" si="86"/>
        <v/>
      </c>
    </row>
    <row r="5431" spans="1:1" x14ac:dyDescent="0.25">
      <c r="A5431" t="str">
        <f t="shared" si="86"/>
        <v/>
      </c>
    </row>
    <row r="5432" spans="1:1" x14ac:dyDescent="0.25">
      <c r="A5432" t="str">
        <f t="shared" si="86"/>
        <v/>
      </c>
    </row>
    <row r="5433" spans="1:1" x14ac:dyDescent="0.25">
      <c r="A5433" t="str">
        <f t="shared" si="86"/>
        <v/>
      </c>
    </row>
    <row r="5434" spans="1:1" x14ac:dyDescent="0.25">
      <c r="A5434" t="str">
        <f t="shared" si="86"/>
        <v/>
      </c>
    </row>
    <row r="5435" spans="1:1" x14ac:dyDescent="0.25">
      <c r="A5435" t="str">
        <f t="shared" si="86"/>
        <v/>
      </c>
    </row>
    <row r="5436" spans="1:1" x14ac:dyDescent="0.25">
      <c r="A5436" t="str">
        <f t="shared" si="86"/>
        <v/>
      </c>
    </row>
    <row r="5437" spans="1:1" x14ac:dyDescent="0.25">
      <c r="A5437" t="str">
        <f t="shared" si="86"/>
        <v/>
      </c>
    </row>
    <row r="5438" spans="1:1" x14ac:dyDescent="0.25">
      <c r="A5438" t="str">
        <f t="shared" si="86"/>
        <v/>
      </c>
    </row>
    <row r="5439" spans="1:1" x14ac:dyDescent="0.25">
      <c r="A5439" t="str">
        <f t="shared" si="86"/>
        <v/>
      </c>
    </row>
    <row r="5440" spans="1:1" x14ac:dyDescent="0.25">
      <c r="A5440" t="str">
        <f t="shared" si="86"/>
        <v/>
      </c>
    </row>
    <row r="5441" spans="1:1" x14ac:dyDescent="0.25">
      <c r="A5441" t="str">
        <f t="shared" si="86"/>
        <v/>
      </c>
    </row>
    <row r="5442" spans="1:1" x14ac:dyDescent="0.25">
      <c r="A5442" t="str">
        <f t="shared" si="86"/>
        <v/>
      </c>
    </row>
    <row r="5443" spans="1:1" x14ac:dyDescent="0.25">
      <c r="A5443" t="str">
        <f t="shared" si="86"/>
        <v/>
      </c>
    </row>
    <row r="5444" spans="1:1" x14ac:dyDescent="0.25">
      <c r="A5444" t="str">
        <f t="shared" si="86"/>
        <v/>
      </c>
    </row>
    <row r="5445" spans="1:1" x14ac:dyDescent="0.25">
      <c r="A5445" t="str">
        <f t="shared" si="86"/>
        <v/>
      </c>
    </row>
    <row r="5446" spans="1:1" x14ac:dyDescent="0.25">
      <c r="A5446" t="str">
        <f t="shared" si="86"/>
        <v/>
      </c>
    </row>
    <row r="5447" spans="1:1" x14ac:dyDescent="0.25">
      <c r="A5447" t="str">
        <f t="shared" si="86"/>
        <v/>
      </c>
    </row>
    <row r="5448" spans="1:1" x14ac:dyDescent="0.25">
      <c r="A5448" t="str">
        <f t="shared" si="86"/>
        <v/>
      </c>
    </row>
    <row r="5449" spans="1:1" x14ac:dyDescent="0.25">
      <c r="A5449" t="str">
        <f t="shared" si="86"/>
        <v/>
      </c>
    </row>
    <row r="5450" spans="1:1" x14ac:dyDescent="0.25">
      <c r="A5450" t="str">
        <f t="shared" si="86"/>
        <v/>
      </c>
    </row>
    <row r="5451" spans="1:1" x14ac:dyDescent="0.25">
      <c r="A5451" t="str">
        <f t="shared" si="86"/>
        <v/>
      </c>
    </row>
    <row r="5452" spans="1:1" x14ac:dyDescent="0.25">
      <c r="A5452" t="str">
        <f t="shared" si="86"/>
        <v/>
      </c>
    </row>
    <row r="5453" spans="1:1" x14ac:dyDescent="0.25">
      <c r="A5453" t="str">
        <f t="shared" si="86"/>
        <v/>
      </c>
    </row>
    <row r="5454" spans="1:1" x14ac:dyDescent="0.25">
      <c r="A5454" t="str">
        <f t="shared" si="86"/>
        <v/>
      </c>
    </row>
    <row r="5455" spans="1:1" x14ac:dyDescent="0.25">
      <c r="A5455" t="str">
        <f t="shared" si="86"/>
        <v/>
      </c>
    </row>
    <row r="5456" spans="1:1" x14ac:dyDescent="0.25">
      <c r="A5456" t="str">
        <f t="shared" si="86"/>
        <v/>
      </c>
    </row>
    <row r="5457" spans="1:1" x14ac:dyDescent="0.25">
      <c r="A5457" t="str">
        <f t="shared" si="86"/>
        <v/>
      </c>
    </row>
    <row r="5458" spans="1:1" x14ac:dyDescent="0.25">
      <c r="A5458" t="str">
        <f t="shared" si="86"/>
        <v/>
      </c>
    </row>
    <row r="5459" spans="1:1" x14ac:dyDescent="0.25">
      <c r="A5459" t="str">
        <f t="shared" si="86"/>
        <v/>
      </c>
    </row>
    <row r="5460" spans="1:1" x14ac:dyDescent="0.25">
      <c r="A5460" t="str">
        <f t="shared" si="86"/>
        <v/>
      </c>
    </row>
    <row r="5461" spans="1:1" x14ac:dyDescent="0.25">
      <c r="A5461" t="str">
        <f t="shared" si="86"/>
        <v/>
      </c>
    </row>
    <row r="5462" spans="1:1" x14ac:dyDescent="0.25">
      <c r="A5462" t="str">
        <f t="shared" si="86"/>
        <v/>
      </c>
    </row>
    <row r="5463" spans="1:1" x14ac:dyDescent="0.25">
      <c r="A5463" t="str">
        <f t="shared" si="86"/>
        <v/>
      </c>
    </row>
    <row r="5464" spans="1:1" x14ac:dyDescent="0.25">
      <c r="A5464" t="str">
        <f t="shared" si="86"/>
        <v/>
      </c>
    </row>
    <row r="5465" spans="1:1" x14ac:dyDescent="0.25">
      <c r="A5465" t="str">
        <f t="shared" si="86"/>
        <v/>
      </c>
    </row>
    <row r="5466" spans="1:1" x14ac:dyDescent="0.25">
      <c r="A5466" t="str">
        <f t="shared" si="86"/>
        <v/>
      </c>
    </row>
    <row r="5467" spans="1:1" x14ac:dyDescent="0.25">
      <c r="A5467" t="str">
        <f t="shared" si="86"/>
        <v/>
      </c>
    </row>
    <row r="5468" spans="1:1" x14ac:dyDescent="0.25">
      <c r="A5468" t="str">
        <f t="shared" si="86"/>
        <v/>
      </c>
    </row>
    <row r="5469" spans="1:1" x14ac:dyDescent="0.25">
      <c r="A5469" t="str">
        <f t="shared" si="86"/>
        <v/>
      </c>
    </row>
    <row r="5470" spans="1:1" x14ac:dyDescent="0.25">
      <c r="A5470" t="str">
        <f t="shared" si="86"/>
        <v/>
      </c>
    </row>
    <row r="5471" spans="1:1" x14ac:dyDescent="0.25">
      <c r="A5471" t="str">
        <f t="shared" si="86"/>
        <v/>
      </c>
    </row>
    <row r="5472" spans="1:1" x14ac:dyDescent="0.25">
      <c r="A5472" t="str">
        <f t="shared" si="86"/>
        <v/>
      </c>
    </row>
    <row r="5473" spans="1:1" x14ac:dyDescent="0.25">
      <c r="A5473" t="str">
        <f t="shared" si="86"/>
        <v/>
      </c>
    </row>
    <row r="5474" spans="1:1" x14ac:dyDescent="0.25">
      <c r="A5474" t="str">
        <f t="shared" si="86"/>
        <v/>
      </c>
    </row>
    <row r="5475" spans="1:1" x14ac:dyDescent="0.25">
      <c r="A5475" t="str">
        <f t="shared" si="86"/>
        <v/>
      </c>
    </row>
    <row r="5476" spans="1:1" x14ac:dyDescent="0.25">
      <c r="A5476" t="str">
        <f t="shared" si="86"/>
        <v/>
      </c>
    </row>
    <row r="5477" spans="1:1" x14ac:dyDescent="0.25">
      <c r="A5477" t="str">
        <f t="shared" si="86"/>
        <v/>
      </c>
    </row>
    <row r="5478" spans="1:1" x14ac:dyDescent="0.25">
      <c r="A5478" t="str">
        <f t="shared" si="86"/>
        <v/>
      </c>
    </row>
    <row r="5479" spans="1:1" x14ac:dyDescent="0.25">
      <c r="A5479" t="str">
        <f t="shared" si="86"/>
        <v/>
      </c>
    </row>
    <row r="5480" spans="1:1" x14ac:dyDescent="0.25">
      <c r="A5480" t="str">
        <f t="shared" si="86"/>
        <v/>
      </c>
    </row>
    <row r="5481" spans="1:1" x14ac:dyDescent="0.25">
      <c r="A5481" t="str">
        <f t="shared" si="86"/>
        <v/>
      </c>
    </row>
    <row r="5482" spans="1:1" x14ac:dyDescent="0.25">
      <c r="A5482" t="str">
        <f t="shared" si="86"/>
        <v/>
      </c>
    </row>
    <row r="5483" spans="1:1" x14ac:dyDescent="0.25">
      <c r="A5483" t="str">
        <f t="shared" si="86"/>
        <v/>
      </c>
    </row>
    <row r="5484" spans="1:1" x14ac:dyDescent="0.25">
      <c r="A5484" t="str">
        <f t="shared" si="86"/>
        <v/>
      </c>
    </row>
    <row r="5485" spans="1:1" x14ac:dyDescent="0.25">
      <c r="A5485" t="str">
        <f t="shared" si="86"/>
        <v/>
      </c>
    </row>
    <row r="5486" spans="1:1" x14ac:dyDescent="0.25">
      <c r="A5486" t="str">
        <f t="shared" si="86"/>
        <v/>
      </c>
    </row>
    <row r="5487" spans="1:1" x14ac:dyDescent="0.25">
      <c r="A5487" t="str">
        <f t="shared" si="86"/>
        <v/>
      </c>
    </row>
    <row r="5488" spans="1:1" x14ac:dyDescent="0.25">
      <c r="A5488" t="str">
        <f t="shared" si="86"/>
        <v/>
      </c>
    </row>
    <row r="5489" spans="1:1" x14ac:dyDescent="0.25">
      <c r="A5489" t="str">
        <f t="shared" si="86"/>
        <v/>
      </c>
    </row>
    <row r="5490" spans="1:1" x14ac:dyDescent="0.25">
      <c r="A5490" t="str">
        <f t="shared" si="86"/>
        <v/>
      </c>
    </row>
    <row r="5491" spans="1:1" x14ac:dyDescent="0.25">
      <c r="A5491" t="str">
        <f t="shared" si="86"/>
        <v/>
      </c>
    </row>
    <row r="5492" spans="1:1" x14ac:dyDescent="0.25">
      <c r="A5492" t="str">
        <f t="shared" si="86"/>
        <v/>
      </c>
    </row>
    <row r="5493" spans="1:1" x14ac:dyDescent="0.25">
      <c r="A5493" t="str">
        <f t="shared" ref="A5493:A5556" si="87">B5491&amp;D5491</f>
        <v/>
      </c>
    </row>
    <row r="5494" spans="1:1" x14ac:dyDescent="0.25">
      <c r="A5494" t="str">
        <f t="shared" si="87"/>
        <v/>
      </c>
    </row>
    <row r="5495" spans="1:1" x14ac:dyDescent="0.25">
      <c r="A5495" t="str">
        <f t="shared" si="87"/>
        <v/>
      </c>
    </row>
    <row r="5496" spans="1:1" x14ac:dyDescent="0.25">
      <c r="A5496" t="str">
        <f t="shared" si="87"/>
        <v/>
      </c>
    </row>
    <row r="5497" spans="1:1" x14ac:dyDescent="0.25">
      <c r="A5497" t="str">
        <f t="shared" si="87"/>
        <v/>
      </c>
    </row>
    <row r="5498" spans="1:1" x14ac:dyDescent="0.25">
      <c r="A5498" t="str">
        <f t="shared" si="87"/>
        <v/>
      </c>
    </row>
    <row r="5499" spans="1:1" x14ac:dyDescent="0.25">
      <c r="A5499" t="str">
        <f t="shared" si="87"/>
        <v/>
      </c>
    </row>
    <row r="5500" spans="1:1" x14ac:dyDescent="0.25">
      <c r="A5500" t="str">
        <f t="shared" si="87"/>
        <v/>
      </c>
    </row>
    <row r="5501" spans="1:1" x14ac:dyDescent="0.25">
      <c r="A5501" t="str">
        <f t="shared" si="87"/>
        <v/>
      </c>
    </row>
    <row r="5502" spans="1:1" x14ac:dyDescent="0.25">
      <c r="A5502" t="str">
        <f t="shared" si="87"/>
        <v/>
      </c>
    </row>
    <row r="5503" spans="1:1" x14ac:dyDescent="0.25">
      <c r="A5503" t="str">
        <f t="shared" si="87"/>
        <v/>
      </c>
    </row>
    <row r="5504" spans="1:1" x14ac:dyDescent="0.25">
      <c r="A5504" t="str">
        <f t="shared" si="87"/>
        <v/>
      </c>
    </row>
    <row r="5505" spans="1:1" x14ac:dyDescent="0.25">
      <c r="A5505" t="str">
        <f t="shared" si="87"/>
        <v/>
      </c>
    </row>
    <row r="5506" spans="1:1" x14ac:dyDescent="0.25">
      <c r="A5506" t="str">
        <f t="shared" si="87"/>
        <v/>
      </c>
    </row>
    <row r="5507" spans="1:1" x14ac:dyDescent="0.25">
      <c r="A5507" t="str">
        <f t="shared" si="87"/>
        <v/>
      </c>
    </row>
    <row r="5508" spans="1:1" x14ac:dyDescent="0.25">
      <c r="A5508" t="str">
        <f t="shared" si="87"/>
        <v/>
      </c>
    </row>
    <row r="5509" spans="1:1" x14ac:dyDescent="0.25">
      <c r="A5509" t="str">
        <f t="shared" si="87"/>
        <v/>
      </c>
    </row>
    <row r="5510" spans="1:1" x14ac:dyDescent="0.25">
      <c r="A5510" t="str">
        <f t="shared" si="87"/>
        <v/>
      </c>
    </row>
    <row r="5511" spans="1:1" x14ac:dyDescent="0.25">
      <c r="A5511" t="str">
        <f t="shared" si="87"/>
        <v/>
      </c>
    </row>
    <row r="5512" spans="1:1" x14ac:dyDescent="0.25">
      <c r="A5512" t="str">
        <f t="shared" si="87"/>
        <v/>
      </c>
    </row>
    <row r="5513" spans="1:1" x14ac:dyDescent="0.25">
      <c r="A5513" t="str">
        <f t="shared" si="87"/>
        <v/>
      </c>
    </row>
    <row r="5514" spans="1:1" x14ac:dyDescent="0.25">
      <c r="A5514" t="str">
        <f t="shared" si="87"/>
        <v/>
      </c>
    </row>
    <row r="5515" spans="1:1" x14ac:dyDescent="0.25">
      <c r="A5515" t="str">
        <f t="shared" si="87"/>
        <v/>
      </c>
    </row>
    <row r="5516" spans="1:1" x14ac:dyDescent="0.25">
      <c r="A5516" t="str">
        <f t="shared" si="87"/>
        <v/>
      </c>
    </row>
    <row r="5517" spans="1:1" x14ac:dyDescent="0.25">
      <c r="A5517" t="str">
        <f t="shared" si="87"/>
        <v/>
      </c>
    </row>
    <row r="5518" spans="1:1" x14ac:dyDescent="0.25">
      <c r="A5518" t="str">
        <f t="shared" si="87"/>
        <v/>
      </c>
    </row>
    <row r="5519" spans="1:1" x14ac:dyDescent="0.25">
      <c r="A5519" t="str">
        <f t="shared" si="87"/>
        <v/>
      </c>
    </row>
    <row r="5520" spans="1:1" x14ac:dyDescent="0.25">
      <c r="A5520" t="str">
        <f t="shared" si="87"/>
        <v/>
      </c>
    </row>
    <row r="5521" spans="1:1" x14ac:dyDescent="0.25">
      <c r="A5521" t="str">
        <f t="shared" si="87"/>
        <v/>
      </c>
    </row>
    <row r="5522" spans="1:1" x14ac:dyDescent="0.25">
      <c r="A5522" t="str">
        <f t="shared" si="87"/>
        <v/>
      </c>
    </row>
    <row r="5523" spans="1:1" x14ac:dyDescent="0.25">
      <c r="A5523" t="str">
        <f t="shared" si="87"/>
        <v/>
      </c>
    </row>
    <row r="5524" spans="1:1" x14ac:dyDescent="0.25">
      <c r="A5524" t="str">
        <f t="shared" si="87"/>
        <v/>
      </c>
    </row>
    <row r="5525" spans="1:1" x14ac:dyDescent="0.25">
      <c r="A5525" t="str">
        <f t="shared" si="87"/>
        <v/>
      </c>
    </row>
    <row r="5526" spans="1:1" x14ac:dyDescent="0.25">
      <c r="A5526" t="str">
        <f t="shared" si="87"/>
        <v/>
      </c>
    </row>
    <row r="5527" spans="1:1" x14ac:dyDescent="0.25">
      <c r="A5527" t="str">
        <f t="shared" si="87"/>
        <v/>
      </c>
    </row>
    <row r="5528" spans="1:1" x14ac:dyDescent="0.25">
      <c r="A5528" t="str">
        <f t="shared" si="87"/>
        <v/>
      </c>
    </row>
    <row r="5529" spans="1:1" x14ac:dyDescent="0.25">
      <c r="A5529" t="str">
        <f t="shared" si="87"/>
        <v/>
      </c>
    </row>
    <row r="5530" spans="1:1" x14ac:dyDescent="0.25">
      <c r="A5530" t="str">
        <f t="shared" si="87"/>
        <v/>
      </c>
    </row>
    <row r="5531" spans="1:1" x14ac:dyDescent="0.25">
      <c r="A5531" t="str">
        <f t="shared" si="87"/>
        <v/>
      </c>
    </row>
    <row r="5532" spans="1:1" x14ac:dyDescent="0.25">
      <c r="A5532" t="str">
        <f t="shared" si="87"/>
        <v/>
      </c>
    </row>
    <row r="5533" spans="1:1" x14ac:dyDescent="0.25">
      <c r="A5533" t="str">
        <f t="shared" si="87"/>
        <v/>
      </c>
    </row>
    <row r="5534" spans="1:1" x14ac:dyDescent="0.25">
      <c r="A5534" t="str">
        <f t="shared" si="87"/>
        <v/>
      </c>
    </row>
    <row r="5535" spans="1:1" x14ac:dyDescent="0.25">
      <c r="A5535" t="str">
        <f t="shared" si="87"/>
        <v/>
      </c>
    </row>
    <row r="5536" spans="1:1" x14ac:dyDescent="0.25">
      <c r="A5536" t="str">
        <f t="shared" si="87"/>
        <v/>
      </c>
    </row>
    <row r="5537" spans="1:1" x14ac:dyDescent="0.25">
      <c r="A5537" t="str">
        <f t="shared" si="87"/>
        <v/>
      </c>
    </row>
    <row r="5538" spans="1:1" x14ac:dyDescent="0.25">
      <c r="A5538" t="str">
        <f t="shared" si="87"/>
        <v/>
      </c>
    </row>
    <row r="5539" spans="1:1" x14ac:dyDescent="0.25">
      <c r="A5539" t="str">
        <f t="shared" si="87"/>
        <v/>
      </c>
    </row>
    <row r="5540" spans="1:1" x14ac:dyDescent="0.25">
      <c r="A5540" t="str">
        <f t="shared" si="87"/>
        <v/>
      </c>
    </row>
    <row r="5541" spans="1:1" x14ac:dyDescent="0.25">
      <c r="A5541" t="str">
        <f t="shared" si="87"/>
        <v/>
      </c>
    </row>
    <row r="5542" spans="1:1" x14ac:dyDescent="0.25">
      <c r="A5542" t="str">
        <f t="shared" si="87"/>
        <v/>
      </c>
    </row>
    <row r="5543" spans="1:1" x14ac:dyDescent="0.25">
      <c r="A5543" t="str">
        <f t="shared" si="87"/>
        <v/>
      </c>
    </row>
    <row r="5544" spans="1:1" x14ac:dyDescent="0.25">
      <c r="A5544" t="str">
        <f t="shared" si="87"/>
        <v/>
      </c>
    </row>
    <row r="5545" spans="1:1" x14ac:dyDescent="0.25">
      <c r="A5545" t="str">
        <f t="shared" si="87"/>
        <v/>
      </c>
    </row>
    <row r="5546" spans="1:1" x14ac:dyDescent="0.25">
      <c r="A5546" t="str">
        <f t="shared" si="87"/>
        <v/>
      </c>
    </row>
    <row r="5547" spans="1:1" x14ac:dyDescent="0.25">
      <c r="A5547" t="str">
        <f t="shared" si="87"/>
        <v/>
      </c>
    </row>
    <row r="5548" spans="1:1" x14ac:dyDescent="0.25">
      <c r="A5548" t="str">
        <f t="shared" si="87"/>
        <v/>
      </c>
    </row>
    <row r="5549" spans="1:1" x14ac:dyDescent="0.25">
      <c r="A5549" t="str">
        <f t="shared" si="87"/>
        <v/>
      </c>
    </row>
    <row r="5550" spans="1:1" x14ac:dyDescent="0.25">
      <c r="A5550" t="str">
        <f t="shared" si="87"/>
        <v/>
      </c>
    </row>
    <row r="5551" spans="1:1" x14ac:dyDescent="0.25">
      <c r="A5551" t="str">
        <f t="shared" si="87"/>
        <v/>
      </c>
    </row>
    <row r="5552" spans="1:1" x14ac:dyDescent="0.25">
      <c r="A5552" t="str">
        <f t="shared" si="87"/>
        <v/>
      </c>
    </row>
    <row r="5553" spans="1:1" x14ac:dyDescent="0.25">
      <c r="A5553" t="str">
        <f t="shared" si="87"/>
        <v/>
      </c>
    </row>
    <row r="5554" spans="1:1" x14ac:dyDescent="0.25">
      <c r="A5554" t="str">
        <f t="shared" si="87"/>
        <v/>
      </c>
    </row>
    <row r="5555" spans="1:1" x14ac:dyDescent="0.25">
      <c r="A5555" t="str">
        <f t="shared" si="87"/>
        <v/>
      </c>
    </row>
    <row r="5556" spans="1:1" x14ac:dyDescent="0.25">
      <c r="A5556" t="str">
        <f t="shared" si="87"/>
        <v/>
      </c>
    </row>
    <row r="5557" spans="1:1" x14ac:dyDescent="0.25">
      <c r="A5557" t="str">
        <f t="shared" ref="A5557:A5620" si="88">B5555&amp;D5555</f>
        <v/>
      </c>
    </row>
    <row r="5558" spans="1:1" x14ac:dyDescent="0.25">
      <c r="A5558" t="str">
        <f t="shared" si="88"/>
        <v/>
      </c>
    </row>
    <row r="5559" spans="1:1" x14ac:dyDescent="0.25">
      <c r="A5559" t="str">
        <f t="shared" si="88"/>
        <v/>
      </c>
    </row>
    <row r="5560" spans="1:1" x14ac:dyDescent="0.25">
      <c r="A5560" t="str">
        <f t="shared" si="88"/>
        <v/>
      </c>
    </row>
    <row r="5561" spans="1:1" x14ac:dyDescent="0.25">
      <c r="A5561" t="str">
        <f t="shared" si="88"/>
        <v/>
      </c>
    </row>
    <row r="5562" spans="1:1" x14ac:dyDescent="0.25">
      <c r="A5562" t="str">
        <f t="shared" si="88"/>
        <v/>
      </c>
    </row>
    <row r="5563" spans="1:1" x14ac:dyDescent="0.25">
      <c r="A5563" t="str">
        <f t="shared" si="88"/>
        <v/>
      </c>
    </row>
    <row r="5564" spans="1:1" x14ac:dyDescent="0.25">
      <c r="A5564" t="str">
        <f t="shared" si="88"/>
        <v/>
      </c>
    </row>
    <row r="5565" spans="1:1" x14ac:dyDescent="0.25">
      <c r="A5565" t="str">
        <f t="shared" si="88"/>
        <v/>
      </c>
    </row>
    <row r="5566" spans="1:1" x14ac:dyDescent="0.25">
      <c r="A5566" t="str">
        <f t="shared" si="88"/>
        <v/>
      </c>
    </row>
    <row r="5567" spans="1:1" x14ac:dyDescent="0.25">
      <c r="A5567" t="str">
        <f t="shared" si="88"/>
        <v/>
      </c>
    </row>
    <row r="5568" spans="1:1" x14ac:dyDescent="0.25">
      <c r="A5568" t="str">
        <f t="shared" si="88"/>
        <v/>
      </c>
    </row>
    <row r="5569" spans="1:1" x14ac:dyDescent="0.25">
      <c r="A5569" t="str">
        <f t="shared" si="88"/>
        <v/>
      </c>
    </row>
    <row r="5570" spans="1:1" x14ac:dyDescent="0.25">
      <c r="A5570" t="str">
        <f t="shared" si="88"/>
        <v/>
      </c>
    </row>
    <row r="5571" spans="1:1" x14ac:dyDescent="0.25">
      <c r="A5571" t="str">
        <f t="shared" si="88"/>
        <v/>
      </c>
    </row>
    <row r="5572" spans="1:1" x14ac:dyDescent="0.25">
      <c r="A5572" t="str">
        <f t="shared" si="88"/>
        <v/>
      </c>
    </row>
    <row r="5573" spans="1:1" x14ac:dyDescent="0.25">
      <c r="A5573" t="str">
        <f t="shared" si="88"/>
        <v/>
      </c>
    </row>
    <row r="5574" spans="1:1" x14ac:dyDescent="0.25">
      <c r="A5574" t="str">
        <f t="shared" si="88"/>
        <v/>
      </c>
    </row>
    <row r="5575" spans="1:1" x14ac:dyDescent="0.25">
      <c r="A5575" t="str">
        <f t="shared" si="88"/>
        <v/>
      </c>
    </row>
    <row r="5576" spans="1:1" x14ac:dyDescent="0.25">
      <c r="A5576" t="str">
        <f t="shared" si="88"/>
        <v/>
      </c>
    </row>
    <row r="5577" spans="1:1" x14ac:dyDescent="0.25">
      <c r="A5577" t="str">
        <f t="shared" si="88"/>
        <v/>
      </c>
    </row>
    <row r="5578" spans="1:1" x14ac:dyDescent="0.25">
      <c r="A5578" t="str">
        <f t="shared" si="88"/>
        <v/>
      </c>
    </row>
    <row r="5579" spans="1:1" x14ac:dyDescent="0.25">
      <c r="A5579" t="str">
        <f t="shared" si="88"/>
        <v/>
      </c>
    </row>
    <row r="5580" spans="1:1" x14ac:dyDescent="0.25">
      <c r="A5580" t="str">
        <f t="shared" si="88"/>
        <v/>
      </c>
    </row>
    <row r="5581" spans="1:1" x14ac:dyDescent="0.25">
      <c r="A5581" t="str">
        <f t="shared" si="88"/>
        <v/>
      </c>
    </row>
    <row r="5582" spans="1:1" x14ac:dyDescent="0.25">
      <c r="A5582" t="str">
        <f t="shared" si="88"/>
        <v/>
      </c>
    </row>
    <row r="5583" spans="1:1" x14ac:dyDescent="0.25">
      <c r="A5583" t="str">
        <f t="shared" si="88"/>
        <v/>
      </c>
    </row>
    <row r="5584" spans="1:1" x14ac:dyDescent="0.25">
      <c r="A5584" t="str">
        <f t="shared" si="88"/>
        <v/>
      </c>
    </row>
    <row r="5585" spans="1:1" x14ac:dyDescent="0.25">
      <c r="A5585" t="str">
        <f t="shared" si="88"/>
        <v/>
      </c>
    </row>
    <row r="5586" spans="1:1" x14ac:dyDescent="0.25">
      <c r="A5586" t="str">
        <f t="shared" si="88"/>
        <v/>
      </c>
    </row>
    <row r="5587" spans="1:1" x14ac:dyDescent="0.25">
      <c r="A5587" t="str">
        <f t="shared" si="88"/>
        <v/>
      </c>
    </row>
    <row r="5588" spans="1:1" x14ac:dyDescent="0.25">
      <c r="A5588" t="str">
        <f t="shared" si="88"/>
        <v/>
      </c>
    </row>
    <row r="5589" spans="1:1" x14ac:dyDescent="0.25">
      <c r="A5589" t="str">
        <f t="shared" si="88"/>
        <v/>
      </c>
    </row>
    <row r="5590" spans="1:1" x14ac:dyDescent="0.25">
      <c r="A5590" t="str">
        <f t="shared" si="88"/>
        <v/>
      </c>
    </row>
    <row r="5591" spans="1:1" x14ac:dyDescent="0.25">
      <c r="A5591" t="str">
        <f t="shared" si="88"/>
        <v/>
      </c>
    </row>
    <row r="5592" spans="1:1" x14ac:dyDescent="0.25">
      <c r="A5592" t="str">
        <f t="shared" si="88"/>
        <v/>
      </c>
    </row>
    <row r="5593" spans="1:1" x14ac:dyDescent="0.25">
      <c r="A5593" t="str">
        <f t="shared" si="88"/>
        <v/>
      </c>
    </row>
    <row r="5594" spans="1:1" x14ac:dyDescent="0.25">
      <c r="A5594" t="str">
        <f t="shared" si="88"/>
        <v/>
      </c>
    </row>
    <row r="5595" spans="1:1" x14ac:dyDescent="0.25">
      <c r="A5595" t="str">
        <f t="shared" si="88"/>
        <v/>
      </c>
    </row>
    <row r="5596" spans="1:1" x14ac:dyDescent="0.25">
      <c r="A5596" t="str">
        <f t="shared" si="88"/>
        <v/>
      </c>
    </row>
    <row r="5597" spans="1:1" x14ac:dyDescent="0.25">
      <c r="A5597" t="str">
        <f t="shared" si="88"/>
        <v/>
      </c>
    </row>
    <row r="5598" spans="1:1" x14ac:dyDescent="0.25">
      <c r="A5598" t="str">
        <f t="shared" si="88"/>
        <v/>
      </c>
    </row>
    <row r="5599" spans="1:1" x14ac:dyDescent="0.25">
      <c r="A5599" t="str">
        <f t="shared" si="88"/>
        <v/>
      </c>
    </row>
    <row r="5600" spans="1:1" x14ac:dyDescent="0.25">
      <c r="A5600" t="str">
        <f t="shared" si="88"/>
        <v/>
      </c>
    </row>
    <row r="5601" spans="1:1" x14ac:dyDescent="0.25">
      <c r="A5601" t="str">
        <f t="shared" si="88"/>
        <v/>
      </c>
    </row>
    <row r="5602" spans="1:1" x14ac:dyDescent="0.25">
      <c r="A5602" t="str">
        <f t="shared" si="88"/>
        <v/>
      </c>
    </row>
    <row r="5603" spans="1:1" x14ac:dyDescent="0.25">
      <c r="A5603" t="str">
        <f t="shared" si="88"/>
        <v/>
      </c>
    </row>
    <row r="5604" spans="1:1" x14ac:dyDescent="0.25">
      <c r="A5604" t="str">
        <f t="shared" si="88"/>
        <v/>
      </c>
    </row>
    <row r="5605" spans="1:1" x14ac:dyDescent="0.25">
      <c r="A5605" t="str">
        <f t="shared" si="88"/>
        <v/>
      </c>
    </row>
    <row r="5606" spans="1:1" x14ac:dyDescent="0.25">
      <c r="A5606" t="str">
        <f t="shared" si="88"/>
        <v/>
      </c>
    </row>
    <row r="5607" spans="1:1" x14ac:dyDescent="0.25">
      <c r="A5607" t="str">
        <f t="shared" si="88"/>
        <v/>
      </c>
    </row>
    <row r="5608" spans="1:1" x14ac:dyDescent="0.25">
      <c r="A5608" t="str">
        <f t="shared" si="88"/>
        <v/>
      </c>
    </row>
    <row r="5609" spans="1:1" x14ac:dyDescent="0.25">
      <c r="A5609" t="str">
        <f t="shared" si="88"/>
        <v/>
      </c>
    </row>
    <row r="5610" spans="1:1" x14ac:dyDescent="0.25">
      <c r="A5610" t="str">
        <f t="shared" si="88"/>
        <v/>
      </c>
    </row>
    <row r="5611" spans="1:1" x14ac:dyDescent="0.25">
      <c r="A5611" t="str">
        <f t="shared" si="88"/>
        <v/>
      </c>
    </row>
    <row r="5612" spans="1:1" x14ac:dyDescent="0.25">
      <c r="A5612" t="str">
        <f t="shared" si="88"/>
        <v/>
      </c>
    </row>
    <row r="5613" spans="1:1" x14ac:dyDescent="0.25">
      <c r="A5613" t="str">
        <f t="shared" si="88"/>
        <v/>
      </c>
    </row>
    <row r="5614" spans="1:1" x14ac:dyDescent="0.25">
      <c r="A5614" t="str">
        <f t="shared" si="88"/>
        <v/>
      </c>
    </row>
    <row r="5615" spans="1:1" x14ac:dyDescent="0.25">
      <c r="A5615" t="str">
        <f t="shared" si="88"/>
        <v/>
      </c>
    </row>
    <row r="5616" spans="1:1" x14ac:dyDescent="0.25">
      <c r="A5616" t="str">
        <f t="shared" si="88"/>
        <v/>
      </c>
    </row>
    <row r="5617" spans="1:1" x14ac:dyDescent="0.25">
      <c r="A5617" t="str">
        <f t="shared" si="88"/>
        <v/>
      </c>
    </row>
    <row r="5618" spans="1:1" x14ac:dyDescent="0.25">
      <c r="A5618" t="str">
        <f t="shared" si="88"/>
        <v/>
      </c>
    </row>
    <row r="5619" spans="1:1" x14ac:dyDescent="0.25">
      <c r="A5619" t="str">
        <f t="shared" si="88"/>
        <v/>
      </c>
    </row>
    <row r="5620" spans="1:1" x14ac:dyDescent="0.25">
      <c r="A5620" t="str">
        <f t="shared" si="88"/>
        <v/>
      </c>
    </row>
    <row r="5621" spans="1:1" x14ac:dyDescent="0.25">
      <c r="A5621" t="str">
        <f t="shared" ref="A5621:A5684" si="89">B5619&amp;D5619</f>
        <v/>
      </c>
    </row>
    <row r="5622" spans="1:1" x14ac:dyDescent="0.25">
      <c r="A5622" t="str">
        <f t="shared" si="89"/>
        <v/>
      </c>
    </row>
    <row r="5623" spans="1:1" x14ac:dyDescent="0.25">
      <c r="A5623" t="str">
        <f t="shared" si="89"/>
        <v/>
      </c>
    </row>
    <row r="5624" spans="1:1" x14ac:dyDescent="0.25">
      <c r="A5624" t="str">
        <f t="shared" si="89"/>
        <v/>
      </c>
    </row>
    <row r="5625" spans="1:1" x14ac:dyDescent="0.25">
      <c r="A5625" t="str">
        <f t="shared" si="89"/>
        <v/>
      </c>
    </row>
    <row r="5626" spans="1:1" x14ac:dyDescent="0.25">
      <c r="A5626" t="str">
        <f t="shared" si="89"/>
        <v/>
      </c>
    </row>
    <row r="5627" spans="1:1" x14ac:dyDescent="0.25">
      <c r="A5627" t="str">
        <f t="shared" si="89"/>
        <v/>
      </c>
    </row>
    <row r="5628" spans="1:1" x14ac:dyDescent="0.25">
      <c r="A5628" t="str">
        <f t="shared" si="89"/>
        <v/>
      </c>
    </row>
    <row r="5629" spans="1:1" x14ac:dyDescent="0.25">
      <c r="A5629" t="str">
        <f t="shared" si="89"/>
        <v/>
      </c>
    </row>
    <row r="5630" spans="1:1" x14ac:dyDescent="0.25">
      <c r="A5630" t="str">
        <f t="shared" si="89"/>
        <v/>
      </c>
    </row>
    <row r="5631" spans="1:1" x14ac:dyDescent="0.25">
      <c r="A5631" t="str">
        <f t="shared" si="89"/>
        <v/>
      </c>
    </row>
    <row r="5632" spans="1:1" x14ac:dyDescent="0.25">
      <c r="A5632" t="str">
        <f t="shared" si="89"/>
        <v/>
      </c>
    </row>
    <row r="5633" spans="1:1" x14ac:dyDescent="0.25">
      <c r="A5633" t="str">
        <f t="shared" si="89"/>
        <v/>
      </c>
    </row>
    <row r="5634" spans="1:1" x14ac:dyDescent="0.25">
      <c r="A5634" t="str">
        <f t="shared" si="89"/>
        <v/>
      </c>
    </row>
    <row r="5635" spans="1:1" x14ac:dyDescent="0.25">
      <c r="A5635" t="str">
        <f t="shared" si="89"/>
        <v/>
      </c>
    </row>
    <row r="5636" spans="1:1" x14ac:dyDescent="0.25">
      <c r="A5636" t="str">
        <f t="shared" si="89"/>
        <v/>
      </c>
    </row>
    <row r="5637" spans="1:1" x14ac:dyDescent="0.25">
      <c r="A5637" t="str">
        <f t="shared" si="89"/>
        <v/>
      </c>
    </row>
    <row r="5638" spans="1:1" x14ac:dyDescent="0.25">
      <c r="A5638" t="str">
        <f t="shared" si="89"/>
        <v/>
      </c>
    </row>
    <row r="5639" spans="1:1" x14ac:dyDescent="0.25">
      <c r="A5639" t="str">
        <f t="shared" si="89"/>
        <v/>
      </c>
    </row>
    <row r="5640" spans="1:1" x14ac:dyDescent="0.25">
      <c r="A5640" t="str">
        <f t="shared" si="89"/>
        <v/>
      </c>
    </row>
    <row r="5641" spans="1:1" x14ac:dyDescent="0.25">
      <c r="A5641" t="str">
        <f t="shared" si="89"/>
        <v/>
      </c>
    </row>
    <row r="5642" spans="1:1" x14ac:dyDescent="0.25">
      <c r="A5642" t="str">
        <f t="shared" si="89"/>
        <v/>
      </c>
    </row>
    <row r="5643" spans="1:1" x14ac:dyDescent="0.25">
      <c r="A5643" t="str">
        <f t="shared" si="89"/>
        <v/>
      </c>
    </row>
    <row r="5644" spans="1:1" x14ac:dyDescent="0.25">
      <c r="A5644" t="str">
        <f t="shared" si="89"/>
        <v/>
      </c>
    </row>
    <row r="5645" spans="1:1" x14ac:dyDescent="0.25">
      <c r="A5645" t="str">
        <f t="shared" si="89"/>
        <v/>
      </c>
    </row>
    <row r="5646" spans="1:1" x14ac:dyDescent="0.25">
      <c r="A5646" t="str">
        <f t="shared" si="89"/>
        <v/>
      </c>
    </row>
    <row r="5647" spans="1:1" x14ac:dyDescent="0.25">
      <c r="A5647" t="str">
        <f t="shared" si="89"/>
        <v/>
      </c>
    </row>
    <row r="5648" spans="1:1" x14ac:dyDescent="0.25">
      <c r="A5648" t="str">
        <f t="shared" si="89"/>
        <v/>
      </c>
    </row>
    <row r="5649" spans="1:1" x14ac:dyDescent="0.25">
      <c r="A5649" t="str">
        <f t="shared" si="89"/>
        <v/>
      </c>
    </row>
    <row r="5650" spans="1:1" x14ac:dyDescent="0.25">
      <c r="A5650" t="str">
        <f t="shared" si="89"/>
        <v/>
      </c>
    </row>
    <row r="5651" spans="1:1" x14ac:dyDescent="0.25">
      <c r="A5651" t="str">
        <f t="shared" si="89"/>
        <v/>
      </c>
    </row>
    <row r="5652" spans="1:1" x14ac:dyDescent="0.25">
      <c r="A5652" t="str">
        <f t="shared" si="89"/>
        <v/>
      </c>
    </row>
    <row r="5653" spans="1:1" x14ac:dyDescent="0.25">
      <c r="A5653" t="str">
        <f t="shared" si="89"/>
        <v/>
      </c>
    </row>
    <row r="5654" spans="1:1" x14ac:dyDescent="0.25">
      <c r="A5654" t="str">
        <f t="shared" si="89"/>
        <v/>
      </c>
    </row>
    <row r="5655" spans="1:1" x14ac:dyDescent="0.25">
      <c r="A5655" t="str">
        <f t="shared" si="89"/>
        <v/>
      </c>
    </row>
    <row r="5656" spans="1:1" x14ac:dyDescent="0.25">
      <c r="A5656" t="str">
        <f t="shared" si="89"/>
        <v/>
      </c>
    </row>
    <row r="5657" spans="1:1" x14ac:dyDescent="0.25">
      <c r="A5657" t="str">
        <f t="shared" si="89"/>
        <v/>
      </c>
    </row>
    <row r="5658" spans="1:1" x14ac:dyDescent="0.25">
      <c r="A5658" t="str">
        <f t="shared" si="89"/>
        <v/>
      </c>
    </row>
    <row r="5659" spans="1:1" x14ac:dyDescent="0.25">
      <c r="A5659" t="str">
        <f t="shared" si="89"/>
        <v/>
      </c>
    </row>
    <row r="5660" spans="1:1" x14ac:dyDescent="0.25">
      <c r="A5660" t="str">
        <f t="shared" si="89"/>
        <v/>
      </c>
    </row>
    <row r="5661" spans="1:1" x14ac:dyDescent="0.25">
      <c r="A5661" t="str">
        <f t="shared" si="89"/>
        <v/>
      </c>
    </row>
    <row r="5662" spans="1:1" x14ac:dyDescent="0.25">
      <c r="A5662" t="str">
        <f t="shared" si="89"/>
        <v/>
      </c>
    </row>
    <row r="5663" spans="1:1" x14ac:dyDescent="0.25">
      <c r="A5663" t="str">
        <f t="shared" si="89"/>
        <v/>
      </c>
    </row>
    <row r="5664" spans="1:1" x14ac:dyDescent="0.25">
      <c r="A5664" t="str">
        <f t="shared" si="89"/>
        <v/>
      </c>
    </row>
    <row r="5665" spans="1:1" x14ac:dyDescent="0.25">
      <c r="A5665" t="str">
        <f t="shared" si="89"/>
        <v/>
      </c>
    </row>
    <row r="5666" spans="1:1" x14ac:dyDescent="0.25">
      <c r="A5666" t="str">
        <f t="shared" si="89"/>
        <v/>
      </c>
    </row>
    <row r="5667" spans="1:1" x14ac:dyDescent="0.25">
      <c r="A5667" t="str">
        <f t="shared" si="89"/>
        <v/>
      </c>
    </row>
    <row r="5668" spans="1:1" x14ac:dyDescent="0.25">
      <c r="A5668" t="str">
        <f t="shared" si="89"/>
        <v/>
      </c>
    </row>
    <row r="5669" spans="1:1" x14ac:dyDescent="0.25">
      <c r="A5669" t="str">
        <f t="shared" si="89"/>
        <v/>
      </c>
    </row>
    <row r="5670" spans="1:1" x14ac:dyDescent="0.25">
      <c r="A5670" t="str">
        <f t="shared" si="89"/>
        <v/>
      </c>
    </row>
    <row r="5671" spans="1:1" x14ac:dyDescent="0.25">
      <c r="A5671" t="str">
        <f t="shared" si="89"/>
        <v/>
      </c>
    </row>
    <row r="5672" spans="1:1" x14ac:dyDescent="0.25">
      <c r="A5672" t="str">
        <f t="shared" si="89"/>
        <v/>
      </c>
    </row>
    <row r="5673" spans="1:1" x14ac:dyDescent="0.25">
      <c r="A5673" t="str">
        <f t="shared" si="89"/>
        <v/>
      </c>
    </row>
    <row r="5674" spans="1:1" x14ac:dyDescent="0.25">
      <c r="A5674" t="str">
        <f t="shared" si="89"/>
        <v/>
      </c>
    </row>
    <row r="5675" spans="1:1" x14ac:dyDescent="0.25">
      <c r="A5675" t="str">
        <f t="shared" si="89"/>
        <v/>
      </c>
    </row>
    <row r="5676" spans="1:1" x14ac:dyDescent="0.25">
      <c r="A5676" t="str">
        <f t="shared" si="89"/>
        <v/>
      </c>
    </row>
    <row r="5677" spans="1:1" x14ac:dyDescent="0.25">
      <c r="A5677" t="str">
        <f t="shared" si="89"/>
        <v/>
      </c>
    </row>
    <row r="5678" spans="1:1" x14ac:dyDescent="0.25">
      <c r="A5678" t="str">
        <f t="shared" si="89"/>
        <v/>
      </c>
    </row>
    <row r="5679" spans="1:1" x14ac:dyDescent="0.25">
      <c r="A5679" t="str">
        <f t="shared" si="89"/>
        <v/>
      </c>
    </row>
    <row r="5680" spans="1:1" x14ac:dyDescent="0.25">
      <c r="A5680" t="str">
        <f t="shared" si="89"/>
        <v/>
      </c>
    </row>
    <row r="5681" spans="1:1" x14ac:dyDescent="0.25">
      <c r="A5681" t="str">
        <f t="shared" si="89"/>
        <v/>
      </c>
    </row>
    <row r="5682" spans="1:1" x14ac:dyDescent="0.25">
      <c r="A5682" t="str">
        <f t="shared" si="89"/>
        <v/>
      </c>
    </row>
    <row r="5683" spans="1:1" x14ac:dyDescent="0.25">
      <c r="A5683" t="str">
        <f t="shared" si="89"/>
        <v/>
      </c>
    </row>
    <row r="5684" spans="1:1" x14ac:dyDescent="0.25">
      <c r="A5684" t="str">
        <f t="shared" si="89"/>
        <v/>
      </c>
    </row>
    <row r="5685" spans="1:1" x14ac:dyDescent="0.25">
      <c r="A5685" t="str">
        <f t="shared" ref="A5685:A5748" si="90">B5683&amp;D5683</f>
        <v/>
      </c>
    </row>
    <row r="5686" spans="1:1" x14ac:dyDescent="0.25">
      <c r="A5686" t="str">
        <f t="shared" si="90"/>
        <v/>
      </c>
    </row>
    <row r="5687" spans="1:1" x14ac:dyDescent="0.25">
      <c r="A5687" t="str">
        <f t="shared" si="90"/>
        <v/>
      </c>
    </row>
    <row r="5688" spans="1:1" x14ac:dyDescent="0.25">
      <c r="A5688" t="str">
        <f t="shared" si="90"/>
        <v/>
      </c>
    </row>
    <row r="5689" spans="1:1" x14ac:dyDescent="0.25">
      <c r="A5689" t="str">
        <f t="shared" si="90"/>
        <v/>
      </c>
    </row>
    <row r="5690" spans="1:1" x14ac:dyDescent="0.25">
      <c r="A5690" t="str">
        <f t="shared" si="90"/>
        <v/>
      </c>
    </row>
    <row r="5691" spans="1:1" x14ac:dyDescent="0.25">
      <c r="A5691" t="str">
        <f t="shared" si="90"/>
        <v/>
      </c>
    </row>
    <row r="5692" spans="1:1" x14ac:dyDescent="0.25">
      <c r="A5692" t="str">
        <f t="shared" si="90"/>
        <v/>
      </c>
    </row>
    <row r="5693" spans="1:1" x14ac:dyDescent="0.25">
      <c r="A5693" t="str">
        <f t="shared" si="90"/>
        <v/>
      </c>
    </row>
    <row r="5694" spans="1:1" x14ac:dyDescent="0.25">
      <c r="A5694" t="str">
        <f t="shared" si="90"/>
        <v/>
      </c>
    </row>
    <row r="5695" spans="1:1" x14ac:dyDescent="0.25">
      <c r="A5695" t="str">
        <f t="shared" si="90"/>
        <v/>
      </c>
    </row>
    <row r="5696" spans="1:1" x14ac:dyDescent="0.25">
      <c r="A5696" t="str">
        <f t="shared" si="90"/>
        <v/>
      </c>
    </row>
    <row r="5697" spans="1:1" x14ac:dyDescent="0.25">
      <c r="A5697" t="str">
        <f t="shared" si="90"/>
        <v/>
      </c>
    </row>
    <row r="5698" spans="1:1" x14ac:dyDescent="0.25">
      <c r="A5698" t="str">
        <f t="shared" si="90"/>
        <v/>
      </c>
    </row>
    <row r="5699" spans="1:1" x14ac:dyDescent="0.25">
      <c r="A5699" t="str">
        <f t="shared" si="90"/>
        <v/>
      </c>
    </row>
    <row r="5700" spans="1:1" x14ac:dyDescent="0.25">
      <c r="A5700" t="str">
        <f t="shared" si="90"/>
        <v/>
      </c>
    </row>
    <row r="5701" spans="1:1" x14ac:dyDescent="0.25">
      <c r="A5701" t="str">
        <f t="shared" si="90"/>
        <v/>
      </c>
    </row>
    <row r="5702" spans="1:1" x14ac:dyDescent="0.25">
      <c r="A5702" t="str">
        <f t="shared" si="90"/>
        <v/>
      </c>
    </row>
    <row r="5703" spans="1:1" x14ac:dyDescent="0.25">
      <c r="A5703" t="str">
        <f t="shared" si="90"/>
        <v/>
      </c>
    </row>
    <row r="5704" spans="1:1" x14ac:dyDescent="0.25">
      <c r="A5704" t="str">
        <f t="shared" si="90"/>
        <v/>
      </c>
    </row>
    <row r="5705" spans="1:1" x14ac:dyDescent="0.25">
      <c r="A5705" t="str">
        <f t="shared" si="90"/>
        <v/>
      </c>
    </row>
    <row r="5706" spans="1:1" x14ac:dyDescent="0.25">
      <c r="A5706" t="str">
        <f t="shared" si="90"/>
        <v/>
      </c>
    </row>
    <row r="5707" spans="1:1" x14ac:dyDescent="0.25">
      <c r="A5707" t="str">
        <f t="shared" si="90"/>
        <v/>
      </c>
    </row>
    <row r="5708" spans="1:1" x14ac:dyDescent="0.25">
      <c r="A5708" t="str">
        <f t="shared" si="90"/>
        <v/>
      </c>
    </row>
    <row r="5709" spans="1:1" x14ac:dyDescent="0.25">
      <c r="A5709" t="str">
        <f t="shared" si="90"/>
        <v/>
      </c>
    </row>
    <row r="5710" spans="1:1" x14ac:dyDescent="0.25">
      <c r="A5710" t="str">
        <f t="shared" si="90"/>
        <v/>
      </c>
    </row>
    <row r="5711" spans="1:1" x14ac:dyDescent="0.25">
      <c r="A5711" t="str">
        <f t="shared" si="90"/>
        <v/>
      </c>
    </row>
    <row r="5712" spans="1:1" x14ac:dyDescent="0.25">
      <c r="A5712" t="str">
        <f t="shared" si="90"/>
        <v/>
      </c>
    </row>
    <row r="5713" spans="1:1" x14ac:dyDescent="0.25">
      <c r="A5713" t="str">
        <f t="shared" si="90"/>
        <v/>
      </c>
    </row>
    <row r="5714" spans="1:1" x14ac:dyDescent="0.25">
      <c r="A5714" t="str">
        <f t="shared" si="90"/>
        <v/>
      </c>
    </row>
    <row r="5715" spans="1:1" x14ac:dyDescent="0.25">
      <c r="A5715" t="str">
        <f t="shared" si="90"/>
        <v/>
      </c>
    </row>
    <row r="5716" spans="1:1" x14ac:dyDescent="0.25">
      <c r="A5716" t="str">
        <f t="shared" si="90"/>
        <v/>
      </c>
    </row>
    <row r="5717" spans="1:1" x14ac:dyDescent="0.25">
      <c r="A5717" t="str">
        <f t="shared" si="90"/>
        <v/>
      </c>
    </row>
    <row r="5718" spans="1:1" x14ac:dyDescent="0.25">
      <c r="A5718" t="str">
        <f t="shared" si="90"/>
        <v/>
      </c>
    </row>
    <row r="5719" spans="1:1" x14ac:dyDescent="0.25">
      <c r="A5719" t="str">
        <f t="shared" si="90"/>
        <v/>
      </c>
    </row>
    <row r="5720" spans="1:1" x14ac:dyDescent="0.25">
      <c r="A5720" t="str">
        <f t="shared" si="90"/>
        <v/>
      </c>
    </row>
    <row r="5721" spans="1:1" x14ac:dyDescent="0.25">
      <c r="A5721" t="str">
        <f t="shared" si="90"/>
        <v/>
      </c>
    </row>
    <row r="5722" spans="1:1" x14ac:dyDescent="0.25">
      <c r="A5722" t="str">
        <f t="shared" si="90"/>
        <v/>
      </c>
    </row>
    <row r="5723" spans="1:1" x14ac:dyDescent="0.25">
      <c r="A5723" t="str">
        <f t="shared" si="90"/>
        <v/>
      </c>
    </row>
    <row r="5724" spans="1:1" x14ac:dyDescent="0.25">
      <c r="A5724" t="str">
        <f t="shared" si="90"/>
        <v/>
      </c>
    </row>
    <row r="5725" spans="1:1" x14ac:dyDescent="0.25">
      <c r="A5725" t="str">
        <f t="shared" si="90"/>
        <v/>
      </c>
    </row>
    <row r="5726" spans="1:1" x14ac:dyDescent="0.25">
      <c r="A5726" t="str">
        <f t="shared" si="90"/>
        <v/>
      </c>
    </row>
    <row r="5727" spans="1:1" x14ac:dyDescent="0.25">
      <c r="A5727" t="str">
        <f t="shared" si="90"/>
        <v/>
      </c>
    </row>
    <row r="5728" spans="1:1" x14ac:dyDescent="0.25">
      <c r="A5728" t="str">
        <f t="shared" si="90"/>
        <v/>
      </c>
    </row>
    <row r="5729" spans="1:1" x14ac:dyDescent="0.25">
      <c r="A5729" t="str">
        <f t="shared" si="90"/>
        <v/>
      </c>
    </row>
    <row r="5730" spans="1:1" x14ac:dyDescent="0.25">
      <c r="A5730" t="str">
        <f t="shared" si="90"/>
        <v/>
      </c>
    </row>
    <row r="5731" spans="1:1" x14ac:dyDescent="0.25">
      <c r="A5731" t="str">
        <f t="shared" si="90"/>
        <v/>
      </c>
    </row>
    <row r="5732" spans="1:1" x14ac:dyDescent="0.25">
      <c r="A5732" t="str">
        <f t="shared" si="90"/>
        <v/>
      </c>
    </row>
    <row r="5733" spans="1:1" x14ac:dyDescent="0.25">
      <c r="A5733" t="str">
        <f t="shared" si="90"/>
        <v/>
      </c>
    </row>
    <row r="5734" spans="1:1" x14ac:dyDescent="0.25">
      <c r="A5734" t="str">
        <f t="shared" si="90"/>
        <v/>
      </c>
    </row>
    <row r="5735" spans="1:1" x14ac:dyDescent="0.25">
      <c r="A5735" t="str">
        <f t="shared" si="90"/>
        <v/>
      </c>
    </row>
    <row r="5736" spans="1:1" x14ac:dyDescent="0.25">
      <c r="A5736" t="str">
        <f t="shared" si="90"/>
        <v/>
      </c>
    </row>
    <row r="5737" spans="1:1" x14ac:dyDescent="0.25">
      <c r="A5737" t="str">
        <f t="shared" si="90"/>
        <v/>
      </c>
    </row>
    <row r="5738" spans="1:1" x14ac:dyDescent="0.25">
      <c r="A5738" t="str">
        <f t="shared" si="90"/>
        <v/>
      </c>
    </row>
    <row r="5739" spans="1:1" x14ac:dyDescent="0.25">
      <c r="A5739" t="str">
        <f t="shared" si="90"/>
        <v/>
      </c>
    </row>
    <row r="5740" spans="1:1" x14ac:dyDescent="0.25">
      <c r="A5740" t="str">
        <f t="shared" si="90"/>
        <v/>
      </c>
    </row>
    <row r="5741" spans="1:1" x14ac:dyDescent="0.25">
      <c r="A5741" t="str">
        <f t="shared" si="90"/>
        <v/>
      </c>
    </row>
    <row r="5742" spans="1:1" x14ac:dyDescent="0.25">
      <c r="A5742" t="str">
        <f t="shared" si="90"/>
        <v/>
      </c>
    </row>
    <row r="5743" spans="1:1" x14ac:dyDescent="0.25">
      <c r="A5743" t="str">
        <f t="shared" si="90"/>
        <v/>
      </c>
    </row>
    <row r="5744" spans="1:1" x14ac:dyDescent="0.25">
      <c r="A5744" t="str">
        <f t="shared" si="90"/>
        <v/>
      </c>
    </row>
    <row r="5745" spans="1:1" x14ac:dyDescent="0.25">
      <c r="A5745" t="str">
        <f t="shared" si="90"/>
        <v/>
      </c>
    </row>
    <row r="5746" spans="1:1" x14ac:dyDescent="0.25">
      <c r="A5746" t="str">
        <f t="shared" si="90"/>
        <v/>
      </c>
    </row>
    <row r="5747" spans="1:1" x14ac:dyDescent="0.25">
      <c r="A5747" t="str">
        <f t="shared" si="90"/>
        <v/>
      </c>
    </row>
    <row r="5748" spans="1:1" x14ac:dyDescent="0.25">
      <c r="A5748" t="str">
        <f t="shared" si="90"/>
        <v/>
      </c>
    </row>
    <row r="5749" spans="1:1" x14ac:dyDescent="0.25">
      <c r="A5749" t="str">
        <f t="shared" ref="A5749:A5812" si="91">B5747&amp;D5747</f>
        <v/>
      </c>
    </row>
    <row r="5750" spans="1:1" x14ac:dyDescent="0.25">
      <c r="A5750" t="str">
        <f t="shared" si="91"/>
        <v/>
      </c>
    </row>
    <row r="5751" spans="1:1" x14ac:dyDescent="0.25">
      <c r="A5751" t="str">
        <f t="shared" si="91"/>
        <v/>
      </c>
    </row>
    <row r="5752" spans="1:1" x14ac:dyDescent="0.25">
      <c r="A5752" t="str">
        <f t="shared" si="91"/>
        <v/>
      </c>
    </row>
    <row r="5753" spans="1:1" x14ac:dyDescent="0.25">
      <c r="A5753" t="str">
        <f t="shared" si="91"/>
        <v/>
      </c>
    </row>
    <row r="5754" spans="1:1" x14ac:dyDescent="0.25">
      <c r="A5754" t="str">
        <f t="shared" si="91"/>
        <v/>
      </c>
    </row>
    <row r="5755" spans="1:1" x14ac:dyDescent="0.25">
      <c r="A5755" t="str">
        <f t="shared" si="91"/>
        <v/>
      </c>
    </row>
    <row r="5756" spans="1:1" x14ac:dyDescent="0.25">
      <c r="A5756" t="str">
        <f t="shared" si="91"/>
        <v/>
      </c>
    </row>
    <row r="5757" spans="1:1" x14ac:dyDescent="0.25">
      <c r="A5757" t="str">
        <f t="shared" si="91"/>
        <v/>
      </c>
    </row>
    <row r="5758" spans="1:1" x14ac:dyDescent="0.25">
      <c r="A5758" t="str">
        <f t="shared" si="91"/>
        <v/>
      </c>
    </row>
    <row r="5759" spans="1:1" x14ac:dyDescent="0.25">
      <c r="A5759" t="str">
        <f t="shared" si="91"/>
        <v/>
      </c>
    </row>
    <row r="5760" spans="1:1" x14ac:dyDescent="0.25">
      <c r="A5760" t="str">
        <f t="shared" si="91"/>
        <v/>
      </c>
    </row>
    <row r="5761" spans="1:1" x14ac:dyDescent="0.25">
      <c r="A5761" t="str">
        <f t="shared" si="91"/>
        <v/>
      </c>
    </row>
    <row r="5762" spans="1:1" x14ac:dyDescent="0.25">
      <c r="A5762" t="str">
        <f t="shared" si="91"/>
        <v/>
      </c>
    </row>
    <row r="5763" spans="1:1" x14ac:dyDescent="0.25">
      <c r="A5763" t="str">
        <f t="shared" si="91"/>
        <v/>
      </c>
    </row>
    <row r="5764" spans="1:1" x14ac:dyDescent="0.25">
      <c r="A5764" t="str">
        <f t="shared" si="91"/>
        <v/>
      </c>
    </row>
    <row r="5765" spans="1:1" x14ac:dyDescent="0.25">
      <c r="A5765" t="str">
        <f t="shared" si="91"/>
        <v/>
      </c>
    </row>
    <row r="5766" spans="1:1" x14ac:dyDescent="0.25">
      <c r="A5766" t="str">
        <f t="shared" si="91"/>
        <v/>
      </c>
    </row>
    <row r="5767" spans="1:1" x14ac:dyDescent="0.25">
      <c r="A5767" t="str">
        <f t="shared" si="91"/>
        <v/>
      </c>
    </row>
    <row r="5768" spans="1:1" x14ac:dyDescent="0.25">
      <c r="A5768" t="str">
        <f t="shared" si="91"/>
        <v/>
      </c>
    </row>
    <row r="5769" spans="1:1" x14ac:dyDescent="0.25">
      <c r="A5769" t="str">
        <f t="shared" si="91"/>
        <v/>
      </c>
    </row>
    <row r="5770" spans="1:1" x14ac:dyDescent="0.25">
      <c r="A5770" t="str">
        <f t="shared" si="91"/>
        <v/>
      </c>
    </row>
    <row r="5771" spans="1:1" x14ac:dyDescent="0.25">
      <c r="A5771" t="str">
        <f t="shared" si="91"/>
        <v/>
      </c>
    </row>
    <row r="5772" spans="1:1" x14ac:dyDescent="0.25">
      <c r="A5772" t="str">
        <f t="shared" si="91"/>
        <v/>
      </c>
    </row>
    <row r="5773" spans="1:1" x14ac:dyDescent="0.25">
      <c r="A5773" t="str">
        <f t="shared" si="91"/>
        <v/>
      </c>
    </row>
    <row r="5774" spans="1:1" x14ac:dyDescent="0.25">
      <c r="A5774" t="str">
        <f t="shared" si="91"/>
        <v/>
      </c>
    </row>
    <row r="5775" spans="1:1" x14ac:dyDescent="0.25">
      <c r="A5775" t="str">
        <f t="shared" si="91"/>
        <v/>
      </c>
    </row>
    <row r="5776" spans="1:1" x14ac:dyDescent="0.25">
      <c r="A5776" t="str">
        <f t="shared" si="91"/>
        <v/>
      </c>
    </row>
    <row r="5777" spans="1:1" x14ac:dyDescent="0.25">
      <c r="A5777" t="str">
        <f t="shared" si="91"/>
        <v/>
      </c>
    </row>
    <row r="5778" spans="1:1" x14ac:dyDescent="0.25">
      <c r="A5778" t="str">
        <f t="shared" si="91"/>
        <v/>
      </c>
    </row>
    <row r="5779" spans="1:1" x14ac:dyDescent="0.25">
      <c r="A5779" t="str">
        <f t="shared" si="91"/>
        <v/>
      </c>
    </row>
    <row r="5780" spans="1:1" x14ac:dyDescent="0.25">
      <c r="A5780" t="str">
        <f t="shared" si="91"/>
        <v/>
      </c>
    </row>
    <row r="5781" spans="1:1" x14ac:dyDescent="0.25">
      <c r="A5781" t="str">
        <f t="shared" si="91"/>
        <v/>
      </c>
    </row>
    <row r="5782" spans="1:1" x14ac:dyDescent="0.25">
      <c r="A5782" t="str">
        <f t="shared" si="91"/>
        <v/>
      </c>
    </row>
    <row r="5783" spans="1:1" x14ac:dyDescent="0.25">
      <c r="A5783" t="str">
        <f t="shared" si="91"/>
        <v/>
      </c>
    </row>
    <row r="5784" spans="1:1" x14ac:dyDescent="0.25">
      <c r="A5784" t="str">
        <f t="shared" si="91"/>
        <v/>
      </c>
    </row>
    <row r="5785" spans="1:1" x14ac:dyDescent="0.25">
      <c r="A5785" t="str">
        <f t="shared" si="91"/>
        <v/>
      </c>
    </row>
    <row r="5786" spans="1:1" x14ac:dyDescent="0.25">
      <c r="A5786" t="str">
        <f t="shared" si="91"/>
        <v/>
      </c>
    </row>
    <row r="5787" spans="1:1" x14ac:dyDescent="0.25">
      <c r="A5787" t="str">
        <f t="shared" si="91"/>
        <v/>
      </c>
    </row>
    <row r="5788" spans="1:1" x14ac:dyDescent="0.25">
      <c r="A5788" t="str">
        <f t="shared" si="91"/>
        <v/>
      </c>
    </row>
    <row r="5789" spans="1:1" x14ac:dyDescent="0.25">
      <c r="A5789" t="str">
        <f t="shared" si="91"/>
        <v/>
      </c>
    </row>
    <row r="5790" spans="1:1" x14ac:dyDescent="0.25">
      <c r="A5790" t="str">
        <f t="shared" si="91"/>
        <v/>
      </c>
    </row>
    <row r="5791" spans="1:1" x14ac:dyDescent="0.25">
      <c r="A5791" t="str">
        <f t="shared" si="91"/>
        <v/>
      </c>
    </row>
    <row r="5792" spans="1:1" x14ac:dyDescent="0.25">
      <c r="A5792" t="str">
        <f t="shared" si="91"/>
        <v/>
      </c>
    </row>
    <row r="5793" spans="1:1" x14ac:dyDescent="0.25">
      <c r="A5793" t="str">
        <f t="shared" si="91"/>
        <v/>
      </c>
    </row>
    <row r="5794" spans="1:1" x14ac:dyDescent="0.25">
      <c r="A5794" t="str">
        <f t="shared" si="91"/>
        <v/>
      </c>
    </row>
    <row r="5795" spans="1:1" x14ac:dyDescent="0.25">
      <c r="A5795" t="str">
        <f t="shared" si="91"/>
        <v/>
      </c>
    </row>
    <row r="5796" spans="1:1" x14ac:dyDescent="0.25">
      <c r="A5796" t="str">
        <f t="shared" si="91"/>
        <v/>
      </c>
    </row>
    <row r="5797" spans="1:1" x14ac:dyDescent="0.25">
      <c r="A5797" t="str">
        <f t="shared" si="91"/>
        <v/>
      </c>
    </row>
    <row r="5798" spans="1:1" x14ac:dyDescent="0.25">
      <c r="A5798" t="str">
        <f t="shared" si="91"/>
        <v/>
      </c>
    </row>
    <row r="5799" spans="1:1" x14ac:dyDescent="0.25">
      <c r="A5799" t="str">
        <f t="shared" si="91"/>
        <v/>
      </c>
    </row>
    <row r="5800" spans="1:1" x14ac:dyDescent="0.25">
      <c r="A5800" t="str">
        <f t="shared" si="91"/>
        <v/>
      </c>
    </row>
    <row r="5801" spans="1:1" x14ac:dyDescent="0.25">
      <c r="A5801" t="str">
        <f t="shared" si="91"/>
        <v/>
      </c>
    </row>
    <row r="5802" spans="1:1" x14ac:dyDescent="0.25">
      <c r="A5802" t="str">
        <f t="shared" si="91"/>
        <v/>
      </c>
    </row>
    <row r="5803" spans="1:1" x14ac:dyDescent="0.25">
      <c r="A5803" t="str">
        <f t="shared" si="91"/>
        <v/>
      </c>
    </row>
    <row r="5804" spans="1:1" x14ac:dyDescent="0.25">
      <c r="A5804" t="str">
        <f t="shared" si="91"/>
        <v/>
      </c>
    </row>
    <row r="5805" spans="1:1" x14ac:dyDescent="0.25">
      <c r="A5805" t="str">
        <f t="shared" si="91"/>
        <v/>
      </c>
    </row>
    <row r="5806" spans="1:1" x14ac:dyDescent="0.25">
      <c r="A5806" t="str">
        <f t="shared" si="91"/>
        <v/>
      </c>
    </row>
    <row r="5807" spans="1:1" x14ac:dyDescent="0.25">
      <c r="A5807" t="str">
        <f t="shared" si="91"/>
        <v/>
      </c>
    </row>
    <row r="5808" spans="1:1" x14ac:dyDescent="0.25">
      <c r="A5808" t="str">
        <f t="shared" si="91"/>
        <v/>
      </c>
    </row>
    <row r="5809" spans="1:1" x14ac:dyDescent="0.25">
      <c r="A5809" t="str">
        <f t="shared" si="91"/>
        <v/>
      </c>
    </row>
    <row r="5810" spans="1:1" x14ac:dyDescent="0.25">
      <c r="A5810" t="str">
        <f t="shared" si="91"/>
        <v/>
      </c>
    </row>
    <row r="5811" spans="1:1" x14ac:dyDescent="0.25">
      <c r="A5811" t="str">
        <f t="shared" si="91"/>
        <v/>
      </c>
    </row>
    <row r="5812" spans="1:1" x14ac:dyDescent="0.25">
      <c r="A5812" t="str">
        <f t="shared" si="91"/>
        <v/>
      </c>
    </row>
    <row r="5813" spans="1:1" x14ac:dyDescent="0.25">
      <c r="A5813" t="str">
        <f t="shared" ref="A5813:A5876" si="92">B5811&amp;D5811</f>
        <v/>
      </c>
    </row>
    <row r="5814" spans="1:1" x14ac:dyDescent="0.25">
      <c r="A5814" t="str">
        <f t="shared" si="92"/>
        <v/>
      </c>
    </row>
    <row r="5815" spans="1:1" x14ac:dyDescent="0.25">
      <c r="A5815" t="str">
        <f t="shared" si="92"/>
        <v/>
      </c>
    </row>
    <row r="5816" spans="1:1" x14ac:dyDescent="0.25">
      <c r="A5816" t="str">
        <f t="shared" si="92"/>
        <v/>
      </c>
    </row>
    <row r="5817" spans="1:1" x14ac:dyDescent="0.25">
      <c r="A5817" t="str">
        <f t="shared" si="92"/>
        <v/>
      </c>
    </row>
    <row r="5818" spans="1:1" x14ac:dyDescent="0.25">
      <c r="A5818" t="str">
        <f t="shared" si="92"/>
        <v/>
      </c>
    </row>
    <row r="5819" spans="1:1" x14ac:dyDescent="0.25">
      <c r="A5819" t="str">
        <f t="shared" si="92"/>
        <v/>
      </c>
    </row>
    <row r="5820" spans="1:1" x14ac:dyDescent="0.25">
      <c r="A5820" t="str">
        <f t="shared" si="92"/>
        <v/>
      </c>
    </row>
    <row r="5821" spans="1:1" x14ac:dyDescent="0.25">
      <c r="A5821" t="str">
        <f t="shared" si="92"/>
        <v/>
      </c>
    </row>
    <row r="5822" spans="1:1" x14ac:dyDescent="0.25">
      <c r="A5822" t="str">
        <f t="shared" si="92"/>
        <v/>
      </c>
    </row>
    <row r="5823" spans="1:1" x14ac:dyDescent="0.25">
      <c r="A5823" t="str">
        <f t="shared" si="92"/>
        <v/>
      </c>
    </row>
    <row r="5824" spans="1:1" x14ac:dyDescent="0.25">
      <c r="A5824" t="str">
        <f t="shared" si="92"/>
        <v/>
      </c>
    </row>
    <row r="5825" spans="1:1" x14ac:dyDescent="0.25">
      <c r="A5825" t="str">
        <f t="shared" si="92"/>
        <v/>
      </c>
    </row>
    <row r="5826" spans="1:1" x14ac:dyDescent="0.25">
      <c r="A5826" t="str">
        <f t="shared" si="92"/>
        <v/>
      </c>
    </row>
    <row r="5827" spans="1:1" x14ac:dyDescent="0.25">
      <c r="A5827" t="str">
        <f t="shared" si="92"/>
        <v/>
      </c>
    </row>
    <row r="5828" spans="1:1" x14ac:dyDescent="0.25">
      <c r="A5828" t="str">
        <f t="shared" si="92"/>
        <v/>
      </c>
    </row>
    <row r="5829" spans="1:1" x14ac:dyDescent="0.25">
      <c r="A5829" t="str">
        <f t="shared" si="92"/>
        <v/>
      </c>
    </row>
    <row r="5830" spans="1:1" x14ac:dyDescent="0.25">
      <c r="A5830" t="str">
        <f t="shared" si="92"/>
        <v/>
      </c>
    </row>
    <row r="5831" spans="1:1" x14ac:dyDescent="0.25">
      <c r="A5831" t="str">
        <f t="shared" si="92"/>
        <v/>
      </c>
    </row>
    <row r="5832" spans="1:1" x14ac:dyDescent="0.25">
      <c r="A5832" t="str">
        <f t="shared" si="92"/>
        <v/>
      </c>
    </row>
    <row r="5833" spans="1:1" x14ac:dyDescent="0.25">
      <c r="A5833" t="str">
        <f t="shared" si="92"/>
        <v/>
      </c>
    </row>
    <row r="5834" spans="1:1" x14ac:dyDescent="0.25">
      <c r="A5834" t="str">
        <f t="shared" si="92"/>
        <v/>
      </c>
    </row>
    <row r="5835" spans="1:1" x14ac:dyDescent="0.25">
      <c r="A5835" t="str">
        <f t="shared" si="92"/>
        <v/>
      </c>
    </row>
    <row r="5836" spans="1:1" x14ac:dyDescent="0.25">
      <c r="A5836" t="str">
        <f t="shared" si="92"/>
        <v/>
      </c>
    </row>
    <row r="5837" spans="1:1" x14ac:dyDescent="0.25">
      <c r="A5837" t="str">
        <f t="shared" si="92"/>
        <v/>
      </c>
    </row>
    <row r="5838" spans="1:1" x14ac:dyDescent="0.25">
      <c r="A5838" t="str">
        <f t="shared" si="92"/>
        <v/>
      </c>
    </row>
    <row r="5839" spans="1:1" x14ac:dyDescent="0.25">
      <c r="A5839" t="str">
        <f t="shared" si="92"/>
        <v/>
      </c>
    </row>
    <row r="5840" spans="1:1" x14ac:dyDescent="0.25">
      <c r="A5840" t="str">
        <f t="shared" si="92"/>
        <v/>
      </c>
    </row>
    <row r="5841" spans="1:1" x14ac:dyDescent="0.25">
      <c r="A5841" t="str">
        <f t="shared" si="92"/>
        <v/>
      </c>
    </row>
    <row r="5842" spans="1:1" x14ac:dyDescent="0.25">
      <c r="A5842" t="str">
        <f t="shared" si="92"/>
        <v/>
      </c>
    </row>
    <row r="5843" spans="1:1" x14ac:dyDescent="0.25">
      <c r="A5843" t="str">
        <f t="shared" si="92"/>
        <v/>
      </c>
    </row>
    <row r="5844" spans="1:1" x14ac:dyDescent="0.25">
      <c r="A5844" t="str">
        <f t="shared" si="92"/>
        <v/>
      </c>
    </row>
    <row r="5845" spans="1:1" x14ac:dyDescent="0.25">
      <c r="A5845" t="str">
        <f t="shared" si="92"/>
        <v/>
      </c>
    </row>
    <row r="5846" spans="1:1" x14ac:dyDescent="0.25">
      <c r="A5846" t="str">
        <f t="shared" si="92"/>
        <v/>
      </c>
    </row>
    <row r="5847" spans="1:1" x14ac:dyDescent="0.25">
      <c r="A5847" t="str">
        <f t="shared" si="92"/>
        <v/>
      </c>
    </row>
    <row r="5848" spans="1:1" x14ac:dyDescent="0.25">
      <c r="A5848" t="str">
        <f t="shared" si="92"/>
        <v/>
      </c>
    </row>
    <row r="5849" spans="1:1" x14ac:dyDescent="0.25">
      <c r="A5849" t="str">
        <f t="shared" si="92"/>
        <v/>
      </c>
    </row>
    <row r="5850" spans="1:1" x14ac:dyDescent="0.25">
      <c r="A5850" t="str">
        <f t="shared" si="92"/>
        <v/>
      </c>
    </row>
    <row r="5851" spans="1:1" x14ac:dyDescent="0.25">
      <c r="A5851" t="str">
        <f t="shared" si="92"/>
        <v/>
      </c>
    </row>
    <row r="5852" spans="1:1" x14ac:dyDescent="0.25">
      <c r="A5852" t="str">
        <f t="shared" si="92"/>
        <v/>
      </c>
    </row>
    <row r="5853" spans="1:1" x14ac:dyDescent="0.25">
      <c r="A5853" t="str">
        <f t="shared" si="92"/>
        <v/>
      </c>
    </row>
    <row r="5854" spans="1:1" x14ac:dyDescent="0.25">
      <c r="A5854" t="str">
        <f t="shared" si="92"/>
        <v/>
      </c>
    </row>
    <row r="5855" spans="1:1" x14ac:dyDescent="0.25">
      <c r="A5855" t="str">
        <f t="shared" si="92"/>
        <v/>
      </c>
    </row>
    <row r="5856" spans="1:1" x14ac:dyDescent="0.25">
      <c r="A5856" t="str">
        <f t="shared" si="92"/>
        <v/>
      </c>
    </row>
    <row r="5857" spans="1:1" x14ac:dyDescent="0.25">
      <c r="A5857" t="str">
        <f t="shared" si="92"/>
        <v/>
      </c>
    </row>
    <row r="5858" spans="1:1" x14ac:dyDescent="0.25">
      <c r="A5858" t="str">
        <f t="shared" si="92"/>
        <v/>
      </c>
    </row>
    <row r="5859" spans="1:1" x14ac:dyDescent="0.25">
      <c r="A5859" t="str">
        <f t="shared" si="92"/>
        <v/>
      </c>
    </row>
    <row r="5860" spans="1:1" x14ac:dyDescent="0.25">
      <c r="A5860" t="str">
        <f t="shared" si="92"/>
        <v/>
      </c>
    </row>
    <row r="5861" spans="1:1" x14ac:dyDescent="0.25">
      <c r="A5861" t="str">
        <f t="shared" si="92"/>
        <v/>
      </c>
    </row>
    <row r="5862" spans="1:1" x14ac:dyDescent="0.25">
      <c r="A5862" t="str">
        <f t="shared" si="92"/>
        <v/>
      </c>
    </row>
    <row r="5863" spans="1:1" x14ac:dyDescent="0.25">
      <c r="A5863" t="str">
        <f t="shared" si="92"/>
        <v/>
      </c>
    </row>
    <row r="5864" spans="1:1" x14ac:dyDescent="0.25">
      <c r="A5864" t="str">
        <f t="shared" si="92"/>
        <v/>
      </c>
    </row>
    <row r="5865" spans="1:1" x14ac:dyDescent="0.25">
      <c r="A5865" t="str">
        <f t="shared" si="92"/>
        <v/>
      </c>
    </row>
    <row r="5866" spans="1:1" x14ac:dyDescent="0.25">
      <c r="A5866" t="str">
        <f t="shared" si="92"/>
        <v/>
      </c>
    </row>
    <row r="5867" spans="1:1" x14ac:dyDescent="0.25">
      <c r="A5867" t="str">
        <f t="shared" si="92"/>
        <v/>
      </c>
    </row>
    <row r="5868" spans="1:1" x14ac:dyDescent="0.25">
      <c r="A5868" t="str">
        <f t="shared" si="92"/>
        <v/>
      </c>
    </row>
    <row r="5869" spans="1:1" x14ac:dyDescent="0.25">
      <c r="A5869" t="str">
        <f t="shared" si="92"/>
        <v/>
      </c>
    </row>
    <row r="5870" spans="1:1" x14ac:dyDescent="0.25">
      <c r="A5870" t="str">
        <f t="shared" si="92"/>
        <v/>
      </c>
    </row>
    <row r="5871" spans="1:1" x14ac:dyDescent="0.25">
      <c r="A5871" t="str">
        <f t="shared" si="92"/>
        <v/>
      </c>
    </row>
    <row r="5872" spans="1:1" x14ac:dyDescent="0.25">
      <c r="A5872" t="str">
        <f t="shared" si="92"/>
        <v/>
      </c>
    </row>
    <row r="5873" spans="1:1" x14ac:dyDescent="0.25">
      <c r="A5873" t="str">
        <f t="shared" si="92"/>
        <v/>
      </c>
    </row>
    <row r="5874" spans="1:1" x14ac:dyDescent="0.25">
      <c r="A5874" t="str">
        <f t="shared" si="92"/>
        <v/>
      </c>
    </row>
    <row r="5875" spans="1:1" x14ac:dyDescent="0.25">
      <c r="A5875" t="str">
        <f t="shared" si="92"/>
        <v/>
      </c>
    </row>
    <row r="5876" spans="1:1" x14ac:dyDescent="0.25">
      <c r="A5876" t="str">
        <f t="shared" si="92"/>
        <v/>
      </c>
    </row>
    <row r="5877" spans="1:1" x14ac:dyDescent="0.25">
      <c r="A5877" t="str">
        <f t="shared" ref="A5877:A5940" si="93">B5875&amp;D5875</f>
        <v/>
      </c>
    </row>
    <row r="5878" spans="1:1" x14ac:dyDescent="0.25">
      <c r="A5878" t="str">
        <f t="shared" si="93"/>
        <v/>
      </c>
    </row>
    <row r="5879" spans="1:1" x14ac:dyDescent="0.25">
      <c r="A5879" t="str">
        <f t="shared" si="93"/>
        <v/>
      </c>
    </row>
    <row r="5880" spans="1:1" x14ac:dyDescent="0.25">
      <c r="A5880" t="str">
        <f t="shared" si="93"/>
        <v/>
      </c>
    </row>
    <row r="5881" spans="1:1" x14ac:dyDescent="0.25">
      <c r="A5881" t="str">
        <f t="shared" si="93"/>
        <v/>
      </c>
    </row>
    <row r="5882" spans="1:1" x14ac:dyDescent="0.25">
      <c r="A5882" t="str">
        <f t="shared" si="93"/>
        <v/>
      </c>
    </row>
    <row r="5883" spans="1:1" x14ac:dyDescent="0.25">
      <c r="A5883" t="str">
        <f t="shared" si="93"/>
        <v/>
      </c>
    </row>
    <row r="5884" spans="1:1" x14ac:dyDescent="0.25">
      <c r="A5884" t="str">
        <f t="shared" si="93"/>
        <v/>
      </c>
    </row>
    <row r="5885" spans="1:1" x14ac:dyDescent="0.25">
      <c r="A5885" t="str">
        <f t="shared" si="93"/>
        <v/>
      </c>
    </row>
    <row r="5886" spans="1:1" x14ac:dyDescent="0.25">
      <c r="A5886" t="str">
        <f t="shared" si="93"/>
        <v/>
      </c>
    </row>
    <row r="5887" spans="1:1" x14ac:dyDescent="0.25">
      <c r="A5887" t="str">
        <f t="shared" si="93"/>
        <v/>
      </c>
    </row>
    <row r="5888" spans="1:1" x14ac:dyDescent="0.25">
      <c r="A5888" t="str">
        <f t="shared" si="93"/>
        <v/>
      </c>
    </row>
    <row r="5889" spans="1:1" x14ac:dyDescent="0.25">
      <c r="A5889" t="str">
        <f t="shared" si="93"/>
        <v/>
      </c>
    </row>
    <row r="5890" spans="1:1" x14ac:dyDescent="0.25">
      <c r="A5890" t="str">
        <f t="shared" si="93"/>
        <v/>
      </c>
    </row>
    <row r="5891" spans="1:1" x14ac:dyDescent="0.25">
      <c r="A5891" t="str">
        <f t="shared" si="93"/>
        <v/>
      </c>
    </row>
    <row r="5892" spans="1:1" x14ac:dyDescent="0.25">
      <c r="A5892" t="str">
        <f t="shared" si="93"/>
        <v/>
      </c>
    </row>
    <row r="5893" spans="1:1" x14ac:dyDescent="0.25">
      <c r="A5893" t="str">
        <f t="shared" si="93"/>
        <v/>
      </c>
    </row>
    <row r="5894" spans="1:1" x14ac:dyDescent="0.25">
      <c r="A5894" t="str">
        <f t="shared" si="93"/>
        <v/>
      </c>
    </row>
    <row r="5895" spans="1:1" x14ac:dyDescent="0.25">
      <c r="A5895" t="str">
        <f t="shared" si="93"/>
        <v/>
      </c>
    </row>
    <row r="5896" spans="1:1" x14ac:dyDescent="0.25">
      <c r="A5896" t="str">
        <f t="shared" si="93"/>
        <v/>
      </c>
    </row>
    <row r="5897" spans="1:1" x14ac:dyDescent="0.25">
      <c r="A5897" t="str">
        <f t="shared" si="93"/>
        <v/>
      </c>
    </row>
    <row r="5898" spans="1:1" x14ac:dyDescent="0.25">
      <c r="A5898" t="str">
        <f t="shared" si="93"/>
        <v/>
      </c>
    </row>
    <row r="5899" spans="1:1" x14ac:dyDescent="0.25">
      <c r="A5899" t="str">
        <f t="shared" si="93"/>
        <v/>
      </c>
    </row>
    <row r="5900" spans="1:1" x14ac:dyDescent="0.25">
      <c r="A5900" t="str">
        <f t="shared" si="93"/>
        <v/>
      </c>
    </row>
    <row r="5901" spans="1:1" x14ac:dyDescent="0.25">
      <c r="A5901" t="str">
        <f t="shared" si="93"/>
        <v/>
      </c>
    </row>
    <row r="5902" spans="1:1" x14ac:dyDescent="0.25">
      <c r="A5902" t="str">
        <f t="shared" si="93"/>
        <v/>
      </c>
    </row>
    <row r="5903" spans="1:1" x14ac:dyDescent="0.25">
      <c r="A5903" t="str">
        <f t="shared" si="93"/>
        <v/>
      </c>
    </row>
    <row r="5904" spans="1:1" x14ac:dyDescent="0.25">
      <c r="A5904" t="str">
        <f t="shared" si="93"/>
        <v/>
      </c>
    </row>
    <row r="5905" spans="1:1" x14ac:dyDescent="0.25">
      <c r="A5905" t="str">
        <f t="shared" si="93"/>
        <v/>
      </c>
    </row>
    <row r="5906" spans="1:1" x14ac:dyDescent="0.25">
      <c r="A5906" t="str">
        <f t="shared" si="93"/>
        <v/>
      </c>
    </row>
    <row r="5907" spans="1:1" x14ac:dyDescent="0.25">
      <c r="A5907" t="str">
        <f t="shared" si="93"/>
        <v/>
      </c>
    </row>
    <row r="5908" spans="1:1" x14ac:dyDescent="0.25">
      <c r="A5908" t="str">
        <f t="shared" si="93"/>
        <v/>
      </c>
    </row>
    <row r="5909" spans="1:1" x14ac:dyDescent="0.25">
      <c r="A5909" t="str">
        <f t="shared" si="93"/>
        <v/>
      </c>
    </row>
    <row r="5910" spans="1:1" x14ac:dyDescent="0.25">
      <c r="A5910" t="str">
        <f t="shared" si="93"/>
        <v/>
      </c>
    </row>
    <row r="5911" spans="1:1" x14ac:dyDescent="0.25">
      <c r="A5911" t="str">
        <f t="shared" si="93"/>
        <v/>
      </c>
    </row>
    <row r="5912" spans="1:1" x14ac:dyDescent="0.25">
      <c r="A5912" t="str">
        <f t="shared" si="93"/>
        <v/>
      </c>
    </row>
    <row r="5913" spans="1:1" x14ac:dyDescent="0.25">
      <c r="A5913" t="str">
        <f t="shared" si="93"/>
        <v/>
      </c>
    </row>
    <row r="5914" spans="1:1" x14ac:dyDescent="0.25">
      <c r="A5914" t="str">
        <f t="shared" si="93"/>
        <v/>
      </c>
    </row>
    <row r="5915" spans="1:1" x14ac:dyDescent="0.25">
      <c r="A5915" t="str">
        <f t="shared" si="93"/>
        <v/>
      </c>
    </row>
    <row r="5916" spans="1:1" x14ac:dyDescent="0.25">
      <c r="A5916" t="str">
        <f t="shared" si="93"/>
        <v/>
      </c>
    </row>
    <row r="5917" spans="1:1" x14ac:dyDescent="0.25">
      <c r="A5917" t="str">
        <f t="shared" si="93"/>
        <v/>
      </c>
    </row>
    <row r="5918" spans="1:1" x14ac:dyDescent="0.25">
      <c r="A5918" t="str">
        <f t="shared" si="93"/>
        <v/>
      </c>
    </row>
    <row r="5919" spans="1:1" x14ac:dyDescent="0.25">
      <c r="A5919" t="str">
        <f t="shared" si="93"/>
        <v/>
      </c>
    </row>
    <row r="5920" spans="1:1" x14ac:dyDescent="0.25">
      <c r="A5920" t="str">
        <f t="shared" si="93"/>
        <v/>
      </c>
    </row>
    <row r="5921" spans="1:1" x14ac:dyDescent="0.25">
      <c r="A5921" t="str">
        <f t="shared" si="93"/>
        <v/>
      </c>
    </row>
    <row r="5922" spans="1:1" x14ac:dyDescent="0.25">
      <c r="A5922" t="str">
        <f t="shared" si="93"/>
        <v/>
      </c>
    </row>
    <row r="5923" spans="1:1" x14ac:dyDescent="0.25">
      <c r="A5923" t="str">
        <f t="shared" si="93"/>
        <v/>
      </c>
    </row>
    <row r="5924" spans="1:1" x14ac:dyDescent="0.25">
      <c r="A5924" t="str">
        <f t="shared" si="93"/>
        <v/>
      </c>
    </row>
    <row r="5925" spans="1:1" x14ac:dyDescent="0.25">
      <c r="A5925" t="str">
        <f t="shared" si="93"/>
        <v/>
      </c>
    </row>
    <row r="5926" spans="1:1" x14ac:dyDescent="0.25">
      <c r="A5926" t="str">
        <f t="shared" si="93"/>
        <v/>
      </c>
    </row>
    <row r="5927" spans="1:1" x14ac:dyDescent="0.25">
      <c r="A5927" t="str">
        <f t="shared" si="93"/>
        <v/>
      </c>
    </row>
    <row r="5928" spans="1:1" x14ac:dyDescent="0.25">
      <c r="A5928" t="str">
        <f t="shared" si="93"/>
        <v/>
      </c>
    </row>
    <row r="5929" spans="1:1" x14ac:dyDescent="0.25">
      <c r="A5929" t="str">
        <f t="shared" si="93"/>
        <v/>
      </c>
    </row>
    <row r="5930" spans="1:1" x14ac:dyDescent="0.25">
      <c r="A5930" t="str">
        <f t="shared" si="93"/>
        <v/>
      </c>
    </row>
    <row r="5931" spans="1:1" x14ac:dyDescent="0.25">
      <c r="A5931" t="str">
        <f t="shared" si="93"/>
        <v/>
      </c>
    </row>
    <row r="5932" spans="1:1" x14ac:dyDescent="0.25">
      <c r="A5932" t="str">
        <f t="shared" si="93"/>
        <v/>
      </c>
    </row>
    <row r="5933" spans="1:1" x14ac:dyDescent="0.25">
      <c r="A5933" t="str">
        <f t="shared" si="93"/>
        <v/>
      </c>
    </row>
    <row r="5934" spans="1:1" x14ac:dyDescent="0.25">
      <c r="A5934" t="str">
        <f t="shared" si="93"/>
        <v/>
      </c>
    </row>
    <row r="5935" spans="1:1" x14ac:dyDescent="0.25">
      <c r="A5935" t="str">
        <f t="shared" si="93"/>
        <v/>
      </c>
    </row>
    <row r="5936" spans="1:1" x14ac:dyDescent="0.25">
      <c r="A5936" t="str">
        <f t="shared" si="93"/>
        <v/>
      </c>
    </row>
    <row r="5937" spans="1:1" x14ac:dyDescent="0.25">
      <c r="A5937" t="str">
        <f t="shared" si="93"/>
        <v/>
      </c>
    </row>
    <row r="5938" spans="1:1" x14ac:dyDescent="0.25">
      <c r="A5938" t="str">
        <f t="shared" si="93"/>
        <v/>
      </c>
    </row>
    <row r="5939" spans="1:1" x14ac:dyDescent="0.25">
      <c r="A5939" t="str">
        <f t="shared" si="93"/>
        <v/>
      </c>
    </row>
    <row r="5940" spans="1:1" x14ac:dyDescent="0.25">
      <c r="A5940" t="str">
        <f t="shared" si="93"/>
        <v/>
      </c>
    </row>
    <row r="5941" spans="1:1" x14ac:dyDescent="0.25">
      <c r="A5941" t="str">
        <f t="shared" ref="A5941:A6004" si="94">B5939&amp;D5939</f>
        <v/>
      </c>
    </row>
    <row r="5942" spans="1:1" x14ac:dyDescent="0.25">
      <c r="A5942" t="str">
        <f t="shared" si="94"/>
        <v/>
      </c>
    </row>
    <row r="5943" spans="1:1" x14ac:dyDescent="0.25">
      <c r="A5943" t="str">
        <f t="shared" si="94"/>
        <v/>
      </c>
    </row>
    <row r="5944" spans="1:1" x14ac:dyDescent="0.25">
      <c r="A5944" t="str">
        <f t="shared" si="94"/>
        <v/>
      </c>
    </row>
    <row r="5945" spans="1:1" x14ac:dyDescent="0.25">
      <c r="A5945" t="str">
        <f t="shared" si="94"/>
        <v/>
      </c>
    </row>
    <row r="5946" spans="1:1" x14ac:dyDescent="0.25">
      <c r="A5946" t="str">
        <f t="shared" si="94"/>
        <v/>
      </c>
    </row>
    <row r="5947" spans="1:1" x14ac:dyDescent="0.25">
      <c r="A5947" t="str">
        <f t="shared" si="94"/>
        <v/>
      </c>
    </row>
    <row r="5948" spans="1:1" x14ac:dyDescent="0.25">
      <c r="A5948" t="str">
        <f t="shared" si="94"/>
        <v/>
      </c>
    </row>
    <row r="5949" spans="1:1" x14ac:dyDescent="0.25">
      <c r="A5949" t="str">
        <f t="shared" si="94"/>
        <v/>
      </c>
    </row>
    <row r="5950" spans="1:1" x14ac:dyDescent="0.25">
      <c r="A5950" t="str">
        <f t="shared" si="94"/>
        <v/>
      </c>
    </row>
    <row r="5951" spans="1:1" x14ac:dyDescent="0.25">
      <c r="A5951" t="str">
        <f t="shared" si="94"/>
        <v/>
      </c>
    </row>
    <row r="5952" spans="1:1" x14ac:dyDescent="0.25">
      <c r="A5952" t="str">
        <f t="shared" si="94"/>
        <v/>
      </c>
    </row>
    <row r="5953" spans="1:1" x14ac:dyDescent="0.25">
      <c r="A5953" t="str">
        <f t="shared" si="94"/>
        <v/>
      </c>
    </row>
    <row r="5954" spans="1:1" x14ac:dyDescent="0.25">
      <c r="A5954" t="str">
        <f t="shared" si="94"/>
        <v/>
      </c>
    </row>
    <row r="5955" spans="1:1" x14ac:dyDescent="0.25">
      <c r="A5955" t="str">
        <f t="shared" si="94"/>
        <v/>
      </c>
    </row>
    <row r="5956" spans="1:1" x14ac:dyDescent="0.25">
      <c r="A5956" t="str">
        <f t="shared" si="94"/>
        <v/>
      </c>
    </row>
    <row r="5957" spans="1:1" x14ac:dyDescent="0.25">
      <c r="A5957" t="str">
        <f t="shared" si="94"/>
        <v/>
      </c>
    </row>
    <row r="5958" spans="1:1" x14ac:dyDescent="0.25">
      <c r="A5958" t="str">
        <f t="shared" si="94"/>
        <v/>
      </c>
    </row>
    <row r="5959" spans="1:1" x14ac:dyDescent="0.25">
      <c r="A5959" t="str">
        <f t="shared" si="94"/>
        <v/>
      </c>
    </row>
    <row r="5960" spans="1:1" x14ac:dyDescent="0.25">
      <c r="A5960" t="str">
        <f t="shared" si="94"/>
        <v/>
      </c>
    </row>
    <row r="5961" spans="1:1" x14ac:dyDescent="0.25">
      <c r="A5961" t="str">
        <f t="shared" si="94"/>
        <v/>
      </c>
    </row>
    <row r="5962" spans="1:1" x14ac:dyDescent="0.25">
      <c r="A5962" t="str">
        <f t="shared" si="94"/>
        <v/>
      </c>
    </row>
    <row r="5963" spans="1:1" x14ac:dyDescent="0.25">
      <c r="A5963" t="str">
        <f t="shared" si="94"/>
        <v/>
      </c>
    </row>
    <row r="5964" spans="1:1" x14ac:dyDescent="0.25">
      <c r="A5964" t="str">
        <f t="shared" si="94"/>
        <v/>
      </c>
    </row>
    <row r="5965" spans="1:1" x14ac:dyDescent="0.25">
      <c r="A5965" t="str">
        <f t="shared" si="94"/>
        <v/>
      </c>
    </row>
    <row r="5966" spans="1:1" x14ac:dyDescent="0.25">
      <c r="A5966" t="str">
        <f t="shared" si="94"/>
        <v/>
      </c>
    </row>
    <row r="5967" spans="1:1" x14ac:dyDescent="0.25">
      <c r="A5967" t="str">
        <f t="shared" si="94"/>
        <v/>
      </c>
    </row>
    <row r="5968" spans="1:1" x14ac:dyDescent="0.25">
      <c r="A5968" t="str">
        <f t="shared" si="94"/>
        <v/>
      </c>
    </row>
    <row r="5969" spans="1:1" x14ac:dyDescent="0.25">
      <c r="A5969" t="str">
        <f t="shared" si="94"/>
        <v/>
      </c>
    </row>
    <row r="5970" spans="1:1" x14ac:dyDescent="0.25">
      <c r="A5970" t="str">
        <f t="shared" si="94"/>
        <v/>
      </c>
    </row>
    <row r="5971" spans="1:1" x14ac:dyDescent="0.25">
      <c r="A5971" t="str">
        <f t="shared" si="94"/>
        <v/>
      </c>
    </row>
    <row r="5972" spans="1:1" x14ac:dyDescent="0.25">
      <c r="A5972" t="str">
        <f t="shared" si="94"/>
        <v/>
      </c>
    </row>
    <row r="5973" spans="1:1" x14ac:dyDescent="0.25">
      <c r="A5973" t="str">
        <f t="shared" si="94"/>
        <v/>
      </c>
    </row>
    <row r="5974" spans="1:1" x14ac:dyDescent="0.25">
      <c r="A5974" t="str">
        <f t="shared" si="94"/>
        <v/>
      </c>
    </row>
    <row r="5975" spans="1:1" x14ac:dyDescent="0.25">
      <c r="A5975" t="str">
        <f t="shared" si="94"/>
        <v/>
      </c>
    </row>
    <row r="5976" spans="1:1" x14ac:dyDescent="0.25">
      <c r="A5976" t="str">
        <f t="shared" si="94"/>
        <v/>
      </c>
    </row>
    <row r="5977" spans="1:1" x14ac:dyDescent="0.25">
      <c r="A5977" t="str">
        <f t="shared" si="94"/>
        <v/>
      </c>
    </row>
    <row r="5978" spans="1:1" x14ac:dyDescent="0.25">
      <c r="A5978" t="str">
        <f t="shared" si="94"/>
        <v/>
      </c>
    </row>
    <row r="5979" spans="1:1" x14ac:dyDescent="0.25">
      <c r="A5979" t="str">
        <f t="shared" si="94"/>
        <v/>
      </c>
    </row>
    <row r="5980" spans="1:1" x14ac:dyDescent="0.25">
      <c r="A5980" t="str">
        <f t="shared" si="94"/>
        <v/>
      </c>
    </row>
    <row r="5981" spans="1:1" x14ac:dyDescent="0.25">
      <c r="A5981" t="str">
        <f t="shared" si="94"/>
        <v/>
      </c>
    </row>
    <row r="5982" spans="1:1" x14ac:dyDescent="0.25">
      <c r="A5982" t="str">
        <f t="shared" si="94"/>
        <v/>
      </c>
    </row>
    <row r="5983" spans="1:1" x14ac:dyDescent="0.25">
      <c r="A5983" t="str">
        <f t="shared" si="94"/>
        <v/>
      </c>
    </row>
    <row r="5984" spans="1:1" x14ac:dyDescent="0.25">
      <c r="A5984" t="str">
        <f t="shared" si="94"/>
        <v/>
      </c>
    </row>
    <row r="5985" spans="1:1" x14ac:dyDescent="0.25">
      <c r="A5985" t="str">
        <f t="shared" si="94"/>
        <v/>
      </c>
    </row>
    <row r="5986" spans="1:1" x14ac:dyDescent="0.25">
      <c r="A5986" t="str">
        <f t="shared" si="94"/>
        <v/>
      </c>
    </row>
    <row r="5987" spans="1:1" x14ac:dyDescent="0.25">
      <c r="A5987" t="str">
        <f t="shared" si="94"/>
        <v/>
      </c>
    </row>
    <row r="5988" spans="1:1" x14ac:dyDescent="0.25">
      <c r="A5988" t="str">
        <f t="shared" si="94"/>
        <v/>
      </c>
    </row>
    <row r="5989" spans="1:1" x14ac:dyDescent="0.25">
      <c r="A5989" t="str">
        <f t="shared" si="94"/>
        <v/>
      </c>
    </row>
    <row r="5990" spans="1:1" x14ac:dyDescent="0.25">
      <c r="A5990" t="str">
        <f t="shared" si="94"/>
        <v/>
      </c>
    </row>
    <row r="5991" spans="1:1" x14ac:dyDescent="0.25">
      <c r="A5991" t="str">
        <f t="shared" si="94"/>
        <v/>
      </c>
    </row>
    <row r="5992" spans="1:1" x14ac:dyDescent="0.25">
      <c r="A5992" t="str">
        <f t="shared" si="94"/>
        <v/>
      </c>
    </row>
    <row r="5993" spans="1:1" x14ac:dyDescent="0.25">
      <c r="A5993" t="str">
        <f t="shared" si="94"/>
        <v/>
      </c>
    </row>
    <row r="5994" spans="1:1" x14ac:dyDescent="0.25">
      <c r="A5994" t="str">
        <f t="shared" si="94"/>
        <v/>
      </c>
    </row>
    <row r="5995" spans="1:1" x14ac:dyDescent="0.25">
      <c r="A5995" t="str">
        <f t="shared" si="94"/>
        <v/>
      </c>
    </row>
    <row r="5996" spans="1:1" x14ac:dyDescent="0.25">
      <c r="A5996" t="str">
        <f t="shared" si="94"/>
        <v/>
      </c>
    </row>
    <row r="5997" spans="1:1" x14ac:dyDescent="0.25">
      <c r="A5997" t="str">
        <f t="shared" si="94"/>
        <v/>
      </c>
    </row>
    <row r="5998" spans="1:1" x14ac:dyDescent="0.25">
      <c r="A5998" t="str">
        <f t="shared" si="94"/>
        <v/>
      </c>
    </row>
    <row r="5999" spans="1:1" x14ac:dyDescent="0.25">
      <c r="A5999" t="str">
        <f t="shared" si="94"/>
        <v/>
      </c>
    </row>
    <row r="6000" spans="1:1" x14ac:dyDescent="0.25">
      <c r="A6000" t="str">
        <f t="shared" si="94"/>
        <v/>
      </c>
    </row>
    <row r="6001" spans="1:1" x14ac:dyDescent="0.25">
      <c r="A6001" t="str">
        <f t="shared" si="94"/>
        <v/>
      </c>
    </row>
    <row r="6002" spans="1:1" x14ac:dyDescent="0.25">
      <c r="A6002" t="str">
        <f t="shared" si="94"/>
        <v/>
      </c>
    </row>
    <row r="6003" spans="1:1" x14ac:dyDescent="0.25">
      <c r="A6003" t="str">
        <f t="shared" si="94"/>
        <v/>
      </c>
    </row>
    <row r="6004" spans="1:1" x14ac:dyDescent="0.25">
      <c r="A6004" t="str">
        <f t="shared" si="94"/>
        <v/>
      </c>
    </row>
    <row r="6005" spans="1:1" x14ac:dyDescent="0.25">
      <c r="A6005" t="str">
        <f t="shared" ref="A6005:A6068" si="95">B6003&amp;D6003</f>
        <v/>
      </c>
    </row>
    <row r="6006" spans="1:1" x14ac:dyDescent="0.25">
      <c r="A6006" t="str">
        <f t="shared" si="95"/>
        <v/>
      </c>
    </row>
    <row r="6007" spans="1:1" x14ac:dyDescent="0.25">
      <c r="A6007" t="str">
        <f t="shared" si="95"/>
        <v/>
      </c>
    </row>
    <row r="6008" spans="1:1" x14ac:dyDescent="0.25">
      <c r="A6008" t="str">
        <f t="shared" si="95"/>
        <v/>
      </c>
    </row>
    <row r="6009" spans="1:1" x14ac:dyDescent="0.25">
      <c r="A6009" t="str">
        <f t="shared" si="95"/>
        <v/>
      </c>
    </row>
    <row r="6010" spans="1:1" x14ac:dyDescent="0.25">
      <c r="A6010" t="str">
        <f t="shared" si="95"/>
        <v/>
      </c>
    </row>
    <row r="6011" spans="1:1" x14ac:dyDescent="0.25">
      <c r="A6011" t="str">
        <f t="shared" si="95"/>
        <v/>
      </c>
    </row>
    <row r="6012" spans="1:1" x14ac:dyDescent="0.25">
      <c r="A6012" t="str">
        <f t="shared" si="95"/>
        <v/>
      </c>
    </row>
    <row r="6013" spans="1:1" x14ac:dyDescent="0.25">
      <c r="A6013" t="str">
        <f t="shared" si="95"/>
        <v/>
      </c>
    </row>
    <row r="6014" spans="1:1" x14ac:dyDescent="0.25">
      <c r="A6014" t="str">
        <f t="shared" si="95"/>
        <v/>
      </c>
    </row>
    <row r="6015" spans="1:1" x14ac:dyDescent="0.25">
      <c r="A6015" t="str">
        <f t="shared" si="95"/>
        <v/>
      </c>
    </row>
    <row r="6016" spans="1:1" x14ac:dyDescent="0.25">
      <c r="A6016" t="str">
        <f t="shared" si="95"/>
        <v/>
      </c>
    </row>
    <row r="6017" spans="1:1" x14ac:dyDescent="0.25">
      <c r="A6017" t="str">
        <f t="shared" si="95"/>
        <v/>
      </c>
    </row>
    <row r="6018" spans="1:1" x14ac:dyDescent="0.25">
      <c r="A6018" t="str">
        <f t="shared" si="95"/>
        <v/>
      </c>
    </row>
    <row r="6019" spans="1:1" x14ac:dyDescent="0.25">
      <c r="A6019" t="str">
        <f t="shared" si="95"/>
        <v/>
      </c>
    </row>
    <row r="6020" spans="1:1" x14ac:dyDescent="0.25">
      <c r="A6020" t="str">
        <f t="shared" si="95"/>
        <v/>
      </c>
    </row>
    <row r="6021" spans="1:1" x14ac:dyDescent="0.25">
      <c r="A6021" t="str">
        <f t="shared" si="95"/>
        <v/>
      </c>
    </row>
    <row r="6022" spans="1:1" x14ac:dyDescent="0.25">
      <c r="A6022" t="str">
        <f t="shared" si="95"/>
        <v/>
      </c>
    </row>
    <row r="6023" spans="1:1" x14ac:dyDescent="0.25">
      <c r="A6023" t="str">
        <f t="shared" si="95"/>
        <v/>
      </c>
    </row>
    <row r="6024" spans="1:1" x14ac:dyDescent="0.25">
      <c r="A6024" t="str">
        <f t="shared" si="95"/>
        <v/>
      </c>
    </row>
    <row r="6025" spans="1:1" x14ac:dyDescent="0.25">
      <c r="A6025" t="str">
        <f t="shared" si="95"/>
        <v/>
      </c>
    </row>
    <row r="6026" spans="1:1" x14ac:dyDescent="0.25">
      <c r="A6026" t="str">
        <f t="shared" si="95"/>
        <v/>
      </c>
    </row>
    <row r="6027" spans="1:1" x14ac:dyDescent="0.25">
      <c r="A6027" t="str">
        <f t="shared" si="95"/>
        <v/>
      </c>
    </row>
    <row r="6028" spans="1:1" x14ac:dyDescent="0.25">
      <c r="A6028" t="str">
        <f t="shared" si="95"/>
        <v/>
      </c>
    </row>
    <row r="6029" spans="1:1" x14ac:dyDescent="0.25">
      <c r="A6029" t="str">
        <f t="shared" si="95"/>
        <v/>
      </c>
    </row>
    <row r="6030" spans="1:1" x14ac:dyDescent="0.25">
      <c r="A6030" t="str">
        <f t="shared" si="95"/>
        <v/>
      </c>
    </row>
    <row r="6031" spans="1:1" x14ac:dyDescent="0.25">
      <c r="A6031" t="str">
        <f t="shared" si="95"/>
        <v/>
      </c>
    </row>
    <row r="6032" spans="1:1" x14ac:dyDescent="0.25">
      <c r="A6032" t="str">
        <f t="shared" si="95"/>
        <v/>
      </c>
    </row>
    <row r="6033" spans="1:1" x14ac:dyDescent="0.25">
      <c r="A6033" t="str">
        <f t="shared" si="95"/>
        <v/>
      </c>
    </row>
    <row r="6034" spans="1:1" x14ac:dyDescent="0.25">
      <c r="A6034" t="str">
        <f t="shared" si="95"/>
        <v/>
      </c>
    </row>
    <row r="6035" spans="1:1" x14ac:dyDescent="0.25">
      <c r="A6035" t="str">
        <f t="shared" si="95"/>
        <v/>
      </c>
    </row>
    <row r="6036" spans="1:1" x14ac:dyDescent="0.25">
      <c r="A6036" t="str">
        <f t="shared" si="95"/>
        <v/>
      </c>
    </row>
    <row r="6037" spans="1:1" x14ac:dyDescent="0.25">
      <c r="A6037" t="str">
        <f t="shared" si="95"/>
        <v/>
      </c>
    </row>
    <row r="6038" spans="1:1" x14ac:dyDescent="0.25">
      <c r="A6038" t="str">
        <f t="shared" si="95"/>
        <v/>
      </c>
    </row>
    <row r="6039" spans="1:1" x14ac:dyDescent="0.25">
      <c r="A6039" t="str">
        <f t="shared" si="95"/>
        <v/>
      </c>
    </row>
    <row r="6040" spans="1:1" x14ac:dyDescent="0.25">
      <c r="A6040" t="str">
        <f t="shared" si="95"/>
        <v/>
      </c>
    </row>
    <row r="6041" spans="1:1" x14ac:dyDescent="0.25">
      <c r="A6041" t="str">
        <f t="shared" si="95"/>
        <v/>
      </c>
    </row>
    <row r="6042" spans="1:1" x14ac:dyDescent="0.25">
      <c r="A6042" t="str">
        <f t="shared" si="95"/>
        <v/>
      </c>
    </row>
    <row r="6043" spans="1:1" x14ac:dyDescent="0.25">
      <c r="A6043" t="str">
        <f t="shared" si="95"/>
        <v/>
      </c>
    </row>
    <row r="6044" spans="1:1" x14ac:dyDescent="0.25">
      <c r="A6044" t="str">
        <f t="shared" si="95"/>
        <v/>
      </c>
    </row>
    <row r="6045" spans="1:1" x14ac:dyDescent="0.25">
      <c r="A6045" t="str">
        <f t="shared" si="95"/>
        <v/>
      </c>
    </row>
    <row r="6046" spans="1:1" x14ac:dyDescent="0.25">
      <c r="A6046" t="str">
        <f t="shared" si="95"/>
        <v/>
      </c>
    </row>
    <row r="6047" spans="1:1" x14ac:dyDescent="0.25">
      <c r="A6047" t="str">
        <f t="shared" si="95"/>
        <v/>
      </c>
    </row>
    <row r="6048" spans="1:1" x14ac:dyDescent="0.25">
      <c r="A6048" t="str">
        <f t="shared" si="95"/>
        <v/>
      </c>
    </row>
    <row r="6049" spans="1:1" x14ac:dyDescent="0.25">
      <c r="A6049" t="str">
        <f t="shared" si="95"/>
        <v/>
      </c>
    </row>
    <row r="6050" spans="1:1" x14ac:dyDescent="0.25">
      <c r="A6050" t="str">
        <f t="shared" si="95"/>
        <v/>
      </c>
    </row>
    <row r="6051" spans="1:1" x14ac:dyDescent="0.25">
      <c r="A6051" t="str">
        <f t="shared" si="95"/>
        <v/>
      </c>
    </row>
    <row r="6052" spans="1:1" x14ac:dyDescent="0.25">
      <c r="A6052" t="str">
        <f t="shared" si="95"/>
        <v/>
      </c>
    </row>
    <row r="6053" spans="1:1" x14ac:dyDescent="0.25">
      <c r="A6053" t="str">
        <f t="shared" si="95"/>
        <v/>
      </c>
    </row>
    <row r="6054" spans="1:1" x14ac:dyDescent="0.25">
      <c r="A6054" t="str">
        <f t="shared" si="95"/>
        <v/>
      </c>
    </row>
    <row r="6055" spans="1:1" x14ac:dyDescent="0.25">
      <c r="A6055" t="str">
        <f t="shared" si="95"/>
        <v/>
      </c>
    </row>
    <row r="6056" spans="1:1" x14ac:dyDescent="0.25">
      <c r="A6056" t="str">
        <f t="shared" si="95"/>
        <v/>
      </c>
    </row>
    <row r="6057" spans="1:1" x14ac:dyDescent="0.25">
      <c r="A6057" t="str">
        <f t="shared" si="95"/>
        <v/>
      </c>
    </row>
    <row r="6058" spans="1:1" x14ac:dyDescent="0.25">
      <c r="A6058" t="str">
        <f t="shared" si="95"/>
        <v/>
      </c>
    </row>
    <row r="6059" spans="1:1" x14ac:dyDescent="0.25">
      <c r="A6059" t="str">
        <f t="shared" si="95"/>
        <v/>
      </c>
    </row>
    <row r="6060" spans="1:1" x14ac:dyDescent="0.25">
      <c r="A6060" t="str">
        <f t="shared" si="95"/>
        <v/>
      </c>
    </row>
    <row r="6061" spans="1:1" x14ac:dyDescent="0.25">
      <c r="A6061" t="str">
        <f t="shared" si="95"/>
        <v/>
      </c>
    </row>
    <row r="6062" spans="1:1" x14ac:dyDescent="0.25">
      <c r="A6062" t="str">
        <f t="shared" si="95"/>
        <v/>
      </c>
    </row>
    <row r="6063" spans="1:1" x14ac:dyDescent="0.25">
      <c r="A6063" t="str">
        <f t="shared" si="95"/>
        <v/>
      </c>
    </row>
    <row r="6064" spans="1:1" x14ac:dyDescent="0.25">
      <c r="A6064" t="str">
        <f t="shared" si="95"/>
        <v/>
      </c>
    </row>
    <row r="6065" spans="1:1" x14ac:dyDescent="0.25">
      <c r="A6065" t="str">
        <f t="shared" si="95"/>
        <v/>
      </c>
    </row>
    <row r="6066" spans="1:1" x14ac:dyDescent="0.25">
      <c r="A6066" t="str">
        <f t="shared" si="95"/>
        <v/>
      </c>
    </row>
    <row r="6067" spans="1:1" x14ac:dyDescent="0.25">
      <c r="A6067" t="str">
        <f t="shared" si="95"/>
        <v/>
      </c>
    </row>
    <row r="6068" spans="1:1" x14ac:dyDescent="0.25">
      <c r="A6068" t="str">
        <f t="shared" si="95"/>
        <v/>
      </c>
    </row>
    <row r="6069" spans="1:1" x14ac:dyDescent="0.25">
      <c r="A6069" t="str">
        <f t="shared" ref="A6069:A6132" si="96">B6067&amp;D6067</f>
        <v/>
      </c>
    </row>
    <row r="6070" spans="1:1" x14ac:dyDescent="0.25">
      <c r="A6070" t="str">
        <f t="shared" si="96"/>
        <v/>
      </c>
    </row>
    <row r="6071" spans="1:1" x14ac:dyDescent="0.25">
      <c r="A6071" t="str">
        <f t="shared" si="96"/>
        <v/>
      </c>
    </row>
    <row r="6072" spans="1:1" x14ac:dyDescent="0.25">
      <c r="A6072" t="str">
        <f t="shared" si="96"/>
        <v/>
      </c>
    </row>
    <row r="6073" spans="1:1" x14ac:dyDescent="0.25">
      <c r="A6073" t="str">
        <f t="shared" si="96"/>
        <v/>
      </c>
    </row>
    <row r="6074" spans="1:1" x14ac:dyDescent="0.25">
      <c r="A6074" t="str">
        <f t="shared" si="96"/>
        <v/>
      </c>
    </row>
    <row r="6075" spans="1:1" x14ac:dyDescent="0.25">
      <c r="A6075" t="str">
        <f t="shared" si="96"/>
        <v/>
      </c>
    </row>
    <row r="6076" spans="1:1" x14ac:dyDescent="0.25">
      <c r="A6076" t="str">
        <f t="shared" si="96"/>
        <v/>
      </c>
    </row>
    <row r="6077" spans="1:1" x14ac:dyDescent="0.25">
      <c r="A6077" t="str">
        <f t="shared" si="96"/>
        <v/>
      </c>
    </row>
    <row r="6078" spans="1:1" x14ac:dyDescent="0.25">
      <c r="A6078" t="str">
        <f t="shared" si="96"/>
        <v/>
      </c>
    </row>
    <row r="6079" spans="1:1" x14ac:dyDescent="0.25">
      <c r="A6079" t="str">
        <f t="shared" si="96"/>
        <v/>
      </c>
    </row>
    <row r="6080" spans="1:1" x14ac:dyDescent="0.25">
      <c r="A6080" t="str">
        <f t="shared" si="96"/>
        <v/>
      </c>
    </row>
    <row r="6081" spans="1:1" x14ac:dyDescent="0.25">
      <c r="A6081" t="str">
        <f t="shared" si="96"/>
        <v/>
      </c>
    </row>
    <row r="6082" spans="1:1" x14ac:dyDescent="0.25">
      <c r="A6082" t="str">
        <f t="shared" si="96"/>
        <v/>
      </c>
    </row>
    <row r="6083" spans="1:1" x14ac:dyDescent="0.25">
      <c r="A6083" t="str">
        <f t="shared" si="96"/>
        <v/>
      </c>
    </row>
    <row r="6084" spans="1:1" x14ac:dyDescent="0.25">
      <c r="A6084" t="str">
        <f t="shared" si="96"/>
        <v/>
      </c>
    </row>
    <row r="6085" spans="1:1" x14ac:dyDescent="0.25">
      <c r="A6085" t="str">
        <f t="shared" si="96"/>
        <v/>
      </c>
    </row>
    <row r="6086" spans="1:1" x14ac:dyDescent="0.25">
      <c r="A6086" t="str">
        <f t="shared" si="96"/>
        <v/>
      </c>
    </row>
    <row r="6087" spans="1:1" x14ac:dyDescent="0.25">
      <c r="A6087" t="str">
        <f t="shared" si="96"/>
        <v/>
      </c>
    </row>
    <row r="6088" spans="1:1" x14ac:dyDescent="0.25">
      <c r="A6088" t="str">
        <f t="shared" si="96"/>
        <v/>
      </c>
    </row>
    <row r="6089" spans="1:1" x14ac:dyDescent="0.25">
      <c r="A6089" t="str">
        <f t="shared" si="96"/>
        <v/>
      </c>
    </row>
    <row r="6090" spans="1:1" x14ac:dyDescent="0.25">
      <c r="A6090" t="str">
        <f t="shared" si="96"/>
        <v/>
      </c>
    </row>
    <row r="6091" spans="1:1" x14ac:dyDescent="0.25">
      <c r="A6091" t="str">
        <f t="shared" si="96"/>
        <v/>
      </c>
    </row>
    <row r="6092" spans="1:1" x14ac:dyDescent="0.25">
      <c r="A6092" t="str">
        <f t="shared" si="96"/>
        <v/>
      </c>
    </row>
    <row r="6093" spans="1:1" x14ac:dyDescent="0.25">
      <c r="A6093" t="str">
        <f t="shared" si="96"/>
        <v/>
      </c>
    </row>
    <row r="6094" spans="1:1" x14ac:dyDescent="0.25">
      <c r="A6094" t="str">
        <f t="shared" si="96"/>
        <v/>
      </c>
    </row>
    <row r="6095" spans="1:1" x14ac:dyDescent="0.25">
      <c r="A6095" t="str">
        <f t="shared" si="96"/>
        <v/>
      </c>
    </row>
    <row r="6096" spans="1:1" x14ac:dyDescent="0.25">
      <c r="A6096" t="str">
        <f t="shared" si="96"/>
        <v/>
      </c>
    </row>
    <row r="6097" spans="1:1" x14ac:dyDescent="0.25">
      <c r="A6097" t="str">
        <f t="shared" si="96"/>
        <v/>
      </c>
    </row>
    <row r="6098" spans="1:1" x14ac:dyDescent="0.25">
      <c r="A6098" t="str">
        <f t="shared" si="96"/>
        <v/>
      </c>
    </row>
    <row r="6099" spans="1:1" x14ac:dyDescent="0.25">
      <c r="A6099" t="str">
        <f t="shared" si="96"/>
        <v/>
      </c>
    </row>
    <row r="6100" spans="1:1" x14ac:dyDescent="0.25">
      <c r="A6100" t="str">
        <f t="shared" si="96"/>
        <v/>
      </c>
    </row>
    <row r="6101" spans="1:1" x14ac:dyDescent="0.25">
      <c r="A6101" t="str">
        <f t="shared" si="96"/>
        <v/>
      </c>
    </row>
    <row r="6102" spans="1:1" x14ac:dyDescent="0.25">
      <c r="A6102" t="str">
        <f t="shared" si="96"/>
        <v/>
      </c>
    </row>
    <row r="6103" spans="1:1" x14ac:dyDescent="0.25">
      <c r="A6103" t="str">
        <f t="shared" si="96"/>
        <v/>
      </c>
    </row>
    <row r="6104" spans="1:1" x14ac:dyDescent="0.25">
      <c r="A6104" t="str">
        <f t="shared" si="96"/>
        <v/>
      </c>
    </row>
    <row r="6105" spans="1:1" x14ac:dyDescent="0.25">
      <c r="A6105" t="str">
        <f t="shared" si="96"/>
        <v/>
      </c>
    </row>
    <row r="6106" spans="1:1" x14ac:dyDescent="0.25">
      <c r="A6106" t="str">
        <f t="shared" si="96"/>
        <v/>
      </c>
    </row>
    <row r="6107" spans="1:1" x14ac:dyDescent="0.25">
      <c r="A6107" t="str">
        <f t="shared" si="96"/>
        <v/>
      </c>
    </row>
    <row r="6108" spans="1:1" x14ac:dyDescent="0.25">
      <c r="A6108" t="str">
        <f t="shared" si="96"/>
        <v/>
      </c>
    </row>
    <row r="6109" spans="1:1" x14ac:dyDescent="0.25">
      <c r="A6109" t="str">
        <f t="shared" si="96"/>
        <v/>
      </c>
    </row>
    <row r="6110" spans="1:1" x14ac:dyDescent="0.25">
      <c r="A6110" t="str">
        <f t="shared" si="96"/>
        <v/>
      </c>
    </row>
    <row r="6111" spans="1:1" x14ac:dyDescent="0.25">
      <c r="A6111" t="str">
        <f t="shared" si="96"/>
        <v/>
      </c>
    </row>
    <row r="6112" spans="1:1" x14ac:dyDescent="0.25">
      <c r="A6112" t="str">
        <f t="shared" si="96"/>
        <v/>
      </c>
    </row>
    <row r="6113" spans="1:1" x14ac:dyDescent="0.25">
      <c r="A6113" t="str">
        <f t="shared" si="96"/>
        <v/>
      </c>
    </row>
    <row r="6114" spans="1:1" x14ac:dyDescent="0.25">
      <c r="A6114" t="str">
        <f t="shared" si="96"/>
        <v/>
      </c>
    </row>
    <row r="6115" spans="1:1" x14ac:dyDescent="0.25">
      <c r="A6115" t="str">
        <f t="shared" si="96"/>
        <v/>
      </c>
    </row>
    <row r="6116" spans="1:1" x14ac:dyDescent="0.25">
      <c r="A6116" t="str">
        <f t="shared" si="96"/>
        <v/>
      </c>
    </row>
    <row r="6117" spans="1:1" x14ac:dyDescent="0.25">
      <c r="A6117" t="str">
        <f t="shared" si="96"/>
        <v/>
      </c>
    </row>
    <row r="6118" spans="1:1" x14ac:dyDescent="0.25">
      <c r="A6118" t="str">
        <f t="shared" si="96"/>
        <v/>
      </c>
    </row>
    <row r="6119" spans="1:1" x14ac:dyDescent="0.25">
      <c r="A6119" t="str">
        <f t="shared" si="96"/>
        <v/>
      </c>
    </row>
    <row r="6120" spans="1:1" x14ac:dyDescent="0.25">
      <c r="A6120" t="str">
        <f t="shared" si="96"/>
        <v/>
      </c>
    </row>
    <row r="6121" spans="1:1" x14ac:dyDescent="0.25">
      <c r="A6121" t="str">
        <f t="shared" si="96"/>
        <v/>
      </c>
    </row>
    <row r="6122" spans="1:1" x14ac:dyDescent="0.25">
      <c r="A6122" t="str">
        <f t="shared" si="96"/>
        <v/>
      </c>
    </row>
    <row r="6123" spans="1:1" x14ac:dyDescent="0.25">
      <c r="A6123" t="str">
        <f t="shared" si="96"/>
        <v/>
      </c>
    </row>
    <row r="6124" spans="1:1" x14ac:dyDescent="0.25">
      <c r="A6124" t="str">
        <f t="shared" si="96"/>
        <v/>
      </c>
    </row>
    <row r="6125" spans="1:1" x14ac:dyDescent="0.25">
      <c r="A6125" t="str">
        <f t="shared" si="96"/>
        <v/>
      </c>
    </row>
    <row r="6126" spans="1:1" x14ac:dyDescent="0.25">
      <c r="A6126" t="str">
        <f t="shared" si="96"/>
        <v/>
      </c>
    </row>
    <row r="6127" spans="1:1" x14ac:dyDescent="0.25">
      <c r="A6127" t="str">
        <f t="shared" si="96"/>
        <v/>
      </c>
    </row>
    <row r="6128" spans="1:1" x14ac:dyDescent="0.25">
      <c r="A6128" t="str">
        <f t="shared" si="96"/>
        <v/>
      </c>
    </row>
    <row r="6129" spans="1:1" x14ac:dyDescent="0.25">
      <c r="A6129" t="str">
        <f t="shared" si="96"/>
        <v/>
      </c>
    </row>
    <row r="6130" spans="1:1" x14ac:dyDescent="0.25">
      <c r="A6130" t="str">
        <f t="shared" si="96"/>
        <v/>
      </c>
    </row>
    <row r="6131" spans="1:1" x14ac:dyDescent="0.25">
      <c r="A6131" t="str">
        <f t="shared" si="96"/>
        <v/>
      </c>
    </row>
    <row r="6132" spans="1:1" x14ac:dyDescent="0.25">
      <c r="A6132" t="str">
        <f t="shared" si="96"/>
        <v/>
      </c>
    </row>
    <row r="6133" spans="1:1" x14ac:dyDescent="0.25">
      <c r="A6133" t="str">
        <f t="shared" ref="A6133:A6196" si="97">B6131&amp;D6131</f>
        <v/>
      </c>
    </row>
    <row r="6134" spans="1:1" x14ac:dyDescent="0.25">
      <c r="A6134" t="str">
        <f t="shared" si="97"/>
        <v/>
      </c>
    </row>
    <row r="6135" spans="1:1" x14ac:dyDescent="0.25">
      <c r="A6135" t="str">
        <f t="shared" si="97"/>
        <v/>
      </c>
    </row>
    <row r="6136" spans="1:1" x14ac:dyDescent="0.25">
      <c r="A6136" t="str">
        <f t="shared" si="97"/>
        <v/>
      </c>
    </row>
    <row r="6137" spans="1:1" x14ac:dyDescent="0.25">
      <c r="A6137" t="str">
        <f t="shared" si="97"/>
        <v/>
      </c>
    </row>
    <row r="6138" spans="1:1" x14ac:dyDescent="0.25">
      <c r="A6138" t="str">
        <f t="shared" si="97"/>
        <v/>
      </c>
    </row>
    <row r="6139" spans="1:1" x14ac:dyDescent="0.25">
      <c r="A6139" t="str">
        <f t="shared" si="97"/>
        <v/>
      </c>
    </row>
    <row r="6140" spans="1:1" x14ac:dyDescent="0.25">
      <c r="A6140" t="str">
        <f t="shared" si="97"/>
        <v/>
      </c>
    </row>
    <row r="6141" spans="1:1" x14ac:dyDescent="0.25">
      <c r="A6141" t="str">
        <f t="shared" si="97"/>
        <v/>
      </c>
    </row>
    <row r="6142" spans="1:1" x14ac:dyDescent="0.25">
      <c r="A6142" t="str">
        <f t="shared" si="97"/>
        <v/>
      </c>
    </row>
    <row r="6143" spans="1:1" x14ac:dyDescent="0.25">
      <c r="A6143" t="str">
        <f t="shared" si="97"/>
        <v/>
      </c>
    </row>
    <row r="6144" spans="1:1" x14ac:dyDescent="0.25">
      <c r="A6144" t="str">
        <f t="shared" si="97"/>
        <v/>
      </c>
    </row>
    <row r="6145" spans="1:1" x14ac:dyDescent="0.25">
      <c r="A6145" t="str">
        <f t="shared" si="97"/>
        <v/>
      </c>
    </row>
    <row r="6146" spans="1:1" x14ac:dyDescent="0.25">
      <c r="A6146" t="str">
        <f t="shared" si="97"/>
        <v/>
      </c>
    </row>
    <row r="6147" spans="1:1" x14ac:dyDescent="0.25">
      <c r="A6147" t="str">
        <f t="shared" si="97"/>
        <v/>
      </c>
    </row>
    <row r="6148" spans="1:1" x14ac:dyDescent="0.25">
      <c r="A6148" t="str">
        <f t="shared" si="97"/>
        <v/>
      </c>
    </row>
    <row r="6149" spans="1:1" x14ac:dyDescent="0.25">
      <c r="A6149" t="str">
        <f t="shared" si="97"/>
        <v/>
      </c>
    </row>
    <row r="6150" spans="1:1" x14ac:dyDescent="0.25">
      <c r="A6150" t="str">
        <f t="shared" si="97"/>
        <v/>
      </c>
    </row>
    <row r="6151" spans="1:1" x14ac:dyDescent="0.25">
      <c r="A6151" t="str">
        <f t="shared" si="97"/>
        <v/>
      </c>
    </row>
    <row r="6152" spans="1:1" x14ac:dyDescent="0.25">
      <c r="A6152" t="str">
        <f t="shared" si="97"/>
        <v/>
      </c>
    </row>
    <row r="6153" spans="1:1" x14ac:dyDescent="0.25">
      <c r="A6153" t="str">
        <f t="shared" si="97"/>
        <v/>
      </c>
    </row>
    <row r="6154" spans="1:1" x14ac:dyDescent="0.25">
      <c r="A6154" t="str">
        <f t="shared" si="97"/>
        <v/>
      </c>
    </row>
    <row r="6155" spans="1:1" x14ac:dyDescent="0.25">
      <c r="A6155" t="str">
        <f t="shared" si="97"/>
        <v/>
      </c>
    </row>
    <row r="6156" spans="1:1" x14ac:dyDescent="0.25">
      <c r="A6156" t="str">
        <f t="shared" si="97"/>
        <v/>
      </c>
    </row>
    <row r="6157" spans="1:1" x14ac:dyDescent="0.25">
      <c r="A6157" t="str">
        <f t="shared" si="97"/>
        <v/>
      </c>
    </row>
    <row r="6158" spans="1:1" x14ac:dyDescent="0.25">
      <c r="A6158" t="str">
        <f t="shared" si="97"/>
        <v/>
      </c>
    </row>
    <row r="6159" spans="1:1" x14ac:dyDescent="0.25">
      <c r="A6159" t="str">
        <f t="shared" si="97"/>
        <v/>
      </c>
    </row>
    <row r="6160" spans="1:1" x14ac:dyDescent="0.25">
      <c r="A6160" t="str">
        <f t="shared" si="97"/>
        <v/>
      </c>
    </row>
    <row r="6161" spans="1:1" x14ac:dyDescent="0.25">
      <c r="A6161" t="str">
        <f t="shared" si="97"/>
        <v/>
      </c>
    </row>
    <row r="6162" spans="1:1" x14ac:dyDescent="0.25">
      <c r="A6162" t="str">
        <f t="shared" si="97"/>
        <v/>
      </c>
    </row>
    <row r="6163" spans="1:1" x14ac:dyDescent="0.25">
      <c r="A6163" t="str">
        <f t="shared" si="97"/>
        <v/>
      </c>
    </row>
    <row r="6164" spans="1:1" x14ac:dyDescent="0.25">
      <c r="A6164" t="str">
        <f t="shared" si="97"/>
        <v/>
      </c>
    </row>
    <row r="6165" spans="1:1" x14ac:dyDescent="0.25">
      <c r="A6165" t="str">
        <f t="shared" si="97"/>
        <v/>
      </c>
    </row>
    <row r="6166" spans="1:1" x14ac:dyDescent="0.25">
      <c r="A6166" t="str">
        <f t="shared" si="97"/>
        <v/>
      </c>
    </row>
    <row r="6167" spans="1:1" x14ac:dyDescent="0.25">
      <c r="A6167" t="str">
        <f t="shared" si="97"/>
        <v/>
      </c>
    </row>
    <row r="6168" spans="1:1" x14ac:dyDescent="0.25">
      <c r="A6168" t="str">
        <f t="shared" si="97"/>
        <v/>
      </c>
    </row>
    <row r="6169" spans="1:1" x14ac:dyDescent="0.25">
      <c r="A6169" t="str">
        <f t="shared" si="97"/>
        <v/>
      </c>
    </row>
    <row r="6170" spans="1:1" x14ac:dyDescent="0.25">
      <c r="A6170" t="str">
        <f t="shared" si="97"/>
        <v/>
      </c>
    </row>
    <row r="6171" spans="1:1" x14ac:dyDescent="0.25">
      <c r="A6171" t="str">
        <f t="shared" si="97"/>
        <v/>
      </c>
    </row>
    <row r="6172" spans="1:1" x14ac:dyDescent="0.25">
      <c r="A6172" t="str">
        <f t="shared" si="97"/>
        <v/>
      </c>
    </row>
    <row r="6173" spans="1:1" x14ac:dyDescent="0.25">
      <c r="A6173" t="str">
        <f t="shared" si="97"/>
        <v/>
      </c>
    </row>
    <row r="6174" spans="1:1" x14ac:dyDescent="0.25">
      <c r="A6174" t="str">
        <f t="shared" si="97"/>
        <v/>
      </c>
    </row>
    <row r="6175" spans="1:1" x14ac:dyDescent="0.25">
      <c r="A6175" t="str">
        <f t="shared" si="97"/>
        <v/>
      </c>
    </row>
    <row r="6176" spans="1:1" x14ac:dyDescent="0.25">
      <c r="A6176" t="str">
        <f t="shared" si="97"/>
        <v/>
      </c>
    </row>
    <row r="6177" spans="1:1" x14ac:dyDescent="0.25">
      <c r="A6177" t="str">
        <f t="shared" si="97"/>
        <v/>
      </c>
    </row>
    <row r="6178" spans="1:1" x14ac:dyDescent="0.25">
      <c r="A6178" t="str">
        <f t="shared" si="97"/>
        <v/>
      </c>
    </row>
    <row r="6179" spans="1:1" x14ac:dyDescent="0.25">
      <c r="A6179" t="str">
        <f t="shared" si="97"/>
        <v/>
      </c>
    </row>
    <row r="6180" spans="1:1" x14ac:dyDescent="0.25">
      <c r="A6180" t="str">
        <f t="shared" si="97"/>
        <v/>
      </c>
    </row>
    <row r="6181" spans="1:1" x14ac:dyDescent="0.25">
      <c r="A6181" t="str">
        <f t="shared" si="97"/>
        <v/>
      </c>
    </row>
    <row r="6182" spans="1:1" x14ac:dyDescent="0.25">
      <c r="A6182" t="str">
        <f t="shared" si="97"/>
        <v/>
      </c>
    </row>
    <row r="6183" spans="1:1" x14ac:dyDescent="0.25">
      <c r="A6183" t="str">
        <f t="shared" si="97"/>
        <v/>
      </c>
    </row>
    <row r="6184" spans="1:1" x14ac:dyDescent="0.25">
      <c r="A6184" t="str">
        <f t="shared" si="97"/>
        <v/>
      </c>
    </row>
    <row r="6185" spans="1:1" x14ac:dyDescent="0.25">
      <c r="A6185" t="str">
        <f t="shared" si="97"/>
        <v/>
      </c>
    </row>
    <row r="6186" spans="1:1" x14ac:dyDescent="0.25">
      <c r="A6186" t="str">
        <f t="shared" si="97"/>
        <v/>
      </c>
    </row>
    <row r="6187" spans="1:1" x14ac:dyDescent="0.25">
      <c r="A6187" t="str">
        <f t="shared" si="97"/>
        <v/>
      </c>
    </row>
    <row r="6188" spans="1:1" x14ac:dyDescent="0.25">
      <c r="A6188" t="str">
        <f t="shared" si="97"/>
        <v/>
      </c>
    </row>
    <row r="6189" spans="1:1" x14ac:dyDescent="0.25">
      <c r="A6189" t="str">
        <f t="shared" si="97"/>
        <v/>
      </c>
    </row>
    <row r="6190" spans="1:1" x14ac:dyDescent="0.25">
      <c r="A6190" t="str">
        <f t="shared" si="97"/>
        <v/>
      </c>
    </row>
    <row r="6191" spans="1:1" x14ac:dyDescent="0.25">
      <c r="A6191" t="str">
        <f t="shared" si="97"/>
        <v/>
      </c>
    </row>
    <row r="6192" spans="1:1" x14ac:dyDescent="0.25">
      <c r="A6192" t="str">
        <f t="shared" si="97"/>
        <v/>
      </c>
    </row>
    <row r="6193" spans="1:1" x14ac:dyDescent="0.25">
      <c r="A6193" t="str">
        <f t="shared" si="97"/>
        <v/>
      </c>
    </row>
    <row r="6194" spans="1:1" x14ac:dyDescent="0.25">
      <c r="A6194" t="str">
        <f t="shared" si="97"/>
        <v/>
      </c>
    </row>
    <row r="6195" spans="1:1" x14ac:dyDescent="0.25">
      <c r="A6195" t="str">
        <f t="shared" si="97"/>
        <v/>
      </c>
    </row>
    <row r="6196" spans="1:1" x14ac:dyDescent="0.25">
      <c r="A6196" t="str">
        <f t="shared" si="97"/>
        <v/>
      </c>
    </row>
    <row r="6197" spans="1:1" x14ac:dyDescent="0.25">
      <c r="A6197" t="str">
        <f t="shared" ref="A6197:A6260" si="98">B6195&amp;D6195</f>
        <v/>
      </c>
    </row>
    <row r="6198" spans="1:1" x14ac:dyDescent="0.25">
      <c r="A6198" t="str">
        <f t="shared" si="98"/>
        <v/>
      </c>
    </row>
    <row r="6199" spans="1:1" x14ac:dyDescent="0.25">
      <c r="A6199" t="str">
        <f t="shared" si="98"/>
        <v/>
      </c>
    </row>
    <row r="6200" spans="1:1" x14ac:dyDescent="0.25">
      <c r="A6200" t="str">
        <f t="shared" si="98"/>
        <v/>
      </c>
    </row>
    <row r="6201" spans="1:1" x14ac:dyDescent="0.25">
      <c r="A6201" t="str">
        <f t="shared" si="98"/>
        <v/>
      </c>
    </row>
    <row r="6202" spans="1:1" x14ac:dyDescent="0.25">
      <c r="A6202" t="str">
        <f t="shared" si="98"/>
        <v/>
      </c>
    </row>
    <row r="6203" spans="1:1" x14ac:dyDescent="0.25">
      <c r="A6203" t="str">
        <f t="shared" si="98"/>
        <v/>
      </c>
    </row>
    <row r="6204" spans="1:1" x14ac:dyDescent="0.25">
      <c r="A6204" t="str">
        <f t="shared" si="98"/>
        <v/>
      </c>
    </row>
    <row r="6205" spans="1:1" x14ac:dyDescent="0.25">
      <c r="A6205" t="str">
        <f t="shared" si="98"/>
        <v/>
      </c>
    </row>
    <row r="6206" spans="1:1" x14ac:dyDescent="0.25">
      <c r="A6206" t="str">
        <f t="shared" si="98"/>
        <v/>
      </c>
    </row>
    <row r="6207" spans="1:1" x14ac:dyDescent="0.25">
      <c r="A6207" t="str">
        <f t="shared" si="98"/>
        <v/>
      </c>
    </row>
    <row r="6208" spans="1:1" x14ac:dyDescent="0.25">
      <c r="A6208" t="str">
        <f t="shared" si="98"/>
        <v/>
      </c>
    </row>
    <row r="6209" spans="1:1" x14ac:dyDescent="0.25">
      <c r="A6209" t="str">
        <f t="shared" si="98"/>
        <v/>
      </c>
    </row>
    <row r="6210" spans="1:1" x14ac:dyDescent="0.25">
      <c r="A6210" t="str">
        <f t="shared" si="98"/>
        <v/>
      </c>
    </row>
    <row r="6211" spans="1:1" x14ac:dyDescent="0.25">
      <c r="A6211" t="str">
        <f t="shared" si="98"/>
        <v/>
      </c>
    </row>
    <row r="6212" spans="1:1" x14ac:dyDescent="0.25">
      <c r="A6212" t="str">
        <f t="shared" si="98"/>
        <v/>
      </c>
    </row>
    <row r="6213" spans="1:1" x14ac:dyDescent="0.25">
      <c r="A6213" t="str">
        <f t="shared" si="98"/>
        <v/>
      </c>
    </row>
    <row r="6214" spans="1:1" x14ac:dyDescent="0.25">
      <c r="A6214" t="str">
        <f t="shared" si="98"/>
        <v/>
      </c>
    </row>
    <row r="6215" spans="1:1" x14ac:dyDescent="0.25">
      <c r="A6215" t="str">
        <f t="shared" si="98"/>
        <v/>
      </c>
    </row>
    <row r="6216" spans="1:1" x14ac:dyDescent="0.25">
      <c r="A6216" t="str">
        <f t="shared" si="98"/>
        <v/>
      </c>
    </row>
    <row r="6217" spans="1:1" x14ac:dyDescent="0.25">
      <c r="A6217" t="str">
        <f t="shared" si="98"/>
        <v/>
      </c>
    </row>
    <row r="6218" spans="1:1" x14ac:dyDescent="0.25">
      <c r="A6218" t="str">
        <f t="shared" si="98"/>
        <v/>
      </c>
    </row>
    <row r="6219" spans="1:1" x14ac:dyDescent="0.25">
      <c r="A6219" t="str">
        <f t="shared" si="98"/>
        <v/>
      </c>
    </row>
    <row r="6220" spans="1:1" x14ac:dyDescent="0.25">
      <c r="A6220" t="str">
        <f t="shared" si="98"/>
        <v/>
      </c>
    </row>
    <row r="6221" spans="1:1" x14ac:dyDescent="0.25">
      <c r="A6221" t="str">
        <f t="shared" si="98"/>
        <v/>
      </c>
    </row>
    <row r="6222" spans="1:1" x14ac:dyDescent="0.25">
      <c r="A6222" t="str">
        <f t="shared" si="98"/>
        <v/>
      </c>
    </row>
    <row r="6223" spans="1:1" x14ac:dyDescent="0.25">
      <c r="A6223" t="str">
        <f t="shared" si="98"/>
        <v/>
      </c>
    </row>
    <row r="6224" spans="1:1" x14ac:dyDescent="0.25">
      <c r="A6224" t="str">
        <f t="shared" si="98"/>
        <v/>
      </c>
    </row>
    <row r="6225" spans="1:1" x14ac:dyDescent="0.25">
      <c r="A6225" t="str">
        <f t="shared" si="98"/>
        <v/>
      </c>
    </row>
    <row r="6226" spans="1:1" x14ac:dyDescent="0.25">
      <c r="A6226" t="str">
        <f t="shared" si="98"/>
        <v/>
      </c>
    </row>
    <row r="6227" spans="1:1" x14ac:dyDescent="0.25">
      <c r="A6227" t="str">
        <f t="shared" si="98"/>
        <v/>
      </c>
    </row>
    <row r="6228" spans="1:1" x14ac:dyDescent="0.25">
      <c r="A6228" t="str">
        <f t="shared" si="98"/>
        <v/>
      </c>
    </row>
    <row r="6229" spans="1:1" x14ac:dyDescent="0.25">
      <c r="A6229" t="str">
        <f t="shared" si="98"/>
        <v/>
      </c>
    </row>
    <row r="6230" spans="1:1" x14ac:dyDescent="0.25">
      <c r="A6230" t="str">
        <f t="shared" si="98"/>
        <v/>
      </c>
    </row>
    <row r="6231" spans="1:1" x14ac:dyDescent="0.25">
      <c r="A6231" t="str">
        <f t="shared" si="98"/>
        <v/>
      </c>
    </row>
    <row r="6232" spans="1:1" x14ac:dyDescent="0.25">
      <c r="A6232" t="str">
        <f t="shared" si="98"/>
        <v/>
      </c>
    </row>
    <row r="6233" spans="1:1" x14ac:dyDescent="0.25">
      <c r="A6233" t="str">
        <f t="shared" si="98"/>
        <v/>
      </c>
    </row>
    <row r="6234" spans="1:1" x14ac:dyDescent="0.25">
      <c r="A6234" t="str">
        <f t="shared" si="98"/>
        <v/>
      </c>
    </row>
    <row r="6235" spans="1:1" x14ac:dyDescent="0.25">
      <c r="A6235" t="str">
        <f t="shared" si="98"/>
        <v/>
      </c>
    </row>
    <row r="6236" spans="1:1" x14ac:dyDescent="0.25">
      <c r="A6236" t="str">
        <f t="shared" si="98"/>
        <v/>
      </c>
    </row>
    <row r="6237" spans="1:1" x14ac:dyDescent="0.25">
      <c r="A6237" t="str">
        <f t="shared" si="98"/>
        <v/>
      </c>
    </row>
    <row r="6238" spans="1:1" x14ac:dyDescent="0.25">
      <c r="A6238" t="str">
        <f t="shared" si="98"/>
        <v/>
      </c>
    </row>
    <row r="6239" spans="1:1" x14ac:dyDescent="0.25">
      <c r="A6239" t="str">
        <f t="shared" si="98"/>
        <v/>
      </c>
    </row>
    <row r="6240" spans="1:1" x14ac:dyDescent="0.25">
      <c r="A6240" t="str">
        <f t="shared" si="98"/>
        <v/>
      </c>
    </row>
    <row r="6241" spans="1:1" x14ac:dyDescent="0.25">
      <c r="A6241" t="str">
        <f t="shared" si="98"/>
        <v/>
      </c>
    </row>
    <row r="6242" spans="1:1" x14ac:dyDescent="0.25">
      <c r="A6242" t="str">
        <f t="shared" si="98"/>
        <v/>
      </c>
    </row>
    <row r="6243" spans="1:1" x14ac:dyDescent="0.25">
      <c r="A6243" t="str">
        <f t="shared" si="98"/>
        <v/>
      </c>
    </row>
    <row r="6244" spans="1:1" x14ac:dyDescent="0.25">
      <c r="A6244" t="str">
        <f t="shared" si="98"/>
        <v/>
      </c>
    </row>
    <row r="6245" spans="1:1" x14ac:dyDescent="0.25">
      <c r="A6245" t="str">
        <f t="shared" si="98"/>
        <v/>
      </c>
    </row>
    <row r="6246" spans="1:1" x14ac:dyDescent="0.25">
      <c r="A6246" t="str">
        <f t="shared" si="98"/>
        <v/>
      </c>
    </row>
    <row r="6247" spans="1:1" x14ac:dyDescent="0.25">
      <c r="A6247" t="str">
        <f t="shared" si="98"/>
        <v/>
      </c>
    </row>
    <row r="6248" spans="1:1" x14ac:dyDescent="0.25">
      <c r="A6248" t="str">
        <f t="shared" si="98"/>
        <v/>
      </c>
    </row>
    <row r="6249" spans="1:1" x14ac:dyDescent="0.25">
      <c r="A6249" t="str">
        <f t="shared" si="98"/>
        <v/>
      </c>
    </row>
    <row r="6250" spans="1:1" x14ac:dyDescent="0.25">
      <c r="A6250" t="str">
        <f t="shared" si="98"/>
        <v/>
      </c>
    </row>
    <row r="6251" spans="1:1" x14ac:dyDescent="0.25">
      <c r="A6251" t="str">
        <f t="shared" si="98"/>
        <v/>
      </c>
    </row>
    <row r="6252" spans="1:1" x14ac:dyDescent="0.25">
      <c r="A6252" t="str">
        <f t="shared" si="98"/>
        <v/>
      </c>
    </row>
    <row r="6253" spans="1:1" x14ac:dyDescent="0.25">
      <c r="A6253" t="str">
        <f t="shared" si="98"/>
        <v/>
      </c>
    </row>
    <row r="6254" spans="1:1" x14ac:dyDescent="0.25">
      <c r="A6254" t="str">
        <f t="shared" si="98"/>
        <v/>
      </c>
    </row>
    <row r="6255" spans="1:1" x14ac:dyDescent="0.25">
      <c r="A6255" t="str">
        <f t="shared" si="98"/>
        <v/>
      </c>
    </row>
    <row r="6256" spans="1:1" x14ac:dyDescent="0.25">
      <c r="A6256" t="str">
        <f t="shared" si="98"/>
        <v/>
      </c>
    </row>
    <row r="6257" spans="1:1" x14ac:dyDescent="0.25">
      <c r="A6257" t="str">
        <f t="shared" si="98"/>
        <v/>
      </c>
    </row>
    <row r="6258" spans="1:1" x14ac:dyDescent="0.25">
      <c r="A6258" t="str">
        <f t="shared" si="98"/>
        <v/>
      </c>
    </row>
    <row r="6259" spans="1:1" x14ac:dyDescent="0.25">
      <c r="A6259" t="str">
        <f t="shared" si="98"/>
        <v/>
      </c>
    </row>
    <row r="6260" spans="1:1" x14ac:dyDescent="0.25">
      <c r="A6260" t="str">
        <f t="shared" si="98"/>
        <v/>
      </c>
    </row>
    <row r="6261" spans="1:1" x14ac:dyDescent="0.25">
      <c r="A6261" t="str">
        <f t="shared" ref="A6261:A6324" si="99">B6259&amp;D6259</f>
        <v/>
      </c>
    </row>
    <row r="6262" spans="1:1" x14ac:dyDescent="0.25">
      <c r="A6262" t="str">
        <f t="shared" si="99"/>
        <v/>
      </c>
    </row>
    <row r="6263" spans="1:1" x14ac:dyDescent="0.25">
      <c r="A6263" t="str">
        <f t="shared" si="99"/>
        <v/>
      </c>
    </row>
    <row r="6264" spans="1:1" x14ac:dyDescent="0.25">
      <c r="A6264" t="str">
        <f t="shared" si="99"/>
        <v/>
      </c>
    </row>
    <row r="6265" spans="1:1" x14ac:dyDescent="0.25">
      <c r="A6265" t="str">
        <f t="shared" si="99"/>
        <v/>
      </c>
    </row>
    <row r="6266" spans="1:1" x14ac:dyDescent="0.25">
      <c r="A6266" t="str">
        <f t="shared" si="99"/>
        <v/>
      </c>
    </row>
    <row r="6267" spans="1:1" x14ac:dyDescent="0.25">
      <c r="A6267" t="str">
        <f t="shared" si="99"/>
        <v/>
      </c>
    </row>
    <row r="6268" spans="1:1" x14ac:dyDescent="0.25">
      <c r="A6268" t="str">
        <f t="shared" si="99"/>
        <v/>
      </c>
    </row>
    <row r="6269" spans="1:1" x14ac:dyDescent="0.25">
      <c r="A6269" t="str">
        <f t="shared" si="99"/>
        <v/>
      </c>
    </row>
    <row r="6270" spans="1:1" x14ac:dyDescent="0.25">
      <c r="A6270" t="str">
        <f t="shared" si="99"/>
        <v/>
      </c>
    </row>
    <row r="6271" spans="1:1" x14ac:dyDescent="0.25">
      <c r="A6271" t="str">
        <f t="shared" si="99"/>
        <v/>
      </c>
    </row>
    <row r="6272" spans="1:1" x14ac:dyDescent="0.25">
      <c r="A6272" t="str">
        <f t="shared" si="99"/>
        <v/>
      </c>
    </row>
    <row r="6273" spans="1:1" x14ac:dyDescent="0.25">
      <c r="A6273" t="str">
        <f t="shared" si="99"/>
        <v/>
      </c>
    </row>
    <row r="6274" spans="1:1" x14ac:dyDescent="0.25">
      <c r="A6274" t="str">
        <f t="shared" si="99"/>
        <v/>
      </c>
    </row>
    <row r="6275" spans="1:1" x14ac:dyDescent="0.25">
      <c r="A6275" t="str">
        <f t="shared" si="99"/>
        <v/>
      </c>
    </row>
    <row r="6276" spans="1:1" x14ac:dyDescent="0.25">
      <c r="A6276" t="str">
        <f t="shared" si="99"/>
        <v/>
      </c>
    </row>
    <row r="6277" spans="1:1" x14ac:dyDescent="0.25">
      <c r="A6277" t="str">
        <f t="shared" si="99"/>
        <v/>
      </c>
    </row>
    <row r="6278" spans="1:1" x14ac:dyDescent="0.25">
      <c r="A6278" t="str">
        <f t="shared" si="99"/>
        <v/>
      </c>
    </row>
    <row r="6279" spans="1:1" x14ac:dyDescent="0.25">
      <c r="A6279" t="str">
        <f t="shared" si="99"/>
        <v/>
      </c>
    </row>
    <row r="6280" spans="1:1" x14ac:dyDescent="0.25">
      <c r="A6280" t="str">
        <f t="shared" si="99"/>
        <v/>
      </c>
    </row>
    <row r="6281" spans="1:1" x14ac:dyDescent="0.25">
      <c r="A6281" t="str">
        <f t="shared" si="99"/>
        <v/>
      </c>
    </row>
    <row r="6282" spans="1:1" x14ac:dyDescent="0.25">
      <c r="A6282" t="str">
        <f t="shared" si="99"/>
        <v/>
      </c>
    </row>
    <row r="6283" spans="1:1" x14ac:dyDescent="0.25">
      <c r="A6283" t="str">
        <f t="shared" si="99"/>
        <v/>
      </c>
    </row>
    <row r="6284" spans="1:1" x14ac:dyDescent="0.25">
      <c r="A6284" t="str">
        <f t="shared" si="99"/>
        <v/>
      </c>
    </row>
    <row r="6285" spans="1:1" x14ac:dyDescent="0.25">
      <c r="A6285" t="str">
        <f t="shared" si="99"/>
        <v/>
      </c>
    </row>
    <row r="6286" spans="1:1" x14ac:dyDescent="0.25">
      <c r="A6286" t="str">
        <f t="shared" si="99"/>
        <v/>
      </c>
    </row>
    <row r="6287" spans="1:1" x14ac:dyDescent="0.25">
      <c r="A6287" t="str">
        <f t="shared" si="99"/>
        <v/>
      </c>
    </row>
    <row r="6288" spans="1:1" x14ac:dyDescent="0.25">
      <c r="A6288" t="str">
        <f t="shared" si="99"/>
        <v/>
      </c>
    </row>
    <row r="6289" spans="1:1" x14ac:dyDescent="0.25">
      <c r="A6289" t="str">
        <f t="shared" si="99"/>
        <v/>
      </c>
    </row>
    <row r="6290" spans="1:1" x14ac:dyDescent="0.25">
      <c r="A6290" t="str">
        <f t="shared" si="99"/>
        <v/>
      </c>
    </row>
    <row r="6291" spans="1:1" x14ac:dyDescent="0.25">
      <c r="A6291" t="str">
        <f t="shared" si="99"/>
        <v/>
      </c>
    </row>
    <row r="6292" spans="1:1" x14ac:dyDescent="0.25">
      <c r="A6292" t="str">
        <f t="shared" si="99"/>
        <v/>
      </c>
    </row>
    <row r="6293" spans="1:1" x14ac:dyDescent="0.25">
      <c r="A6293" t="str">
        <f t="shared" si="99"/>
        <v/>
      </c>
    </row>
    <row r="6294" spans="1:1" x14ac:dyDescent="0.25">
      <c r="A6294" t="str">
        <f t="shared" si="99"/>
        <v/>
      </c>
    </row>
    <row r="6295" spans="1:1" x14ac:dyDescent="0.25">
      <c r="A6295" t="str">
        <f t="shared" si="99"/>
        <v/>
      </c>
    </row>
    <row r="6296" spans="1:1" x14ac:dyDescent="0.25">
      <c r="A6296" t="str">
        <f t="shared" si="99"/>
        <v/>
      </c>
    </row>
    <row r="6297" spans="1:1" x14ac:dyDescent="0.25">
      <c r="A6297" t="str">
        <f t="shared" si="99"/>
        <v/>
      </c>
    </row>
    <row r="6298" spans="1:1" x14ac:dyDescent="0.25">
      <c r="A6298" t="str">
        <f t="shared" si="99"/>
        <v/>
      </c>
    </row>
    <row r="6299" spans="1:1" x14ac:dyDescent="0.25">
      <c r="A6299" t="str">
        <f t="shared" si="99"/>
        <v/>
      </c>
    </row>
    <row r="6300" spans="1:1" x14ac:dyDescent="0.25">
      <c r="A6300" t="str">
        <f t="shared" si="99"/>
        <v/>
      </c>
    </row>
    <row r="6301" spans="1:1" x14ac:dyDescent="0.25">
      <c r="A6301" t="str">
        <f t="shared" si="99"/>
        <v/>
      </c>
    </row>
    <row r="6302" spans="1:1" x14ac:dyDescent="0.25">
      <c r="A6302" t="str">
        <f t="shared" si="99"/>
        <v/>
      </c>
    </row>
    <row r="6303" spans="1:1" x14ac:dyDescent="0.25">
      <c r="A6303" t="str">
        <f t="shared" si="99"/>
        <v/>
      </c>
    </row>
    <row r="6304" spans="1:1" x14ac:dyDescent="0.25">
      <c r="A6304" t="str">
        <f t="shared" si="99"/>
        <v/>
      </c>
    </row>
    <row r="6305" spans="1:1" x14ac:dyDescent="0.25">
      <c r="A6305" t="str">
        <f t="shared" si="99"/>
        <v/>
      </c>
    </row>
    <row r="6306" spans="1:1" x14ac:dyDescent="0.25">
      <c r="A6306" t="str">
        <f t="shared" si="99"/>
        <v/>
      </c>
    </row>
    <row r="6307" spans="1:1" x14ac:dyDescent="0.25">
      <c r="A6307" t="str">
        <f t="shared" si="99"/>
        <v/>
      </c>
    </row>
    <row r="6308" spans="1:1" x14ac:dyDescent="0.25">
      <c r="A6308" t="str">
        <f t="shared" si="99"/>
        <v/>
      </c>
    </row>
    <row r="6309" spans="1:1" x14ac:dyDescent="0.25">
      <c r="A6309" t="str">
        <f t="shared" si="99"/>
        <v/>
      </c>
    </row>
    <row r="6310" spans="1:1" x14ac:dyDescent="0.25">
      <c r="A6310" t="str">
        <f t="shared" si="99"/>
        <v/>
      </c>
    </row>
    <row r="6311" spans="1:1" x14ac:dyDescent="0.25">
      <c r="A6311" t="str">
        <f t="shared" si="99"/>
        <v/>
      </c>
    </row>
    <row r="6312" spans="1:1" x14ac:dyDescent="0.25">
      <c r="A6312" t="str">
        <f t="shared" si="99"/>
        <v/>
      </c>
    </row>
    <row r="6313" spans="1:1" x14ac:dyDescent="0.25">
      <c r="A6313" t="str">
        <f t="shared" si="99"/>
        <v/>
      </c>
    </row>
    <row r="6314" spans="1:1" x14ac:dyDescent="0.25">
      <c r="A6314" t="str">
        <f t="shared" si="99"/>
        <v/>
      </c>
    </row>
    <row r="6315" spans="1:1" x14ac:dyDescent="0.25">
      <c r="A6315" t="str">
        <f t="shared" si="99"/>
        <v/>
      </c>
    </row>
    <row r="6316" spans="1:1" x14ac:dyDescent="0.25">
      <c r="A6316" t="str">
        <f t="shared" si="99"/>
        <v/>
      </c>
    </row>
    <row r="6317" spans="1:1" x14ac:dyDescent="0.25">
      <c r="A6317" t="str">
        <f t="shared" si="99"/>
        <v/>
      </c>
    </row>
    <row r="6318" spans="1:1" x14ac:dyDescent="0.25">
      <c r="A6318" t="str">
        <f t="shared" si="99"/>
        <v/>
      </c>
    </row>
    <row r="6319" spans="1:1" x14ac:dyDescent="0.25">
      <c r="A6319" t="str">
        <f t="shared" si="99"/>
        <v/>
      </c>
    </row>
    <row r="6320" spans="1:1" x14ac:dyDescent="0.25">
      <c r="A6320" t="str">
        <f t="shared" si="99"/>
        <v/>
      </c>
    </row>
    <row r="6321" spans="1:1" x14ac:dyDescent="0.25">
      <c r="A6321" t="str">
        <f t="shared" si="99"/>
        <v/>
      </c>
    </row>
    <row r="6322" spans="1:1" x14ac:dyDescent="0.25">
      <c r="A6322" t="str">
        <f t="shared" si="99"/>
        <v/>
      </c>
    </row>
    <row r="6323" spans="1:1" x14ac:dyDescent="0.25">
      <c r="A6323" t="str">
        <f t="shared" si="99"/>
        <v/>
      </c>
    </row>
    <row r="6324" spans="1:1" x14ac:dyDescent="0.25">
      <c r="A6324" t="str">
        <f t="shared" si="99"/>
        <v/>
      </c>
    </row>
    <row r="6325" spans="1:1" x14ac:dyDescent="0.25">
      <c r="A6325" t="str">
        <f t="shared" ref="A6325:A6388" si="100">B6323&amp;D6323</f>
        <v/>
      </c>
    </row>
    <row r="6326" spans="1:1" x14ac:dyDescent="0.25">
      <c r="A6326" t="str">
        <f t="shared" si="100"/>
        <v/>
      </c>
    </row>
    <row r="6327" spans="1:1" x14ac:dyDescent="0.25">
      <c r="A6327" t="str">
        <f t="shared" si="100"/>
        <v/>
      </c>
    </row>
    <row r="6328" spans="1:1" x14ac:dyDescent="0.25">
      <c r="A6328" t="str">
        <f t="shared" si="100"/>
        <v/>
      </c>
    </row>
    <row r="6329" spans="1:1" x14ac:dyDescent="0.25">
      <c r="A6329" t="str">
        <f t="shared" si="100"/>
        <v/>
      </c>
    </row>
    <row r="6330" spans="1:1" x14ac:dyDescent="0.25">
      <c r="A6330" t="str">
        <f t="shared" si="100"/>
        <v/>
      </c>
    </row>
    <row r="6331" spans="1:1" x14ac:dyDescent="0.25">
      <c r="A6331" t="str">
        <f t="shared" si="100"/>
        <v/>
      </c>
    </row>
    <row r="6332" spans="1:1" x14ac:dyDescent="0.25">
      <c r="A6332" t="str">
        <f t="shared" si="100"/>
        <v/>
      </c>
    </row>
    <row r="6333" spans="1:1" x14ac:dyDescent="0.25">
      <c r="A6333" t="str">
        <f t="shared" si="100"/>
        <v/>
      </c>
    </row>
    <row r="6334" spans="1:1" x14ac:dyDescent="0.25">
      <c r="A6334" t="str">
        <f t="shared" si="100"/>
        <v/>
      </c>
    </row>
    <row r="6335" spans="1:1" x14ac:dyDescent="0.25">
      <c r="A6335" t="str">
        <f t="shared" si="100"/>
        <v/>
      </c>
    </row>
    <row r="6336" spans="1:1" x14ac:dyDescent="0.25">
      <c r="A6336" t="str">
        <f t="shared" si="100"/>
        <v/>
      </c>
    </row>
    <row r="6337" spans="1:1" x14ac:dyDescent="0.25">
      <c r="A6337" t="str">
        <f t="shared" si="100"/>
        <v/>
      </c>
    </row>
    <row r="6338" spans="1:1" x14ac:dyDescent="0.25">
      <c r="A6338" t="str">
        <f t="shared" si="100"/>
        <v/>
      </c>
    </row>
    <row r="6339" spans="1:1" x14ac:dyDescent="0.25">
      <c r="A6339" t="str">
        <f t="shared" si="100"/>
        <v/>
      </c>
    </row>
    <row r="6340" spans="1:1" x14ac:dyDescent="0.25">
      <c r="A6340" t="str">
        <f t="shared" si="100"/>
        <v/>
      </c>
    </row>
    <row r="6341" spans="1:1" x14ac:dyDescent="0.25">
      <c r="A6341" t="str">
        <f t="shared" si="100"/>
        <v/>
      </c>
    </row>
    <row r="6342" spans="1:1" x14ac:dyDescent="0.25">
      <c r="A6342" t="str">
        <f t="shared" si="100"/>
        <v/>
      </c>
    </row>
    <row r="6343" spans="1:1" x14ac:dyDescent="0.25">
      <c r="A6343" t="str">
        <f t="shared" si="100"/>
        <v/>
      </c>
    </row>
    <row r="6344" spans="1:1" x14ac:dyDescent="0.25">
      <c r="A6344" t="str">
        <f t="shared" si="100"/>
        <v/>
      </c>
    </row>
    <row r="6345" spans="1:1" x14ac:dyDescent="0.25">
      <c r="A6345" t="str">
        <f t="shared" si="100"/>
        <v/>
      </c>
    </row>
    <row r="6346" spans="1:1" x14ac:dyDescent="0.25">
      <c r="A6346" t="str">
        <f t="shared" si="100"/>
        <v/>
      </c>
    </row>
    <row r="6347" spans="1:1" x14ac:dyDescent="0.25">
      <c r="A6347" t="str">
        <f t="shared" si="100"/>
        <v/>
      </c>
    </row>
    <row r="6348" spans="1:1" x14ac:dyDescent="0.25">
      <c r="A6348" t="str">
        <f t="shared" si="100"/>
        <v/>
      </c>
    </row>
    <row r="6349" spans="1:1" x14ac:dyDescent="0.25">
      <c r="A6349" t="str">
        <f t="shared" si="100"/>
        <v/>
      </c>
    </row>
    <row r="6350" spans="1:1" x14ac:dyDescent="0.25">
      <c r="A6350" t="str">
        <f t="shared" si="100"/>
        <v/>
      </c>
    </row>
    <row r="6351" spans="1:1" x14ac:dyDescent="0.25">
      <c r="A6351" t="str">
        <f t="shared" si="100"/>
        <v/>
      </c>
    </row>
    <row r="6352" spans="1:1" x14ac:dyDescent="0.25">
      <c r="A6352" t="str">
        <f t="shared" si="100"/>
        <v/>
      </c>
    </row>
    <row r="6353" spans="1:1" x14ac:dyDescent="0.25">
      <c r="A6353" t="str">
        <f t="shared" si="100"/>
        <v/>
      </c>
    </row>
    <row r="6354" spans="1:1" x14ac:dyDescent="0.25">
      <c r="A6354" t="str">
        <f t="shared" si="100"/>
        <v/>
      </c>
    </row>
    <row r="6355" spans="1:1" x14ac:dyDescent="0.25">
      <c r="A6355" t="str">
        <f t="shared" si="100"/>
        <v/>
      </c>
    </row>
    <row r="6356" spans="1:1" x14ac:dyDescent="0.25">
      <c r="A6356" t="str">
        <f t="shared" si="100"/>
        <v/>
      </c>
    </row>
    <row r="6357" spans="1:1" x14ac:dyDescent="0.25">
      <c r="A6357" t="str">
        <f t="shared" si="100"/>
        <v/>
      </c>
    </row>
    <row r="6358" spans="1:1" x14ac:dyDescent="0.25">
      <c r="A6358" t="str">
        <f t="shared" si="100"/>
        <v/>
      </c>
    </row>
    <row r="6359" spans="1:1" x14ac:dyDescent="0.25">
      <c r="A6359" t="str">
        <f t="shared" si="100"/>
        <v/>
      </c>
    </row>
    <row r="6360" spans="1:1" x14ac:dyDescent="0.25">
      <c r="A6360" t="str">
        <f t="shared" si="100"/>
        <v/>
      </c>
    </row>
    <row r="6361" spans="1:1" x14ac:dyDescent="0.25">
      <c r="A6361" t="str">
        <f t="shared" si="100"/>
        <v/>
      </c>
    </row>
    <row r="6362" spans="1:1" x14ac:dyDescent="0.25">
      <c r="A6362" t="str">
        <f t="shared" si="100"/>
        <v/>
      </c>
    </row>
    <row r="6363" spans="1:1" x14ac:dyDescent="0.25">
      <c r="A6363" t="str">
        <f t="shared" si="100"/>
        <v/>
      </c>
    </row>
    <row r="6364" spans="1:1" x14ac:dyDescent="0.25">
      <c r="A6364" t="str">
        <f t="shared" si="100"/>
        <v/>
      </c>
    </row>
    <row r="6365" spans="1:1" x14ac:dyDescent="0.25">
      <c r="A6365" t="str">
        <f t="shared" si="100"/>
        <v/>
      </c>
    </row>
    <row r="6366" spans="1:1" x14ac:dyDescent="0.25">
      <c r="A6366" t="str">
        <f t="shared" si="100"/>
        <v/>
      </c>
    </row>
    <row r="6367" spans="1:1" x14ac:dyDescent="0.25">
      <c r="A6367" t="str">
        <f t="shared" si="100"/>
        <v/>
      </c>
    </row>
    <row r="6368" spans="1:1" x14ac:dyDescent="0.25">
      <c r="A6368" t="str">
        <f t="shared" si="100"/>
        <v/>
      </c>
    </row>
    <row r="6369" spans="1:1" x14ac:dyDescent="0.25">
      <c r="A6369" t="str">
        <f t="shared" si="100"/>
        <v/>
      </c>
    </row>
    <row r="6370" spans="1:1" x14ac:dyDescent="0.25">
      <c r="A6370" t="str">
        <f t="shared" si="100"/>
        <v/>
      </c>
    </row>
    <row r="6371" spans="1:1" x14ac:dyDescent="0.25">
      <c r="A6371" t="str">
        <f t="shared" si="100"/>
        <v/>
      </c>
    </row>
    <row r="6372" spans="1:1" x14ac:dyDescent="0.25">
      <c r="A6372" t="str">
        <f t="shared" si="100"/>
        <v/>
      </c>
    </row>
    <row r="6373" spans="1:1" x14ac:dyDescent="0.25">
      <c r="A6373" t="str">
        <f t="shared" si="100"/>
        <v/>
      </c>
    </row>
    <row r="6374" spans="1:1" x14ac:dyDescent="0.25">
      <c r="A6374" t="str">
        <f t="shared" si="100"/>
        <v/>
      </c>
    </row>
    <row r="6375" spans="1:1" x14ac:dyDescent="0.25">
      <c r="A6375" t="str">
        <f t="shared" si="100"/>
        <v/>
      </c>
    </row>
    <row r="6376" spans="1:1" x14ac:dyDescent="0.25">
      <c r="A6376" t="str">
        <f t="shared" si="100"/>
        <v/>
      </c>
    </row>
    <row r="6377" spans="1:1" x14ac:dyDescent="0.25">
      <c r="A6377" t="str">
        <f t="shared" si="100"/>
        <v/>
      </c>
    </row>
    <row r="6378" spans="1:1" x14ac:dyDescent="0.25">
      <c r="A6378" t="str">
        <f t="shared" si="100"/>
        <v/>
      </c>
    </row>
    <row r="6379" spans="1:1" x14ac:dyDescent="0.25">
      <c r="A6379" t="str">
        <f t="shared" si="100"/>
        <v/>
      </c>
    </row>
    <row r="6380" spans="1:1" x14ac:dyDescent="0.25">
      <c r="A6380" t="str">
        <f t="shared" si="100"/>
        <v/>
      </c>
    </row>
    <row r="6381" spans="1:1" x14ac:dyDescent="0.25">
      <c r="A6381" t="str">
        <f t="shared" si="100"/>
        <v/>
      </c>
    </row>
    <row r="6382" spans="1:1" x14ac:dyDescent="0.25">
      <c r="A6382" t="str">
        <f t="shared" si="100"/>
        <v/>
      </c>
    </row>
    <row r="6383" spans="1:1" x14ac:dyDescent="0.25">
      <c r="A6383" t="str">
        <f t="shared" si="100"/>
        <v/>
      </c>
    </row>
    <row r="6384" spans="1:1" x14ac:dyDescent="0.25">
      <c r="A6384" t="str">
        <f t="shared" si="100"/>
        <v/>
      </c>
    </row>
    <row r="6385" spans="1:1" x14ac:dyDescent="0.25">
      <c r="A6385" t="str">
        <f t="shared" si="100"/>
        <v/>
      </c>
    </row>
    <row r="6386" spans="1:1" x14ac:dyDescent="0.25">
      <c r="A6386" t="str">
        <f t="shared" si="100"/>
        <v/>
      </c>
    </row>
    <row r="6387" spans="1:1" x14ac:dyDescent="0.25">
      <c r="A6387" t="str">
        <f t="shared" si="100"/>
        <v/>
      </c>
    </row>
    <row r="6388" spans="1:1" x14ac:dyDescent="0.25">
      <c r="A6388" t="str">
        <f t="shared" si="100"/>
        <v/>
      </c>
    </row>
    <row r="6389" spans="1:1" x14ac:dyDescent="0.25">
      <c r="A6389" t="str">
        <f t="shared" ref="A6389:A6452" si="101">B6387&amp;D6387</f>
        <v/>
      </c>
    </row>
    <row r="6390" spans="1:1" x14ac:dyDescent="0.25">
      <c r="A6390" t="str">
        <f t="shared" si="101"/>
        <v/>
      </c>
    </row>
    <row r="6391" spans="1:1" x14ac:dyDescent="0.25">
      <c r="A6391" t="str">
        <f t="shared" si="101"/>
        <v/>
      </c>
    </row>
    <row r="6392" spans="1:1" x14ac:dyDescent="0.25">
      <c r="A6392" t="str">
        <f t="shared" si="101"/>
        <v/>
      </c>
    </row>
    <row r="6393" spans="1:1" x14ac:dyDescent="0.25">
      <c r="A6393" t="str">
        <f t="shared" si="101"/>
        <v/>
      </c>
    </row>
    <row r="6394" spans="1:1" x14ac:dyDescent="0.25">
      <c r="A6394" t="str">
        <f t="shared" si="101"/>
        <v/>
      </c>
    </row>
    <row r="6395" spans="1:1" x14ac:dyDescent="0.25">
      <c r="A6395" t="str">
        <f t="shared" si="101"/>
        <v/>
      </c>
    </row>
    <row r="6396" spans="1:1" x14ac:dyDescent="0.25">
      <c r="A6396" t="str">
        <f t="shared" si="101"/>
        <v/>
      </c>
    </row>
    <row r="6397" spans="1:1" x14ac:dyDescent="0.25">
      <c r="A6397" t="str">
        <f t="shared" si="101"/>
        <v/>
      </c>
    </row>
    <row r="6398" spans="1:1" x14ac:dyDescent="0.25">
      <c r="A6398" t="str">
        <f t="shared" si="101"/>
        <v/>
      </c>
    </row>
    <row r="6399" spans="1:1" x14ac:dyDescent="0.25">
      <c r="A6399" t="str">
        <f t="shared" si="101"/>
        <v/>
      </c>
    </row>
    <row r="6400" spans="1:1" x14ac:dyDescent="0.25">
      <c r="A6400" t="str">
        <f t="shared" si="101"/>
        <v/>
      </c>
    </row>
    <row r="6401" spans="1:1" x14ac:dyDescent="0.25">
      <c r="A6401" t="str">
        <f t="shared" si="101"/>
        <v/>
      </c>
    </row>
    <row r="6402" spans="1:1" x14ac:dyDescent="0.25">
      <c r="A6402" t="str">
        <f t="shared" si="101"/>
        <v/>
      </c>
    </row>
    <row r="6403" spans="1:1" x14ac:dyDescent="0.25">
      <c r="A6403" t="str">
        <f t="shared" si="101"/>
        <v/>
      </c>
    </row>
    <row r="6404" spans="1:1" x14ac:dyDescent="0.25">
      <c r="A6404" t="str">
        <f t="shared" si="101"/>
        <v/>
      </c>
    </row>
    <row r="6405" spans="1:1" x14ac:dyDescent="0.25">
      <c r="A6405" t="str">
        <f t="shared" si="101"/>
        <v/>
      </c>
    </row>
    <row r="6406" spans="1:1" x14ac:dyDescent="0.25">
      <c r="A6406" t="str">
        <f t="shared" si="101"/>
        <v/>
      </c>
    </row>
    <row r="6407" spans="1:1" x14ac:dyDescent="0.25">
      <c r="A6407" t="str">
        <f t="shared" si="101"/>
        <v/>
      </c>
    </row>
    <row r="6408" spans="1:1" x14ac:dyDescent="0.25">
      <c r="A6408" t="str">
        <f t="shared" si="101"/>
        <v/>
      </c>
    </row>
    <row r="6409" spans="1:1" x14ac:dyDescent="0.25">
      <c r="A6409" t="str">
        <f t="shared" si="101"/>
        <v/>
      </c>
    </row>
    <row r="6410" spans="1:1" x14ac:dyDescent="0.25">
      <c r="A6410" t="str">
        <f t="shared" si="101"/>
        <v/>
      </c>
    </row>
    <row r="6411" spans="1:1" x14ac:dyDescent="0.25">
      <c r="A6411" t="str">
        <f t="shared" si="101"/>
        <v/>
      </c>
    </row>
    <row r="6412" spans="1:1" x14ac:dyDescent="0.25">
      <c r="A6412" t="str">
        <f t="shared" si="101"/>
        <v/>
      </c>
    </row>
    <row r="6413" spans="1:1" x14ac:dyDescent="0.25">
      <c r="A6413" t="str">
        <f t="shared" si="101"/>
        <v/>
      </c>
    </row>
    <row r="6414" spans="1:1" x14ac:dyDescent="0.25">
      <c r="A6414" t="str">
        <f t="shared" si="101"/>
        <v/>
      </c>
    </row>
    <row r="6415" spans="1:1" x14ac:dyDescent="0.25">
      <c r="A6415" t="str">
        <f t="shared" si="101"/>
        <v/>
      </c>
    </row>
    <row r="6416" spans="1:1" x14ac:dyDescent="0.25">
      <c r="A6416" t="str">
        <f t="shared" si="101"/>
        <v/>
      </c>
    </row>
    <row r="6417" spans="1:1" x14ac:dyDescent="0.25">
      <c r="A6417" t="str">
        <f t="shared" si="101"/>
        <v/>
      </c>
    </row>
    <row r="6418" spans="1:1" x14ac:dyDescent="0.25">
      <c r="A6418" t="str">
        <f t="shared" si="101"/>
        <v/>
      </c>
    </row>
    <row r="6419" spans="1:1" x14ac:dyDescent="0.25">
      <c r="A6419" t="str">
        <f t="shared" si="101"/>
        <v/>
      </c>
    </row>
    <row r="6420" spans="1:1" x14ac:dyDescent="0.25">
      <c r="A6420" t="str">
        <f t="shared" si="101"/>
        <v/>
      </c>
    </row>
    <row r="6421" spans="1:1" x14ac:dyDescent="0.25">
      <c r="A6421" t="str">
        <f t="shared" si="101"/>
        <v/>
      </c>
    </row>
    <row r="6422" spans="1:1" x14ac:dyDescent="0.25">
      <c r="A6422" t="str">
        <f t="shared" si="101"/>
        <v/>
      </c>
    </row>
    <row r="6423" spans="1:1" x14ac:dyDescent="0.25">
      <c r="A6423" t="str">
        <f t="shared" si="101"/>
        <v/>
      </c>
    </row>
    <row r="6424" spans="1:1" x14ac:dyDescent="0.25">
      <c r="A6424" t="str">
        <f t="shared" si="101"/>
        <v/>
      </c>
    </row>
    <row r="6425" spans="1:1" x14ac:dyDescent="0.25">
      <c r="A6425" t="str">
        <f t="shared" si="101"/>
        <v/>
      </c>
    </row>
    <row r="6426" spans="1:1" x14ac:dyDescent="0.25">
      <c r="A6426" t="str">
        <f t="shared" si="101"/>
        <v/>
      </c>
    </row>
    <row r="6427" spans="1:1" x14ac:dyDescent="0.25">
      <c r="A6427" t="str">
        <f t="shared" si="101"/>
        <v/>
      </c>
    </row>
    <row r="6428" spans="1:1" x14ac:dyDescent="0.25">
      <c r="A6428" t="str">
        <f t="shared" si="101"/>
        <v/>
      </c>
    </row>
    <row r="6429" spans="1:1" x14ac:dyDescent="0.25">
      <c r="A6429" t="str">
        <f t="shared" si="101"/>
        <v/>
      </c>
    </row>
    <row r="6430" spans="1:1" x14ac:dyDescent="0.25">
      <c r="A6430" t="str">
        <f t="shared" si="101"/>
        <v/>
      </c>
    </row>
    <row r="6431" spans="1:1" x14ac:dyDescent="0.25">
      <c r="A6431" t="str">
        <f t="shared" si="101"/>
        <v/>
      </c>
    </row>
    <row r="6432" spans="1:1" x14ac:dyDescent="0.25">
      <c r="A6432" t="str">
        <f t="shared" si="101"/>
        <v/>
      </c>
    </row>
    <row r="6433" spans="1:1" x14ac:dyDescent="0.25">
      <c r="A6433" t="str">
        <f t="shared" si="101"/>
        <v/>
      </c>
    </row>
    <row r="6434" spans="1:1" x14ac:dyDescent="0.25">
      <c r="A6434" t="str">
        <f t="shared" si="101"/>
        <v/>
      </c>
    </row>
    <row r="6435" spans="1:1" x14ac:dyDescent="0.25">
      <c r="A6435" t="str">
        <f t="shared" si="101"/>
        <v/>
      </c>
    </row>
    <row r="6436" spans="1:1" x14ac:dyDescent="0.25">
      <c r="A6436" t="str">
        <f t="shared" si="101"/>
        <v/>
      </c>
    </row>
    <row r="6437" spans="1:1" x14ac:dyDescent="0.25">
      <c r="A6437" t="str">
        <f t="shared" si="101"/>
        <v/>
      </c>
    </row>
    <row r="6438" spans="1:1" x14ac:dyDescent="0.25">
      <c r="A6438" t="str">
        <f t="shared" si="101"/>
        <v/>
      </c>
    </row>
    <row r="6439" spans="1:1" x14ac:dyDescent="0.25">
      <c r="A6439" t="str">
        <f t="shared" si="101"/>
        <v/>
      </c>
    </row>
    <row r="6440" spans="1:1" x14ac:dyDescent="0.25">
      <c r="A6440" t="str">
        <f t="shared" si="101"/>
        <v/>
      </c>
    </row>
    <row r="6441" spans="1:1" x14ac:dyDescent="0.25">
      <c r="A6441" t="str">
        <f t="shared" si="101"/>
        <v/>
      </c>
    </row>
    <row r="6442" spans="1:1" x14ac:dyDescent="0.25">
      <c r="A6442" t="str">
        <f t="shared" si="101"/>
        <v/>
      </c>
    </row>
    <row r="6443" spans="1:1" x14ac:dyDescent="0.25">
      <c r="A6443" t="str">
        <f t="shared" si="101"/>
        <v/>
      </c>
    </row>
    <row r="6444" spans="1:1" x14ac:dyDescent="0.25">
      <c r="A6444" t="str">
        <f t="shared" si="101"/>
        <v/>
      </c>
    </row>
    <row r="6445" spans="1:1" x14ac:dyDescent="0.25">
      <c r="A6445" t="str">
        <f t="shared" si="101"/>
        <v/>
      </c>
    </row>
    <row r="6446" spans="1:1" x14ac:dyDescent="0.25">
      <c r="A6446" t="str">
        <f t="shared" si="101"/>
        <v/>
      </c>
    </row>
    <row r="6447" spans="1:1" x14ac:dyDescent="0.25">
      <c r="A6447" t="str">
        <f t="shared" si="101"/>
        <v/>
      </c>
    </row>
    <row r="6448" spans="1:1" x14ac:dyDescent="0.25">
      <c r="A6448" t="str">
        <f t="shared" si="101"/>
        <v/>
      </c>
    </row>
    <row r="6449" spans="1:1" x14ac:dyDescent="0.25">
      <c r="A6449" t="str">
        <f t="shared" si="101"/>
        <v/>
      </c>
    </row>
    <row r="6450" spans="1:1" x14ac:dyDescent="0.25">
      <c r="A6450" t="str">
        <f t="shared" si="101"/>
        <v/>
      </c>
    </row>
    <row r="6451" spans="1:1" x14ac:dyDescent="0.25">
      <c r="A6451" t="str">
        <f t="shared" si="101"/>
        <v/>
      </c>
    </row>
    <row r="6452" spans="1:1" x14ac:dyDescent="0.25">
      <c r="A6452" t="str">
        <f t="shared" si="101"/>
        <v/>
      </c>
    </row>
    <row r="6453" spans="1:1" x14ac:dyDescent="0.25">
      <c r="A6453" t="str">
        <f t="shared" ref="A6453:A6516" si="102">B6451&amp;D6451</f>
        <v/>
      </c>
    </row>
    <row r="6454" spans="1:1" x14ac:dyDescent="0.25">
      <c r="A6454" t="str">
        <f t="shared" si="102"/>
        <v/>
      </c>
    </row>
    <row r="6455" spans="1:1" x14ac:dyDescent="0.25">
      <c r="A6455" t="str">
        <f t="shared" si="102"/>
        <v/>
      </c>
    </row>
    <row r="6456" spans="1:1" x14ac:dyDescent="0.25">
      <c r="A6456" t="str">
        <f t="shared" si="102"/>
        <v/>
      </c>
    </row>
    <row r="6457" spans="1:1" x14ac:dyDescent="0.25">
      <c r="A6457" t="str">
        <f t="shared" si="102"/>
        <v/>
      </c>
    </row>
    <row r="6458" spans="1:1" x14ac:dyDescent="0.25">
      <c r="A6458" t="str">
        <f t="shared" si="102"/>
        <v/>
      </c>
    </row>
    <row r="6459" spans="1:1" x14ac:dyDescent="0.25">
      <c r="A6459" t="str">
        <f t="shared" si="102"/>
        <v/>
      </c>
    </row>
    <row r="6460" spans="1:1" x14ac:dyDescent="0.25">
      <c r="A6460" t="str">
        <f t="shared" si="102"/>
        <v/>
      </c>
    </row>
    <row r="6461" spans="1:1" x14ac:dyDescent="0.25">
      <c r="A6461" t="str">
        <f t="shared" si="102"/>
        <v/>
      </c>
    </row>
    <row r="6462" spans="1:1" x14ac:dyDescent="0.25">
      <c r="A6462" t="str">
        <f t="shared" si="102"/>
        <v/>
      </c>
    </row>
    <row r="6463" spans="1:1" x14ac:dyDescent="0.25">
      <c r="A6463" t="str">
        <f t="shared" si="102"/>
        <v/>
      </c>
    </row>
    <row r="6464" spans="1:1" x14ac:dyDescent="0.25">
      <c r="A6464" t="str">
        <f t="shared" si="102"/>
        <v/>
      </c>
    </row>
    <row r="6465" spans="1:1" x14ac:dyDescent="0.25">
      <c r="A6465" t="str">
        <f t="shared" si="102"/>
        <v/>
      </c>
    </row>
    <row r="6466" spans="1:1" x14ac:dyDescent="0.25">
      <c r="A6466" t="str">
        <f t="shared" si="102"/>
        <v/>
      </c>
    </row>
    <row r="6467" spans="1:1" x14ac:dyDescent="0.25">
      <c r="A6467" t="str">
        <f t="shared" si="102"/>
        <v/>
      </c>
    </row>
    <row r="6468" spans="1:1" x14ac:dyDescent="0.25">
      <c r="A6468" t="str">
        <f t="shared" si="102"/>
        <v/>
      </c>
    </row>
    <row r="6469" spans="1:1" x14ac:dyDescent="0.25">
      <c r="A6469" t="str">
        <f t="shared" si="102"/>
        <v/>
      </c>
    </row>
    <row r="6470" spans="1:1" x14ac:dyDescent="0.25">
      <c r="A6470" t="str">
        <f t="shared" si="102"/>
        <v/>
      </c>
    </row>
    <row r="6471" spans="1:1" x14ac:dyDescent="0.25">
      <c r="A6471" t="str">
        <f t="shared" si="102"/>
        <v/>
      </c>
    </row>
    <row r="6472" spans="1:1" x14ac:dyDescent="0.25">
      <c r="A6472" t="str">
        <f t="shared" si="102"/>
        <v/>
      </c>
    </row>
    <row r="6473" spans="1:1" x14ac:dyDescent="0.25">
      <c r="A6473" t="str">
        <f t="shared" si="102"/>
        <v/>
      </c>
    </row>
    <row r="6474" spans="1:1" x14ac:dyDescent="0.25">
      <c r="A6474" t="str">
        <f t="shared" si="102"/>
        <v/>
      </c>
    </row>
    <row r="6475" spans="1:1" x14ac:dyDescent="0.25">
      <c r="A6475" t="str">
        <f t="shared" si="102"/>
        <v/>
      </c>
    </row>
    <row r="6476" spans="1:1" x14ac:dyDescent="0.25">
      <c r="A6476" t="str">
        <f t="shared" si="102"/>
        <v/>
      </c>
    </row>
    <row r="6477" spans="1:1" x14ac:dyDescent="0.25">
      <c r="A6477" t="str">
        <f t="shared" si="102"/>
        <v/>
      </c>
    </row>
    <row r="6478" spans="1:1" x14ac:dyDescent="0.25">
      <c r="A6478" t="str">
        <f t="shared" si="102"/>
        <v/>
      </c>
    </row>
    <row r="6479" spans="1:1" x14ac:dyDescent="0.25">
      <c r="A6479" t="str">
        <f t="shared" si="102"/>
        <v/>
      </c>
    </row>
    <row r="6480" spans="1:1" x14ac:dyDescent="0.25">
      <c r="A6480" t="str">
        <f t="shared" si="102"/>
        <v/>
      </c>
    </row>
    <row r="6481" spans="1:1" x14ac:dyDescent="0.25">
      <c r="A6481" t="str">
        <f t="shared" si="102"/>
        <v/>
      </c>
    </row>
    <row r="6482" spans="1:1" x14ac:dyDescent="0.25">
      <c r="A6482" t="str">
        <f t="shared" si="102"/>
        <v/>
      </c>
    </row>
    <row r="6483" spans="1:1" x14ac:dyDescent="0.25">
      <c r="A6483" t="str">
        <f t="shared" si="102"/>
        <v/>
      </c>
    </row>
    <row r="6484" spans="1:1" x14ac:dyDescent="0.25">
      <c r="A6484" t="str">
        <f t="shared" si="102"/>
        <v/>
      </c>
    </row>
    <row r="6485" spans="1:1" x14ac:dyDescent="0.25">
      <c r="A6485" t="str">
        <f t="shared" si="102"/>
        <v/>
      </c>
    </row>
    <row r="6486" spans="1:1" x14ac:dyDescent="0.25">
      <c r="A6486" t="str">
        <f t="shared" si="102"/>
        <v/>
      </c>
    </row>
    <row r="6487" spans="1:1" x14ac:dyDescent="0.25">
      <c r="A6487" t="str">
        <f t="shared" si="102"/>
        <v/>
      </c>
    </row>
    <row r="6488" spans="1:1" x14ac:dyDescent="0.25">
      <c r="A6488" t="str">
        <f t="shared" si="102"/>
        <v/>
      </c>
    </row>
    <row r="6489" spans="1:1" x14ac:dyDescent="0.25">
      <c r="A6489" t="str">
        <f t="shared" si="102"/>
        <v/>
      </c>
    </row>
    <row r="6490" spans="1:1" x14ac:dyDescent="0.25">
      <c r="A6490" t="str">
        <f t="shared" si="102"/>
        <v/>
      </c>
    </row>
    <row r="6491" spans="1:1" x14ac:dyDescent="0.25">
      <c r="A6491" t="str">
        <f t="shared" si="102"/>
        <v/>
      </c>
    </row>
    <row r="6492" spans="1:1" x14ac:dyDescent="0.25">
      <c r="A6492" t="str">
        <f t="shared" si="102"/>
        <v/>
      </c>
    </row>
    <row r="6493" spans="1:1" x14ac:dyDescent="0.25">
      <c r="A6493" t="str">
        <f t="shared" si="102"/>
        <v/>
      </c>
    </row>
    <row r="6494" spans="1:1" x14ac:dyDescent="0.25">
      <c r="A6494" t="str">
        <f t="shared" si="102"/>
        <v/>
      </c>
    </row>
    <row r="6495" spans="1:1" x14ac:dyDescent="0.25">
      <c r="A6495" t="str">
        <f t="shared" si="102"/>
        <v/>
      </c>
    </row>
    <row r="6496" spans="1:1" x14ac:dyDescent="0.25">
      <c r="A6496" t="str">
        <f t="shared" si="102"/>
        <v/>
      </c>
    </row>
    <row r="6497" spans="1:1" x14ac:dyDescent="0.25">
      <c r="A6497" t="str">
        <f t="shared" si="102"/>
        <v/>
      </c>
    </row>
    <row r="6498" spans="1:1" x14ac:dyDescent="0.25">
      <c r="A6498" t="str">
        <f t="shared" si="102"/>
        <v/>
      </c>
    </row>
    <row r="6499" spans="1:1" x14ac:dyDescent="0.25">
      <c r="A6499" t="str">
        <f t="shared" si="102"/>
        <v/>
      </c>
    </row>
    <row r="6500" spans="1:1" x14ac:dyDescent="0.25">
      <c r="A6500" t="str">
        <f t="shared" si="102"/>
        <v/>
      </c>
    </row>
    <row r="6501" spans="1:1" x14ac:dyDescent="0.25">
      <c r="A6501" t="str">
        <f t="shared" si="102"/>
        <v/>
      </c>
    </row>
    <row r="6502" spans="1:1" x14ac:dyDescent="0.25">
      <c r="A6502" t="str">
        <f t="shared" si="102"/>
        <v/>
      </c>
    </row>
    <row r="6503" spans="1:1" x14ac:dyDescent="0.25">
      <c r="A6503" t="str">
        <f t="shared" si="102"/>
        <v/>
      </c>
    </row>
    <row r="6504" spans="1:1" x14ac:dyDescent="0.25">
      <c r="A6504" t="str">
        <f t="shared" si="102"/>
        <v/>
      </c>
    </row>
    <row r="6505" spans="1:1" x14ac:dyDescent="0.25">
      <c r="A6505" t="str">
        <f t="shared" si="102"/>
        <v/>
      </c>
    </row>
    <row r="6506" spans="1:1" x14ac:dyDescent="0.25">
      <c r="A6506" t="str">
        <f t="shared" si="102"/>
        <v/>
      </c>
    </row>
    <row r="6507" spans="1:1" x14ac:dyDescent="0.25">
      <c r="A6507" t="str">
        <f t="shared" si="102"/>
        <v/>
      </c>
    </row>
    <row r="6508" spans="1:1" x14ac:dyDescent="0.25">
      <c r="A6508" t="str">
        <f t="shared" si="102"/>
        <v/>
      </c>
    </row>
    <row r="6509" spans="1:1" x14ac:dyDescent="0.25">
      <c r="A6509" t="str">
        <f t="shared" si="102"/>
        <v/>
      </c>
    </row>
    <row r="6510" spans="1:1" x14ac:dyDescent="0.25">
      <c r="A6510" t="str">
        <f t="shared" si="102"/>
        <v/>
      </c>
    </row>
    <row r="6511" spans="1:1" x14ac:dyDescent="0.25">
      <c r="A6511" t="str">
        <f t="shared" si="102"/>
        <v/>
      </c>
    </row>
    <row r="6512" spans="1:1" x14ac:dyDescent="0.25">
      <c r="A6512" t="str">
        <f t="shared" si="102"/>
        <v/>
      </c>
    </row>
    <row r="6513" spans="1:1" x14ac:dyDescent="0.25">
      <c r="A6513" t="str">
        <f t="shared" si="102"/>
        <v/>
      </c>
    </row>
    <row r="6514" spans="1:1" x14ac:dyDescent="0.25">
      <c r="A6514" t="str">
        <f t="shared" si="102"/>
        <v/>
      </c>
    </row>
    <row r="6515" spans="1:1" x14ac:dyDescent="0.25">
      <c r="A6515" t="str">
        <f t="shared" si="102"/>
        <v/>
      </c>
    </row>
    <row r="6516" spans="1:1" x14ac:dyDescent="0.25">
      <c r="A6516" t="str">
        <f t="shared" si="102"/>
        <v/>
      </c>
    </row>
    <row r="6517" spans="1:1" x14ac:dyDescent="0.25">
      <c r="A6517" t="str">
        <f t="shared" ref="A6517:A6580" si="103">B6515&amp;D6515</f>
        <v/>
      </c>
    </row>
    <row r="6518" spans="1:1" x14ac:dyDescent="0.25">
      <c r="A6518" t="str">
        <f t="shared" si="103"/>
        <v/>
      </c>
    </row>
    <row r="6519" spans="1:1" x14ac:dyDescent="0.25">
      <c r="A6519" t="str">
        <f t="shared" si="103"/>
        <v/>
      </c>
    </row>
    <row r="6520" spans="1:1" x14ac:dyDescent="0.25">
      <c r="A6520" t="str">
        <f t="shared" si="103"/>
        <v/>
      </c>
    </row>
    <row r="6521" spans="1:1" x14ac:dyDescent="0.25">
      <c r="A6521" t="str">
        <f t="shared" si="103"/>
        <v/>
      </c>
    </row>
    <row r="6522" spans="1:1" x14ac:dyDescent="0.25">
      <c r="A6522" t="str">
        <f t="shared" si="103"/>
        <v/>
      </c>
    </row>
    <row r="6523" spans="1:1" x14ac:dyDescent="0.25">
      <c r="A6523" t="str">
        <f t="shared" si="103"/>
        <v/>
      </c>
    </row>
    <row r="6524" spans="1:1" x14ac:dyDescent="0.25">
      <c r="A6524" t="str">
        <f t="shared" si="103"/>
        <v/>
      </c>
    </row>
    <row r="6525" spans="1:1" x14ac:dyDescent="0.25">
      <c r="A6525" t="str">
        <f t="shared" si="103"/>
        <v/>
      </c>
    </row>
    <row r="6526" spans="1:1" x14ac:dyDescent="0.25">
      <c r="A6526" t="str">
        <f t="shared" si="103"/>
        <v/>
      </c>
    </row>
    <row r="6527" spans="1:1" x14ac:dyDescent="0.25">
      <c r="A6527" t="str">
        <f t="shared" si="103"/>
        <v/>
      </c>
    </row>
    <row r="6528" spans="1:1" x14ac:dyDescent="0.25">
      <c r="A6528" t="str">
        <f t="shared" si="103"/>
        <v/>
      </c>
    </row>
    <row r="6529" spans="1:1" x14ac:dyDescent="0.25">
      <c r="A6529" t="str">
        <f t="shared" si="103"/>
        <v/>
      </c>
    </row>
    <row r="6530" spans="1:1" x14ac:dyDescent="0.25">
      <c r="A6530" t="str">
        <f t="shared" si="103"/>
        <v/>
      </c>
    </row>
    <row r="6531" spans="1:1" x14ac:dyDescent="0.25">
      <c r="A6531" t="str">
        <f t="shared" si="103"/>
        <v/>
      </c>
    </row>
    <row r="6532" spans="1:1" x14ac:dyDescent="0.25">
      <c r="A6532" t="str">
        <f t="shared" si="103"/>
        <v/>
      </c>
    </row>
    <row r="6533" spans="1:1" x14ac:dyDescent="0.25">
      <c r="A6533" t="str">
        <f t="shared" si="103"/>
        <v/>
      </c>
    </row>
    <row r="6534" spans="1:1" x14ac:dyDescent="0.25">
      <c r="A6534" t="str">
        <f t="shared" si="103"/>
        <v/>
      </c>
    </row>
    <row r="6535" spans="1:1" x14ac:dyDescent="0.25">
      <c r="A6535" t="str">
        <f t="shared" si="103"/>
        <v/>
      </c>
    </row>
    <row r="6536" spans="1:1" x14ac:dyDescent="0.25">
      <c r="A6536" t="str">
        <f t="shared" si="103"/>
        <v/>
      </c>
    </row>
    <row r="6537" spans="1:1" x14ac:dyDescent="0.25">
      <c r="A6537" t="str">
        <f t="shared" si="103"/>
        <v/>
      </c>
    </row>
    <row r="6538" spans="1:1" x14ac:dyDescent="0.25">
      <c r="A6538" t="str">
        <f t="shared" si="103"/>
        <v/>
      </c>
    </row>
    <row r="6539" spans="1:1" x14ac:dyDescent="0.25">
      <c r="A6539" t="str">
        <f t="shared" si="103"/>
        <v/>
      </c>
    </row>
    <row r="6540" spans="1:1" x14ac:dyDescent="0.25">
      <c r="A6540" t="str">
        <f t="shared" si="103"/>
        <v/>
      </c>
    </row>
    <row r="6541" spans="1:1" x14ac:dyDescent="0.25">
      <c r="A6541" t="str">
        <f t="shared" si="103"/>
        <v/>
      </c>
    </row>
    <row r="6542" spans="1:1" x14ac:dyDescent="0.25">
      <c r="A6542" t="str">
        <f t="shared" si="103"/>
        <v/>
      </c>
    </row>
    <row r="6543" spans="1:1" x14ac:dyDescent="0.25">
      <c r="A6543" t="str">
        <f t="shared" si="103"/>
        <v/>
      </c>
    </row>
    <row r="6544" spans="1:1" x14ac:dyDescent="0.25">
      <c r="A6544" t="str">
        <f t="shared" si="103"/>
        <v/>
      </c>
    </row>
    <row r="6545" spans="1:1" x14ac:dyDescent="0.25">
      <c r="A6545" t="str">
        <f t="shared" si="103"/>
        <v/>
      </c>
    </row>
    <row r="6546" spans="1:1" x14ac:dyDescent="0.25">
      <c r="A6546" t="str">
        <f t="shared" si="103"/>
        <v/>
      </c>
    </row>
    <row r="6547" spans="1:1" x14ac:dyDescent="0.25">
      <c r="A6547" t="str">
        <f t="shared" si="103"/>
        <v/>
      </c>
    </row>
    <row r="6548" spans="1:1" x14ac:dyDescent="0.25">
      <c r="A6548" t="str">
        <f t="shared" si="103"/>
        <v/>
      </c>
    </row>
    <row r="6549" spans="1:1" x14ac:dyDescent="0.25">
      <c r="A6549" t="str">
        <f t="shared" si="103"/>
        <v/>
      </c>
    </row>
    <row r="6550" spans="1:1" x14ac:dyDescent="0.25">
      <c r="A6550" t="str">
        <f t="shared" si="103"/>
        <v/>
      </c>
    </row>
    <row r="6551" spans="1:1" x14ac:dyDescent="0.25">
      <c r="A6551" t="str">
        <f t="shared" si="103"/>
        <v/>
      </c>
    </row>
    <row r="6552" spans="1:1" x14ac:dyDescent="0.25">
      <c r="A6552" t="str">
        <f t="shared" si="103"/>
        <v/>
      </c>
    </row>
    <row r="6553" spans="1:1" x14ac:dyDescent="0.25">
      <c r="A6553" t="str">
        <f t="shared" si="103"/>
        <v/>
      </c>
    </row>
    <row r="6554" spans="1:1" x14ac:dyDescent="0.25">
      <c r="A6554" t="str">
        <f t="shared" si="103"/>
        <v/>
      </c>
    </row>
    <row r="6555" spans="1:1" x14ac:dyDescent="0.25">
      <c r="A6555" t="str">
        <f t="shared" si="103"/>
        <v/>
      </c>
    </row>
    <row r="6556" spans="1:1" x14ac:dyDescent="0.25">
      <c r="A6556" t="str">
        <f t="shared" si="103"/>
        <v/>
      </c>
    </row>
    <row r="6557" spans="1:1" x14ac:dyDescent="0.25">
      <c r="A6557" t="str">
        <f t="shared" si="103"/>
        <v/>
      </c>
    </row>
    <row r="6558" spans="1:1" x14ac:dyDescent="0.25">
      <c r="A6558" t="str">
        <f t="shared" si="103"/>
        <v/>
      </c>
    </row>
    <row r="6559" spans="1:1" x14ac:dyDescent="0.25">
      <c r="A6559" t="str">
        <f t="shared" si="103"/>
        <v/>
      </c>
    </row>
    <row r="6560" spans="1:1" x14ac:dyDescent="0.25">
      <c r="A6560" t="str">
        <f t="shared" si="103"/>
        <v/>
      </c>
    </row>
    <row r="6561" spans="1:1" x14ac:dyDescent="0.25">
      <c r="A6561" t="str">
        <f t="shared" si="103"/>
        <v/>
      </c>
    </row>
    <row r="6562" spans="1:1" x14ac:dyDescent="0.25">
      <c r="A6562" t="str">
        <f t="shared" si="103"/>
        <v/>
      </c>
    </row>
    <row r="6563" spans="1:1" x14ac:dyDescent="0.25">
      <c r="A6563" t="str">
        <f t="shared" si="103"/>
        <v/>
      </c>
    </row>
    <row r="6564" spans="1:1" x14ac:dyDescent="0.25">
      <c r="A6564" t="str">
        <f t="shared" si="103"/>
        <v/>
      </c>
    </row>
    <row r="6565" spans="1:1" x14ac:dyDescent="0.25">
      <c r="A6565" t="str">
        <f t="shared" si="103"/>
        <v/>
      </c>
    </row>
    <row r="6566" spans="1:1" x14ac:dyDescent="0.25">
      <c r="A6566" t="str">
        <f t="shared" si="103"/>
        <v/>
      </c>
    </row>
    <row r="6567" spans="1:1" x14ac:dyDescent="0.25">
      <c r="A6567" t="str">
        <f t="shared" si="103"/>
        <v/>
      </c>
    </row>
    <row r="6568" spans="1:1" x14ac:dyDescent="0.25">
      <c r="A6568" t="str">
        <f t="shared" si="103"/>
        <v/>
      </c>
    </row>
    <row r="6569" spans="1:1" x14ac:dyDescent="0.25">
      <c r="A6569" t="str">
        <f t="shared" si="103"/>
        <v/>
      </c>
    </row>
    <row r="6570" spans="1:1" x14ac:dyDescent="0.25">
      <c r="A6570" t="str">
        <f t="shared" si="103"/>
        <v/>
      </c>
    </row>
    <row r="6571" spans="1:1" x14ac:dyDescent="0.25">
      <c r="A6571" t="str">
        <f t="shared" si="103"/>
        <v/>
      </c>
    </row>
    <row r="6572" spans="1:1" x14ac:dyDescent="0.25">
      <c r="A6572" t="str">
        <f t="shared" si="103"/>
        <v/>
      </c>
    </row>
    <row r="6573" spans="1:1" x14ac:dyDescent="0.25">
      <c r="A6573" t="str">
        <f t="shared" si="103"/>
        <v/>
      </c>
    </row>
    <row r="6574" spans="1:1" x14ac:dyDescent="0.25">
      <c r="A6574" t="str">
        <f t="shared" si="103"/>
        <v/>
      </c>
    </row>
    <row r="6575" spans="1:1" x14ac:dyDescent="0.25">
      <c r="A6575" t="str">
        <f t="shared" si="103"/>
        <v/>
      </c>
    </row>
    <row r="6576" spans="1:1" x14ac:dyDescent="0.25">
      <c r="A6576" t="str">
        <f t="shared" si="103"/>
        <v/>
      </c>
    </row>
    <row r="6577" spans="1:1" x14ac:dyDescent="0.25">
      <c r="A6577" t="str">
        <f t="shared" si="103"/>
        <v/>
      </c>
    </row>
    <row r="6578" spans="1:1" x14ac:dyDescent="0.25">
      <c r="A6578" t="str">
        <f t="shared" si="103"/>
        <v/>
      </c>
    </row>
    <row r="6579" spans="1:1" x14ac:dyDescent="0.25">
      <c r="A6579" t="str">
        <f t="shared" si="103"/>
        <v/>
      </c>
    </row>
    <row r="6580" spans="1:1" x14ac:dyDescent="0.25">
      <c r="A6580" t="str">
        <f t="shared" si="103"/>
        <v/>
      </c>
    </row>
    <row r="6581" spans="1:1" x14ac:dyDescent="0.25">
      <c r="A6581" t="str">
        <f t="shared" ref="A6581:A6644" si="104">B6579&amp;D6579</f>
        <v/>
      </c>
    </row>
    <row r="6582" spans="1:1" x14ac:dyDescent="0.25">
      <c r="A6582" t="str">
        <f t="shared" si="104"/>
        <v/>
      </c>
    </row>
    <row r="6583" spans="1:1" x14ac:dyDescent="0.25">
      <c r="A6583" t="str">
        <f t="shared" si="104"/>
        <v/>
      </c>
    </row>
    <row r="6584" spans="1:1" x14ac:dyDescent="0.25">
      <c r="A6584" t="str">
        <f t="shared" si="104"/>
        <v/>
      </c>
    </row>
    <row r="6585" spans="1:1" x14ac:dyDescent="0.25">
      <c r="A6585" t="str">
        <f t="shared" si="104"/>
        <v/>
      </c>
    </row>
    <row r="6586" spans="1:1" x14ac:dyDescent="0.25">
      <c r="A6586" t="str">
        <f t="shared" si="104"/>
        <v/>
      </c>
    </row>
    <row r="6587" spans="1:1" x14ac:dyDescent="0.25">
      <c r="A6587" t="str">
        <f t="shared" si="104"/>
        <v/>
      </c>
    </row>
    <row r="6588" spans="1:1" x14ac:dyDescent="0.25">
      <c r="A6588" t="str">
        <f t="shared" si="104"/>
        <v/>
      </c>
    </row>
    <row r="6589" spans="1:1" x14ac:dyDescent="0.25">
      <c r="A6589" t="str">
        <f t="shared" si="104"/>
        <v/>
      </c>
    </row>
    <row r="6590" spans="1:1" x14ac:dyDescent="0.25">
      <c r="A6590" t="str">
        <f t="shared" si="104"/>
        <v/>
      </c>
    </row>
    <row r="6591" spans="1:1" x14ac:dyDescent="0.25">
      <c r="A6591" t="str">
        <f t="shared" si="104"/>
        <v/>
      </c>
    </row>
    <row r="6592" spans="1:1" x14ac:dyDescent="0.25">
      <c r="A6592" t="str">
        <f t="shared" si="104"/>
        <v/>
      </c>
    </row>
    <row r="6593" spans="1:1" x14ac:dyDescent="0.25">
      <c r="A6593" t="str">
        <f t="shared" si="104"/>
        <v/>
      </c>
    </row>
    <row r="6594" spans="1:1" x14ac:dyDescent="0.25">
      <c r="A6594" t="str">
        <f t="shared" si="104"/>
        <v/>
      </c>
    </row>
    <row r="6595" spans="1:1" x14ac:dyDescent="0.25">
      <c r="A6595" t="str">
        <f t="shared" si="104"/>
        <v/>
      </c>
    </row>
    <row r="6596" spans="1:1" x14ac:dyDescent="0.25">
      <c r="A6596" t="str">
        <f t="shared" si="104"/>
        <v/>
      </c>
    </row>
    <row r="6597" spans="1:1" x14ac:dyDescent="0.25">
      <c r="A6597" t="str">
        <f t="shared" si="104"/>
        <v/>
      </c>
    </row>
    <row r="6598" spans="1:1" x14ac:dyDescent="0.25">
      <c r="A6598" t="str">
        <f t="shared" si="104"/>
        <v/>
      </c>
    </row>
    <row r="6599" spans="1:1" x14ac:dyDescent="0.25">
      <c r="A6599" t="str">
        <f t="shared" si="104"/>
        <v/>
      </c>
    </row>
    <row r="6600" spans="1:1" x14ac:dyDescent="0.25">
      <c r="A6600" t="str">
        <f t="shared" si="104"/>
        <v/>
      </c>
    </row>
    <row r="6601" spans="1:1" x14ac:dyDescent="0.25">
      <c r="A6601" t="str">
        <f t="shared" si="104"/>
        <v/>
      </c>
    </row>
    <row r="6602" spans="1:1" x14ac:dyDescent="0.25">
      <c r="A6602" t="str">
        <f t="shared" si="104"/>
        <v/>
      </c>
    </row>
    <row r="6603" spans="1:1" x14ac:dyDescent="0.25">
      <c r="A6603" t="str">
        <f t="shared" si="104"/>
        <v/>
      </c>
    </row>
    <row r="6604" spans="1:1" x14ac:dyDescent="0.25">
      <c r="A6604" t="str">
        <f t="shared" si="104"/>
        <v/>
      </c>
    </row>
    <row r="6605" spans="1:1" x14ac:dyDescent="0.25">
      <c r="A6605" t="str">
        <f t="shared" si="104"/>
        <v/>
      </c>
    </row>
    <row r="6606" spans="1:1" x14ac:dyDescent="0.25">
      <c r="A6606" t="str">
        <f t="shared" si="104"/>
        <v/>
      </c>
    </row>
    <row r="6607" spans="1:1" x14ac:dyDescent="0.25">
      <c r="A6607" t="str">
        <f t="shared" si="104"/>
        <v/>
      </c>
    </row>
    <row r="6608" spans="1:1" x14ac:dyDescent="0.25">
      <c r="A6608" t="str">
        <f t="shared" si="104"/>
        <v/>
      </c>
    </row>
    <row r="6609" spans="1:1" x14ac:dyDescent="0.25">
      <c r="A6609" t="str">
        <f t="shared" si="104"/>
        <v/>
      </c>
    </row>
    <row r="6610" spans="1:1" x14ac:dyDescent="0.25">
      <c r="A6610" t="str">
        <f t="shared" si="104"/>
        <v/>
      </c>
    </row>
    <row r="6611" spans="1:1" x14ac:dyDescent="0.25">
      <c r="A6611" t="str">
        <f t="shared" si="104"/>
        <v/>
      </c>
    </row>
    <row r="6612" spans="1:1" x14ac:dyDescent="0.25">
      <c r="A6612" t="str">
        <f t="shared" si="104"/>
        <v/>
      </c>
    </row>
    <row r="6613" spans="1:1" x14ac:dyDescent="0.25">
      <c r="A6613" t="str">
        <f t="shared" si="104"/>
        <v/>
      </c>
    </row>
    <row r="6614" spans="1:1" x14ac:dyDescent="0.25">
      <c r="A6614" t="str">
        <f t="shared" si="104"/>
        <v/>
      </c>
    </row>
    <row r="6615" spans="1:1" x14ac:dyDescent="0.25">
      <c r="A6615" t="str">
        <f t="shared" si="104"/>
        <v/>
      </c>
    </row>
    <row r="6616" spans="1:1" x14ac:dyDescent="0.25">
      <c r="A6616" t="str">
        <f t="shared" si="104"/>
        <v/>
      </c>
    </row>
    <row r="6617" spans="1:1" x14ac:dyDescent="0.25">
      <c r="A6617" t="str">
        <f t="shared" si="104"/>
        <v/>
      </c>
    </row>
    <row r="6618" spans="1:1" x14ac:dyDescent="0.25">
      <c r="A6618" t="str">
        <f t="shared" si="104"/>
        <v/>
      </c>
    </row>
    <row r="6619" spans="1:1" x14ac:dyDescent="0.25">
      <c r="A6619" t="str">
        <f t="shared" si="104"/>
        <v/>
      </c>
    </row>
    <row r="6620" spans="1:1" x14ac:dyDescent="0.25">
      <c r="A6620" t="str">
        <f t="shared" si="104"/>
        <v/>
      </c>
    </row>
    <row r="6621" spans="1:1" x14ac:dyDescent="0.25">
      <c r="A6621" t="str">
        <f t="shared" si="104"/>
        <v/>
      </c>
    </row>
    <row r="6622" spans="1:1" x14ac:dyDescent="0.25">
      <c r="A6622" t="str">
        <f t="shared" si="104"/>
        <v/>
      </c>
    </row>
    <row r="6623" spans="1:1" x14ac:dyDescent="0.25">
      <c r="A6623" t="str">
        <f t="shared" si="104"/>
        <v/>
      </c>
    </row>
    <row r="6624" spans="1:1" x14ac:dyDescent="0.25">
      <c r="A6624" t="str">
        <f t="shared" si="104"/>
        <v/>
      </c>
    </row>
    <row r="6625" spans="1:1" x14ac:dyDescent="0.25">
      <c r="A6625" t="str">
        <f t="shared" si="104"/>
        <v/>
      </c>
    </row>
    <row r="6626" spans="1:1" x14ac:dyDescent="0.25">
      <c r="A6626" t="str">
        <f t="shared" si="104"/>
        <v/>
      </c>
    </row>
    <row r="6627" spans="1:1" x14ac:dyDescent="0.25">
      <c r="A6627" t="str">
        <f t="shared" si="104"/>
        <v/>
      </c>
    </row>
    <row r="6628" spans="1:1" x14ac:dyDescent="0.25">
      <c r="A6628" t="str">
        <f t="shared" si="104"/>
        <v/>
      </c>
    </row>
    <row r="6629" spans="1:1" x14ac:dyDescent="0.25">
      <c r="A6629" t="str">
        <f t="shared" si="104"/>
        <v/>
      </c>
    </row>
    <row r="6630" spans="1:1" x14ac:dyDescent="0.25">
      <c r="A6630" t="str">
        <f t="shared" si="104"/>
        <v/>
      </c>
    </row>
    <row r="6631" spans="1:1" x14ac:dyDescent="0.25">
      <c r="A6631" t="str">
        <f t="shared" si="104"/>
        <v/>
      </c>
    </row>
    <row r="6632" spans="1:1" x14ac:dyDescent="0.25">
      <c r="A6632" t="str">
        <f t="shared" si="104"/>
        <v/>
      </c>
    </row>
    <row r="6633" spans="1:1" x14ac:dyDescent="0.25">
      <c r="A6633" t="str">
        <f t="shared" si="104"/>
        <v/>
      </c>
    </row>
    <row r="6634" spans="1:1" x14ac:dyDescent="0.25">
      <c r="A6634" t="str">
        <f t="shared" si="104"/>
        <v/>
      </c>
    </row>
    <row r="6635" spans="1:1" x14ac:dyDescent="0.25">
      <c r="A6635" t="str">
        <f t="shared" si="104"/>
        <v/>
      </c>
    </row>
    <row r="6636" spans="1:1" x14ac:dyDescent="0.25">
      <c r="A6636" t="str">
        <f t="shared" si="104"/>
        <v/>
      </c>
    </row>
    <row r="6637" spans="1:1" x14ac:dyDescent="0.25">
      <c r="A6637" t="str">
        <f t="shared" si="104"/>
        <v/>
      </c>
    </row>
    <row r="6638" spans="1:1" x14ac:dyDescent="0.25">
      <c r="A6638" t="str">
        <f t="shared" si="104"/>
        <v/>
      </c>
    </row>
    <row r="6639" spans="1:1" x14ac:dyDescent="0.25">
      <c r="A6639" t="str">
        <f t="shared" si="104"/>
        <v/>
      </c>
    </row>
    <row r="6640" spans="1:1" x14ac:dyDescent="0.25">
      <c r="A6640" t="str">
        <f t="shared" si="104"/>
        <v/>
      </c>
    </row>
    <row r="6641" spans="1:1" x14ac:dyDescent="0.25">
      <c r="A6641" t="str">
        <f t="shared" si="104"/>
        <v/>
      </c>
    </row>
    <row r="6642" spans="1:1" x14ac:dyDescent="0.25">
      <c r="A6642" t="str">
        <f t="shared" si="104"/>
        <v/>
      </c>
    </row>
    <row r="6643" spans="1:1" x14ac:dyDescent="0.25">
      <c r="A6643" t="str">
        <f t="shared" si="104"/>
        <v/>
      </c>
    </row>
    <row r="6644" spans="1:1" x14ac:dyDescent="0.25">
      <c r="A6644" t="str">
        <f t="shared" si="104"/>
        <v/>
      </c>
    </row>
    <row r="6645" spans="1:1" x14ac:dyDescent="0.25">
      <c r="A6645" t="str">
        <f t="shared" ref="A6645:A6708" si="105">B6643&amp;D6643</f>
        <v/>
      </c>
    </row>
    <row r="6646" spans="1:1" x14ac:dyDescent="0.25">
      <c r="A6646" t="str">
        <f t="shared" si="105"/>
        <v/>
      </c>
    </row>
    <row r="6647" spans="1:1" x14ac:dyDescent="0.25">
      <c r="A6647" t="str">
        <f t="shared" si="105"/>
        <v/>
      </c>
    </row>
    <row r="6648" spans="1:1" x14ac:dyDescent="0.25">
      <c r="A6648" t="str">
        <f t="shared" si="105"/>
        <v/>
      </c>
    </row>
    <row r="6649" spans="1:1" x14ac:dyDescent="0.25">
      <c r="A6649" t="str">
        <f t="shared" si="105"/>
        <v/>
      </c>
    </row>
    <row r="6650" spans="1:1" x14ac:dyDescent="0.25">
      <c r="A6650" t="str">
        <f t="shared" si="105"/>
        <v/>
      </c>
    </row>
    <row r="6651" spans="1:1" x14ac:dyDescent="0.25">
      <c r="A6651" t="str">
        <f t="shared" si="105"/>
        <v/>
      </c>
    </row>
    <row r="6652" spans="1:1" x14ac:dyDescent="0.25">
      <c r="A6652" t="str">
        <f t="shared" si="105"/>
        <v/>
      </c>
    </row>
    <row r="6653" spans="1:1" x14ac:dyDescent="0.25">
      <c r="A6653" t="str">
        <f t="shared" si="105"/>
        <v/>
      </c>
    </row>
    <row r="6654" spans="1:1" x14ac:dyDescent="0.25">
      <c r="A6654" t="str">
        <f t="shared" si="105"/>
        <v/>
      </c>
    </row>
    <row r="6655" spans="1:1" x14ac:dyDescent="0.25">
      <c r="A6655" t="str">
        <f t="shared" si="105"/>
        <v/>
      </c>
    </row>
    <row r="6656" spans="1:1" x14ac:dyDescent="0.25">
      <c r="A6656" t="str">
        <f t="shared" si="105"/>
        <v/>
      </c>
    </row>
    <row r="6657" spans="1:1" x14ac:dyDescent="0.25">
      <c r="A6657" t="str">
        <f t="shared" si="105"/>
        <v/>
      </c>
    </row>
    <row r="6658" spans="1:1" x14ac:dyDescent="0.25">
      <c r="A6658" t="str">
        <f t="shared" si="105"/>
        <v/>
      </c>
    </row>
    <row r="6659" spans="1:1" x14ac:dyDescent="0.25">
      <c r="A6659" t="str">
        <f t="shared" si="105"/>
        <v/>
      </c>
    </row>
    <row r="6660" spans="1:1" x14ac:dyDescent="0.25">
      <c r="A6660" t="str">
        <f t="shared" si="105"/>
        <v/>
      </c>
    </row>
    <row r="6661" spans="1:1" x14ac:dyDescent="0.25">
      <c r="A6661" t="str">
        <f t="shared" si="105"/>
        <v/>
      </c>
    </row>
    <row r="6662" spans="1:1" x14ac:dyDescent="0.25">
      <c r="A6662" t="str">
        <f t="shared" si="105"/>
        <v/>
      </c>
    </row>
    <row r="6663" spans="1:1" x14ac:dyDescent="0.25">
      <c r="A6663" t="str">
        <f t="shared" si="105"/>
        <v/>
      </c>
    </row>
    <row r="6664" spans="1:1" x14ac:dyDescent="0.25">
      <c r="A6664" t="str">
        <f t="shared" si="105"/>
        <v/>
      </c>
    </row>
    <row r="6665" spans="1:1" x14ac:dyDescent="0.25">
      <c r="A6665" t="str">
        <f t="shared" si="105"/>
        <v/>
      </c>
    </row>
    <row r="6666" spans="1:1" x14ac:dyDescent="0.25">
      <c r="A6666" t="str">
        <f t="shared" si="105"/>
        <v/>
      </c>
    </row>
    <row r="6667" spans="1:1" x14ac:dyDescent="0.25">
      <c r="A6667" t="str">
        <f t="shared" si="105"/>
        <v/>
      </c>
    </row>
    <row r="6668" spans="1:1" x14ac:dyDescent="0.25">
      <c r="A6668" t="str">
        <f t="shared" si="105"/>
        <v/>
      </c>
    </row>
    <row r="6669" spans="1:1" x14ac:dyDescent="0.25">
      <c r="A6669" t="str">
        <f t="shared" si="105"/>
        <v/>
      </c>
    </row>
    <row r="6670" spans="1:1" x14ac:dyDescent="0.25">
      <c r="A6670" t="str">
        <f t="shared" si="105"/>
        <v/>
      </c>
    </row>
    <row r="6671" spans="1:1" x14ac:dyDescent="0.25">
      <c r="A6671" t="str">
        <f t="shared" si="105"/>
        <v/>
      </c>
    </row>
    <row r="6672" spans="1:1" x14ac:dyDescent="0.25">
      <c r="A6672" t="str">
        <f t="shared" si="105"/>
        <v/>
      </c>
    </row>
    <row r="6673" spans="1:1" x14ac:dyDescent="0.25">
      <c r="A6673" t="str">
        <f t="shared" si="105"/>
        <v/>
      </c>
    </row>
    <row r="6674" spans="1:1" x14ac:dyDescent="0.25">
      <c r="A6674" t="str">
        <f t="shared" si="105"/>
        <v/>
      </c>
    </row>
    <row r="6675" spans="1:1" x14ac:dyDescent="0.25">
      <c r="A6675" t="str">
        <f t="shared" si="105"/>
        <v/>
      </c>
    </row>
    <row r="6676" spans="1:1" x14ac:dyDescent="0.25">
      <c r="A6676" t="str">
        <f t="shared" si="105"/>
        <v/>
      </c>
    </row>
    <row r="6677" spans="1:1" x14ac:dyDescent="0.25">
      <c r="A6677" t="str">
        <f t="shared" si="105"/>
        <v/>
      </c>
    </row>
    <row r="6678" spans="1:1" x14ac:dyDescent="0.25">
      <c r="A6678" t="str">
        <f t="shared" si="105"/>
        <v/>
      </c>
    </row>
    <row r="6679" spans="1:1" x14ac:dyDescent="0.25">
      <c r="A6679" t="str">
        <f t="shared" si="105"/>
        <v/>
      </c>
    </row>
    <row r="6680" spans="1:1" x14ac:dyDescent="0.25">
      <c r="A6680" t="str">
        <f t="shared" si="105"/>
        <v/>
      </c>
    </row>
    <row r="6681" spans="1:1" x14ac:dyDescent="0.25">
      <c r="A6681" t="str">
        <f t="shared" si="105"/>
        <v/>
      </c>
    </row>
    <row r="6682" spans="1:1" x14ac:dyDescent="0.25">
      <c r="A6682" t="str">
        <f t="shared" si="105"/>
        <v/>
      </c>
    </row>
    <row r="6683" spans="1:1" x14ac:dyDescent="0.25">
      <c r="A6683" t="str">
        <f t="shared" si="105"/>
        <v/>
      </c>
    </row>
    <row r="6684" spans="1:1" x14ac:dyDescent="0.25">
      <c r="A6684" t="str">
        <f t="shared" si="105"/>
        <v/>
      </c>
    </row>
    <row r="6685" spans="1:1" x14ac:dyDescent="0.25">
      <c r="A6685" t="str">
        <f t="shared" si="105"/>
        <v/>
      </c>
    </row>
    <row r="6686" spans="1:1" x14ac:dyDescent="0.25">
      <c r="A6686" t="str">
        <f t="shared" si="105"/>
        <v/>
      </c>
    </row>
    <row r="6687" spans="1:1" x14ac:dyDescent="0.25">
      <c r="A6687" t="str">
        <f t="shared" si="105"/>
        <v/>
      </c>
    </row>
    <row r="6688" spans="1:1" x14ac:dyDescent="0.25">
      <c r="A6688" t="str">
        <f t="shared" si="105"/>
        <v/>
      </c>
    </row>
    <row r="6689" spans="1:1" x14ac:dyDescent="0.25">
      <c r="A6689" t="str">
        <f t="shared" si="105"/>
        <v/>
      </c>
    </row>
    <row r="6690" spans="1:1" x14ac:dyDescent="0.25">
      <c r="A6690" t="str">
        <f t="shared" si="105"/>
        <v/>
      </c>
    </row>
    <row r="6691" spans="1:1" x14ac:dyDescent="0.25">
      <c r="A6691" t="str">
        <f t="shared" si="105"/>
        <v/>
      </c>
    </row>
    <row r="6692" spans="1:1" x14ac:dyDescent="0.25">
      <c r="A6692" t="str">
        <f t="shared" si="105"/>
        <v/>
      </c>
    </row>
    <row r="6693" spans="1:1" x14ac:dyDescent="0.25">
      <c r="A6693" t="str">
        <f t="shared" si="105"/>
        <v/>
      </c>
    </row>
    <row r="6694" spans="1:1" x14ac:dyDescent="0.25">
      <c r="A6694" t="str">
        <f t="shared" si="105"/>
        <v/>
      </c>
    </row>
    <row r="6695" spans="1:1" x14ac:dyDescent="0.25">
      <c r="A6695" t="str">
        <f t="shared" si="105"/>
        <v/>
      </c>
    </row>
    <row r="6696" spans="1:1" x14ac:dyDescent="0.25">
      <c r="A6696" t="str">
        <f t="shared" si="105"/>
        <v/>
      </c>
    </row>
    <row r="6697" spans="1:1" x14ac:dyDescent="0.25">
      <c r="A6697" t="str">
        <f t="shared" si="105"/>
        <v/>
      </c>
    </row>
    <row r="6698" spans="1:1" x14ac:dyDescent="0.25">
      <c r="A6698" t="str">
        <f t="shared" si="105"/>
        <v/>
      </c>
    </row>
    <row r="6699" spans="1:1" x14ac:dyDescent="0.25">
      <c r="A6699" t="str">
        <f t="shared" si="105"/>
        <v/>
      </c>
    </row>
    <row r="6700" spans="1:1" x14ac:dyDescent="0.25">
      <c r="A6700" t="str">
        <f t="shared" si="105"/>
        <v/>
      </c>
    </row>
    <row r="6701" spans="1:1" x14ac:dyDescent="0.25">
      <c r="A6701" t="str">
        <f t="shared" si="105"/>
        <v/>
      </c>
    </row>
    <row r="6702" spans="1:1" x14ac:dyDescent="0.25">
      <c r="A6702" t="str">
        <f t="shared" si="105"/>
        <v/>
      </c>
    </row>
    <row r="6703" spans="1:1" x14ac:dyDescent="0.25">
      <c r="A6703" t="str">
        <f t="shared" si="105"/>
        <v/>
      </c>
    </row>
    <row r="6704" spans="1:1" x14ac:dyDescent="0.25">
      <c r="A6704" t="str">
        <f t="shared" si="105"/>
        <v/>
      </c>
    </row>
    <row r="6705" spans="1:1" x14ac:dyDescent="0.25">
      <c r="A6705" t="str">
        <f t="shared" si="105"/>
        <v/>
      </c>
    </row>
    <row r="6706" spans="1:1" x14ac:dyDescent="0.25">
      <c r="A6706" t="str">
        <f t="shared" si="105"/>
        <v/>
      </c>
    </row>
    <row r="6707" spans="1:1" x14ac:dyDescent="0.25">
      <c r="A6707" t="str">
        <f t="shared" si="105"/>
        <v/>
      </c>
    </row>
    <row r="6708" spans="1:1" x14ac:dyDescent="0.25">
      <c r="A6708" t="str">
        <f t="shared" si="105"/>
        <v/>
      </c>
    </row>
    <row r="6709" spans="1:1" x14ac:dyDescent="0.25">
      <c r="A6709" t="str">
        <f t="shared" ref="A6709:A6772" si="106">B6707&amp;D6707</f>
        <v/>
      </c>
    </row>
    <row r="6710" spans="1:1" x14ac:dyDescent="0.25">
      <c r="A6710" t="str">
        <f t="shared" si="106"/>
        <v/>
      </c>
    </row>
    <row r="6711" spans="1:1" x14ac:dyDescent="0.25">
      <c r="A6711" t="str">
        <f t="shared" si="106"/>
        <v/>
      </c>
    </row>
    <row r="6712" spans="1:1" x14ac:dyDescent="0.25">
      <c r="A6712" t="str">
        <f t="shared" si="106"/>
        <v/>
      </c>
    </row>
    <row r="6713" spans="1:1" x14ac:dyDescent="0.25">
      <c r="A6713" t="str">
        <f t="shared" si="106"/>
        <v/>
      </c>
    </row>
    <row r="6714" spans="1:1" x14ac:dyDescent="0.25">
      <c r="A6714" t="str">
        <f t="shared" si="106"/>
        <v/>
      </c>
    </row>
    <row r="6715" spans="1:1" x14ac:dyDescent="0.25">
      <c r="A6715" t="str">
        <f t="shared" si="106"/>
        <v/>
      </c>
    </row>
    <row r="6716" spans="1:1" x14ac:dyDescent="0.25">
      <c r="A6716" t="str">
        <f t="shared" si="106"/>
        <v/>
      </c>
    </row>
    <row r="6717" spans="1:1" x14ac:dyDescent="0.25">
      <c r="A6717" t="str">
        <f t="shared" si="106"/>
        <v/>
      </c>
    </row>
    <row r="6718" spans="1:1" x14ac:dyDescent="0.25">
      <c r="A6718" t="str">
        <f t="shared" si="106"/>
        <v/>
      </c>
    </row>
    <row r="6719" spans="1:1" x14ac:dyDescent="0.25">
      <c r="A6719" t="str">
        <f t="shared" si="106"/>
        <v/>
      </c>
    </row>
    <row r="6720" spans="1:1" x14ac:dyDescent="0.25">
      <c r="A6720" t="str">
        <f t="shared" si="106"/>
        <v/>
      </c>
    </row>
    <row r="6721" spans="1:1" x14ac:dyDescent="0.25">
      <c r="A6721" t="str">
        <f t="shared" si="106"/>
        <v/>
      </c>
    </row>
    <row r="6722" spans="1:1" x14ac:dyDescent="0.25">
      <c r="A6722" t="str">
        <f t="shared" si="106"/>
        <v/>
      </c>
    </row>
    <row r="6723" spans="1:1" x14ac:dyDescent="0.25">
      <c r="A6723" t="str">
        <f t="shared" si="106"/>
        <v/>
      </c>
    </row>
    <row r="6724" spans="1:1" x14ac:dyDescent="0.25">
      <c r="A6724" t="str">
        <f t="shared" si="106"/>
        <v/>
      </c>
    </row>
    <row r="6725" spans="1:1" x14ac:dyDescent="0.25">
      <c r="A6725" t="str">
        <f t="shared" si="106"/>
        <v/>
      </c>
    </row>
    <row r="6726" spans="1:1" x14ac:dyDescent="0.25">
      <c r="A6726" t="str">
        <f t="shared" si="106"/>
        <v/>
      </c>
    </row>
    <row r="6727" spans="1:1" x14ac:dyDescent="0.25">
      <c r="A6727" t="str">
        <f t="shared" si="106"/>
        <v/>
      </c>
    </row>
    <row r="6728" spans="1:1" x14ac:dyDescent="0.25">
      <c r="A6728" t="str">
        <f t="shared" si="106"/>
        <v/>
      </c>
    </row>
    <row r="6729" spans="1:1" x14ac:dyDescent="0.25">
      <c r="A6729" t="str">
        <f t="shared" si="106"/>
        <v/>
      </c>
    </row>
    <row r="6730" spans="1:1" x14ac:dyDescent="0.25">
      <c r="A6730" t="str">
        <f t="shared" si="106"/>
        <v/>
      </c>
    </row>
    <row r="6731" spans="1:1" x14ac:dyDescent="0.25">
      <c r="A6731" t="str">
        <f t="shared" si="106"/>
        <v/>
      </c>
    </row>
    <row r="6732" spans="1:1" x14ac:dyDescent="0.25">
      <c r="A6732" t="str">
        <f t="shared" si="106"/>
        <v/>
      </c>
    </row>
    <row r="6733" spans="1:1" x14ac:dyDescent="0.25">
      <c r="A6733" t="str">
        <f t="shared" si="106"/>
        <v/>
      </c>
    </row>
    <row r="6734" spans="1:1" x14ac:dyDescent="0.25">
      <c r="A6734" t="str">
        <f t="shared" si="106"/>
        <v/>
      </c>
    </row>
    <row r="6735" spans="1:1" x14ac:dyDescent="0.25">
      <c r="A6735" t="str">
        <f t="shared" si="106"/>
        <v/>
      </c>
    </row>
    <row r="6736" spans="1:1" x14ac:dyDescent="0.25">
      <c r="A6736" t="str">
        <f t="shared" si="106"/>
        <v/>
      </c>
    </row>
    <row r="6737" spans="1:1" x14ac:dyDescent="0.25">
      <c r="A6737" t="str">
        <f t="shared" si="106"/>
        <v/>
      </c>
    </row>
    <row r="6738" spans="1:1" x14ac:dyDescent="0.25">
      <c r="A6738" t="str">
        <f t="shared" si="106"/>
        <v/>
      </c>
    </row>
    <row r="6739" spans="1:1" x14ac:dyDescent="0.25">
      <c r="A6739" t="str">
        <f t="shared" si="106"/>
        <v/>
      </c>
    </row>
    <row r="6740" spans="1:1" x14ac:dyDescent="0.25">
      <c r="A6740" t="str">
        <f t="shared" si="106"/>
        <v/>
      </c>
    </row>
    <row r="6741" spans="1:1" x14ac:dyDescent="0.25">
      <c r="A6741" t="str">
        <f t="shared" si="106"/>
        <v/>
      </c>
    </row>
    <row r="6742" spans="1:1" x14ac:dyDescent="0.25">
      <c r="A6742" t="str">
        <f t="shared" si="106"/>
        <v/>
      </c>
    </row>
    <row r="6743" spans="1:1" x14ac:dyDescent="0.25">
      <c r="A6743" t="str">
        <f t="shared" si="106"/>
        <v/>
      </c>
    </row>
    <row r="6744" spans="1:1" x14ac:dyDescent="0.25">
      <c r="A6744" t="str">
        <f t="shared" si="106"/>
        <v/>
      </c>
    </row>
    <row r="6745" spans="1:1" x14ac:dyDescent="0.25">
      <c r="A6745" t="str">
        <f t="shared" si="106"/>
        <v/>
      </c>
    </row>
    <row r="6746" spans="1:1" x14ac:dyDescent="0.25">
      <c r="A6746" t="str">
        <f t="shared" si="106"/>
        <v/>
      </c>
    </row>
    <row r="6747" spans="1:1" x14ac:dyDescent="0.25">
      <c r="A6747" t="str">
        <f t="shared" si="106"/>
        <v/>
      </c>
    </row>
    <row r="6748" spans="1:1" x14ac:dyDescent="0.25">
      <c r="A6748" t="str">
        <f t="shared" si="106"/>
        <v/>
      </c>
    </row>
    <row r="6749" spans="1:1" x14ac:dyDescent="0.25">
      <c r="A6749" t="str">
        <f t="shared" si="106"/>
        <v/>
      </c>
    </row>
    <row r="6750" spans="1:1" x14ac:dyDescent="0.25">
      <c r="A6750" t="str">
        <f t="shared" si="106"/>
        <v/>
      </c>
    </row>
    <row r="6751" spans="1:1" x14ac:dyDescent="0.25">
      <c r="A6751" t="str">
        <f t="shared" si="106"/>
        <v/>
      </c>
    </row>
    <row r="6752" spans="1:1" x14ac:dyDescent="0.25">
      <c r="A6752" t="str">
        <f t="shared" si="106"/>
        <v/>
      </c>
    </row>
    <row r="6753" spans="1:1" x14ac:dyDescent="0.25">
      <c r="A6753" t="str">
        <f t="shared" si="106"/>
        <v/>
      </c>
    </row>
    <row r="6754" spans="1:1" x14ac:dyDescent="0.25">
      <c r="A6754" t="str">
        <f t="shared" si="106"/>
        <v/>
      </c>
    </row>
    <row r="6755" spans="1:1" x14ac:dyDescent="0.25">
      <c r="A6755" t="str">
        <f t="shared" si="106"/>
        <v/>
      </c>
    </row>
    <row r="6756" spans="1:1" x14ac:dyDescent="0.25">
      <c r="A6756" t="str">
        <f t="shared" si="106"/>
        <v/>
      </c>
    </row>
    <row r="6757" spans="1:1" x14ac:dyDescent="0.25">
      <c r="A6757" t="str">
        <f t="shared" si="106"/>
        <v/>
      </c>
    </row>
    <row r="6758" spans="1:1" x14ac:dyDescent="0.25">
      <c r="A6758" t="str">
        <f t="shared" si="106"/>
        <v/>
      </c>
    </row>
    <row r="6759" spans="1:1" x14ac:dyDescent="0.25">
      <c r="A6759" t="str">
        <f t="shared" si="106"/>
        <v/>
      </c>
    </row>
    <row r="6760" spans="1:1" x14ac:dyDescent="0.25">
      <c r="A6760" t="str">
        <f t="shared" si="106"/>
        <v/>
      </c>
    </row>
    <row r="6761" spans="1:1" x14ac:dyDescent="0.25">
      <c r="A6761" t="str">
        <f t="shared" si="106"/>
        <v/>
      </c>
    </row>
    <row r="6762" spans="1:1" x14ac:dyDescent="0.25">
      <c r="A6762" t="str">
        <f t="shared" si="106"/>
        <v/>
      </c>
    </row>
    <row r="6763" spans="1:1" x14ac:dyDescent="0.25">
      <c r="A6763" t="str">
        <f t="shared" si="106"/>
        <v/>
      </c>
    </row>
    <row r="6764" spans="1:1" x14ac:dyDescent="0.25">
      <c r="A6764" t="str">
        <f t="shared" si="106"/>
        <v/>
      </c>
    </row>
    <row r="6765" spans="1:1" x14ac:dyDescent="0.25">
      <c r="A6765" t="str">
        <f t="shared" si="106"/>
        <v/>
      </c>
    </row>
    <row r="6766" spans="1:1" x14ac:dyDescent="0.25">
      <c r="A6766" t="str">
        <f t="shared" si="106"/>
        <v/>
      </c>
    </row>
    <row r="6767" spans="1:1" x14ac:dyDescent="0.25">
      <c r="A6767" t="str">
        <f t="shared" si="106"/>
        <v/>
      </c>
    </row>
    <row r="6768" spans="1:1" x14ac:dyDescent="0.25">
      <c r="A6768" t="str">
        <f t="shared" si="106"/>
        <v/>
      </c>
    </row>
    <row r="6769" spans="1:1" x14ac:dyDescent="0.25">
      <c r="A6769" t="str">
        <f t="shared" si="106"/>
        <v/>
      </c>
    </row>
    <row r="6770" spans="1:1" x14ac:dyDescent="0.25">
      <c r="A6770" t="str">
        <f t="shared" si="106"/>
        <v/>
      </c>
    </row>
    <row r="6771" spans="1:1" x14ac:dyDescent="0.25">
      <c r="A6771" t="str">
        <f t="shared" si="106"/>
        <v/>
      </c>
    </row>
    <row r="6772" spans="1:1" x14ac:dyDescent="0.25">
      <c r="A6772" t="str">
        <f t="shared" si="106"/>
        <v/>
      </c>
    </row>
    <row r="6773" spans="1:1" x14ac:dyDescent="0.25">
      <c r="A6773" t="str">
        <f t="shared" ref="A6773:A6836" si="107">B6771&amp;D6771</f>
        <v/>
      </c>
    </row>
    <row r="6774" spans="1:1" x14ac:dyDescent="0.25">
      <c r="A6774" t="str">
        <f t="shared" si="107"/>
        <v/>
      </c>
    </row>
    <row r="6775" spans="1:1" x14ac:dyDescent="0.25">
      <c r="A6775" t="str">
        <f t="shared" si="107"/>
        <v/>
      </c>
    </row>
    <row r="6776" spans="1:1" x14ac:dyDescent="0.25">
      <c r="A6776" t="str">
        <f t="shared" si="107"/>
        <v/>
      </c>
    </row>
    <row r="6777" spans="1:1" x14ac:dyDescent="0.25">
      <c r="A6777" t="str">
        <f t="shared" si="107"/>
        <v/>
      </c>
    </row>
    <row r="6778" spans="1:1" x14ac:dyDescent="0.25">
      <c r="A6778" t="str">
        <f t="shared" si="107"/>
        <v/>
      </c>
    </row>
    <row r="6779" spans="1:1" x14ac:dyDescent="0.25">
      <c r="A6779" t="str">
        <f t="shared" si="107"/>
        <v/>
      </c>
    </row>
    <row r="6780" spans="1:1" x14ac:dyDescent="0.25">
      <c r="A6780" t="str">
        <f t="shared" si="107"/>
        <v/>
      </c>
    </row>
    <row r="6781" spans="1:1" x14ac:dyDescent="0.25">
      <c r="A6781" t="str">
        <f t="shared" si="107"/>
        <v/>
      </c>
    </row>
    <row r="6782" spans="1:1" x14ac:dyDescent="0.25">
      <c r="A6782" t="str">
        <f t="shared" si="107"/>
        <v/>
      </c>
    </row>
    <row r="6783" spans="1:1" x14ac:dyDescent="0.25">
      <c r="A6783" t="str">
        <f t="shared" si="107"/>
        <v/>
      </c>
    </row>
    <row r="6784" spans="1:1" x14ac:dyDescent="0.25">
      <c r="A6784" t="str">
        <f t="shared" si="107"/>
        <v/>
      </c>
    </row>
    <row r="6785" spans="1:1" x14ac:dyDescent="0.25">
      <c r="A6785" t="str">
        <f t="shared" si="107"/>
        <v/>
      </c>
    </row>
    <row r="6786" spans="1:1" x14ac:dyDescent="0.25">
      <c r="A6786" t="str">
        <f t="shared" si="107"/>
        <v/>
      </c>
    </row>
    <row r="6787" spans="1:1" x14ac:dyDescent="0.25">
      <c r="A6787" t="str">
        <f t="shared" si="107"/>
        <v/>
      </c>
    </row>
    <row r="6788" spans="1:1" x14ac:dyDescent="0.25">
      <c r="A6788" t="str">
        <f t="shared" si="107"/>
        <v/>
      </c>
    </row>
    <row r="6789" spans="1:1" x14ac:dyDescent="0.25">
      <c r="A6789" t="str">
        <f t="shared" si="107"/>
        <v/>
      </c>
    </row>
    <row r="6790" spans="1:1" x14ac:dyDescent="0.25">
      <c r="A6790" t="str">
        <f t="shared" si="107"/>
        <v/>
      </c>
    </row>
    <row r="6791" spans="1:1" x14ac:dyDescent="0.25">
      <c r="A6791" t="str">
        <f t="shared" si="107"/>
        <v/>
      </c>
    </row>
    <row r="6792" spans="1:1" x14ac:dyDescent="0.25">
      <c r="A6792" t="str">
        <f t="shared" si="107"/>
        <v/>
      </c>
    </row>
    <row r="6793" spans="1:1" x14ac:dyDescent="0.25">
      <c r="A6793" t="str">
        <f t="shared" si="107"/>
        <v/>
      </c>
    </row>
    <row r="6794" spans="1:1" x14ac:dyDescent="0.25">
      <c r="A6794" t="str">
        <f t="shared" si="107"/>
        <v/>
      </c>
    </row>
    <row r="6795" spans="1:1" x14ac:dyDescent="0.25">
      <c r="A6795" t="str">
        <f t="shared" si="107"/>
        <v/>
      </c>
    </row>
    <row r="6796" spans="1:1" x14ac:dyDescent="0.25">
      <c r="A6796" t="str">
        <f t="shared" si="107"/>
        <v/>
      </c>
    </row>
    <row r="6797" spans="1:1" x14ac:dyDescent="0.25">
      <c r="A6797" t="str">
        <f t="shared" si="107"/>
        <v/>
      </c>
    </row>
    <row r="6798" spans="1:1" x14ac:dyDescent="0.25">
      <c r="A6798" t="str">
        <f t="shared" si="107"/>
        <v/>
      </c>
    </row>
    <row r="6799" spans="1:1" x14ac:dyDescent="0.25">
      <c r="A6799" t="str">
        <f t="shared" si="107"/>
        <v/>
      </c>
    </row>
    <row r="6800" spans="1:1" x14ac:dyDescent="0.25">
      <c r="A6800" t="str">
        <f t="shared" si="107"/>
        <v/>
      </c>
    </row>
    <row r="6801" spans="1:1" x14ac:dyDescent="0.25">
      <c r="A6801" t="str">
        <f t="shared" si="107"/>
        <v/>
      </c>
    </row>
    <row r="6802" spans="1:1" x14ac:dyDescent="0.25">
      <c r="A6802" t="str">
        <f t="shared" si="107"/>
        <v/>
      </c>
    </row>
    <row r="6803" spans="1:1" x14ac:dyDescent="0.25">
      <c r="A6803" t="str">
        <f t="shared" si="107"/>
        <v/>
      </c>
    </row>
    <row r="6804" spans="1:1" x14ac:dyDescent="0.25">
      <c r="A6804" t="str">
        <f t="shared" si="107"/>
        <v/>
      </c>
    </row>
    <row r="6805" spans="1:1" x14ac:dyDescent="0.25">
      <c r="A6805" t="str">
        <f t="shared" si="107"/>
        <v/>
      </c>
    </row>
    <row r="6806" spans="1:1" x14ac:dyDescent="0.25">
      <c r="A6806" t="str">
        <f t="shared" si="107"/>
        <v/>
      </c>
    </row>
    <row r="6807" spans="1:1" x14ac:dyDescent="0.25">
      <c r="A6807" t="str">
        <f t="shared" si="107"/>
        <v/>
      </c>
    </row>
    <row r="6808" spans="1:1" x14ac:dyDescent="0.25">
      <c r="A6808" t="str">
        <f t="shared" si="107"/>
        <v/>
      </c>
    </row>
    <row r="6809" spans="1:1" x14ac:dyDescent="0.25">
      <c r="A6809" t="str">
        <f t="shared" si="107"/>
        <v/>
      </c>
    </row>
    <row r="6810" spans="1:1" x14ac:dyDescent="0.25">
      <c r="A6810" t="str">
        <f t="shared" si="107"/>
        <v/>
      </c>
    </row>
    <row r="6811" spans="1:1" x14ac:dyDescent="0.25">
      <c r="A6811" t="str">
        <f t="shared" si="107"/>
        <v/>
      </c>
    </row>
    <row r="6812" spans="1:1" x14ac:dyDescent="0.25">
      <c r="A6812" t="str">
        <f t="shared" si="107"/>
        <v/>
      </c>
    </row>
    <row r="6813" spans="1:1" x14ac:dyDescent="0.25">
      <c r="A6813" t="str">
        <f t="shared" si="107"/>
        <v/>
      </c>
    </row>
    <row r="6814" spans="1:1" x14ac:dyDescent="0.25">
      <c r="A6814" t="str">
        <f t="shared" si="107"/>
        <v/>
      </c>
    </row>
    <row r="6815" spans="1:1" x14ac:dyDescent="0.25">
      <c r="A6815" t="str">
        <f t="shared" si="107"/>
        <v/>
      </c>
    </row>
    <row r="6816" spans="1:1" x14ac:dyDescent="0.25">
      <c r="A6816" t="str">
        <f t="shared" si="107"/>
        <v/>
      </c>
    </row>
    <row r="6817" spans="1:1" x14ac:dyDescent="0.25">
      <c r="A6817" t="str">
        <f t="shared" si="107"/>
        <v/>
      </c>
    </row>
    <row r="6818" spans="1:1" x14ac:dyDescent="0.25">
      <c r="A6818" t="str">
        <f t="shared" si="107"/>
        <v/>
      </c>
    </row>
    <row r="6819" spans="1:1" x14ac:dyDescent="0.25">
      <c r="A6819" t="str">
        <f t="shared" si="107"/>
        <v/>
      </c>
    </row>
    <row r="6820" spans="1:1" x14ac:dyDescent="0.25">
      <c r="A6820" t="str">
        <f t="shared" si="107"/>
        <v/>
      </c>
    </row>
    <row r="6821" spans="1:1" x14ac:dyDescent="0.25">
      <c r="A6821" t="str">
        <f t="shared" si="107"/>
        <v/>
      </c>
    </row>
    <row r="6822" spans="1:1" x14ac:dyDescent="0.25">
      <c r="A6822" t="str">
        <f t="shared" si="107"/>
        <v/>
      </c>
    </row>
    <row r="6823" spans="1:1" x14ac:dyDescent="0.25">
      <c r="A6823" t="str">
        <f t="shared" si="107"/>
        <v/>
      </c>
    </row>
    <row r="6824" spans="1:1" x14ac:dyDescent="0.25">
      <c r="A6824" t="str">
        <f t="shared" si="107"/>
        <v/>
      </c>
    </row>
    <row r="6825" spans="1:1" x14ac:dyDescent="0.25">
      <c r="A6825" t="str">
        <f t="shared" si="107"/>
        <v/>
      </c>
    </row>
    <row r="6826" spans="1:1" x14ac:dyDescent="0.25">
      <c r="A6826" t="str">
        <f t="shared" si="107"/>
        <v/>
      </c>
    </row>
    <row r="6827" spans="1:1" x14ac:dyDescent="0.25">
      <c r="A6827" t="str">
        <f t="shared" si="107"/>
        <v/>
      </c>
    </row>
    <row r="6828" spans="1:1" x14ac:dyDescent="0.25">
      <c r="A6828" t="str">
        <f t="shared" si="107"/>
        <v/>
      </c>
    </row>
    <row r="6829" spans="1:1" x14ac:dyDescent="0.25">
      <c r="A6829" t="str">
        <f t="shared" si="107"/>
        <v/>
      </c>
    </row>
    <row r="6830" spans="1:1" x14ac:dyDescent="0.25">
      <c r="A6830" t="str">
        <f t="shared" si="107"/>
        <v/>
      </c>
    </row>
    <row r="6831" spans="1:1" x14ac:dyDescent="0.25">
      <c r="A6831" t="str">
        <f t="shared" si="107"/>
        <v/>
      </c>
    </row>
    <row r="6832" spans="1:1" x14ac:dyDescent="0.25">
      <c r="A6832" t="str">
        <f t="shared" si="107"/>
        <v/>
      </c>
    </row>
    <row r="6833" spans="1:1" x14ac:dyDescent="0.25">
      <c r="A6833" t="str">
        <f t="shared" si="107"/>
        <v/>
      </c>
    </row>
    <row r="6834" spans="1:1" x14ac:dyDescent="0.25">
      <c r="A6834" t="str">
        <f t="shared" si="107"/>
        <v/>
      </c>
    </row>
    <row r="6835" spans="1:1" x14ac:dyDescent="0.25">
      <c r="A6835" t="str">
        <f t="shared" si="107"/>
        <v/>
      </c>
    </row>
    <row r="6836" spans="1:1" x14ac:dyDescent="0.25">
      <c r="A6836" t="str">
        <f t="shared" si="107"/>
        <v/>
      </c>
    </row>
    <row r="6837" spans="1:1" x14ac:dyDescent="0.25">
      <c r="A6837" t="str">
        <f t="shared" ref="A6837:A6900" si="108">B6835&amp;D6835</f>
        <v/>
      </c>
    </row>
    <row r="6838" spans="1:1" x14ac:dyDescent="0.25">
      <c r="A6838" t="str">
        <f t="shared" si="108"/>
        <v/>
      </c>
    </row>
    <row r="6839" spans="1:1" x14ac:dyDescent="0.25">
      <c r="A6839" t="str">
        <f t="shared" si="108"/>
        <v/>
      </c>
    </row>
    <row r="6840" spans="1:1" x14ac:dyDescent="0.25">
      <c r="A6840" t="str">
        <f t="shared" si="108"/>
        <v/>
      </c>
    </row>
    <row r="6841" spans="1:1" x14ac:dyDescent="0.25">
      <c r="A6841" t="str">
        <f t="shared" si="108"/>
        <v/>
      </c>
    </row>
    <row r="6842" spans="1:1" x14ac:dyDescent="0.25">
      <c r="A6842" t="str">
        <f t="shared" si="108"/>
        <v/>
      </c>
    </row>
    <row r="6843" spans="1:1" x14ac:dyDescent="0.25">
      <c r="A6843" t="str">
        <f t="shared" si="108"/>
        <v/>
      </c>
    </row>
    <row r="6844" spans="1:1" x14ac:dyDescent="0.25">
      <c r="A6844" t="str">
        <f t="shared" si="108"/>
        <v/>
      </c>
    </row>
    <row r="6845" spans="1:1" x14ac:dyDescent="0.25">
      <c r="A6845" t="str">
        <f t="shared" si="108"/>
        <v/>
      </c>
    </row>
    <row r="6846" spans="1:1" x14ac:dyDescent="0.25">
      <c r="A6846" t="str">
        <f t="shared" si="108"/>
        <v/>
      </c>
    </row>
    <row r="6847" spans="1:1" x14ac:dyDescent="0.25">
      <c r="A6847" t="str">
        <f t="shared" si="108"/>
        <v/>
      </c>
    </row>
    <row r="6848" spans="1:1" x14ac:dyDescent="0.25">
      <c r="A6848" t="str">
        <f t="shared" si="108"/>
        <v/>
      </c>
    </row>
    <row r="6849" spans="1:1" x14ac:dyDescent="0.25">
      <c r="A6849" t="str">
        <f t="shared" si="108"/>
        <v/>
      </c>
    </row>
    <row r="6850" spans="1:1" x14ac:dyDescent="0.25">
      <c r="A6850" t="str">
        <f t="shared" si="108"/>
        <v/>
      </c>
    </row>
    <row r="6851" spans="1:1" x14ac:dyDescent="0.25">
      <c r="A6851" t="str">
        <f t="shared" si="108"/>
        <v/>
      </c>
    </row>
    <row r="6852" spans="1:1" x14ac:dyDescent="0.25">
      <c r="A6852" t="str">
        <f t="shared" si="108"/>
        <v/>
      </c>
    </row>
    <row r="6853" spans="1:1" x14ac:dyDescent="0.25">
      <c r="A6853" t="str">
        <f t="shared" si="108"/>
        <v/>
      </c>
    </row>
    <row r="6854" spans="1:1" x14ac:dyDescent="0.25">
      <c r="A6854" t="str">
        <f t="shared" si="108"/>
        <v/>
      </c>
    </row>
    <row r="6855" spans="1:1" x14ac:dyDescent="0.25">
      <c r="A6855" t="str">
        <f t="shared" si="108"/>
        <v/>
      </c>
    </row>
    <row r="6856" spans="1:1" x14ac:dyDescent="0.25">
      <c r="A6856" t="str">
        <f t="shared" si="108"/>
        <v/>
      </c>
    </row>
    <row r="6857" spans="1:1" x14ac:dyDescent="0.25">
      <c r="A6857" t="str">
        <f t="shared" si="108"/>
        <v/>
      </c>
    </row>
    <row r="6858" spans="1:1" x14ac:dyDescent="0.25">
      <c r="A6858" t="str">
        <f t="shared" si="108"/>
        <v/>
      </c>
    </row>
    <row r="6859" spans="1:1" x14ac:dyDescent="0.25">
      <c r="A6859" t="str">
        <f t="shared" si="108"/>
        <v/>
      </c>
    </row>
    <row r="6860" spans="1:1" x14ac:dyDescent="0.25">
      <c r="A6860" t="str">
        <f t="shared" si="108"/>
        <v/>
      </c>
    </row>
    <row r="6861" spans="1:1" x14ac:dyDescent="0.25">
      <c r="A6861" t="str">
        <f t="shared" si="108"/>
        <v/>
      </c>
    </row>
    <row r="6862" spans="1:1" x14ac:dyDescent="0.25">
      <c r="A6862" t="str">
        <f t="shared" si="108"/>
        <v/>
      </c>
    </row>
    <row r="6863" spans="1:1" x14ac:dyDescent="0.25">
      <c r="A6863" t="str">
        <f t="shared" si="108"/>
        <v/>
      </c>
    </row>
    <row r="6864" spans="1:1" x14ac:dyDescent="0.25">
      <c r="A6864" t="str">
        <f t="shared" si="108"/>
        <v/>
      </c>
    </row>
    <row r="6865" spans="1:1" x14ac:dyDescent="0.25">
      <c r="A6865" t="str">
        <f t="shared" si="108"/>
        <v/>
      </c>
    </row>
    <row r="6866" spans="1:1" x14ac:dyDescent="0.25">
      <c r="A6866" t="str">
        <f t="shared" si="108"/>
        <v/>
      </c>
    </row>
    <row r="6867" spans="1:1" x14ac:dyDescent="0.25">
      <c r="A6867" t="str">
        <f t="shared" si="108"/>
        <v/>
      </c>
    </row>
    <row r="6868" spans="1:1" x14ac:dyDescent="0.25">
      <c r="A6868" t="str">
        <f t="shared" si="108"/>
        <v/>
      </c>
    </row>
    <row r="6869" spans="1:1" x14ac:dyDescent="0.25">
      <c r="A6869" t="str">
        <f t="shared" si="108"/>
        <v/>
      </c>
    </row>
    <row r="6870" spans="1:1" x14ac:dyDescent="0.25">
      <c r="A6870" t="str">
        <f t="shared" si="108"/>
        <v/>
      </c>
    </row>
    <row r="6871" spans="1:1" x14ac:dyDescent="0.25">
      <c r="A6871" t="str">
        <f t="shared" si="108"/>
        <v/>
      </c>
    </row>
    <row r="6872" spans="1:1" x14ac:dyDescent="0.25">
      <c r="A6872" t="str">
        <f t="shared" si="108"/>
        <v/>
      </c>
    </row>
    <row r="6873" spans="1:1" x14ac:dyDescent="0.25">
      <c r="A6873" t="str">
        <f t="shared" si="108"/>
        <v/>
      </c>
    </row>
    <row r="6874" spans="1:1" x14ac:dyDescent="0.25">
      <c r="A6874" t="str">
        <f t="shared" si="108"/>
        <v/>
      </c>
    </row>
    <row r="6875" spans="1:1" x14ac:dyDescent="0.25">
      <c r="A6875" t="str">
        <f t="shared" si="108"/>
        <v/>
      </c>
    </row>
    <row r="6876" spans="1:1" x14ac:dyDescent="0.25">
      <c r="A6876" t="str">
        <f t="shared" si="108"/>
        <v/>
      </c>
    </row>
    <row r="6877" spans="1:1" x14ac:dyDescent="0.25">
      <c r="A6877" t="str">
        <f t="shared" si="108"/>
        <v/>
      </c>
    </row>
    <row r="6878" spans="1:1" x14ac:dyDescent="0.25">
      <c r="A6878" t="str">
        <f t="shared" si="108"/>
        <v/>
      </c>
    </row>
    <row r="6879" spans="1:1" x14ac:dyDescent="0.25">
      <c r="A6879" t="str">
        <f t="shared" si="108"/>
        <v/>
      </c>
    </row>
    <row r="6880" spans="1:1" x14ac:dyDescent="0.25">
      <c r="A6880" t="str">
        <f t="shared" si="108"/>
        <v/>
      </c>
    </row>
    <row r="6881" spans="1:1" x14ac:dyDescent="0.25">
      <c r="A6881" t="str">
        <f t="shared" si="108"/>
        <v/>
      </c>
    </row>
    <row r="6882" spans="1:1" x14ac:dyDescent="0.25">
      <c r="A6882" t="str">
        <f t="shared" si="108"/>
        <v/>
      </c>
    </row>
    <row r="6883" spans="1:1" x14ac:dyDescent="0.25">
      <c r="A6883" t="str">
        <f t="shared" si="108"/>
        <v/>
      </c>
    </row>
    <row r="6884" spans="1:1" x14ac:dyDescent="0.25">
      <c r="A6884" t="str">
        <f t="shared" si="108"/>
        <v/>
      </c>
    </row>
    <row r="6885" spans="1:1" x14ac:dyDescent="0.25">
      <c r="A6885" t="str">
        <f t="shared" si="108"/>
        <v/>
      </c>
    </row>
    <row r="6886" spans="1:1" x14ac:dyDescent="0.25">
      <c r="A6886" t="str">
        <f t="shared" si="108"/>
        <v/>
      </c>
    </row>
    <row r="6887" spans="1:1" x14ac:dyDescent="0.25">
      <c r="A6887" t="str">
        <f t="shared" si="108"/>
        <v/>
      </c>
    </row>
    <row r="6888" spans="1:1" x14ac:dyDescent="0.25">
      <c r="A6888" t="str">
        <f t="shared" si="108"/>
        <v/>
      </c>
    </row>
    <row r="6889" spans="1:1" x14ac:dyDescent="0.25">
      <c r="A6889" t="str">
        <f t="shared" si="108"/>
        <v/>
      </c>
    </row>
    <row r="6890" spans="1:1" x14ac:dyDescent="0.25">
      <c r="A6890" t="str">
        <f t="shared" si="108"/>
        <v/>
      </c>
    </row>
    <row r="6891" spans="1:1" x14ac:dyDescent="0.25">
      <c r="A6891" t="str">
        <f t="shared" si="108"/>
        <v/>
      </c>
    </row>
    <row r="6892" spans="1:1" x14ac:dyDescent="0.25">
      <c r="A6892" t="str">
        <f t="shared" si="108"/>
        <v/>
      </c>
    </row>
    <row r="6893" spans="1:1" x14ac:dyDescent="0.25">
      <c r="A6893" t="str">
        <f t="shared" si="108"/>
        <v/>
      </c>
    </row>
    <row r="6894" spans="1:1" x14ac:dyDescent="0.25">
      <c r="A6894" t="str">
        <f t="shared" si="108"/>
        <v/>
      </c>
    </row>
    <row r="6895" spans="1:1" x14ac:dyDescent="0.25">
      <c r="A6895" t="str">
        <f t="shared" si="108"/>
        <v/>
      </c>
    </row>
    <row r="6896" spans="1:1" x14ac:dyDescent="0.25">
      <c r="A6896" t="str">
        <f t="shared" si="108"/>
        <v/>
      </c>
    </row>
    <row r="6897" spans="1:1" x14ac:dyDescent="0.25">
      <c r="A6897" t="str">
        <f t="shared" si="108"/>
        <v/>
      </c>
    </row>
    <row r="6898" spans="1:1" x14ac:dyDescent="0.25">
      <c r="A6898" t="str">
        <f t="shared" si="108"/>
        <v/>
      </c>
    </row>
    <row r="6899" spans="1:1" x14ac:dyDescent="0.25">
      <c r="A6899" t="str">
        <f t="shared" si="108"/>
        <v/>
      </c>
    </row>
    <row r="6900" spans="1:1" x14ac:dyDescent="0.25">
      <c r="A6900" t="str">
        <f t="shared" si="108"/>
        <v/>
      </c>
    </row>
    <row r="6901" spans="1:1" x14ac:dyDescent="0.25">
      <c r="A6901" t="str">
        <f t="shared" ref="A6901:A6964" si="109">B6899&amp;D6899</f>
        <v/>
      </c>
    </row>
    <row r="6902" spans="1:1" x14ac:dyDescent="0.25">
      <c r="A6902" t="str">
        <f t="shared" si="109"/>
        <v/>
      </c>
    </row>
    <row r="6903" spans="1:1" x14ac:dyDescent="0.25">
      <c r="A6903" t="str">
        <f t="shared" si="109"/>
        <v/>
      </c>
    </row>
    <row r="6904" spans="1:1" x14ac:dyDescent="0.25">
      <c r="A6904" t="str">
        <f t="shared" si="109"/>
        <v/>
      </c>
    </row>
    <row r="6905" spans="1:1" x14ac:dyDescent="0.25">
      <c r="A6905" t="str">
        <f t="shared" si="109"/>
        <v/>
      </c>
    </row>
    <row r="6906" spans="1:1" x14ac:dyDescent="0.25">
      <c r="A6906" t="str">
        <f t="shared" si="109"/>
        <v/>
      </c>
    </row>
    <row r="6907" spans="1:1" x14ac:dyDescent="0.25">
      <c r="A6907" t="str">
        <f t="shared" si="109"/>
        <v/>
      </c>
    </row>
    <row r="6908" spans="1:1" x14ac:dyDescent="0.25">
      <c r="A6908" t="str">
        <f t="shared" si="109"/>
        <v/>
      </c>
    </row>
    <row r="6909" spans="1:1" x14ac:dyDescent="0.25">
      <c r="A6909" t="str">
        <f t="shared" si="109"/>
        <v/>
      </c>
    </row>
    <row r="6910" spans="1:1" x14ac:dyDescent="0.25">
      <c r="A6910" t="str">
        <f t="shared" si="109"/>
        <v/>
      </c>
    </row>
    <row r="6911" spans="1:1" x14ac:dyDescent="0.25">
      <c r="A6911" t="str">
        <f t="shared" si="109"/>
        <v/>
      </c>
    </row>
    <row r="6912" spans="1:1" x14ac:dyDescent="0.25">
      <c r="A6912" t="str">
        <f t="shared" si="109"/>
        <v/>
      </c>
    </row>
    <row r="6913" spans="1:1" x14ac:dyDescent="0.25">
      <c r="A6913" t="str">
        <f t="shared" si="109"/>
        <v/>
      </c>
    </row>
    <row r="6914" spans="1:1" x14ac:dyDescent="0.25">
      <c r="A6914" t="str">
        <f t="shared" si="109"/>
        <v/>
      </c>
    </row>
    <row r="6915" spans="1:1" x14ac:dyDescent="0.25">
      <c r="A6915" t="str">
        <f t="shared" si="109"/>
        <v/>
      </c>
    </row>
    <row r="6916" spans="1:1" x14ac:dyDescent="0.25">
      <c r="A6916" t="str">
        <f t="shared" si="109"/>
        <v/>
      </c>
    </row>
    <row r="6917" spans="1:1" x14ac:dyDescent="0.25">
      <c r="A6917" t="str">
        <f t="shared" si="109"/>
        <v/>
      </c>
    </row>
    <row r="6918" spans="1:1" x14ac:dyDescent="0.25">
      <c r="A6918" t="str">
        <f t="shared" si="109"/>
        <v/>
      </c>
    </row>
    <row r="6919" spans="1:1" x14ac:dyDescent="0.25">
      <c r="A6919" t="str">
        <f t="shared" si="109"/>
        <v/>
      </c>
    </row>
    <row r="6920" spans="1:1" x14ac:dyDescent="0.25">
      <c r="A6920" t="str">
        <f t="shared" si="109"/>
        <v/>
      </c>
    </row>
    <row r="6921" spans="1:1" x14ac:dyDescent="0.25">
      <c r="A6921" t="str">
        <f t="shared" si="109"/>
        <v/>
      </c>
    </row>
    <row r="6922" spans="1:1" x14ac:dyDescent="0.25">
      <c r="A6922" t="str">
        <f t="shared" si="109"/>
        <v/>
      </c>
    </row>
    <row r="6923" spans="1:1" x14ac:dyDescent="0.25">
      <c r="A6923" t="str">
        <f t="shared" si="109"/>
        <v/>
      </c>
    </row>
    <row r="6924" spans="1:1" x14ac:dyDescent="0.25">
      <c r="A6924" t="str">
        <f t="shared" si="109"/>
        <v/>
      </c>
    </row>
    <row r="6925" spans="1:1" x14ac:dyDescent="0.25">
      <c r="A6925" t="str">
        <f t="shared" si="109"/>
        <v/>
      </c>
    </row>
    <row r="6926" spans="1:1" x14ac:dyDescent="0.25">
      <c r="A6926" t="str">
        <f t="shared" si="109"/>
        <v/>
      </c>
    </row>
    <row r="6927" spans="1:1" x14ac:dyDescent="0.25">
      <c r="A6927" t="str">
        <f t="shared" si="109"/>
        <v/>
      </c>
    </row>
    <row r="6928" spans="1:1" x14ac:dyDescent="0.25">
      <c r="A6928" t="str">
        <f t="shared" si="109"/>
        <v/>
      </c>
    </row>
    <row r="6929" spans="1:1" x14ac:dyDescent="0.25">
      <c r="A6929" t="str">
        <f t="shared" si="109"/>
        <v/>
      </c>
    </row>
    <row r="6930" spans="1:1" x14ac:dyDescent="0.25">
      <c r="A6930" t="str">
        <f t="shared" si="109"/>
        <v/>
      </c>
    </row>
    <row r="6931" spans="1:1" x14ac:dyDescent="0.25">
      <c r="A6931" t="str">
        <f t="shared" si="109"/>
        <v/>
      </c>
    </row>
    <row r="6932" spans="1:1" x14ac:dyDescent="0.25">
      <c r="A6932" t="str">
        <f t="shared" si="109"/>
        <v/>
      </c>
    </row>
    <row r="6933" spans="1:1" x14ac:dyDescent="0.25">
      <c r="A6933" t="str">
        <f t="shared" si="109"/>
        <v/>
      </c>
    </row>
    <row r="6934" spans="1:1" x14ac:dyDescent="0.25">
      <c r="A6934" t="str">
        <f t="shared" si="109"/>
        <v/>
      </c>
    </row>
    <row r="6935" spans="1:1" x14ac:dyDescent="0.25">
      <c r="A6935" t="str">
        <f t="shared" si="109"/>
        <v/>
      </c>
    </row>
    <row r="6936" spans="1:1" x14ac:dyDescent="0.25">
      <c r="A6936" t="str">
        <f t="shared" si="109"/>
        <v/>
      </c>
    </row>
    <row r="6937" spans="1:1" x14ac:dyDescent="0.25">
      <c r="A6937" t="str">
        <f t="shared" si="109"/>
        <v/>
      </c>
    </row>
    <row r="6938" spans="1:1" x14ac:dyDescent="0.25">
      <c r="A6938" t="str">
        <f t="shared" si="109"/>
        <v/>
      </c>
    </row>
    <row r="6939" spans="1:1" x14ac:dyDescent="0.25">
      <c r="A6939" t="str">
        <f t="shared" si="109"/>
        <v/>
      </c>
    </row>
    <row r="6940" spans="1:1" x14ac:dyDescent="0.25">
      <c r="A6940" t="str">
        <f t="shared" si="109"/>
        <v/>
      </c>
    </row>
    <row r="6941" spans="1:1" x14ac:dyDescent="0.25">
      <c r="A6941" t="str">
        <f t="shared" si="109"/>
        <v/>
      </c>
    </row>
    <row r="6942" spans="1:1" x14ac:dyDescent="0.25">
      <c r="A6942" t="str">
        <f t="shared" si="109"/>
        <v/>
      </c>
    </row>
    <row r="6943" spans="1:1" x14ac:dyDescent="0.25">
      <c r="A6943" t="str">
        <f t="shared" si="109"/>
        <v/>
      </c>
    </row>
    <row r="6944" spans="1:1" x14ac:dyDescent="0.25">
      <c r="A6944" t="str">
        <f t="shared" si="109"/>
        <v/>
      </c>
    </row>
    <row r="6945" spans="1:1" x14ac:dyDescent="0.25">
      <c r="A6945" t="str">
        <f t="shared" si="109"/>
        <v/>
      </c>
    </row>
    <row r="6946" spans="1:1" x14ac:dyDescent="0.25">
      <c r="A6946" t="str">
        <f t="shared" si="109"/>
        <v/>
      </c>
    </row>
    <row r="6947" spans="1:1" x14ac:dyDescent="0.25">
      <c r="A6947" t="str">
        <f t="shared" si="109"/>
        <v/>
      </c>
    </row>
    <row r="6948" spans="1:1" x14ac:dyDescent="0.25">
      <c r="A6948" t="str">
        <f t="shared" si="109"/>
        <v/>
      </c>
    </row>
    <row r="6949" spans="1:1" x14ac:dyDescent="0.25">
      <c r="A6949" t="str">
        <f t="shared" si="109"/>
        <v/>
      </c>
    </row>
    <row r="6950" spans="1:1" x14ac:dyDescent="0.25">
      <c r="A6950" t="str">
        <f t="shared" si="109"/>
        <v/>
      </c>
    </row>
    <row r="6951" spans="1:1" x14ac:dyDescent="0.25">
      <c r="A6951" t="str">
        <f t="shared" si="109"/>
        <v/>
      </c>
    </row>
    <row r="6952" spans="1:1" x14ac:dyDescent="0.25">
      <c r="A6952" t="str">
        <f t="shared" si="109"/>
        <v/>
      </c>
    </row>
    <row r="6953" spans="1:1" x14ac:dyDescent="0.25">
      <c r="A6953" t="str">
        <f t="shared" si="109"/>
        <v/>
      </c>
    </row>
    <row r="6954" spans="1:1" x14ac:dyDescent="0.25">
      <c r="A6954" t="str">
        <f t="shared" si="109"/>
        <v/>
      </c>
    </row>
    <row r="6955" spans="1:1" x14ac:dyDescent="0.25">
      <c r="A6955" t="str">
        <f t="shared" si="109"/>
        <v/>
      </c>
    </row>
    <row r="6956" spans="1:1" x14ac:dyDescent="0.25">
      <c r="A6956" t="str">
        <f t="shared" si="109"/>
        <v/>
      </c>
    </row>
    <row r="6957" spans="1:1" x14ac:dyDescent="0.25">
      <c r="A6957" t="str">
        <f t="shared" si="109"/>
        <v/>
      </c>
    </row>
    <row r="6958" spans="1:1" x14ac:dyDescent="0.25">
      <c r="A6958" t="str">
        <f t="shared" si="109"/>
        <v/>
      </c>
    </row>
    <row r="6959" spans="1:1" x14ac:dyDescent="0.25">
      <c r="A6959" t="str">
        <f t="shared" si="109"/>
        <v/>
      </c>
    </row>
    <row r="6960" spans="1:1" x14ac:dyDescent="0.25">
      <c r="A6960" t="str">
        <f t="shared" si="109"/>
        <v/>
      </c>
    </row>
    <row r="6961" spans="1:1" x14ac:dyDescent="0.25">
      <c r="A6961" t="str">
        <f t="shared" si="109"/>
        <v/>
      </c>
    </row>
    <row r="6962" spans="1:1" x14ac:dyDescent="0.25">
      <c r="A6962" t="str">
        <f t="shared" si="109"/>
        <v/>
      </c>
    </row>
    <row r="6963" spans="1:1" x14ac:dyDescent="0.25">
      <c r="A6963" t="str">
        <f t="shared" si="109"/>
        <v/>
      </c>
    </row>
    <row r="6964" spans="1:1" x14ac:dyDescent="0.25">
      <c r="A6964" t="str">
        <f t="shared" si="109"/>
        <v/>
      </c>
    </row>
    <row r="6965" spans="1:1" x14ac:dyDescent="0.25">
      <c r="A6965" t="str">
        <f t="shared" ref="A6965:A7028" si="110">B6963&amp;D6963</f>
        <v/>
      </c>
    </row>
    <row r="6966" spans="1:1" x14ac:dyDescent="0.25">
      <c r="A6966" t="str">
        <f t="shared" si="110"/>
        <v/>
      </c>
    </row>
    <row r="6967" spans="1:1" x14ac:dyDescent="0.25">
      <c r="A6967" t="str">
        <f t="shared" si="110"/>
        <v/>
      </c>
    </row>
    <row r="6968" spans="1:1" x14ac:dyDescent="0.25">
      <c r="A6968" t="str">
        <f t="shared" si="110"/>
        <v/>
      </c>
    </row>
    <row r="6969" spans="1:1" x14ac:dyDescent="0.25">
      <c r="A6969" t="str">
        <f t="shared" si="110"/>
        <v/>
      </c>
    </row>
    <row r="6970" spans="1:1" x14ac:dyDescent="0.25">
      <c r="A6970" t="str">
        <f t="shared" si="110"/>
        <v/>
      </c>
    </row>
    <row r="6971" spans="1:1" x14ac:dyDescent="0.25">
      <c r="A6971" t="str">
        <f t="shared" si="110"/>
        <v/>
      </c>
    </row>
    <row r="6972" spans="1:1" x14ac:dyDescent="0.25">
      <c r="A6972" t="str">
        <f t="shared" si="110"/>
        <v/>
      </c>
    </row>
    <row r="6973" spans="1:1" x14ac:dyDescent="0.25">
      <c r="A6973" t="str">
        <f t="shared" si="110"/>
        <v/>
      </c>
    </row>
    <row r="6974" spans="1:1" x14ac:dyDescent="0.25">
      <c r="A6974" t="str">
        <f t="shared" si="110"/>
        <v/>
      </c>
    </row>
    <row r="6975" spans="1:1" x14ac:dyDescent="0.25">
      <c r="A6975" t="str">
        <f t="shared" si="110"/>
        <v/>
      </c>
    </row>
    <row r="6976" spans="1:1" x14ac:dyDescent="0.25">
      <c r="A6976" t="str">
        <f t="shared" si="110"/>
        <v/>
      </c>
    </row>
    <row r="6977" spans="1:1" x14ac:dyDescent="0.25">
      <c r="A6977" t="str">
        <f t="shared" si="110"/>
        <v/>
      </c>
    </row>
    <row r="6978" spans="1:1" x14ac:dyDescent="0.25">
      <c r="A6978" t="str">
        <f t="shared" si="110"/>
        <v/>
      </c>
    </row>
    <row r="6979" spans="1:1" x14ac:dyDescent="0.25">
      <c r="A6979" t="str">
        <f t="shared" si="110"/>
        <v/>
      </c>
    </row>
    <row r="6980" spans="1:1" x14ac:dyDescent="0.25">
      <c r="A6980" t="str">
        <f t="shared" si="110"/>
        <v/>
      </c>
    </row>
    <row r="6981" spans="1:1" x14ac:dyDescent="0.25">
      <c r="A6981" t="str">
        <f t="shared" si="110"/>
        <v/>
      </c>
    </row>
    <row r="6982" spans="1:1" x14ac:dyDescent="0.25">
      <c r="A6982" t="str">
        <f t="shared" si="110"/>
        <v/>
      </c>
    </row>
    <row r="6983" spans="1:1" x14ac:dyDescent="0.25">
      <c r="A6983" t="str">
        <f t="shared" si="110"/>
        <v/>
      </c>
    </row>
    <row r="6984" spans="1:1" x14ac:dyDescent="0.25">
      <c r="A6984" t="str">
        <f t="shared" si="110"/>
        <v/>
      </c>
    </row>
    <row r="6985" spans="1:1" x14ac:dyDescent="0.25">
      <c r="A6985" t="str">
        <f t="shared" si="110"/>
        <v/>
      </c>
    </row>
    <row r="6986" spans="1:1" x14ac:dyDescent="0.25">
      <c r="A6986" t="str">
        <f t="shared" si="110"/>
        <v/>
      </c>
    </row>
    <row r="6987" spans="1:1" x14ac:dyDescent="0.25">
      <c r="A6987" t="str">
        <f t="shared" si="110"/>
        <v/>
      </c>
    </row>
    <row r="6988" spans="1:1" x14ac:dyDescent="0.25">
      <c r="A6988" t="str">
        <f t="shared" si="110"/>
        <v/>
      </c>
    </row>
    <row r="6989" spans="1:1" x14ac:dyDescent="0.25">
      <c r="A6989" t="str">
        <f t="shared" si="110"/>
        <v/>
      </c>
    </row>
    <row r="6990" spans="1:1" x14ac:dyDescent="0.25">
      <c r="A6990" t="str">
        <f t="shared" si="110"/>
        <v/>
      </c>
    </row>
    <row r="6991" spans="1:1" x14ac:dyDescent="0.25">
      <c r="A6991" t="str">
        <f t="shared" si="110"/>
        <v/>
      </c>
    </row>
    <row r="6992" spans="1:1" x14ac:dyDescent="0.25">
      <c r="A6992" t="str">
        <f t="shared" si="110"/>
        <v/>
      </c>
    </row>
    <row r="6993" spans="1:1" x14ac:dyDescent="0.25">
      <c r="A6993" t="str">
        <f t="shared" si="110"/>
        <v/>
      </c>
    </row>
    <row r="6994" spans="1:1" x14ac:dyDescent="0.25">
      <c r="A6994" t="str">
        <f t="shared" si="110"/>
        <v/>
      </c>
    </row>
    <row r="6995" spans="1:1" x14ac:dyDescent="0.25">
      <c r="A6995" t="str">
        <f t="shared" si="110"/>
        <v/>
      </c>
    </row>
    <row r="6996" spans="1:1" x14ac:dyDescent="0.25">
      <c r="A6996" t="str">
        <f t="shared" si="110"/>
        <v/>
      </c>
    </row>
    <row r="6997" spans="1:1" x14ac:dyDescent="0.25">
      <c r="A6997" t="str">
        <f t="shared" si="110"/>
        <v/>
      </c>
    </row>
    <row r="6998" spans="1:1" x14ac:dyDescent="0.25">
      <c r="A6998" t="str">
        <f t="shared" si="110"/>
        <v/>
      </c>
    </row>
    <row r="6999" spans="1:1" x14ac:dyDescent="0.25">
      <c r="A6999" t="str">
        <f t="shared" si="110"/>
        <v/>
      </c>
    </row>
    <row r="7000" spans="1:1" x14ac:dyDescent="0.25">
      <c r="A7000" t="str">
        <f t="shared" si="110"/>
        <v/>
      </c>
    </row>
    <row r="7001" spans="1:1" x14ac:dyDescent="0.25">
      <c r="A7001" t="str">
        <f t="shared" si="110"/>
        <v/>
      </c>
    </row>
    <row r="7002" spans="1:1" x14ac:dyDescent="0.25">
      <c r="A7002" t="str">
        <f t="shared" si="110"/>
        <v/>
      </c>
    </row>
    <row r="7003" spans="1:1" x14ac:dyDescent="0.25">
      <c r="A7003" t="str">
        <f t="shared" si="110"/>
        <v/>
      </c>
    </row>
    <row r="7004" spans="1:1" x14ac:dyDescent="0.25">
      <c r="A7004" t="str">
        <f t="shared" si="110"/>
        <v/>
      </c>
    </row>
    <row r="7005" spans="1:1" x14ac:dyDescent="0.25">
      <c r="A7005" t="str">
        <f t="shared" si="110"/>
        <v/>
      </c>
    </row>
    <row r="7006" spans="1:1" x14ac:dyDescent="0.25">
      <c r="A7006" t="str">
        <f t="shared" si="110"/>
        <v/>
      </c>
    </row>
    <row r="7007" spans="1:1" x14ac:dyDescent="0.25">
      <c r="A7007" t="str">
        <f t="shared" si="110"/>
        <v/>
      </c>
    </row>
    <row r="7008" spans="1:1" x14ac:dyDescent="0.25">
      <c r="A7008" t="str">
        <f t="shared" si="110"/>
        <v/>
      </c>
    </row>
    <row r="7009" spans="1:1" x14ac:dyDescent="0.25">
      <c r="A7009" t="str">
        <f t="shared" si="110"/>
        <v/>
      </c>
    </row>
    <row r="7010" spans="1:1" x14ac:dyDescent="0.25">
      <c r="A7010" t="str">
        <f t="shared" si="110"/>
        <v/>
      </c>
    </row>
    <row r="7011" spans="1:1" x14ac:dyDescent="0.25">
      <c r="A7011" t="str">
        <f t="shared" si="110"/>
        <v/>
      </c>
    </row>
    <row r="7012" spans="1:1" x14ac:dyDescent="0.25">
      <c r="A7012" t="str">
        <f t="shared" si="110"/>
        <v/>
      </c>
    </row>
    <row r="7013" spans="1:1" x14ac:dyDescent="0.25">
      <c r="A7013" t="str">
        <f t="shared" si="110"/>
        <v/>
      </c>
    </row>
    <row r="7014" spans="1:1" x14ac:dyDescent="0.25">
      <c r="A7014" t="str">
        <f t="shared" si="110"/>
        <v/>
      </c>
    </row>
    <row r="7015" spans="1:1" x14ac:dyDescent="0.25">
      <c r="A7015" t="str">
        <f t="shared" si="110"/>
        <v/>
      </c>
    </row>
    <row r="7016" spans="1:1" x14ac:dyDescent="0.25">
      <c r="A7016" t="str">
        <f t="shared" si="110"/>
        <v/>
      </c>
    </row>
    <row r="7017" spans="1:1" x14ac:dyDescent="0.25">
      <c r="A7017" t="str">
        <f t="shared" si="110"/>
        <v/>
      </c>
    </row>
    <row r="7018" spans="1:1" x14ac:dyDescent="0.25">
      <c r="A7018" t="str">
        <f t="shared" si="110"/>
        <v/>
      </c>
    </row>
    <row r="7019" spans="1:1" x14ac:dyDescent="0.25">
      <c r="A7019" t="str">
        <f t="shared" si="110"/>
        <v/>
      </c>
    </row>
    <row r="7020" spans="1:1" x14ac:dyDescent="0.25">
      <c r="A7020" t="str">
        <f t="shared" si="110"/>
        <v/>
      </c>
    </row>
    <row r="7021" spans="1:1" x14ac:dyDescent="0.25">
      <c r="A7021" t="str">
        <f t="shared" si="110"/>
        <v/>
      </c>
    </row>
    <row r="7022" spans="1:1" x14ac:dyDescent="0.25">
      <c r="A7022" t="str">
        <f t="shared" si="110"/>
        <v/>
      </c>
    </row>
    <row r="7023" spans="1:1" x14ac:dyDescent="0.25">
      <c r="A7023" t="str">
        <f t="shared" si="110"/>
        <v/>
      </c>
    </row>
    <row r="7024" spans="1:1" x14ac:dyDescent="0.25">
      <c r="A7024" t="str">
        <f t="shared" si="110"/>
        <v/>
      </c>
    </row>
    <row r="7025" spans="1:1" x14ac:dyDescent="0.25">
      <c r="A7025" t="str">
        <f t="shared" si="110"/>
        <v/>
      </c>
    </row>
    <row r="7026" spans="1:1" x14ac:dyDescent="0.25">
      <c r="A7026" t="str">
        <f t="shared" si="110"/>
        <v/>
      </c>
    </row>
    <row r="7027" spans="1:1" x14ac:dyDescent="0.25">
      <c r="A7027" t="str">
        <f t="shared" si="110"/>
        <v/>
      </c>
    </row>
    <row r="7028" spans="1:1" x14ac:dyDescent="0.25">
      <c r="A7028" t="str">
        <f t="shared" si="110"/>
        <v/>
      </c>
    </row>
    <row r="7029" spans="1:1" x14ac:dyDescent="0.25">
      <c r="A7029" t="str">
        <f t="shared" ref="A7029:A7092" si="111">B7027&amp;D7027</f>
        <v/>
      </c>
    </row>
    <row r="7030" spans="1:1" x14ac:dyDescent="0.25">
      <c r="A7030" t="str">
        <f t="shared" si="111"/>
        <v/>
      </c>
    </row>
    <row r="7031" spans="1:1" x14ac:dyDescent="0.25">
      <c r="A7031" t="str">
        <f t="shared" si="111"/>
        <v/>
      </c>
    </row>
    <row r="7032" spans="1:1" x14ac:dyDescent="0.25">
      <c r="A7032" t="str">
        <f t="shared" si="111"/>
        <v/>
      </c>
    </row>
    <row r="7033" spans="1:1" x14ac:dyDescent="0.25">
      <c r="A7033" t="str">
        <f t="shared" si="111"/>
        <v/>
      </c>
    </row>
    <row r="7034" spans="1:1" x14ac:dyDescent="0.25">
      <c r="A7034" t="str">
        <f t="shared" si="111"/>
        <v/>
      </c>
    </row>
    <row r="7035" spans="1:1" x14ac:dyDescent="0.25">
      <c r="A7035" t="str">
        <f t="shared" si="111"/>
        <v/>
      </c>
    </row>
    <row r="7036" spans="1:1" x14ac:dyDescent="0.25">
      <c r="A7036" t="str">
        <f t="shared" si="111"/>
        <v/>
      </c>
    </row>
    <row r="7037" spans="1:1" x14ac:dyDescent="0.25">
      <c r="A7037" t="str">
        <f t="shared" si="111"/>
        <v/>
      </c>
    </row>
    <row r="7038" spans="1:1" x14ac:dyDescent="0.25">
      <c r="A7038" t="str">
        <f t="shared" si="111"/>
        <v/>
      </c>
    </row>
    <row r="7039" spans="1:1" x14ac:dyDescent="0.25">
      <c r="A7039" t="str">
        <f t="shared" si="111"/>
        <v/>
      </c>
    </row>
    <row r="7040" spans="1:1" x14ac:dyDescent="0.25">
      <c r="A7040" t="str">
        <f t="shared" si="111"/>
        <v/>
      </c>
    </row>
    <row r="7041" spans="1:1" x14ac:dyDescent="0.25">
      <c r="A7041" t="str">
        <f t="shared" si="111"/>
        <v/>
      </c>
    </row>
    <row r="7042" spans="1:1" x14ac:dyDescent="0.25">
      <c r="A7042" t="str">
        <f t="shared" si="111"/>
        <v/>
      </c>
    </row>
    <row r="7043" spans="1:1" x14ac:dyDescent="0.25">
      <c r="A7043" t="str">
        <f t="shared" si="111"/>
        <v/>
      </c>
    </row>
    <row r="7044" spans="1:1" x14ac:dyDescent="0.25">
      <c r="A7044" t="str">
        <f t="shared" si="111"/>
        <v/>
      </c>
    </row>
    <row r="7045" spans="1:1" x14ac:dyDescent="0.25">
      <c r="A7045" t="str">
        <f t="shared" si="111"/>
        <v/>
      </c>
    </row>
    <row r="7046" spans="1:1" x14ac:dyDescent="0.25">
      <c r="A7046" t="str">
        <f t="shared" si="111"/>
        <v/>
      </c>
    </row>
    <row r="7047" spans="1:1" x14ac:dyDescent="0.25">
      <c r="A7047" t="str">
        <f t="shared" si="111"/>
        <v/>
      </c>
    </row>
    <row r="7048" spans="1:1" x14ac:dyDescent="0.25">
      <c r="A7048" t="str">
        <f t="shared" si="111"/>
        <v/>
      </c>
    </row>
    <row r="7049" spans="1:1" x14ac:dyDescent="0.25">
      <c r="A7049" t="str">
        <f t="shared" si="111"/>
        <v/>
      </c>
    </row>
    <row r="7050" spans="1:1" x14ac:dyDescent="0.25">
      <c r="A7050" t="str">
        <f t="shared" si="111"/>
        <v/>
      </c>
    </row>
    <row r="7051" spans="1:1" x14ac:dyDescent="0.25">
      <c r="A7051" t="str">
        <f t="shared" si="111"/>
        <v/>
      </c>
    </row>
    <row r="7052" spans="1:1" x14ac:dyDescent="0.25">
      <c r="A7052" t="str">
        <f t="shared" si="111"/>
        <v/>
      </c>
    </row>
    <row r="7053" spans="1:1" x14ac:dyDescent="0.25">
      <c r="A7053" t="str">
        <f t="shared" si="111"/>
        <v/>
      </c>
    </row>
    <row r="7054" spans="1:1" x14ac:dyDescent="0.25">
      <c r="A7054" t="str">
        <f t="shared" si="111"/>
        <v/>
      </c>
    </row>
    <row r="7055" spans="1:1" x14ac:dyDescent="0.25">
      <c r="A7055" t="str">
        <f t="shared" si="111"/>
        <v/>
      </c>
    </row>
    <row r="7056" spans="1:1" x14ac:dyDescent="0.25">
      <c r="A7056" t="str">
        <f t="shared" si="111"/>
        <v/>
      </c>
    </row>
    <row r="7057" spans="1:1" x14ac:dyDescent="0.25">
      <c r="A7057" t="str">
        <f t="shared" si="111"/>
        <v/>
      </c>
    </row>
    <row r="7058" spans="1:1" x14ac:dyDescent="0.25">
      <c r="A7058" t="str">
        <f t="shared" si="111"/>
        <v/>
      </c>
    </row>
    <row r="7059" spans="1:1" x14ac:dyDescent="0.25">
      <c r="A7059" t="str">
        <f t="shared" si="111"/>
        <v/>
      </c>
    </row>
    <row r="7060" spans="1:1" x14ac:dyDescent="0.25">
      <c r="A7060" t="str">
        <f t="shared" si="111"/>
        <v/>
      </c>
    </row>
    <row r="7061" spans="1:1" x14ac:dyDescent="0.25">
      <c r="A7061" t="str">
        <f t="shared" si="111"/>
        <v/>
      </c>
    </row>
    <row r="7062" spans="1:1" x14ac:dyDescent="0.25">
      <c r="A7062" t="str">
        <f t="shared" si="111"/>
        <v/>
      </c>
    </row>
    <row r="7063" spans="1:1" x14ac:dyDescent="0.25">
      <c r="A7063" t="str">
        <f t="shared" si="111"/>
        <v/>
      </c>
    </row>
    <row r="7064" spans="1:1" x14ac:dyDescent="0.25">
      <c r="A7064" t="str">
        <f t="shared" si="111"/>
        <v/>
      </c>
    </row>
    <row r="7065" spans="1:1" x14ac:dyDescent="0.25">
      <c r="A7065" t="str">
        <f t="shared" si="111"/>
        <v/>
      </c>
    </row>
    <row r="7066" spans="1:1" x14ac:dyDescent="0.25">
      <c r="A7066" t="str">
        <f t="shared" si="111"/>
        <v/>
      </c>
    </row>
    <row r="7067" spans="1:1" x14ac:dyDescent="0.25">
      <c r="A7067" t="str">
        <f t="shared" si="111"/>
        <v/>
      </c>
    </row>
    <row r="7068" spans="1:1" x14ac:dyDescent="0.25">
      <c r="A7068" t="str">
        <f t="shared" si="111"/>
        <v/>
      </c>
    </row>
    <row r="7069" spans="1:1" x14ac:dyDescent="0.25">
      <c r="A7069" t="str">
        <f t="shared" si="111"/>
        <v/>
      </c>
    </row>
    <row r="7070" spans="1:1" x14ac:dyDescent="0.25">
      <c r="A7070" t="str">
        <f t="shared" si="111"/>
        <v/>
      </c>
    </row>
    <row r="7071" spans="1:1" x14ac:dyDescent="0.25">
      <c r="A7071" t="str">
        <f t="shared" si="111"/>
        <v/>
      </c>
    </row>
    <row r="7072" spans="1:1" x14ac:dyDescent="0.25">
      <c r="A7072" t="str">
        <f t="shared" si="111"/>
        <v/>
      </c>
    </row>
    <row r="7073" spans="1:1" x14ac:dyDescent="0.25">
      <c r="A7073" t="str">
        <f t="shared" si="111"/>
        <v/>
      </c>
    </row>
    <row r="7074" spans="1:1" x14ac:dyDescent="0.25">
      <c r="A7074" t="str">
        <f t="shared" si="111"/>
        <v/>
      </c>
    </row>
    <row r="7075" spans="1:1" x14ac:dyDescent="0.25">
      <c r="A7075" t="str">
        <f t="shared" si="111"/>
        <v/>
      </c>
    </row>
    <row r="7076" spans="1:1" x14ac:dyDescent="0.25">
      <c r="A7076" t="str">
        <f t="shared" si="111"/>
        <v/>
      </c>
    </row>
    <row r="7077" spans="1:1" x14ac:dyDescent="0.25">
      <c r="A7077" t="str">
        <f t="shared" si="111"/>
        <v/>
      </c>
    </row>
    <row r="7078" spans="1:1" x14ac:dyDescent="0.25">
      <c r="A7078" t="str">
        <f t="shared" si="111"/>
        <v/>
      </c>
    </row>
    <row r="7079" spans="1:1" x14ac:dyDescent="0.25">
      <c r="A7079" t="str">
        <f t="shared" si="111"/>
        <v/>
      </c>
    </row>
    <row r="7080" spans="1:1" x14ac:dyDescent="0.25">
      <c r="A7080" t="str">
        <f t="shared" si="111"/>
        <v/>
      </c>
    </row>
    <row r="7081" spans="1:1" x14ac:dyDescent="0.25">
      <c r="A7081" t="str">
        <f t="shared" si="111"/>
        <v/>
      </c>
    </row>
    <row r="7082" spans="1:1" x14ac:dyDescent="0.25">
      <c r="A7082" t="str">
        <f t="shared" si="111"/>
        <v/>
      </c>
    </row>
    <row r="7083" spans="1:1" x14ac:dyDescent="0.25">
      <c r="A7083" t="str">
        <f t="shared" si="111"/>
        <v/>
      </c>
    </row>
    <row r="7084" spans="1:1" x14ac:dyDescent="0.25">
      <c r="A7084" t="str">
        <f t="shared" si="111"/>
        <v/>
      </c>
    </row>
    <row r="7085" spans="1:1" x14ac:dyDescent="0.25">
      <c r="A7085" t="str">
        <f t="shared" si="111"/>
        <v/>
      </c>
    </row>
    <row r="7086" spans="1:1" x14ac:dyDescent="0.25">
      <c r="A7086" t="str">
        <f t="shared" si="111"/>
        <v/>
      </c>
    </row>
    <row r="7087" spans="1:1" x14ac:dyDescent="0.25">
      <c r="A7087" t="str">
        <f t="shared" si="111"/>
        <v/>
      </c>
    </row>
    <row r="7088" spans="1:1" x14ac:dyDescent="0.25">
      <c r="A7088" t="str">
        <f t="shared" si="111"/>
        <v/>
      </c>
    </row>
    <row r="7089" spans="1:1" x14ac:dyDescent="0.25">
      <c r="A7089" t="str">
        <f t="shared" si="111"/>
        <v/>
      </c>
    </row>
    <row r="7090" spans="1:1" x14ac:dyDescent="0.25">
      <c r="A7090" t="str">
        <f t="shared" si="111"/>
        <v/>
      </c>
    </row>
    <row r="7091" spans="1:1" x14ac:dyDescent="0.25">
      <c r="A7091" t="str">
        <f t="shared" si="111"/>
        <v/>
      </c>
    </row>
    <row r="7092" spans="1:1" x14ac:dyDescent="0.25">
      <c r="A7092" t="str">
        <f t="shared" si="111"/>
        <v/>
      </c>
    </row>
    <row r="7093" spans="1:1" x14ac:dyDescent="0.25">
      <c r="A7093" t="str">
        <f t="shared" ref="A7093:A7156" si="112">B7091&amp;D7091</f>
        <v/>
      </c>
    </row>
    <row r="7094" spans="1:1" x14ac:dyDescent="0.25">
      <c r="A7094" t="str">
        <f t="shared" si="112"/>
        <v/>
      </c>
    </row>
    <row r="7095" spans="1:1" x14ac:dyDescent="0.25">
      <c r="A7095" t="str">
        <f t="shared" si="112"/>
        <v/>
      </c>
    </row>
    <row r="7096" spans="1:1" x14ac:dyDescent="0.25">
      <c r="A7096" t="str">
        <f t="shared" si="112"/>
        <v/>
      </c>
    </row>
    <row r="7097" spans="1:1" x14ac:dyDescent="0.25">
      <c r="A7097" t="str">
        <f t="shared" si="112"/>
        <v/>
      </c>
    </row>
    <row r="7098" spans="1:1" x14ac:dyDescent="0.25">
      <c r="A7098" t="str">
        <f t="shared" si="112"/>
        <v/>
      </c>
    </row>
    <row r="7099" spans="1:1" x14ac:dyDescent="0.25">
      <c r="A7099" t="str">
        <f t="shared" si="112"/>
        <v/>
      </c>
    </row>
    <row r="7100" spans="1:1" x14ac:dyDescent="0.25">
      <c r="A7100" t="str">
        <f t="shared" si="112"/>
        <v/>
      </c>
    </row>
    <row r="7101" spans="1:1" x14ac:dyDescent="0.25">
      <c r="A7101" t="str">
        <f t="shared" si="112"/>
        <v/>
      </c>
    </row>
    <row r="7102" spans="1:1" x14ac:dyDescent="0.25">
      <c r="A7102" t="str">
        <f t="shared" si="112"/>
        <v/>
      </c>
    </row>
    <row r="7103" spans="1:1" x14ac:dyDescent="0.25">
      <c r="A7103" t="str">
        <f t="shared" si="112"/>
        <v/>
      </c>
    </row>
    <row r="7104" spans="1:1" x14ac:dyDescent="0.25">
      <c r="A7104" t="str">
        <f t="shared" si="112"/>
        <v/>
      </c>
    </row>
    <row r="7105" spans="1:1" x14ac:dyDescent="0.25">
      <c r="A7105" t="str">
        <f t="shared" si="112"/>
        <v/>
      </c>
    </row>
    <row r="7106" spans="1:1" x14ac:dyDescent="0.25">
      <c r="A7106" t="str">
        <f t="shared" si="112"/>
        <v/>
      </c>
    </row>
    <row r="7107" spans="1:1" x14ac:dyDescent="0.25">
      <c r="A7107" t="str">
        <f t="shared" si="112"/>
        <v/>
      </c>
    </row>
    <row r="7108" spans="1:1" x14ac:dyDescent="0.25">
      <c r="A7108" t="str">
        <f t="shared" si="112"/>
        <v/>
      </c>
    </row>
    <row r="7109" spans="1:1" x14ac:dyDescent="0.25">
      <c r="A7109" t="str">
        <f t="shared" si="112"/>
        <v/>
      </c>
    </row>
    <row r="7110" spans="1:1" x14ac:dyDescent="0.25">
      <c r="A7110" t="str">
        <f t="shared" si="112"/>
        <v/>
      </c>
    </row>
    <row r="7111" spans="1:1" x14ac:dyDescent="0.25">
      <c r="A7111" t="str">
        <f t="shared" si="112"/>
        <v/>
      </c>
    </row>
    <row r="7112" spans="1:1" x14ac:dyDescent="0.25">
      <c r="A7112" t="str">
        <f t="shared" si="112"/>
        <v/>
      </c>
    </row>
    <row r="7113" spans="1:1" x14ac:dyDescent="0.25">
      <c r="A7113" t="str">
        <f t="shared" si="112"/>
        <v/>
      </c>
    </row>
    <row r="7114" spans="1:1" x14ac:dyDescent="0.25">
      <c r="A7114" t="str">
        <f t="shared" si="112"/>
        <v/>
      </c>
    </row>
    <row r="7115" spans="1:1" x14ac:dyDescent="0.25">
      <c r="A7115" t="str">
        <f t="shared" si="112"/>
        <v/>
      </c>
    </row>
    <row r="7116" spans="1:1" x14ac:dyDescent="0.25">
      <c r="A7116" t="str">
        <f t="shared" si="112"/>
        <v/>
      </c>
    </row>
    <row r="7117" spans="1:1" x14ac:dyDescent="0.25">
      <c r="A7117" t="str">
        <f t="shared" si="112"/>
        <v/>
      </c>
    </row>
    <row r="7118" spans="1:1" x14ac:dyDescent="0.25">
      <c r="A7118" t="str">
        <f t="shared" si="112"/>
        <v/>
      </c>
    </row>
    <row r="7119" spans="1:1" x14ac:dyDescent="0.25">
      <c r="A7119" t="str">
        <f t="shared" si="112"/>
        <v/>
      </c>
    </row>
    <row r="7120" spans="1:1" x14ac:dyDescent="0.25">
      <c r="A7120" t="str">
        <f t="shared" si="112"/>
        <v/>
      </c>
    </row>
    <row r="7121" spans="1:1" x14ac:dyDescent="0.25">
      <c r="A7121" t="str">
        <f t="shared" si="112"/>
        <v/>
      </c>
    </row>
    <row r="7122" spans="1:1" x14ac:dyDescent="0.25">
      <c r="A7122" t="str">
        <f t="shared" si="112"/>
        <v/>
      </c>
    </row>
    <row r="7123" spans="1:1" x14ac:dyDescent="0.25">
      <c r="A7123" t="str">
        <f t="shared" si="112"/>
        <v/>
      </c>
    </row>
    <row r="7124" spans="1:1" x14ac:dyDescent="0.25">
      <c r="A7124" t="str">
        <f t="shared" si="112"/>
        <v/>
      </c>
    </row>
    <row r="7125" spans="1:1" x14ac:dyDescent="0.25">
      <c r="A7125" t="str">
        <f t="shared" si="112"/>
        <v/>
      </c>
    </row>
    <row r="7126" spans="1:1" x14ac:dyDescent="0.25">
      <c r="A7126" t="str">
        <f t="shared" si="112"/>
        <v/>
      </c>
    </row>
    <row r="7127" spans="1:1" x14ac:dyDescent="0.25">
      <c r="A7127" t="str">
        <f t="shared" si="112"/>
        <v/>
      </c>
    </row>
    <row r="7128" spans="1:1" x14ac:dyDescent="0.25">
      <c r="A7128" t="str">
        <f t="shared" si="112"/>
        <v/>
      </c>
    </row>
    <row r="7129" spans="1:1" x14ac:dyDescent="0.25">
      <c r="A7129" t="str">
        <f t="shared" si="112"/>
        <v/>
      </c>
    </row>
    <row r="7130" spans="1:1" x14ac:dyDescent="0.25">
      <c r="A7130" t="str">
        <f t="shared" si="112"/>
        <v/>
      </c>
    </row>
    <row r="7131" spans="1:1" x14ac:dyDescent="0.25">
      <c r="A7131" t="str">
        <f t="shared" si="112"/>
        <v/>
      </c>
    </row>
    <row r="7132" spans="1:1" x14ac:dyDescent="0.25">
      <c r="A7132" t="str">
        <f t="shared" si="112"/>
        <v/>
      </c>
    </row>
    <row r="7133" spans="1:1" x14ac:dyDescent="0.25">
      <c r="A7133" t="str">
        <f t="shared" si="112"/>
        <v/>
      </c>
    </row>
    <row r="7134" spans="1:1" x14ac:dyDescent="0.25">
      <c r="A7134" t="str">
        <f t="shared" si="112"/>
        <v/>
      </c>
    </row>
    <row r="7135" spans="1:1" x14ac:dyDescent="0.25">
      <c r="A7135" t="str">
        <f t="shared" si="112"/>
        <v/>
      </c>
    </row>
    <row r="7136" spans="1:1" x14ac:dyDescent="0.25">
      <c r="A7136" t="str">
        <f t="shared" si="112"/>
        <v/>
      </c>
    </row>
    <row r="7137" spans="1:1" x14ac:dyDescent="0.25">
      <c r="A7137" t="str">
        <f t="shared" si="112"/>
        <v/>
      </c>
    </row>
    <row r="7138" spans="1:1" x14ac:dyDescent="0.25">
      <c r="A7138" t="str">
        <f t="shared" si="112"/>
        <v/>
      </c>
    </row>
    <row r="7139" spans="1:1" x14ac:dyDescent="0.25">
      <c r="A7139" t="str">
        <f t="shared" si="112"/>
        <v/>
      </c>
    </row>
    <row r="7140" spans="1:1" x14ac:dyDescent="0.25">
      <c r="A7140" t="str">
        <f t="shared" si="112"/>
        <v/>
      </c>
    </row>
    <row r="7141" spans="1:1" x14ac:dyDescent="0.25">
      <c r="A7141" t="str">
        <f t="shared" si="112"/>
        <v/>
      </c>
    </row>
    <row r="7142" spans="1:1" x14ac:dyDescent="0.25">
      <c r="A7142" t="str">
        <f t="shared" si="112"/>
        <v/>
      </c>
    </row>
    <row r="7143" spans="1:1" x14ac:dyDescent="0.25">
      <c r="A7143" t="str">
        <f t="shared" si="112"/>
        <v/>
      </c>
    </row>
    <row r="7144" spans="1:1" x14ac:dyDescent="0.25">
      <c r="A7144" t="str">
        <f t="shared" si="112"/>
        <v/>
      </c>
    </row>
    <row r="7145" spans="1:1" x14ac:dyDescent="0.25">
      <c r="A7145" t="str">
        <f t="shared" si="112"/>
        <v/>
      </c>
    </row>
    <row r="7146" spans="1:1" x14ac:dyDescent="0.25">
      <c r="A7146" t="str">
        <f t="shared" si="112"/>
        <v/>
      </c>
    </row>
    <row r="7147" spans="1:1" x14ac:dyDescent="0.25">
      <c r="A7147" t="str">
        <f t="shared" si="112"/>
        <v/>
      </c>
    </row>
    <row r="7148" spans="1:1" x14ac:dyDescent="0.25">
      <c r="A7148" t="str">
        <f t="shared" si="112"/>
        <v/>
      </c>
    </row>
    <row r="7149" spans="1:1" x14ac:dyDescent="0.25">
      <c r="A7149" t="str">
        <f t="shared" si="112"/>
        <v/>
      </c>
    </row>
    <row r="7150" spans="1:1" x14ac:dyDescent="0.25">
      <c r="A7150" t="str">
        <f t="shared" si="112"/>
        <v/>
      </c>
    </row>
    <row r="7151" spans="1:1" x14ac:dyDescent="0.25">
      <c r="A7151" t="str">
        <f t="shared" si="112"/>
        <v/>
      </c>
    </row>
    <row r="7152" spans="1:1" x14ac:dyDescent="0.25">
      <c r="A7152" t="str">
        <f t="shared" si="112"/>
        <v/>
      </c>
    </row>
    <row r="7153" spans="1:1" x14ac:dyDescent="0.25">
      <c r="A7153" t="str">
        <f t="shared" si="112"/>
        <v/>
      </c>
    </row>
    <row r="7154" spans="1:1" x14ac:dyDescent="0.25">
      <c r="A7154" t="str">
        <f t="shared" si="112"/>
        <v/>
      </c>
    </row>
    <row r="7155" spans="1:1" x14ac:dyDescent="0.25">
      <c r="A7155" t="str">
        <f t="shared" si="112"/>
        <v/>
      </c>
    </row>
    <row r="7156" spans="1:1" x14ac:dyDescent="0.25">
      <c r="A7156" t="str">
        <f t="shared" si="112"/>
        <v/>
      </c>
    </row>
    <row r="7157" spans="1:1" x14ac:dyDescent="0.25">
      <c r="A7157" t="str">
        <f t="shared" ref="A7157:A7220" si="113">B7155&amp;D7155</f>
        <v/>
      </c>
    </row>
    <row r="7158" spans="1:1" x14ac:dyDescent="0.25">
      <c r="A7158" t="str">
        <f t="shared" si="113"/>
        <v/>
      </c>
    </row>
    <row r="7159" spans="1:1" x14ac:dyDescent="0.25">
      <c r="A7159" t="str">
        <f t="shared" si="113"/>
        <v/>
      </c>
    </row>
    <row r="7160" spans="1:1" x14ac:dyDescent="0.25">
      <c r="A7160" t="str">
        <f t="shared" si="113"/>
        <v/>
      </c>
    </row>
    <row r="7161" spans="1:1" x14ac:dyDescent="0.25">
      <c r="A7161" t="str">
        <f t="shared" si="113"/>
        <v/>
      </c>
    </row>
    <row r="7162" spans="1:1" x14ac:dyDescent="0.25">
      <c r="A7162" t="str">
        <f t="shared" si="113"/>
        <v/>
      </c>
    </row>
    <row r="7163" spans="1:1" x14ac:dyDescent="0.25">
      <c r="A7163" t="str">
        <f t="shared" si="113"/>
        <v/>
      </c>
    </row>
    <row r="7164" spans="1:1" x14ac:dyDescent="0.25">
      <c r="A7164" t="str">
        <f t="shared" si="113"/>
        <v/>
      </c>
    </row>
    <row r="7165" spans="1:1" x14ac:dyDescent="0.25">
      <c r="A7165" t="str">
        <f t="shared" si="113"/>
        <v/>
      </c>
    </row>
    <row r="7166" spans="1:1" x14ac:dyDescent="0.25">
      <c r="A7166" t="str">
        <f t="shared" si="113"/>
        <v/>
      </c>
    </row>
    <row r="7167" spans="1:1" x14ac:dyDescent="0.25">
      <c r="A7167" t="str">
        <f t="shared" si="113"/>
        <v/>
      </c>
    </row>
    <row r="7168" spans="1:1" x14ac:dyDescent="0.25">
      <c r="A7168" t="str">
        <f t="shared" si="113"/>
        <v/>
      </c>
    </row>
    <row r="7169" spans="1:1" x14ac:dyDescent="0.25">
      <c r="A7169" t="str">
        <f t="shared" si="113"/>
        <v/>
      </c>
    </row>
    <row r="7170" spans="1:1" x14ac:dyDescent="0.25">
      <c r="A7170" t="str">
        <f t="shared" si="113"/>
        <v/>
      </c>
    </row>
    <row r="7171" spans="1:1" x14ac:dyDescent="0.25">
      <c r="A7171" t="str">
        <f t="shared" si="113"/>
        <v/>
      </c>
    </row>
    <row r="7172" spans="1:1" x14ac:dyDescent="0.25">
      <c r="A7172" t="str">
        <f t="shared" si="113"/>
        <v/>
      </c>
    </row>
    <row r="7173" spans="1:1" x14ac:dyDescent="0.25">
      <c r="A7173" t="str">
        <f t="shared" si="113"/>
        <v/>
      </c>
    </row>
    <row r="7174" spans="1:1" x14ac:dyDescent="0.25">
      <c r="A7174" t="str">
        <f t="shared" si="113"/>
        <v/>
      </c>
    </row>
    <row r="7175" spans="1:1" x14ac:dyDescent="0.25">
      <c r="A7175" t="str">
        <f t="shared" si="113"/>
        <v/>
      </c>
    </row>
    <row r="7176" spans="1:1" x14ac:dyDescent="0.25">
      <c r="A7176" t="str">
        <f t="shared" si="113"/>
        <v/>
      </c>
    </row>
    <row r="7177" spans="1:1" x14ac:dyDescent="0.25">
      <c r="A7177" t="str">
        <f t="shared" si="113"/>
        <v/>
      </c>
    </row>
    <row r="7178" spans="1:1" x14ac:dyDescent="0.25">
      <c r="A7178" t="str">
        <f t="shared" si="113"/>
        <v/>
      </c>
    </row>
    <row r="7179" spans="1:1" x14ac:dyDescent="0.25">
      <c r="A7179" t="str">
        <f t="shared" si="113"/>
        <v/>
      </c>
    </row>
    <row r="7180" spans="1:1" x14ac:dyDescent="0.25">
      <c r="A7180" t="str">
        <f t="shared" si="113"/>
        <v/>
      </c>
    </row>
    <row r="7181" spans="1:1" x14ac:dyDescent="0.25">
      <c r="A7181" t="str">
        <f t="shared" si="113"/>
        <v/>
      </c>
    </row>
    <row r="7182" spans="1:1" x14ac:dyDescent="0.25">
      <c r="A7182" t="str">
        <f t="shared" si="113"/>
        <v/>
      </c>
    </row>
    <row r="7183" spans="1:1" x14ac:dyDescent="0.25">
      <c r="A7183" t="str">
        <f t="shared" si="113"/>
        <v/>
      </c>
    </row>
    <row r="7184" spans="1:1" x14ac:dyDescent="0.25">
      <c r="A7184" t="str">
        <f t="shared" si="113"/>
        <v/>
      </c>
    </row>
    <row r="7185" spans="1:1" x14ac:dyDescent="0.25">
      <c r="A7185" t="str">
        <f t="shared" si="113"/>
        <v/>
      </c>
    </row>
    <row r="7186" spans="1:1" x14ac:dyDescent="0.25">
      <c r="A7186" t="str">
        <f t="shared" si="113"/>
        <v/>
      </c>
    </row>
    <row r="7187" spans="1:1" x14ac:dyDescent="0.25">
      <c r="A7187" t="str">
        <f t="shared" si="113"/>
        <v/>
      </c>
    </row>
    <row r="7188" spans="1:1" x14ac:dyDescent="0.25">
      <c r="A7188" t="str">
        <f t="shared" si="113"/>
        <v/>
      </c>
    </row>
    <row r="7189" spans="1:1" x14ac:dyDescent="0.25">
      <c r="A7189" t="str">
        <f t="shared" si="113"/>
        <v/>
      </c>
    </row>
    <row r="7190" spans="1:1" x14ac:dyDescent="0.25">
      <c r="A7190" t="str">
        <f t="shared" si="113"/>
        <v/>
      </c>
    </row>
    <row r="7191" spans="1:1" x14ac:dyDescent="0.25">
      <c r="A7191" t="str">
        <f t="shared" si="113"/>
        <v/>
      </c>
    </row>
    <row r="7192" spans="1:1" x14ac:dyDescent="0.25">
      <c r="A7192" t="str">
        <f t="shared" si="113"/>
        <v/>
      </c>
    </row>
    <row r="7193" spans="1:1" x14ac:dyDescent="0.25">
      <c r="A7193" t="str">
        <f t="shared" si="113"/>
        <v/>
      </c>
    </row>
    <row r="7194" spans="1:1" x14ac:dyDescent="0.25">
      <c r="A7194" t="str">
        <f t="shared" si="113"/>
        <v/>
      </c>
    </row>
    <row r="7195" spans="1:1" x14ac:dyDescent="0.25">
      <c r="A7195" t="str">
        <f t="shared" si="113"/>
        <v/>
      </c>
    </row>
    <row r="7196" spans="1:1" x14ac:dyDescent="0.25">
      <c r="A7196" t="str">
        <f t="shared" si="113"/>
        <v/>
      </c>
    </row>
    <row r="7197" spans="1:1" x14ac:dyDescent="0.25">
      <c r="A7197" t="str">
        <f t="shared" si="113"/>
        <v/>
      </c>
    </row>
    <row r="7198" spans="1:1" x14ac:dyDescent="0.25">
      <c r="A7198" t="str">
        <f t="shared" si="113"/>
        <v/>
      </c>
    </row>
    <row r="7199" spans="1:1" x14ac:dyDescent="0.25">
      <c r="A7199" t="str">
        <f t="shared" si="113"/>
        <v/>
      </c>
    </row>
    <row r="7200" spans="1:1" x14ac:dyDescent="0.25">
      <c r="A7200" t="str">
        <f t="shared" si="113"/>
        <v/>
      </c>
    </row>
    <row r="7201" spans="1:1" x14ac:dyDescent="0.25">
      <c r="A7201" t="str">
        <f t="shared" si="113"/>
        <v/>
      </c>
    </row>
    <row r="7202" spans="1:1" x14ac:dyDescent="0.25">
      <c r="A7202" t="str">
        <f t="shared" si="113"/>
        <v/>
      </c>
    </row>
    <row r="7203" spans="1:1" x14ac:dyDescent="0.25">
      <c r="A7203" t="str">
        <f t="shared" si="113"/>
        <v/>
      </c>
    </row>
    <row r="7204" spans="1:1" x14ac:dyDescent="0.25">
      <c r="A7204" t="str">
        <f t="shared" si="113"/>
        <v/>
      </c>
    </row>
    <row r="7205" spans="1:1" x14ac:dyDescent="0.25">
      <c r="A7205" t="str">
        <f t="shared" si="113"/>
        <v/>
      </c>
    </row>
    <row r="7206" spans="1:1" x14ac:dyDescent="0.25">
      <c r="A7206" t="str">
        <f t="shared" si="113"/>
        <v/>
      </c>
    </row>
    <row r="7207" spans="1:1" x14ac:dyDescent="0.25">
      <c r="A7207" t="str">
        <f t="shared" si="113"/>
        <v/>
      </c>
    </row>
    <row r="7208" spans="1:1" x14ac:dyDescent="0.25">
      <c r="A7208" t="str">
        <f t="shared" si="113"/>
        <v/>
      </c>
    </row>
    <row r="7209" spans="1:1" x14ac:dyDescent="0.25">
      <c r="A7209" t="str">
        <f t="shared" si="113"/>
        <v/>
      </c>
    </row>
    <row r="7210" spans="1:1" x14ac:dyDescent="0.25">
      <c r="A7210" t="str">
        <f t="shared" si="113"/>
        <v/>
      </c>
    </row>
    <row r="7211" spans="1:1" x14ac:dyDescent="0.25">
      <c r="A7211" t="str">
        <f t="shared" si="113"/>
        <v/>
      </c>
    </row>
    <row r="7212" spans="1:1" x14ac:dyDescent="0.25">
      <c r="A7212" t="str">
        <f t="shared" si="113"/>
        <v/>
      </c>
    </row>
    <row r="7213" spans="1:1" x14ac:dyDescent="0.25">
      <c r="A7213" t="str">
        <f t="shared" si="113"/>
        <v/>
      </c>
    </row>
    <row r="7214" spans="1:1" x14ac:dyDescent="0.25">
      <c r="A7214" t="str">
        <f t="shared" si="113"/>
        <v/>
      </c>
    </row>
    <row r="7215" spans="1:1" x14ac:dyDescent="0.25">
      <c r="A7215" t="str">
        <f t="shared" si="113"/>
        <v/>
      </c>
    </row>
    <row r="7216" spans="1:1" x14ac:dyDescent="0.25">
      <c r="A7216" t="str">
        <f t="shared" si="113"/>
        <v/>
      </c>
    </row>
    <row r="7217" spans="1:1" x14ac:dyDescent="0.25">
      <c r="A7217" t="str">
        <f t="shared" si="113"/>
        <v/>
      </c>
    </row>
    <row r="7218" spans="1:1" x14ac:dyDescent="0.25">
      <c r="A7218" t="str">
        <f t="shared" si="113"/>
        <v/>
      </c>
    </row>
    <row r="7219" spans="1:1" x14ac:dyDescent="0.25">
      <c r="A7219" t="str">
        <f t="shared" si="113"/>
        <v/>
      </c>
    </row>
    <row r="7220" spans="1:1" x14ac:dyDescent="0.25">
      <c r="A7220" t="str">
        <f t="shared" si="113"/>
        <v/>
      </c>
    </row>
    <row r="7221" spans="1:1" x14ac:dyDescent="0.25">
      <c r="A7221" t="str">
        <f t="shared" ref="A7221:A7284" si="114">B7219&amp;D7219</f>
        <v/>
      </c>
    </row>
    <row r="7222" spans="1:1" x14ac:dyDescent="0.25">
      <c r="A7222" t="str">
        <f t="shared" si="114"/>
        <v/>
      </c>
    </row>
    <row r="7223" spans="1:1" x14ac:dyDescent="0.25">
      <c r="A7223" t="str">
        <f t="shared" si="114"/>
        <v/>
      </c>
    </row>
    <row r="7224" spans="1:1" x14ac:dyDescent="0.25">
      <c r="A7224" t="str">
        <f t="shared" si="114"/>
        <v/>
      </c>
    </row>
    <row r="7225" spans="1:1" x14ac:dyDescent="0.25">
      <c r="A7225" t="str">
        <f t="shared" si="114"/>
        <v/>
      </c>
    </row>
    <row r="7226" spans="1:1" x14ac:dyDescent="0.25">
      <c r="A7226" t="str">
        <f t="shared" si="114"/>
        <v/>
      </c>
    </row>
    <row r="7227" spans="1:1" x14ac:dyDescent="0.25">
      <c r="A7227" t="str">
        <f t="shared" si="114"/>
        <v/>
      </c>
    </row>
    <row r="7228" spans="1:1" x14ac:dyDescent="0.25">
      <c r="A7228" t="str">
        <f t="shared" si="114"/>
        <v/>
      </c>
    </row>
    <row r="7229" spans="1:1" x14ac:dyDescent="0.25">
      <c r="A7229" t="str">
        <f t="shared" si="114"/>
        <v/>
      </c>
    </row>
    <row r="7230" spans="1:1" x14ac:dyDescent="0.25">
      <c r="A7230" t="str">
        <f t="shared" si="114"/>
        <v/>
      </c>
    </row>
    <row r="7231" spans="1:1" x14ac:dyDescent="0.25">
      <c r="A7231" t="str">
        <f t="shared" si="114"/>
        <v/>
      </c>
    </row>
    <row r="7232" spans="1:1" x14ac:dyDescent="0.25">
      <c r="A7232" t="str">
        <f t="shared" si="114"/>
        <v/>
      </c>
    </row>
    <row r="7233" spans="1:1" x14ac:dyDescent="0.25">
      <c r="A7233" t="str">
        <f t="shared" si="114"/>
        <v/>
      </c>
    </row>
    <row r="7234" spans="1:1" x14ac:dyDescent="0.25">
      <c r="A7234" t="str">
        <f t="shared" si="114"/>
        <v/>
      </c>
    </row>
    <row r="7235" spans="1:1" x14ac:dyDescent="0.25">
      <c r="A7235" t="str">
        <f t="shared" si="114"/>
        <v/>
      </c>
    </row>
    <row r="7236" spans="1:1" x14ac:dyDescent="0.25">
      <c r="A7236" t="str">
        <f t="shared" si="114"/>
        <v/>
      </c>
    </row>
    <row r="7237" spans="1:1" x14ac:dyDescent="0.25">
      <c r="A7237" t="str">
        <f t="shared" si="114"/>
        <v/>
      </c>
    </row>
    <row r="7238" spans="1:1" x14ac:dyDescent="0.25">
      <c r="A7238" t="str">
        <f t="shared" si="114"/>
        <v/>
      </c>
    </row>
    <row r="7239" spans="1:1" x14ac:dyDescent="0.25">
      <c r="A7239" t="str">
        <f t="shared" si="114"/>
        <v/>
      </c>
    </row>
    <row r="7240" spans="1:1" x14ac:dyDescent="0.25">
      <c r="A7240" t="str">
        <f t="shared" si="114"/>
        <v/>
      </c>
    </row>
    <row r="7241" spans="1:1" x14ac:dyDescent="0.25">
      <c r="A7241" t="str">
        <f t="shared" si="114"/>
        <v/>
      </c>
    </row>
    <row r="7242" spans="1:1" x14ac:dyDescent="0.25">
      <c r="A7242" t="str">
        <f t="shared" si="114"/>
        <v/>
      </c>
    </row>
    <row r="7243" spans="1:1" x14ac:dyDescent="0.25">
      <c r="A7243" t="str">
        <f t="shared" si="114"/>
        <v/>
      </c>
    </row>
    <row r="7244" spans="1:1" x14ac:dyDescent="0.25">
      <c r="A7244" t="str">
        <f t="shared" si="114"/>
        <v/>
      </c>
    </row>
    <row r="7245" spans="1:1" x14ac:dyDescent="0.25">
      <c r="A7245" t="str">
        <f t="shared" si="114"/>
        <v/>
      </c>
    </row>
    <row r="7246" spans="1:1" x14ac:dyDescent="0.25">
      <c r="A7246" t="str">
        <f t="shared" si="114"/>
        <v/>
      </c>
    </row>
    <row r="7247" spans="1:1" x14ac:dyDescent="0.25">
      <c r="A7247" t="str">
        <f t="shared" si="114"/>
        <v/>
      </c>
    </row>
    <row r="7248" spans="1:1" x14ac:dyDescent="0.25">
      <c r="A7248" t="str">
        <f t="shared" si="114"/>
        <v/>
      </c>
    </row>
    <row r="7249" spans="1:1" x14ac:dyDescent="0.25">
      <c r="A7249" t="str">
        <f t="shared" si="114"/>
        <v/>
      </c>
    </row>
    <row r="7250" spans="1:1" x14ac:dyDescent="0.25">
      <c r="A7250" t="str">
        <f t="shared" si="114"/>
        <v/>
      </c>
    </row>
    <row r="7251" spans="1:1" x14ac:dyDescent="0.25">
      <c r="A7251" t="str">
        <f t="shared" si="114"/>
        <v/>
      </c>
    </row>
    <row r="7252" spans="1:1" x14ac:dyDescent="0.25">
      <c r="A7252" t="str">
        <f t="shared" si="114"/>
        <v/>
      </c>
    </row>
    <row r="7253" spans="1:1" x14ac:dyDescent="0.25">
      <c r="A7253" t="str">
        <f t="shared" si="114"/>
        <v/>
      </c>
    </row>
    <row r="7254" spans="1:1" x14ac:dyDescent="0.25">
      <c r="A7254" t="str">
        <f t="shared" si="114"/>
        <v/>
      </c>
    </row>
    <row r="7255" spans="1:1" x14ac:dyDescent="0.25">
      <c r="A7255" t="str">
        <f t="shared" si="114"/>
        <v/>
      </c>
    </row>
    <row r="7256" spans="1:1" x14ac:dyDescent="0.25">
      <c r="A7256" t="str">
        <f t="shared" si="114"/>
        <v/>
      </c>
    </row>
    <row r="7257" spans="1:1" x14ac:dyDescent="0.25">
      <c r="A7257" t="str">
        <f t="shared" si="114"/>
        <v/>
      </c>
    </row>
    <row r="7258" spans="1:1" x14ac:dyDescent="0.25">
      <c r="A7258" t="str">
        <f t="shared" si="114"/>
        <v/>
      </c>
    </row>
    <row r="7259" spans="1:1" x14ac:dyDescent="0.25">
      <c r="A7259" t="str">
        <f t="shared" si="114"/>
        <v/>
      </c>
    </row>
    <row r="7260" spans="1:1" x14ac:dyDescent="0.25">
      <c r="A7260" t="str">
        <f t="shared" si="114"/>
        <v/>
      </c>
    </row>
    <row r="7261" spans="1:1" x14ac:dyDescent="0.25">
      <c r="A7261" t="str">
        <f t="shared" si="114"/>
        <v/>
      </c>
    </row>
    <row r="7262" spans="1:1" x14ac:dyDescent="0.25">
      <c r="A7262" t="str">
        <f t="shared" si="114"/>
        <v/>
      </c>
    </row>
    <row r="7263" spans="1:1" x14ac:dyDescent="0.25">
      <c r="A7263" t="str">
        <f t="shared" si="114"/>
        <v/>
      </c>
    </row>
    <row r="7264" spans="1:1" x14ac:dyDescent="0.25">
      <c r="A7264" t="str">
        <f t="shared" si="114"/>
        <v/>
      </c>
    </row>
    <row r="7265" spans="1:1" x14ac:dyDescent="0.25">
      <c r="A7265" t="str">
        <f t="shared" si="114"/>
        <v/>
      </c>
    </row>
    <row r="7266" spans="1:1" x14ac:dyDescent="0.25">
      <c r="A7266" t="str">
        <f t="shared" si="114"/>
        <v/>
      </c>
    </row>
    <row r="7267" spans="1:1" x14ac:dyDescent="0.25">
      <c r="A7267" t="str">
        <f t="shared" si="114"/>
        <v/>
      </c>
    </row>
    <row r="7268" spans="1:1" x14ac:dyDescent="0.25">
      <c r="A7268" t="str">
        <f t="shared" si="114"/>
        <v/>
      </c>
    </row>
    <row r="7269" spans="1:1" x14ac:dyDescent="0.25">
      <c r="A7269" t="str">
        <f t="shared" si="114"/>
        <v/>
      </c>
    </row>
    <row r="7270" spans="1:1" x14ac:dyDescent="0.25">
      <c r="A7270" t="str">
        <f t="shared" si="114"/>
        <v/>
      </c>
    </row>
    <row r="7271" spans="1:1" x14ac:dyDescent="0.25">
      <c r="A7271" t="str">
        <f t="shared" si="114"/>
        <v/>
      </c>
    </row>
    <row r="7272" spans="1:1" x14ac:dyDescent="0.25">
      <c r="A7272" t="str">
        <f t="shared" si="114"/>
        <v/>
      </c>
    </row>
    <row r="7273" spans="1:1" x14ac:dyDescent="0.25">
      <c r="A7273" t="str">
        <f t="shared" si="114"/>
        <v/>
      </c>
    </row>
    <row r="7274" spans="1:1" x14ac:dyDescent="0.25">
      <c r="A7274" t="str">
        <f t="shared" si="114"/>
        <v/>
      </c>
    </row>
    <row r="7275" spans="1:1" x14ac:dyDescent="0.25">
      <c r="A7275" t="str">
        <f t="shared" si="114"/>
        <v/>
      </c>
    </row>
    <row r="7276" spans="1:1" x14ac:dyDescent="0.25">
      <c r="A7276" t="str">
        <f t="shared" si="114"/>
        <v/>
      </c>
    </row>
    <row r="7277" spans="1:1" x14ac:dyDescent="0.25">
      <c r="A7277" t="str">
        <f t="shared" si="114"/>
        <v/>
      </c>
    </row>
    <row r="7278" spans="1:1" x14ac:dyDescent="0.25">
      <c r="A7278" t="str">
        <f t="shared" si="114"/>
        <v/>
      </c>
    </row>
    <row r="7279" spans="1:1" x14ac:dyDescent="0.25">
      <c r="A7279" t="str">
        <f t="shared" si="114"/>
        <v/>
      </c>
    </row>
    <row r="7280" spans="1:1" x14ac:dyDescent="0.25">
      <c r="A7280" t="str">
        <f t="shared" si="114"/>
        <v/>
      </c>
    </row>
    <row r="7281" spans="1:1" x14ac:dyDescent="0.25">
      <c r="A7281" t="str">
        <f t="shared" si="114"/>
        <v/>
      </c>
    </row>
    <row r="7282" spans="1:1" x14ac:dyDescent="0.25">
      <c r="A7282" t="str">
        <f t="shared" si="114"/>
        <v/>
      </c>
    </row>
    <row r="7283" spans="1:1" x14ac:dyDescent="0.25">
      <c r="A7283" t="str">
        <f t="shared" si="114"/>
        <v/>
      </c>
    </row>
    <row r="7284" spans="1:1" x14ac:dyDescent="0.25">
      <c r="A7284" t="str">
        <f t="shared" si="114"/>
        <v/>
      </c>
    </row>
    <row r="7285" spans="1:1" x14ac:dyDescent="0.25">
      <c r="A7285" t="str">
        <f t="shared" ref="A7285:A7348" si="115">B7283&amp;D7283</f>
        <v/>
      </c>
    </row>
    <row r="7286" spans="1:1" x14ac:dyDescent="0.25">
      <c r="A7286" t="str">
        <f t="shared" si="115"/>
        <v/>
      </c>
    </row>
    <row r="7287" spans="1:1" x14ac:dyDescent="0.25">
      <c r="A7287" t="str">
        <f t="shared" si="115"/>
        <v/>
      </c>
    </row>
    <row r="7288" spans="1:1" x14ac:dyDescent="0.25">
      <c r="A7288" t="str">
        <f t="shared" si="115"/>
        <v/>
      </c>
    </row>
    <row r="7289" spans="1:1" x14ac:dyDescent="0.25">
      <c r="A7289" t="str">
        <f t="shared" si="115"/>
        <v/>
      </c>
    </row>
    <row r="7290" spans="1:1" x14ac:dyDescent="0.25">
      <c r="A7290" t="str">
        <f t="shared" si="115"/>
        <v/>
      </c>
    </row>
    <row r="7291" spans="1:1" x14ac:dyDescent="0.25">
      <c r="A7291" t="str">
        <f t="shared" si="115"/>
        <v/>
      </c>
    </row>
    <row r="7292" spans="1:1" x14ac:dyDescent="0.25">
      <c r="A7292" t="str">
        <f t="shared" si="115"/>
        <v/>
      </c>
    </row>
    <row r="7293" spans="1:1" x14ac:dyDescent="0.25">
      <c r="A7293" t="str">
        <f t="shared" si="115"/>
        <v/>
      </c>
    </row>
    <row r="7294" spans="1:1" x14ac:dyDescent="0.25">
      <c r="A7294" t="str">
        <f t="shared" si="115"/>
        <v/>
      </c>
    </row>
    <row r="7295" spans="1:1" x14ac:dyDescent="0.25">
      <c r="A7295" t="str">
        <f t="shared" si="115"/>
        <v/>
      </c>
    </row>
    <row r="7296" spans="1:1" x14ac:dyDescent="0.25">
      <c r="A7296" t="str">
        <f t="shared" si="115"/>
        <v/>
      </c>
    </row>
    <row r="7297" spans="1:1" x14ac:dyDescent="0.25">
      <c r="A7297" t="str">
        <f t="shared" si="115"/>
        <v/>
      </c>
    </row>
    <row r="7298" spans="1:1" x14ac:dyDescent="0.25">
      <c r="A7298" t="str">
        <f t="shared" si="115"/>
        <v/>
      </c>
    </row>
    <row r="7299" spans="1:1" x14ac:dyDescent="0.25">
      <c r="A7299" t="str">
        <f t="shared" si="115"/>
        <v/>
      </c>
    </row>
    <row r="7300" spans="1:1" x14ac:dyDescent="0.25">
      <c r="A7300" t="str">
        <f t="shared" si="115"/>
        <v/>
      </c>
    </row>
    <row r="7301" spans="1:1" x14ac:dyDescent="0.25">
      <c r="A7301" t="str">
        <f t="shared" si="115"/>
        <v/>
      </c>
    </row>
    <row r="7302" spans="1:1" x14ac:dyDescent="0.25">
      <c r="A7302" t="str">
        <f t="shared" si="115"/>
        <v/>
      </c>
    </row>
    <row r="7303" spans="1:1" x14ac:dyDescent="0.25">
      <c r="A7303" t="str">
        <f t="shared" si="115"/>
        <v/>
      </c>
    </row>
    <row r="7304" spans="1:1" x14ac:dyDescent="0.25">
      <c r="A7304" t="str">
        <f t="shared" si="115"/>
        <v/>
      </c>
    </row>
    <row r="7305" spans="1:1" x14ac:dyDescent="0.25">
      <c r="A7305" t="str">
        <f t="shared" si="115"/>
        <v/>
      </c>
    </row>
    <row r="7306" spans="1:1" x14ac:dyDescent="0.25">
      <c r="A7306" t="str">
        <f t="shared" si="115"/>
        <v/>
      </c>
    </row>
    <row r="7307" spans="1:1" x14ac:dyDescent="0.25">
      <c r="A7307" t="str">
        <f t="shared" si="115"/>
        <v/>
      </c>
    </row>
    <row r="7308" spans="1:1" x14ac:dyDescent="0.25">
      <c r="A7308" t="str">
        <f t="shared" si="115"/>
        <v/>
      </c>
    </row>
    <row r="7309" spans="1:1" x14ac:dyDescent="0.25">
      <c r="A7309" t="str">
        <f t="shared" si="115"/>
        <v/>
      </c>
    </row>
    <row r="7310" spans="1:1" x14ac:dyDescent="0.25">
      <c r="A7310" t="str">
        <f t="shared" si="115"/>
        <v/>
      </c>
    </row>
    <row r="7311" spans="1:1" x14ac:dyDescent="0.25">
      <c r="A7311" t="str">
        <f t="shared" si="115"/>
        <v/>
      </c>
    </row>
    <row r="7312" spans="1:1" x14ac:dyDescent="0.25">
      <c r="A7312" t="str">
        <f t="shared" si="115"/>
        <v/>
      </c>
    </row>
    <row r="7313" spans="1:1" x14ac:dyDescent="0.25">
      <c r="A7313" t="str">
        <f t="shared" si="115"/>
        <v/>
      </c>
    </row>
    <row r="7314" spans="1:1" x14ac:dyDescent="0.25">
      <c r="A7314" t="str">
        <f t="shared" si="115"/>
        <v/>
      </c>
    </row>
    <row r="7315" spans="1:1" x14ac:dyDescent="0.25">
      <c r="A7315" t="str">
        <f t="shared" si="115"/>
        <v/>
      </c>
    </row>
    <row r="7316" spans="1:1" x14ac:dyDescent="0.25">
      <c r="A7316" t="str">
        <f t="shared" si="115"/>
        <v/>
      </c>
    </row>
    <row r="7317" spans="1:1" x14ac:dyDescent="0.25">
      <c r="A7317" t="str">
        <f t="shared" si="115"/>
        <v/>
      </c>
    </row>
    <row r="7318" spans="1:1" x14ac:dyDescent="0.25">
      <c r="A7318" t="str">
        <f t="shared" si="115"/>
        <v/>
      </c>
    </row>
    <row r="7319" spans="1:1" x14ac:dyDescent="0.25">
      <c r="A7319" t="str">
        <f t="shared" si="115"/>
        <v/>
      </c>
    </row>
    <row r="7320" spans="1:1" x14ac:dyDescent="0.25">
      <c r="A7320" t="str">
        <f t="shared" si="115"/>
        <v/>
      </c>
    </row>
    <row r="7321" spans="1:1" x14ac:dyDescent="0.25">
      <c r="A7321" t="str">
        <f t="shared" si="115"/>
        <v/>
      </c>
    </row>
    <row r="7322" spans="1:1" x14ac:dyDescent="0.25">
      <c r="A7322" t="str">
        <f t="shared" si="115"/>
        <v/>
      </c>
    </row>
    <row r="7323" spans="1:1" x14ac:dyDescent="0.25">
      <c r="A7323" t="str">
        <f t="shared" si="115"/>
        <v/>
      </c>
    </row>
    <row r="7324" spans="1:1" x14ac:dyDescent="0.25">
      <c r="A7324" t="str">
        <f t="shared" si="115"/>
        <v/>
      </c>
    </row>
    <row r="7325" spans="1:1" x14ac:dyDescent="0.25">
      <c r="A7325" t="str">
        <f t="shared" si="115"/>
        <v/>
      </c>
    </row>
    <row r="7326" spans="1:1" x14ac:dyDescent="0.25">
      <c r="A7326" t="str">
        <f t="shared" si="115"/>
        <v/>
      </c>
    </row>
    <row r="7327" spans="1:1" x14ac:dyDescent="0.25">
      <c r="A7327" t="str">
        <f t="shared" si="115"/>
        <v/>
      </c>
    </row>
    <row r="7328" spans="1:1" x14ac:dyDescent="0.25">
      <c r="A7328" t="str">
        <f t="shared" si="115"/>
        <v/>
      </c>
    </row>
    <row r="7329" spans="1:1" x14ac:dyDescent="0.25">
      <c r="A7329" t="str">
        <f t="shared" si="115"/>
        <v/>
      </c>
    </row>
    <row r="7330" spans="1:1" x14ac:dyDescent="0.25">
      <c r="A7330" t="str">
        <f t="shared" si="115"/>
        <v/>
      </c>
    </row>
    <row r="7331" spans="1:1" x14ac:dyDescent="0.25">
      <c r="A7331" t="str">
        <f t="shared" si="115"/>
        <v/>
      </c>
    </row>
    <row r="7332" spans="1:1" x14ac:dyDescent="0.25">
      <c r="A7332" t="str">
        <f t="shared" si="115"/>
        <v/>
      </c>
    </row>
    <row r="7333" spans="1:1" x14ac:dyDescent="0.25">
      <c r="A7333" t="str">
        <f t="shared" si="115"/>
        <v/>
      </c>
    </row>
    <row r="7334" spans="1:1" x14ac:dyDescent="0.25">
      <c r="A7334" t="str">
        <f t="shared" si="115"/>
        <v/>
      </c>
    </row>
    <row r="7335" spans="1:1" x14ac:dyDescent="0.25">
      <c r="A7335" t="str">
        <f t="shared" si="115"/>
        <v/>
      </c>
    </row>
    <row r="7336" spans="1:1" x14ac:dyDescent="0.25">
      <c r="A7336" t="str">
        <f t="shared" si="115"/>
        <v/>
      </c>
    </row>
    <row r="7337" spans="1:1" x14ac:dyDescent="0.25">
      <c r="A7337" t="str">
        <f t="shared" si="115"/>
        <v/>
      </c>
    </row>
    <row r="7338" spans="1:1" x14ac:dyDescent="0.25">
      <c r="A7338" t="str">
        <f t="shared" si="115"/>
        <v/>
      </c>
    </row>
    <row r="7339" spans="1:1" x14ac:dyDescent="0.25">
      <c r="A7339" t="str">
        <f t="shared" si="115"/>
        <v/>
      </c>
    </row>
    <row r="7340" spans="1:1" x14ac:dyDescent="0.25">
      <c r="A7340" t="str">
        <f t="shared" si="115"/>
        <v/>
      </c>
    </row>
    <row r="7341" spans="1:1" x14ac:dyDescent="0.25">
      <c r="A7341" t="str">
        <f t="shared" si="115"/>
        <v/>
      </c>
    </row>
    <row r="7342" spans="1:1" x14ac:dyDescent="0.25">
      <c r="A7342" t="str">
        <f t="shared" si="115"/>
        <v/>
      </c>
    </row>
    <row r="7343" spans="1:1" x14ac:dyDescent="0.25">
      <c r="A7343" t="str">
        <f t="shared" si="115"/>
        <v/>
      </c>
    </row>
    <row r="7344" spans="1:1" x14ac:dyDescent="0.25">
      <c r="A7344" t="str">
        <f t="shared" si="115"/>
        <v/>
      </c>
    </row>
    <row r="7345" spans="1:1" x14ac:dyDescent="0.25">
      <c r="A7345" t="str">
        <f t="shared" si="115"/>
        <v/>
      </c>
    </row>
    <row r="7346" spans="1:1" x14ac:dyDescent="0.25">
      <c r="A7346" t="str">
        <f t="shared" si="115"/>
        <v/>
      </c>
    </row>
    <row r="7347" spans="1:1" x14ac:dyDescent="0.25">
      <c r="A7347" t="str">
        <f t="shared" si="115"/>
        <v/>
      </c>
    </row>
    <row r="7348" spans="1:1" x14ac:dyDescent="0.25">
      <c r="A7348" t="str">
        <f t="shared" si="115"/>
        <v/>
      </c>
    </row>
    <row r="7349" spans="1:1" x14ac:dyDescent="0.25">
      <c r="A7349" t="str">
        <f t="shared" ref="A7349:A7412" si="116">B7347&amp;D7347</f>
        <v/>
      </c>
    </row>
    <row r="7350" spans="1:1" x14ac:dyDescent="0.25">
      <c r="A7350" t="str">
        <f t="shared" si="116"/>
        <v/>
      </c>
    </row>
    <row r="7351" spans="1:1" x14ac:dyDescent="0.25">
      <c r="A7351" t="str">
        <f t="shared" si="116"/>
        <v/>
      </c>
    </row>
    <row r="7352" spans="1:1" x14ac:dyDescent="0.25">
      <c r="A7352" t="str">
        <f t="shared" si="116"/>
        <v/>
      </c>
    </row>
    <row r="7353" spans="1:1" x14ac:dyDescent="0.25">
      <c r="A7353" t="str">
        <f t="shared" si="116"/>
        <v/>
      </c>
    </row>
    <row r="7354" spans="1:1" x14ac:dyDescent="0.25">
      <c r="A7354" t="str">
        <f t="shared" si="116"/>
        <v/>
      </c>
    </row>
    <row r="7355" spans="1:1" x14ac:dyDescent="0.25">
      <c r="A7355" t="str">
        <f t="shared" si="116"/>
        <v/>
      </c>
    </row>
    <row r="7356" spans="1:1" x14ac:dyDescent="0.25">
      <c r="A7356" t="str">
        <f t="shared" si="116"/>
        <v/>
      </c>
    </row>
    <row r="7357" spans="1:1" x14ac:dyDescent="0.25">
      <c r="A7357" t="str">
        <f t="shared" si="116"/>
        <v/>
      </c>
    </row>
    <row r="7358" spans="1:1" x14ac:dyDescent="0.25">
      <c r="A7358" t="str">
        <f t="shared" si="116"/>
        <v/>
      </c>
    </row>
    <row r="7359" spans="1:1" x14ac:dyDescent="0.25">
      <c r="A7359" t="str">
        <f t="shared" si="116"/>
        <v/>
      </c>
    </row>
    <row r="7360" spans="1:1" x14ac:dyDescent="0.25">
      <c r="A7360" t="str">
        <f t="shared" si="116"/>
        <v/>
      </c>
    </row>
    <row r="7361" spans="1:1" x14ac:dyDescent="0.25">
      <c r="A7361" t="str">
        <f t="shared" si="116"/>
        <v/>
      </c>
    </row>
    <row r="7362" spans="1:1" x14ac:dyDescent="0.25">
      <c r="A7362" t="str">
        <f t="shared" si="116"/>
        <v/>
      </c>
    </row>
    <row r="7363" spans="1:1" x14ac:dyDescent="0.25">
      <c r="A7363" t="str">
        <f t="shared" si="116"/>
        <v/>
      </c>
    </row>
    <row r="7364" spans="1:1" x14ac:dyDescent="0.25">
      <c r="A7364" t="str">
        <f t="shared" si="116"/>
        <v/>
      </c>
    </row>
    <row r="7365" spans="1:1" x14ac:dyDescent="0.25">
      <c r="A7365" t="str">
        <f t="shared" si="116"/>
        <v/>
      </c>
    </row>
    <row r="7366" spans="1:1" x14ac:dyDescent="0.25">
      <c r="A7366" t="str">
        <f t="shared" si="116"/>
        <v/>
      </c>
    </row>
    <row r="7367" spans="1:1" x14ac:dyDescent="0.25">
      <c r="A7367" t="str">
        <f t="shared" si="116"/>
        <v/>
      </c>
    </row>
    <row r="7368" spans="1:1" x14ac:dyDescent="0.25">
      <c r="A7368" t="str">
        <f t="shared" si="116"/>
        <v/>
      </c>
    </row>
    <row r="7369" spans="1:1" x14ac:dyDescent="0.25">
      <c r="A7369" t="str">
        <f t="shared" si="116"/>
        <v/>
      </c>
    </row>
    <row r="7370" spans="1:1" x14ac:dyDescent="0.25">
      <c r="A7370" t="str">
        <f t="shared" si="116"/>
        <v/>
      </c>
    </row>
    <row r="7371" spans="1:1" x14ac:dyDescent="0.25">
      <c r="A7371" t="str">
        <f t="shared" si="116"/>
        <v/>
      </c>
    </row>
    <row r="7372" spans="1:1" x14ac:dyDescent="0.25">
      <c r="A7372" t="str">
        <f t="shared" si="116"/>
        <v/>
      </c>
    </row>
    <row r="7373" spans="1:1" x14ac:dyDescent="0.25">
      <c r="A7373" t="str">
        <f t="shared" si="116"/>
        <v/>
      </c>
    </row>
    <row r="7374" spans="1:1" x14ac:dyDescent="0.25">
      <c r="A7374" t="str">
        <f t="shared" si="116"/>
        <v/>
      </c>
    </row>
    <row r="7375" spans="1:1" x14ac:dyDescent="0.25">
      <c r="A7375" t="str">
        <f t="shared" si="116"/>
        <v/>
      </c>
    </row>
    <row r="7376" spans="1:1" x14ac:dyDescent="0.25">
      <c r="A7376" t="str">
        <f t="shared" si="116"/>
        <v/>
      </c>
    </row>
    <row r="7377" spans="1:1" x14ac:dyDescent="0.25">
      <c r="A7377" t="str">
        <f t="shared" si="116"/>
        <v/>
      </c>
    </row>
    <row r="7378" spans="1:1" x14ac:dyDescent="0.25">
      <c r="A7378" t="str">
        <f t="shared" si="116"/>
        <v/>
      </c>
    </row>
    <row r="7379" spans="1:1" x14ac:dyDescent="0.25">
      <c r="A7379" t="str">
        <f t="shared" si="116"/>
        <v/>
      </c>
    </row>
    <row r="7380" spans="1:1" x14ac:dyDescent="0.25">
      <c r="A7380" t="str">
        <f t="shared" si="116"/>
        <v/>
      </c>
    </row>
    <row r="7381" spans="1:1" x14ac:dyDescent="0.25">
      <c r="A7381" t="str">
        <f t="shared" si="116"/>
        <v/>
      </c>
    </row>
    <row r="7382" spans="1:1" x14ac:dyDescent="0.25">
      <c r="A7382" t="str">
        <f t="shared" si="116"/>
        <v/>
      </c>
    </row>
    <row r="7383" spans="1:1" x14ac:dyDescent="0.25">
      <c r="A7383" t="str">
        <f t="shared" si="116"/>
        <v/>
      </c>
    </row>
    <row r="7384" spans="1:1" x14ac:dyDescent="0.25">
      <c r="A7384" t="str">
        <f t="shared" si="116"/>
        <v/>
      </c>
    </row>
    <row r="7385" spans="1:1" x14ac:dyDescent="0.25">
      <c r="A7385" t="str">
        <f t="shared" si="116"/>
        <v/>
      </c>
    </row>
    <row r="7386" spans="1:1" x14ac:dyDescent="0.25">
      <c r="A7386" t="str">
        <f t="shared" si="116"/>
        <v/>
      </c>
    </row>
    <row r="7387" spans="1:1" x14ac:dyDescent="0.25">
      <c r="A7387" t="str">
        <f t="shared" si="116"/>
        <v/>
      </c>
    </row>
    <row r="7388" spans="1:1" x14ac:dyDescent="0.25">
      <c r="A7388" t="str">
        <f t="shared" si="116"/>
        <v/>
      </c>
    </row>
    <row r="7389" spans="1:1" x14ac:dyDescent="0.25">
      <c r="A7389" t="str">
        <f t="shared" si="116"/>
        <v/>
      </c>
    </row>
    <row r="7390" spans="1:1" x14ac:dyDescent="0.25">
      <c r="A7390" t="str">
        <f t="shared" si="116"/>
        <v/>
      </c>
    </row>
    <row r="7391" spans="1:1" x14ac:dyDescent="0.25">
      <c r="A7391" t="str">
        <f t="shared" si="116"/>
        <v/>
      </c>
    </row>
    <row r="7392" spans="1:1" x14ac:dyDescent="0.25">
      <c r="A7392" t="str">
        <f t="shared" si="116"/>
        <v/>
      </c>
    </row>
    <row r="7393" spans="1:1" x14ac:dyDescent="0.25">
      <c r="A7393" t="str">
        <f t="shared" si="116"/>
        <v/>
      </c>
    </row>
    <row r="7394" spans="1:1" x14ac:dyDescent="0.25">
      <c r="A7394" t="str">
        <f t="shared" si="116"/>
        <v/>
      </c>
    </row>
    <row r="7395" spans="1:1" x14ac:dyDescent="0.25">
      <c r="A7395" t="str">
        <f t="shared" si="116"/>
        <v/>
      </c>
    </row>
    <row r="7396" spans="1:1" x14ac:dyDescent="0.25">
      <c r="A7396" t="str">
        <f t="shared" si="116"/>
        <v/>
      </c>
    </row>
    <row r="7397" spans="1:1" x14ac:dyDescent="0.25">
      <c r="A7397" t="str">
        <f t="shared" si="116"/>
        <v/>
      </c>
    </row>
    <row r="7398" spans="1:1" x14ac:dyDescent="0.25">
      <c r="A7398" t="str">
        <f t="shared" si="116"/>
        <v/>
      </c>
    </row>
    <row r="7399" spans="1:1" x14ac:dyDescent="0.25">
      <c r="A7399" t="str">
        <f t="shared" si="116"/>
        <v/>
      </c>
    </row>
    <row r="7400" spans="1:1" x14ac:dyDescent="0.25">
      <c r="A7400" t="str">
        <f t="shared" si="116"/>
        <v/>
      </c>
    </row>
    <row r="7401" spans="1:1" x14ac:dyDescent="0.25">
      <c r="A7401" t="str">
        <f t="shared" si="116"/>
        <v/>
      </c>
    </row>
    <row r="7402" spans="1:1" x14ac:dyDescent="0.25">
      <c r="A7402" t="str">
        <f t="shared" si="116"/>
        <v/>
      </c>
    </row>
    <row r="7403" spans="1:1" x14ac:dyDescent="0.25">
      <c r="A7403" t="str">
        <f t="shared" si="116"/>
        <v/>
      </c>
    </row>
    <row r="7404" spans="1:1" x14ac:dyDescent="0.25">
      <c r="A7404" t="str">
        <f t="shared" si="116"/>
        <v/>
      </c>
    </row>
    <row r="7405" spans="1:1" x14ac:dyDescent="0.25">
      <c r="A7405" t="str">
        <f t="shared" si="116"/>
        <v/>
      </c>
    </row>
    <row r="7406" spans="1:1" x14ac:dyDescent="0.25">
      <c r="A7406" t="str">
        <f t="shared" si="116"/>
        <v/>
      </c>
    </row>
    <row r="7407" spans="1:1" x14ac:dyDescent="0.25">
      <c r="A7407" t="str">
        <f t="shared" si="116"/>
        <v/>
      </c>
    </row>
    <row r="7408" spans="1:1" x14ac:dyDescent="0.25">
      <c r="A7408" t="str">
        <f t="shared" si="116"/>
        <v/>
      </c>
    </row>
    <row r="7409" spans="1:1" x14ac:dyDescent="0.25">
      <c r="A7409" t="str">
        <f t="shared" si="116"/>
        <v/>
      </c>
    </row>
    <row r="7410" spans="1:1" x14ac:dyDescent="0.25">
      <c r="A7410" t="str">
        <f t="shared" si="116"/>
        <v/>
      </c>
    </row>
    <row r="7411" spans="1:1" x14ac:dyDescent="0.25">
      <c r="A7411" t="str">
        <f t="shared" si="116"/>
        <v/>
      </c>
    </row>
    <row r="7412" spans="1:1" x14ac:dyDescent="0.25">
      <c r="A7412" t="str">
        <f t="shared" si="116"/>
        <v/>
      </c>
    </row>
    <row r="7413" spans="1:1" x14ac:dyDescent="0.25">
      <c r="A7413" t="str">
        <f t="shared" ref="A7413:A7476" si="117">B7411&amp;D7411</f>
        <v/>
      </c>
    </row>
    <row r="7414" spans="1:1" x14ac:dyDescent="0.25">
      <c r="A7414" t="str">
        <f t="shared" si="117"/>
        <v/>
      </c>
    </row>
    <row r="7415" spans="1:1" x14ac:dyDescent="0.25">
      <c r="A7415" t="str">
        <f t="shared" si="117"/>
        <v/>
      </c>
    </row>
    <row r="7416" spans="1:1" x14ac:dyDescent="0.25">
      <c r="A7416" t="str">
        <f t="shared" si="117"/>
        <v/>
      </c>
    </row>
    <row r="7417" spans="1:1" x14ac:dyDescent="0.25">
      <c r="A7417" t="str">
        <f t="shared" si="117"/>
        <v/>
      </c>
    </row>
    <row r="7418" spans="1:1" x14ac:dyDescent="0.25">
      <c r="A7418" t="str">
        <f t="shared" si="117"/>
        <v/>
      </c>
    </row>
    <row r="7419" spans="1:1" x14ac:dyDescent="0.25">
      <c r="A7419" t="str">
        <f t="shared" si="117"/>
        <v/>
      </c>
    </row>
    <row r="7420" spans="1:1" x14ac:dyDescent="0.25">
      <c r="A7420" t="str">
        <f t="shared" si="117"/>
        <v/>
      </c>
    </row>
    <row r="7421" spans="1:1" x14ac:dyDescent="0.25">
      <c r="A7421" t="str">
        <f t="shared" si="117"/>
        <v/>
      </c>
    </row>
    <row r="7422" spans="1:1" x14ac:dyDescent="0.25">
      <c r="A7422" t="str">
        <f t="shared" si="117"/>
        <v/>
      </c>
    </row>
    <row r="7423" spans="1:1" x14ac:dyDescent="0.25">
      <c r="A7423" t="str">
        <f t="shared" si="117"/>
        <v/>
      </c>
    </row>
    <row r="7424" spans="1:1" x14ac:dyDescent="0.25">
      <c r="A7424" t="str">
        <f t="shared" si="117"/>
        <v/>
      </c>
    </row>
    <row r="7425" spans="1:1" x14ac:dyDescent="0.25">
      <c r="A7425" t="str">
        <f t="shared" si="117"/>
        <v/>
      </c>
    </row>
    <row r="7426" spans="1:1" x14ac:dyDescent="0.25">
      <c r="A7426" t="str">
        <f t="shared" si="117"/>
        <v/>
      </c>
    </row>
    <row r="7427" spans="1:1" x14ac:dyDescent="0.25">
      <c r="A7427" t="str">
        <f t="shared" si="117"/>
        <v/>
      </c>
    </row>
    <row r="7428" spans="1:1" x14ac:dyDescent="0.25">
      <c r="A7428" t="str">
        <f t="shared" si="117"/>
        <v/>
      </c>
    </row>
    <row r="7429" spans="1:1" x14ac:dyDescent="0.25">
      <c r="A7429" t="str">
        <f t="shared" si="117"/>
        <v/>
      </c>
    </row>
    <row r="7430" spans="1:1" x14ac:dyDescent="0.25">
      <c r="A7430" t="str">
        <f t="shared" si="117"/>
        <v/>
      </c>
    </row>
    <row r="7431" spans="1:1" x14ac:dyDescent="0.25">
      <c r="A7431" t="str">
        <f t="shared" si="117"/>
        <v/>
      </c>
    </row>
    <row r="7432" spans="1:1" x14ac:dyDescent="0.25">
      <c r="A7432" t="str">
        <f t="shared" si="117"/>
        <v/>
      </c>
    </row>
    <row r="7433" spans="1:1" x14ac:dyDescent="0.25">
      <c r="A7433" t="str">
        <f t="shared" si="117"/>
        <v/>
      </c>
    </row>
    <row r="7434" spans="1:1" x14ac:dyDescent="0.25">
      <c r="A7434" t="str">
        <f t="shared" si="117"/>
        <v/>
      </c>
    </row>
    <row r="7435" spans="1:1" x14ac:dyDescent="0.25">
      <c r="A7435" t="str">
        <f t="shared" si="117"/>
        <v/>
      </c>
    </row>
    <row r="7436" spans="1:1" x14ac:dyDescent="0.25">
      <c r="A7436" t="str">
        <f t="shared" si="117"/>
        <v/>
      </c>
    </row>
    <row r="7437" spans="1:1" x14ac:dyDescent="0.25">
      <c r="A7437" t="str">
        <f t="shared" si="117"/>
        <v/>
      </c>
    </row>
    <row r="7438" spans="1:1" x14ac:dyDescent="0.25">
      <c r="A7438" t="str">
        <f t="shared" si="117"/>
        <v/>
      </c>
    </row>
    <row r="7439" spans="1:1" x14ac:dyDescent="0.25">
      <c r="A7439" t="str">
        <f t="shared" si="117"/>
        <v/>
      </c>
    </row>
    <row r="7440" spans="1:1" x14ac:dyDescent="0.25">
      <c r="A7440" t="str">
        <f t="shared" si="117"/>
        <v/>
      </c>
    </row>
    <row r="7441" spans="1:1" x14ac:dyDescent="0.25">
      <c r="A7441" t="str">
        <f t="shared" si="117"/>
        <v/>
      </c>
    </row>
    <row r="7442" spans="1:1" x14ac:dyDescent="0.25">
      <c r="A7442" t="str">
        <f t="shared" si="117"/>
        <v/>
      </c>
    </row>
    <row r="7443" spans="1:1" x14ac:dyDescent="0.25">
      <c r="A7443" t="str">
        <f t="shared" si="117"/>
        <v/>
      </c>
    </row>
    <row r="7444" spans="1:1" x14ac:dyDescent="0.25">
      <c r="A7444" t="str">
        <f t="shared" si="117"/>
        <v/>
      </c>
    </row>
    <row r="7445" spans="1:1" x14ac:dyDescent="0.25">
      <c r="A7445" t="str">
        <f t="shared" si="117"/>
        <v/>
      </c>
    </row>
    <row r="7446" spans="1:1" x14ac:dyDescent="0.25">
      <c r="A7446" t="str">
        <f t="shared" si="117"/>
        <v/>
      </c>
    </row>
    <row r="7447" spans="1:1" x14ac:dyDescent="0.25">
      <c r="A7447" t="str">
        <f t="shared" si="117"/>
        <v/>
      </c>
    </row>
    <row r="7448" spans="1:1" x14ac:dyDescent="0.25">
      <c r="A7448" t="str">
        <f t="shared" si="117"/>
        <v/>
      </c>
    </row>
    <row r="7449" spans="1:1" x14ac:dyDescent="0.25">
      <c r="A7449" t="str">
        <f t="shared" si="117"/>
        <v/>
      </c>
    </row>
    <row r="7450" spans="1:1" x14ac:dyDescent="0.25">
      <c r="A7450" t="str">
        <f t="shared" si="117"/>
        <v/>
      </c>
    </row>
    <row r="7451" spans="1:1" x14ac:dyDescent="0.25">
      <c r="A7451" t="str">
        <f t="shared" si="117"/>
        <v/>
      </c>
    </row>
    <row r="7452" spans="1:1" x14ac:dyDescent="0.25">
      <c r="A7452" t="str">
        <f t="shared" si="117"/>
        <v/>
      </c>
    </row>
    <row r="7453" spans="1:1" x14ac:dyDescent="0.25">
      <c r="A7453" t="str">
        <f t="shared" si="117"/>
        <v/>
      </c>
    </row>
    <row r="7454" spans="1:1" x14ac:dyDescent="0.25">
      <c r="A7454" t="str">
        <f t="shared" si="117"/>
        <v/>
      </c>
    </row>
    <row r="7455" spans="1:1" x14ac:dyDescent="0.25">
      <c r="A7455" t="str">
        <f t="shared" si="117"/>
        <v/>
      </c>
    </row>
    <row r="7456" spans="1:1" x14ac:dyDescent="0.25">
      <c r="A7456" t="str">
        <f t="shared" si="117"/>
        <v/>
      </c>
    </row>
    <row r="7457" spans="1:1" x14ac:dyDescent="0.25">
      <c r="A7457" t="str">
        <f t="shared" si="117"/>
        <v/>
      </c>
    </row>
    <row r="7458" spans="1:1" x14ac:dyDescent="0.25">
      <c r="A7458" t="str">
        <f t="shared" si="117"/>
        <v/>
      </c>
    </row>
    <row r="7459" spans="1:1" x14ac:dyDescent="0.25">
      <c r="A7459" t="str">
        <f t="shared" si="117"/>
        <v/>
      </c>
    </row>
    <row r="7460" spans="1:1" x14ac:dyDescent="0.25">
      <c r="A7460" t="str">
        <f t="shared" si="117"/>
        <v/>
      </c>
    </row>
    <row r="7461" spans="1:1" x14ac:dyDescent="0.25">
      <c r="A7461" t="str">
        <f t="shared" si="117"/>
        <v/>
      </c>
    </row>
    <row r="7462" spans="1:1" x14ac:dyDescent="0.25">
      <c r="A7462" t="str">
        <f t="shared" si="117"/>
        <v/>
      </c>
    </row>
    <row r="7463" spans="1:1" x14ac:dyDescent="0.25">
      <c r="A7463" t="str">
        <f t="shared" si="117"/>
        <v/>
      </c>
    </row>
    <row r="7464" spans="1:1" x14ac:dyDescent="0.25">
      <c r="A7464" t="str">
        <f t="shared" si="117"/>
        <v/>
      </c>
    </row>
    <row r="7465" spans="1:1" x14ac:dyDescent="0.25">
      <c r="A7465" t="str">
        <f t="shared" si="117"/>
        <v/>
      </c>
    </row>
    <row r="7466" spans="1:1" x14ac:dyDescent="0.25">
      <c r="A7466" t="str">
        <f t="shared" si="117"/>
        <v/>
      </c>
    </row>
    <row r="7467" spans="1:1" x14ac:dyDescent="0.25">
      <c r="A7467" t="str">
        <f t="shared" si="117"/>
        <v/>
      </c>
    </row>
    <row r="7468" spans="1:1" x14ac:dyDescent="0.25">
      <c r="A7468" t="str">
        <f t="shared" si="117"/>
        <v/>
      </c>
    </row>
    <row r="7469" spans="1:1" x14ac:dyDescent="0.25">
      <c r="A7469" t="str">
        <f t="shared" si="117"/>
        <v/>
      </c>
    </row>
    <row r="7470" spans="1:1" x14ac:dyDescent="0.25">
      <c r="A7470" t="str">
        <f t="shared" si="117"/>
        <v/>
      </c>
    </row>
    <row r="7471" spans="1:1" x14ac:dyDescent="0.25">
      <c r="A7471" t="str">
        <f t="shared" si="117"/>
        <v/>
      </c>
    </row>
    <row r="7472" spans="1:1" x14ac:dyDescent="0.25">
      <c r="A7472" t="str">
        <f t="shared" si="117"/>
        <v/>
      </c>
    </row>
    <row r="7473" spans="1:1" x14ac:dyDescent="0.25">
      <c r="A7473" t="str">
        <f t="shared" si="117"/>
        <v/>
      </c>
    </row>
    <row r="7474" spans="1:1" x14ac:dyDescent="0.25">
      <c r="A7474" t="str">
        <f t="shared" si="117"/>
        <v/>
      </c>
    </row>
    <row r="7475" spans="1:1" x14ac:dyDescent="0.25">
      <c r="A7475" t="str">
        <f t="shared" si="117"/>
        <v/>
      </c>
    </row>
    <row r="7476" spans="1:1" x14ac:dyDescent="0.25">
      <c r="A7476" t="str">
        <f t="shared" si="117"/>
        <v/>
      </c>
    </row>
    <row r="7477" spans="1:1" x14ac:dyDescent="0.25">
      <c r="A7477" t="str">
        <f t="shared" ref="A7477:A7540" si="118">B7475&amp;D7475</f>
        <v/>
      </c>
    </row>
    <row r="7478" spans="1:1" x14ac:dyDescent="0.25">
      <c r="A7478" t="str">
        <f t="shared" si="118"/>
        <v/>
      </c>
    </row>
    <row r="7479" spans="1:1" x14ac:dyDescent="0.25">
      <c r="A7479" t="str">
        <f t="shared" si="118"/>
        <v/>
      </c>
    </row>
    <row r="7480" spans="1:1" x14ac:dyDescent="0.25">
      <c r="A7480" t="str">
        <f t="shared" si="118"/>
        <v/>
      </c>
    </row>
    <row r="7481" spans="1:1" x14ac:dyDescent="0.25">
      <c r="A7481" t="str">
        <f t="shared" si="118"/>
        <v/>
      </c>
    </row>
    <row r="7482" spans="1:1" x14ac:dyDescent="0.25">
      <c r="A7482" t="str">
        <f t="shared" si="118"/>
        <v/>
      </c>
    </row>
    <row r="7483" spans="1:1" x14ac:dyDescent="0.25">
      <c r="A7483" t="str">
        <f t="shared" si="118"/>
        <v/>
      </c>
    </row>
    <row r="7484" spans="1:1" x14ac:dyDescent="0.25">
      <c r="A7484" t="str">
        <f t="shared" si="118"/>
        <v/>
      </c>
    </row>
    <row r="7485" spans="1:1" x14ac:dyDescent="0.25">
      <c r="A7485" t="str">
        <f t="shared" si="118"/>
        <v/>
      </c>
    </row>
    <row r="7486" spans="1:1" x14ac:dyDescent="0.25">
      <c r="A7486" t="str">
        <f t="shared" si="118"/>
        <v/>
      </c>
    </row>
    <row r="7487" spans="1:1" x14ac:dyDescent="0.25">
      <c r="A7487" t="str">
        <f t="shared" si="118"/>
        <v/>
      </c>
    </row>
    <row r="7488" spans="1:1" x14ac:dyDescent="0.25">
      <c r="A7488" t="str">
        <f t="shared" si="118"/>
        <v/>
      </c>
    </row>
    <row r="7489" spans="1:1" x14ac:dyDescent="0.25">
      <c r="A7489" t="str">
        <f t="shared" si="118"/>
        <v/>
      </c>
    </row>
    <row r="7490" spans="1:1" x14ac:dyDescent="0.25">
      <c r="A7490" t="str">
        <f t="shared" si="118"/>
        <v/>
      </c>
    </row>
    <row r="7491" spans="1:1" x14ac:dyDescent="0.25">
      <c r="A7491" t="str">
        <f t="shared" si="118"/>
        <v/>
      </c>
    </row>
    <row r="7492" spans="1:1" x14ac:dyDescent="0.25">
      <c r="A7492" t="str">
        <f t="shared" si="118"/>
        <v/>
      </c>
    </row>
    <row r="7493" spans="1:1" x14ac:dyDescent="0.25">
      <c r="A7493" t="str">
        <f t="shared" si="118"/>
        <v/>
      </c>
    </row>
    <row r="7494" spans="1:1" x14ac:dyDescent="0.25">
      <c r="A7494" t="str">
        <f t="shared" si="118"/>
        <v/>
      </c>
    </row>
    <row r="7495" spans="1:1" x14ac:dyDescent="0.25">
      <c r="A7495" t="str">
        <f t="shared" si="118"/>
        <v/>
      </c>
    </row>
    <row r="7496" spans="1:1" x14ac:dyDescent="0.25">
      <c r="A7496" t="str">
        <f t="shared" si="118"/>
        <v/>
      </c>
    </row>
    <row r="7497" spans="1:1" x14ac:dyDescent="0.25">
      <c r="A7497" t="str">
        <f t="shared" si="118"/>
        <v/>
      </c>
    </row>
    <row r="7498" spans="1:1" x14ac:dyDescent="0.25">
      <c r="A7498" t="str">
        <f t="shared" si="118"/>
        <v/>
      </c>
    </row>
    <row r="7499" spans="1:1" x14ac:dyDescent="0.25">
      <c r="A7499" t="str">
        <f t="shared" si="118"/>
        <v/>
      </c>
    </row>
    <row r="7500" spans="1:1" x14ac:dyDescent="0.25">
      <c r="A7500" t="str">
        <f t="shared" si="118"/>
        <v/>
      </c>
    </row>
    <row r="7501" spans="1:1" x14ac:dyDescent="0.25">
      <c r="A7501" t="str">
        <f t="shared" si="118"/>
        <v/>
      </c>
    </row>
    <row r="7502" spans="1:1" x14ac:dyDescent="0.25">
      <c r="A7502" t="str">
        <f t="shared" si="118"/>
        <v/>
      </c>
    </row>
    <row r="7503" spans="1:1" x14ac:dyDescent="0.25">
      <c r="A7503" t="str">
        <f t="shared" si="118"/>
        <v/>
      </c>
    </row>
    <row r="7504" spans="1:1" x14ac:dyDescent="0.25">
      <c r="A7504" t="str">
        <f t="shared" si="118"/>
        <v/>
      </c>
    </row>
    <row r="7505" spans="1:1" x14ac:dyDescent="0.25">
      <c r="A7505" t="str">
        <f t="shared" si="118"/>
        <v/>
      </c>
    </row>
    <row r="7506" spans="1:1" x14ac:dyDescent="0.25">
      <c r="A7506" t="str">
        <f t="shared" si="118"/>
        <v/>
      </c>
    </row>
    <row r="7507" spans="1:1" x14ac:dyDescent="0.25">
      <c r="A7507" t="str">
        <f t="shared" si="118"/>
        <v/>
      </c>
    </row>
    <row r="7508" spans="1:1" x14ac:dyDescent="0.25">
      <c r="A7508" t="str">
        <f t="shared" si="118"/>
        <v/>
      </c>
    </row>
    <row r="7509" spans="1:1" x14ac:dyDescent="0.25">
      <c r="A7509" t="str">
        <f t="shared" si="118"/>
        <v/>
      </c>
    </row>
    <row r="7510" spans="1:1" x14ac:dyDescent="0.25">
      <c r="A7510" t="str">
        <f t="shared" si="118"/>
        <v/>
      </c>
    </row>
    <row r="7511" spans="1:1" x14ac:dyDescent="0.25">
      <c r="A7511" t="str">
        <f t="shared" si="118"/>
        <v/>
      </c>
    </row>
    <row r="7512" spans="1:1" x14ac:dyDescent="0.25">
      <c r="A7512" t="str">
        <f t="shared" si="118"/>
        <v/>
      </c>
    </row>
    <row r="7513" spans="1:1" x14ac:dyDescent="0.25">
      <c r="A7513" t="str">
        <f t="shared" si="118"/>
        <v/>
      </c>
    </row>
    <row r="7514" spans="1:1" x14ac:dyDescent="0.25">
      <c r="A7514" t="str">
        <f t="shared" si="118"/>
        <v/>
      </c>
    </row>
    <row r="7515" spans="1:1" x14ac:dyDescent="0.25">
      <c r="A7515" t="str">
        <f t="shared" si="118"/>
        <v/>
      </c>
    </row>
    <row r="7516" spans="1:1" x14ac:dyDescent="0.25">
      <c r="A7516" t="str">
        <f t="shared" si="118"/>
        <v/>
      </c>
    </row>
    <row r="7517" spans="1:1" x14ac:dyDescent="0.25">
      <c r="A7517" t="str">
        <f t="shared" si="118"/>
        <v/>
      </c>
    </row>
    <row r="7518" spans="1:1" x14ac:dyDescent="0.25">
      <c r="A7518" t="str">
        <f t="shared" si="118"/>
        <v/>
      </c>
    </row>
    <row r="7519" spans="1:1" x14ac:dyDescent="0.25">
      <c r="A7519" t="str">
        <f t="shared" si="118"/>
        <v/>
      </c>
    </row>
    <row r="7520" spans="1:1" x14ac:dyDescent="0.25">
      <c r="A7520" t="str">
        <f t="shared" si="118"/>
        <v/>
      </c>
    </row>
    <row r="7521" spans="1:1" x14ac:dyDescent="0.25">
      <c r="A7521" t="str">
        <f t="shared" si="118"/>
        <v/>
      </c>
    </row>
    <row r="7522" spans="1:1" x14ac:dyDescent="0.25">
      <c r="A7522" t="str">
        <f t="shared" si="118"/>
        <v/>
      </c>
    </row>
    <row r="7523" spans="1:1" x14ac:dyDescent="0.25">
      <c r="A7523" t="str">
        <f t="shared" si="118"/>
        <v/>
      </c>
    </row>
    <row r="7524" spans="1:1" x14ac:dyDescent="0.25">
      <c r="A7524" t="str">
        <f t="shared" si="118"/>
        <v/>
      </c>
    </row>
    <row r="7525" spans="1:1" x14ac:dyDescent="0.25">
      <c r="A7525" t="str">
        <f t="shared" si="118"/>
        <v/>
      </c>
    </row>
    <row r="7526" spans="1:1" x14ac:dyDescent="0.25">
      <c r="A7526" t="str">
        <f t="shared" si="118"/>
        <v/>
      </c>
    </row>
    <row r="7527" spans="1:1" x14ac:dyDescent="0.25">
      <c r="A7527" t="str">
        <f t="shared" si="118"/>
        <v/>
      </c>
    </row>
    <row r="7528" spans="1:1" x14ac:dyDescent="0.25">
      <c r="A7528" t="str">
        <f t="shared" si="118"/>
        <v/>
      </c>
    </row>
    <row r="7529" spans="1:1" x14ac:dyDescent="0.25">
      <c r="A7529" t="str">
        <f t="shared" si="118"/>
        <v/>
      </c>
    </row>
    <row r="7530" spans="1:1" x14ac:dyDescent="0.25">
      <c r="A7530" t="str">
        <f t="shared" si="118"/>
        <v/>
      </c>
    </row>
    <row r="7531" spans="1:1" x14ac:dyDescent="0.25">
      <c r="A7531" t="str">
        <f t="shared" si="118"/>
        <v/>
      </c>
    </row>
    <row r="7532" spans="1:1" x14ac:dyDescent="0.25">
      <c r="A7532" t="str">
        <f t="shared" si="118"/>
        <v/>
      </c>
    </row>
    <row r="7533" spans="1:1" x14ac:dyDescent="0.25">
      <c r="A7533" t="str">
        <f t="shared" si="118"/>
        <v/>
      </c>
    </row>
    <row r="7534" spans="1:1" x14ac:dyDescent="0.25">
      <c r="A7534" t="str">
        <f t="shared" si="118"/>
        <v/>
      </c>
    </row>
    <row r="7535" spans="1:1" x14ac:dyDescent="0.25">
      <c r="A7535" t="str">
        <f t="shared" si="118"/>
        <v/>
      </c>
    </row>
    <row r="7536" spans="1:1" x14ac:dyDescent="0.25">
      <c r="A7536" t="str">
        <f t="shared" si="118"/>
        <v/>
      </c>
    </row>
    <row r="7537" spans="1:1" x14ac:dyDescent="0.25">
      <c r="A7537" t="str">
        <f t="shared" si="118"/>
        <v/>
      </c>
    </row>
    <row r="7538" spans="1:1" x14ac:dyDescent="0.25">
      <c r="A7538" t="str">
        <f t="shared" si="118"/>
        <v/>
      </c>
    </row>
    <row r="7539" spans="1:1" x14ac:dyDescent="0.25">
      <c r="A7539" t="str">
        <f t="shared" si="118"/>
        <v/>
      </c>
    </row>
    <row r="7540" spans="1:1" x14ac:dyDescent="0.25">
      <c r="A7540" t="str">
        <f t="shared" si="118"/>
        <v/>
      </c>
    </row>
    <row r="7541" spans="1:1" x14ac:dyDescent="0.25">
      <c r="A7541" t="str">
        <f t="shared" ref="A7541:A7604" si="119">B7539&amp;D7539</f>
        <v/>
      </c>
    </row>
    <row r="7542" spans="1:1" x14ac:dyDescent="0.25">
      <c r="A7542" t="str">
        <f t="shared" si="119"/>
        <v/>
      </c>
    </row>
    <row r="7543" spans="1:1" x14ac:dyDescent="0.25">
      <c r="A7543" t="str">
        <f t="shared" si="119"/>
        <v/>
      </c>
    </row>
    <row r="7544" spans="1:1" x14ac:dyDescent="0.25">
      <c r="A7544" t="str">
        <f t="shared" si="119"/>
        <v/>
      </c>
    </row>
    <row r="7545" spans="1:1" x14ac:dyDescent="0.25">
      <c r="A7545" t="str">
        <f t="shared" si="119"/>
        <v/>
      </c>
    </row>
    <row r="7546" spans="1:1" x14ac:dyDescent="0.25">
      <c r="A7546" t="str">
        <f t="shared" si="119"/>
        <v/>
      </c>
    </row>
    <row r="7547" spans="1:1" x14ac:dyDescent="0.25">
      <c r="A7547" t="str">
        <f t="shared" si="119"/>
        <v/>
      </c>
    </row>
    <row r="7548" spans="1:1" x14ac:dyDescent="0.25">
      <c r="A7548" t="str">
        <f t="shared" si="119"/>
        <v/>
      </c>
    </row>
    <row r="7549" spans="1:1" x14ac:dyDescent="0.25">
      <c r="A7549" t="str">
        <f t="shared" si="119"/>
        <v/>
      </c>
    </row>
    <row r="7550" spans="1:1" x14ac:dyDescent="0.25">
      <c r="A7550" t="str">
        <f t="shared" si="119"/>
        <v/>
      </c>
    </row>
    <row r="7551" spans="1:1" x14ac:dyDescent="0.25">
      <c r="A7551" t="str">
        <f t="shared" si="119"/>
        <v/>
      </c>
    </row>
    <row r="7552" spans="1:1" x14ac:dyDescent="0.25">
      <c r="A7552" t="str">
        <f t="shared" si="119"/>
        <v/>
      </c>
    </row>
    <row r="7553" spans="1:1" x14ac:dyDescent="0.25">
      <c r="A7553" t="str">
        <f t="shared" si="119"/>
        <v/>
      </c>
    </row>
    <row r="7554" spans="1:1" x14ac:dyDescent="0.25">
      <c r="A7554" t="str">
        <f t="shared" si="119"/>
        <v/>
      </c>
    </row>
    <row r="7555" spans="1:1" x14ac:dyDescent="0.25">
      <c r="A7555" t="str">
        <f t="shared" si="119"/>
        <v/>
      </c>
    </row>
    <row r="7556" spans="1:1" x14ac:dyDescent="0.25">
      <c r="A7556" t="str">
        <f t="shared" si="119"/>
        <v/>
      </c>
    </row>
    <row r="7557" spans="1:1" x14ac:dyDescent="0.25">
      <c r="A7557" t="str">
        <f t="shared" si="119"/>
        <v/>
      </c>
    </row>
    <row r="7558" spans="1:1" x14ac:dyDescent="0.25">
      <c r="A7558" t="str">
        <f t="shared" si="119"/>
        <v/>
      </c>
    </row>
    <row r="7559" spans="1:1" x14ac:dyDescent="0.25">
      <c r="A7559" t="str">
        <f t="shared" si="119"/>
        <v/>
      </c>
    </row>
    <row r="7560" spans="1:1" x14ac:dyDescent="0.25">
      <c r="A7560" t="str">
        <f t="shared" si="119"/>
        <v/>
      </c>
    </row>
    <row r="7561" spans="1:1" x14ac:dyDescent="0.25">
      <c r="A7561" t="str">
        <f t="shared" si="119"/>
        <v/>
      </c>
    </row>
    <row r="7562" spans="1:1" x14ac:dyDescent="0.25">
      <c r="A7562" t="str">
        <f t="shared" si="119"/>
        <v/>
      </c>
    </row>
    <row r="7563" spans="1:1" x14ac:dyDescent="0.25">
      <c r="A7563" t="str">
        <f t="shared" si="119"/>
        <v/>
      </c>
    </row>
    <row r="7564" spans="1:1" x14ac:dyDescent="0.25">
      <c r="A7564" t="str">
        <f t="shared" si="119"/>
        <v/>
      </c>
    </row>
    <row r="7565" spans="1:1" x14ac:dyDescent="0.25">
      <c r="A7565" t="str">
        <f t="shared" si="119"/>
        <v/>
      </c>
    </row>
    <row r="7566" spans="1:1" x14ac:dyDescent="0.25">
      <c r="A7566" t="str">
        <f t="shared" si="119"/>
        <v/>
      </c>
    </row>
    <row r="7567" spans="1:1" x14ac:dyDescent="0.25">
      <c r="A7567" t="str">
        <f t="shared" si="119"/>
        <v/>
      </c>
    </row>
    <row r="7568" spans="1:1" x14ac:dyDescent="0.25">
      <c r="A7568" t="str">
        <f t="shared" si="119"/>
        <v/>
      </c>
    </row>
    <row r="7569" spans="1:1" x14ac:dyDescent="0.25">
      <c r="A7569" t="str">
        <f t="shared" si="119"/>
        <v/>
      </c>
    </row>
    <row r="7570" spans="1:1" x14ac:dyDescent="0.25">
      <c r="A7570" t="str">
        <f t="shared" si="119"/>
        <v/>
      </c>
    </row>
    <row r="7571" spans="1:1" x14ac:dyDescent="0.25">
      <c r="A7571" t="str">
        <f t="shared" si="119"/>
        <v/>
      </c>
    </row>
    <row r="7572" spans="1:1" x14ac:dyDescent="0.25">
      <c r="A7572" t="str">
        <f t="shared" si="119"/>
        <v/>
      </c>
    </row>
    <row r="7573" spans="1:1" x14ac:dyDescent="0.25">
      <c r="A7573" t="str">
        <f t="shared" si="119"/>
        <v/>
      </c>
    </row>
    <row r="7574" spans="1:1" x14ac:dyDescent="0.25">
      <c r="A7574" t="str">
        <f t="shared" si="119"/>
        <v/>
      </c>
    </row>
    <row r="7575" spans="1:1" x14ac:dyDescent="0.25">
      <c r="A7575" t="str">
        <f t="shared" si="119"/>
        <v/>
      </c>
    </row>
    <row r="7576" spans="1:1" x14ac:dyDescent="0.25">
      <c r="A7576" t="str">
        <f t="shared" si="119"/>
        <v/>
      </c>
    </row>
    <row r="7577" spans="1:1" x14ac:dyDescent="0.25">
      <c r="A7577" t="str">
        <f t="shared" si="119"/>
        <v/>
      </c>
    </row>
    <row r="7578" spans="1:1" x14ac:dyDescent="0.25">
      <c r="A7578" t="str">
        <f t="shared" si="119"/>
        <v/>
      </c>
    </row>
    <row r="7579" spans="1:1" x14ac:dyDescent="0.25">
      <c r="A7579" t="str">
        <f t="shared" si="119"/>
        <v/>
      </c>
    </row>
    <row r="7580" spans="1:1" x14ac:dyDescent="0.25">
      <c r="A7580" t="str">
        <f t="shared" si="119"/>
        <v/>
      </c>
    </row>
    <row r="7581" spans="1:1" x14ac:dyDescent="0.25">
      <c r="A7581" t="str">
        <f t="shared" si="119"/>
        <v/>
      </c>
    </row>
    <row r="7582" spans="1:1" x14ac:dyDescent="0.25">
      <c r="A7582" t="str">
        <f t="shared" si="119"/>
        <v/>
      </c>
    </row>
    <row r="7583" spans="1:1" x14ac:dyDescent="0.25">
      <c r="A7583" t="str">
        <f t="shared" si="119"/>
        <v/>
      </c>
    </row>
    <row r="7584" spans="1:1" x14ac:dyDescent="0.25">
      <c r="A7584" t="str">
        <f t="shared" si="119"/>
        <v/>
      </c>
    </row>
    <row r="7585" spans="1:1" x14ac:dyDescent="0.25">
      <c r="A7585" t="str">
        <f t="shared" si="119"/>
        <v/>
      </c>
    </row>
    <row r="7586" spans="1:1" x14ac:dyDescent="0.25">
      <c r="A7586" t="str">
        <f t="shared" si="119"/>
        <v/>
      </c>
    </row>
    <row r="7587" spans="1:1" x14ac:dyDescent="0.25">
      <c r="A7587" t="str">
        <f t="shared" si="119"/>
        <v/>
      </c>
    </row>
    <row r="7588" spans="1:1" x14ac:dyDescent="0.25">
      <c r="A7588" t="str">
        <f t="shared" si="119"/>
        <v/>
      </c>
    </row>
    <row r="7589" spans="1:1" x14ac:dyDescent="0.25">
      <c r="A7589" t="str">
        <f t="shared" si="119"/>
        <v/>
      </c>
    </row>
    <row r="7590" spans="1:1" x14ac:dyDescent="0.25">
      <c r="A7590" t="str">
        <f t="shared" si="119"/>
        <v/>
      </c>
    </row>
    <row r="7591" spans="1:1" x14ac:dyDescent="0.25">
      <c r="A7591" t="str">
        <f t="shared" si="119"/>
        <v/>
      </c>
    </row>
    <row r="7592" spans="1:1" x14ac:dyDescent="0.25">
      <c r="A7592" t="str">
        <f t="shared" si="119"/>
        <v/>
      </c>
    </row>
    <row r="7593" spans="1:1" x14ac:dyDescent="0.25">
      <c r="A7593" t="str">
        <f t="shared" si="119"/>
        <v/>
      </c>
    </row>
    <row r="7594" spans="1:1" x14ac:dyDescent="0.25">
      <c r="A7594" t="str">
        <f t="shared" si="119"/>
        <v/>
      </c>
    </row>
    <row r="7595" spans="1:1" x14ac:dyDescent="0.25">
      <c r="A7595" t="str">
        <f t="shared" si="119"/>
        <v/>
      </c>
    </row>
    <row r="7596" spans="1:1" x14ac:dyDescent="0.25">
      <c r="A7596" t="str">
        <f t="shared" si="119"/>
        <v/>
      </c>
    </row>
    <row r="7597" spans="1:1" x14ac:dyDescent="0.25">
      <c r="A7597" t="str">
        <f t="shared" si="119"/>
        <v/>
      </c>
    </row>
    <row r="7598" spans="1:1" x14ac:dyDescent="0.25">
      <c r="A7598" t="str">
        <f t="shared" si="119"/>
        <v/>
      </c>
    </row>
    <row r="7599" spans="1:1" x14ac:dyDescent="0.25">
      <c r="A7599" t="str">
        <f t="shared" si="119"/>
        <v/>
      </c>
    </row>
    <row r="7600" spans="1:1" x14ac:dyDescent="0.25">
      <c r="A7600" t="str">
        <f t="shared" si="119"/>
        <v/>
      </c>
    </row>
    <row r="7601" spans="1:1" x14ac:dyDescent="0.25">
      <c r="A7601" t="str">
        <f t="shared" si="119"/>
        <v/>
      </c>
    </row>
    <row r="7602" spans="1:1" x14ac:dyDescent="0.25">
      <c r="A7602" t="str">
        <f t="shared" si="119"/>
        <v/>
      </c>
    </row>
    <row r="7603" spans="1:1" x14ac:dyDescent="0.25">
      <c r="A7603" t="str">
        <f t="shared" si="119"/>
        <v/>
      </c>
    </row>
    <row r="7604" spans="1:1" x14ac:dyDescent="0.25">
      <c r="A7604" t="str">
        <f t="shared" si="119"/>
        <v/>
      </c>
    </row>
    <row r="7605" spans="1:1" x14ac:dyDescent="0.25">
      <c r="A7605" t="str">
        <f t="shared" ref="A7605:A7668" si="120">B7603&amp;D7603</f>
        <v/>
      </c>
    </row>
    <row r="7606" spans="1:1" x14ac:dyDescent="0.25">
      <c r="A7606" t="str">
        <f t="shared" si="120"/>
        <v/>
      </c>
    </row>
    <row r="7607" spans="1:1" x14ac:dyDescent="0.25">
      <c r="A7607" t="str">
        <f t="shared" si="120"/>
        <v/>
      </c>
    </row>
    <row r="7608" spans="1:1" x14ac:dyDescent="0.25">
      <c r="A7608" t="str">
        <f t="shared" si="120"/>
        <v/>
      </c>
    </row>
    <row r="7609" spans="1:1" x14ac:dyDescent="0.25">
      <c r="A7609" t="str">
        <f t="shared" si="120"/>
        <v/>
      </c>
    </row>
    <row r="7610" spans="1:1" x14ac:dyDescent="0.25">
      <c r="A7610" t="str">
        <f t="shared" si="120"/>
        <v/>
      </c>
    </row>
    <row r="7611" spans="1:1" x14ac:dyDescent="0.25">
      <c r="A7611" t="str">
        <f t="shared" si="120"/>
        <v/>
      </c>
    </row>
    <row r="7612" spans="1:1" x14ac:dyDescent="0.25">
      <c r="A7612" t="str">
        <f t="shared" si="120"/>
        <v/>
      </c>
    </row>
    <row r="7613" spans="1:1" x14ac:dyDescent="0.25">
      <c r="A7613" t="str">
        <f t="shared" si="120"/>
        <v/>
      </c>
    </row>
    <row r="7614" spans="1:1" x14ac:dyDescent="0.25">
      <c r="A7614" t="str">
        <f t="shared" si="120"/>
        <v/>
      </c>
    </row>
    <row r="7615" spans="1:1" x14ac:dyDescent="0.25">
      <c r="A7615" t="str">
        <f t="shared" si="120"/>
        <v/>
      </c>
    </row>
    <row r="7616" spans="1:1" x14ac:dyDescent="0.25">
      <c r="A7616" t="str">
        <f t="shared" si="120"/>
        <v/>
      </c>
    </row>
    <row r="7617" spans="1:1" x14ac:dyDescent="0.25">
      <c r="A7617" t="str">
        <f t="shared" si="120"/>
        <v/>
      </c>
    </row>
    <row r="7618" spans="1:1" x14ac:dyDescent="0.25">
      <c r="A7618" t="str">
        <f t="shared" si="120"/>
        <v/>
      </c>
    </row>
    <row r="7619" spans="1:1" x14ac:dyDescent="0.25">
      <c r="A7619" t="str">
        <f t="shared" si="120"/>
        <v/>
      </c>
    </row>
    <row r="7620" spans="1:1" x14ac:dyDescent="0.25">
      <c r="A7620" t="str">
        <f t="shared" si="120"/>
        <v/>
      </c>
    </row>
    <row r="7621" spans="1:1" x14ac:dyDescent="0.25">
      <c r="A7621" t="str">
        <f t="shared" si="120"/>
        <v/>
      </c>
    </row>
    <row r="7622" spans="1:1" x14ac:dyDescent="0.25">
      <c r="A7622" t="str">
        <f t="shared" si="120"/>
        <v/>
      </c>
    </row>
    <row r="7623" spans="1:1" x14ac:dyDescent="0.25">
      <c r="A7623" t="str">
        <f t="shared" si="120"/>
        <v/>
      </c>
    </row>
    <row r="7624" spans="1:1" x14ac:dyDescent="0.25">
      <c r="A7624" t="str">
        <f t="shared" si="120"/>
        <v/>
      </c>
    </row>
    <row r="7625" spans="1:1" x14ac:dyDescent="0.25">
      <c r="A7625" t="str">
        <f t="shared" si="120"/>
        <v/>
      </c>
    </row>
    <row r="7626" spans="1:1" x14ac:dyDescent="0.25">
      <c r="A7626" t="str">
        <f t="shared" si="120"/>
        <v/>
      </c>
    </row>
    <row r="7627" spans="1:1" x14ac:dyDescent="0.25">
      <c r="A7627" t="str">
        <f t="shared" si="120"/>
        <v/>
      </c>
    </row>
    <row r="7628" spans="1:1" x14ac:dyDescent="0.25">
      <c r="A7628" t="str">
        <f t="shared" si="120"/>
        <v/>
      </c>
    </row>
    <row r="7629" spans="1:1" x14ac:dyDescent="0.25">
      <c r="A7629" t="str">
        <f t="shared" si="120"/>
        <v/>
      </c>
    </row>
    <row r="7630" spans="1:1" x14ac:dyDescent="0.25">
      <c r="A7630" t="str">
        <f t="shared" si="120"/>
        <v/>
      </c>
    </row>
    <row r="7631" spans="1:1" x14ac:dyDescent="0.25">
      <c r="A7631" t="str">
        <f t="shared" si="120"/>
        <v/>
      </c>
    </row>
    <row r="7632" spans="1:1" x14ac:dyDescent="0.25">
      <c r="A7632" t="str">
        <f t="shared" si="120"/>
        <v/>
      </c>
    </row>
    <row r="7633" spans="1:1" x14ac:dyDescent="0.25">
      <c r="A7633" t="str">
        <f t="shared" si="120"/>
        <v/>
      </c>
    </row>
    <row r="7634" spans="1:1" x14ac:dyDescent="0.25">
      <c r="A7634" t="str">
        <f t="shared" si="120"/>
        <v/>
      </c>
    </row>
    <row r="7635" spans="1:1" x14ac:dyDescent="0.25">
      <c r="A7635" t="str">
        <f t="shared" si="120"/>
        <v/>
      </c>
    </row>
    <row r="7636" spans="1:1" x14ac:dyDescent="0.25">
      <c r="A7636" t="str">
        <f t="shared" si="120"/>
        <v/>
      </c>
    </row>
    <row r="7637" spans="1:1" x14ac:dyDescent="0.25">
      <c r="A7637" t="str">
        <f t="shared" si="120"/>
        <v/>
      </c>
    </row>
    <row r="7638" spans="1:1" x14ac:dyDescent="0.25">
      <c r="A7638" t="str">
        <f t="shared" si="120"/>
        <v/>
      </c>
    </row>
    <row r="7639" spans="1:1" x14ac:dyDescent="0.25">
      <c r="A7639" t="str">
        <f t="shared" si="120"/>
        <v/>
      </c>
    </row>
    <row r="7640" spans="1:1" x14ac:dyDescent="0.25">
      <c r="A7640" t="str">
        <f t="shared" si="120"/>
        <v/>
      </c>
    </row>
    <row r="7641" spans="1:1" x14ac:dyDescent="0.25">
      <c r="A7641" t="str">
        <f t="shared" si="120"/>
        <v/>
      </c>
    </row>
    <row r="7642" spans="1:1" x14ac:dyDescent="0.25">
      <c r="A7642" t="str">
        <f t="shared" si="120"/>
        <v/>
      </c>
    </row>
    <row r="7643" spans="1:1" x14ac:dyDescent="0.25">
      <c r="A7643" t="str">
        <f t="shared" si="120"/>
        <v/>
      </c>
    </row>
    <row r="7644" spans="1:1" x14ac:dyDescent="0.25">
      <c r="A7644" t="str">
        <f t="shared" si="120"/>
        <v/>
      </c>
    </row>
    <row r="7645" spans="1:1" x14ac:dyDescent="0.25">
      <c r="A7645" t="str">
        <f t="shared" si="120"/>
        <v/>
      </c>
    </row>
    <row r="7646" spans="1:1" x14ac:dyDescent="0.25">
      <c r="A7646" t="str">
        <f t="shared" si="120"/>
        <v/>
      </c>
    </row>
    <row r="7647" spans="1:1" x14ac:dyDescent="0.25">
      <c r="A7647" t="str">
        <f t="shared" si="120"/>
        <v/>
      </c>
    </row>
    <row r="7648" spans="1:1" x14ac:dyDescent="0.25">
      <c r="A7648" t="str">
        <f t="shared" si="120"/>
        <v/>
      </c>
    </row>
    <row r="7649" spans="1:1" x14ac:dyDescent="0.25">
      <c r="A7649" t="str">
        <f t="shared" si="120"/>
        <v/>
      </c>
    </row>
    <row r="7650" spans="1:1" x14ac:dyDescent="0.25">
      <c r="A7650" t="str">
        <f t="shared" si="120"/>
        <v/>
      </c>
    </row>
    <row r="7651" spans="1:1" x14ac:dyDescent="0.25">
      <c r="A7651" t="str">
        <f t="shared" si="120"/>
        <v/>
      </c>
    </row>
    <row r="7652" spans="1:1" x14ac:dyDescent="0.25">
      <c r="A7652" t="str">
        <f t="shared" si="120"/>
        <v/>
      </c>
    </row>
    <row r="7653" spans="1:1" x14ac:dyDescent="0.25">
      <c r="A7653" t="str">
        <f t="shared" si="120"/>
        <v/>
      </c>
    </row>
    <row r="7654" spans="1:1" x14ac:dyDescent="0.25">
      <c r="A7654" t="str">
        <f t="shared" si="120"/>
        <v/>
      </c>
    </row>
    <row r="7655" spans="1:1" x14ac:dyDescent="0.25">
      <c r="A7655" t="str">
        <f t="shared" si="120"/>
        <v/>
      </c>
    </row>
    <row r="7656" spans="1:1" x14ac:dyDescent="0.25">
      <c r="A7656" t="str">
        <f t="shared" si="120"/>
        <v/>
      </c>
    </row>
    <row r="7657" spans="1:1" x14ac:dyDescent="0.25">
      <c r="A7657" t="str">
        <f t="shared" si="120"/>
        <v/>
      </c>
    </row>
    <row r="7658" spans="1:1" x14ac:dyDescent="0.25">
      <c r="A7658" t="str">
        <f t="shared" si="120"/>
        <v/>
      </c>
    </row>
    <row r="7659" spans="1:1" x14ac:dyDescent="0.25">
      <c r="A7659" t="str">
        <f t="shared" si="120"/>
        <v/>
      </c>
    </row>
    <row r="7660" spans="1:1" x14ac:dyDescent="0.25">
      <c r="A7660" t="str">
        <f t="shared" si="120"/>
        <v/>
      </c>
    </row>
    <row r="7661" spans="1:1" x14ac:dyDescent="0.25">
      <c r="A7661" t="str">
        <f t="shared" si="120"/>
        <v/>
      </c>
    </row>
    <row r="7662" spans="1:1" x14ac:dyDescent="0.25">
      <c r="A7662" t="str">
        <f t="shared" si="120"/>
        <v/>
      </c>
    </row>
    <row r="7663" spans="1:1" x14ac:dyDescent="0.25">
      <c r="A7663" t="str">
        <f t="shared" si="120"/>
        <v/>
      </c>
    </row>
    <row r="7664" spans="1:1" x14ac:dyDescent="0.25">
      <c r="A7664" t="str">
        <f t="shared" si="120"/>
        <v/>
      </c>
    </row>
    <row r="7665" spans="1:1" x14ac:dyDescent="0.25">
      <c r="A7665" t="str">
        <f t="shared" si="120"/>
        <v/>
      </c>
    </row>
    <row r="7666" spans="1:1" x14ac:dyDescent="0.25">
      <c r="A7666" t="str">
        <f t="shared" si="120"/>
        <v/>
      </c>
    </row>
    <row r="7667" spans="1:1" x14ac:dyDescent="0.25">
      <c r="A7667" t="str">
        <f t="shared" si="120"/>
        <v/>
      </c>
    </row>
    <row r="7668" spans="1:1" x14ac:dyDescent="0.25">
      <c r="A7668" t="str">
        <f t="shared" si="120"/>
        <v/>
      </c>
    </row>
    <row r="7669" spans="1:1" x14ac:dyDescent="0.25">
      <c r="A7669" t="str">
        <f t="shared" ref="A7669:A7732" si="121">B7667&amp;D7667</f>
        <v/>
      </c>
    </row>
    <row r="7670" spans="1:1" x14ac:dyDescent="0.25">
      <c r="A7670" t="str">
        <f t="shared" si="121"/>
        <v/>
      </c>
    </row>
    <row r="7671" spans="1:1" x14ac:dyDescent="0.25">
      <c r="A7671" t="str">
        <f t="shared" si="121"/>
        <v/>
      </c>
    </row>
    <row r="7672" spans="1:1" x14ac:dyDescent="0.25">
      <c r="A7672" t="str">
        <f t="shared" si="121"/>
        <v/>
      </c>
    </row>
    <row r="7673" spans="1:1" x14ac:dyDescent="0.25">
      <c r="A7673" t="str">
        <f t="shared" si="121"/>
        <v/>
      </c>
    </row>
    <row r="7674" spans="1:1" x14ac:dyDescent="0.25">
      <c r="A7674" t="str">
        <f t="shared" si="121"/>
        <v/>
      </c>
    </row>
    <row r="7675" spans="1:1" x14ac:dyDescent="0.25">
      <c r="A7675" t="str">
        <f t="shared" si="121"/>
        <v/>
      </c>
    </row>
    <row r="7676" spans="1:1" x14ac:dyDescent="0.25">
      <c r="A7676" t="str">
        <f t="shared" si="121"/>
        <v/>
      </c>
    </row>
    <row r="7677" spans="1:1" x14ac:dyDescent="0.25">
      <c r="A7677" t="str">
        <f t="shared" si="121"/>
        <v/>
      </c>
    </row>
    <row r="7678" spans="1:1" x14ac:dyDescent="0.25">
      <c r="A7678" t="str">
        <f t="shared" si="121"/>
        <v/>
      </c>
    </row>
    <row r="7679" spans="1:1" x14ac:dyDescent="0.25">
      <c r="A7679" t="str">
        <f t="shared" si="121"/>
        <v/>
      </c>
    </row>
    <row r="7680" spans="1:1" x14ac:dyDescent="0.25">
      <c r="A7680" t="str">
        <f t="shared" si="121"/>
        <v/>
      </c>
    </row>
    <row r="7681" spans="1:1" x14ac:dyDescent="0.25">
      <c r="A7681" t="str">
        <f t="shared" si="121"/>
        <v/>
      </c>
    </row>
    <row r="7682" spans="1:1" x14ac:dyDescent="0.25">
      <c r="A7682" t="str">
        <f t="shared" si="121"/>
        <v/>
      </c>
    </row>
    <row r="7683" spans="1:1" x14ac:dyDescent="0.25">
      <c r="A7683" t="str">
        <f t="shared" si="121"/>
        <v/>
      </c>
    </row>
    <row r="7684" spans="1:1" x14ac:dyDescent="0.25">
      <c r="A7684" t="str">
        <f t="shared" si="121"/>
        <v/>
      </c>
    </row>
    <row r="7685" spans="1:1" x14ac:dyDescent="0.25">
      <c r="A7685" t="str">
        <f t="shared" si="121"/>
        <v/>
      </c>
    </row>
    <row r="7686" spans="1:1" x14ac:dyDescent="0.25">
      <c r="A7686" t="str">
        <f t="shared" si="121"/>
        <v/>
      </c>
    </row>
    <row r="7687" spans="1:1" x14ac:dyDescent="0.25">
      <c r="A7687" t="str">
        <f t="shared" si="121"/>
        <v/>
      </c>
    </row>
    <row r="7688" spans="1:1" x14ac:dyDescent="0.25">
      <c r="A7688" t="str">
        <f t="shared" si="121"/>
        <v/>
      </c>
    </row>
    <row r="7689" spans="1:1" x14ac:dyDescent="0.25">
      <c r="A7689" t="str">
        <f t="shared" si="121"/>
        <v/>
      </c>
    </row>
    <row r="7690" spans="1:1" x14ac:dyDescent="0.25">
      <c r="A7690" t="str">
        <f t="shared" si="121"/>
        <v/>
      </c>
    </row>
    <row r="7691" spans="1:1" x14ac:dyDescent="0.25">
      <c r="A7691" t="str">
        <f t="shared" si="121"/>
        <v/>
      </c>
    </row>
    <row r="7692" spans="1:1" x14ac:dyDescent="0.25">
      <c r="A7692" t="str">
        <f t="shared" si="121"/>
        <v/>
      </c>
    </row>
    <row r="7693" spans="1:1" x14ac:dyDescent="0.25">
      <c r="A7693" t="str">
        <f t="shared" si="121"/>
        <v/>
      </c>
    </row>
    <row r="7694" spans="1:1" x14ac:dyDescent="0.25">
      <c r="A7694" t="str">
        <f t="shared" si="121"/>
        <v/>
      </c>
    </row>
    <row r="7695" spans="1:1" x14ac:dyDescent="0.25">
      <c r="A7695" t="str">
        <f t="shared" si="121"/>
        <v/>
      </c>
    </row>
    <row r="7696" spans="1:1" x14ac:dyDescent="0.25">
      <c r="A7696" t="str">
        <f t="shared" si="121"/>
        <v/>
      </c>
    </row>
    <row r="7697" spans="1:1" x14ac:dyDescent="0.25">
      <c r="A7697" t="str">
        <f t="shared" si="121"/>
        <v/>
      </c>
    </row>
    <row r="7698" spans="1:1" x14ac:dyDescent="0.25">
      <c r="A7698" t="str">
        <f t="shared" si="121"/>
        <v/>
      </c>
    </row>
    <row r="7699" spans="1:1" x14ac:dyDescent="0.25">
      <c r="A7699" t="str">
        <f t="shared" si="121"/>
        <v/>
      </c>
    </row>
    <row r="7700" spans="1:1" x14ac:dyDescent="0.25">
      <c r="A7700" t="str">
        <f t="shared" si="121"/>
        <v/>
      </c>
    </row>
    <row r="7701" spans="1:1" x14ac:dyDescent="0.25">
      <c r="A7701" t="str">
        <f t="shared" si="121"/>
        <v/>
      </c>
    </row>
    <row r="7702" spans="1:1" x14ac:dyDescent="0.25">
      <c r="A7702" t="str">
        <f t="shared" si="121"/>
        <v/>
      </c>
    </row>
    <row r="7703" spans="1:1" x14ac:dyDescent="0.25">
      <c r="A7703" t="str">
        <f t="shared" si="121"/>
        <v/>
      </c>
    </row>
    <row r="7704" spans="1:1" x14ac:dyDescent="0.25">
      <c r="A7704" t="str">
        <f t="shared" si="121"/>
        <v/>
      </c>
    </row>
    <row r="7705" spans="1:1" x14ac:dyDescent="0.25">
      <c r="A7705" t="str">
        <f t="shared" si="121"/>
        <v/>
      </c>
    </row>
    <row r="7706" spans="1:1" x14ac:dyDescent="0.25">
      <c r="A7706" t="str">
        <f t="shared" si="121"/>
        <v/>
      </c>
    </row>
    <row r="7707" spans="1:1" x14ac:dyDescent="0.25">
      <c r="A7707" t="str">
        <f t="shared" si="121"/>
        <v/>
      </c>
    </row>
    <row r="7708" spans="1:1" x14ac:dyDescent="0.25">
      <c r="A7708" t="str">
        <f t="shared" si="121"/>
        <v/>
      </c>
    </row>
    <row r="7709" spans="1:1" x14ac:dyDescent="0.25">
      <c r="A7709" t="str">
        <f t="shared" si="121"/>
        <v/>
      </c>
    </row>
    <row r="7710" spans="1:1" x14ac:dyDescent="0.25">
      <c r="A7710" t="str">
        <f t="shared" si="121"/>
        <v/>
      </c>
    </row>
    <row r="7711" spans="1:1" x14ac:dyDescent="0.25">
      <c r="A7711" t="str">
        <f t="shared" si="121"/>
        <v/>
      </c>
    </row>
    <row r="7712" spans="1:1" x14ac:dyDescent="0.25">
      <c r="A7712" t="str">
        <f t="shared" si="121"/>
        <v/>
      </c>
    </row>
    <row r="7713" spans="1:1" x14ac:dyDescent="0.25">
      <c r="A7713" t="str">
        <f t="shared" si="121"/>
        <v/>
      </c>
    </row>
    <row r="7714" spans="1:1" x14ac:dyDescent="0.25">
      <c r="A7714" t="str">
        <f t="shared" si="121"/>
        <v/>
      </c>
    </row>
    <row r="7715" spans="1:1" x14ac:dyDescent="0.25">
      <c r="A7715" t="str">
        <f t="shared" si="121"/>
        <v/>
      </c>
    </row>
    <row r="7716" spans="1:1" x14ac:dyDescent="0.25">
      <c r="A7716" t="str">
        <f t="shared" si="121"/>
        <v/>
      </c>
    </row>
    <row r="7717" spans="1:1" x14ac:dyDescent="0.25">
      <c r="A7717" t="str">
        <f t="shared" si="121"/>
        <v/>
      </c>
    </row>
    <row r="7718" spans="1:1" x14ac:dyDescent="0.25">
      <c r="A7718" t="str">
        <f t="shared" si="121"/>
        <v/>
      </c>
    </row>
    <row r="7719" spans="1:1" x14ac:dyDescent="0.25">
      <c r="A7719" t="str">
        <f t="shared" si="121"/>
        <v/>
      </c>
    </row>
    <row r="7720" spans="1:1" x14ac:dyDescent="0.25">
      <c r="A7720" t="str">
        <f t="shared" si="121"/>
        <v/>
      </c>
    </row>
    <row r="7721" spans="1:1" x14ac:dyDescent="0.25">
      <c r="A7721" t="str">
        <f t="shared" si="121"/>
        <v/>
      </c>
    </row>
    <row r="7722" spans="1:1" x14ac:dyDescent="0.25">
      <c r="A7722" t="str">
        <f t="shared" si="121"/>
        <v/>
      </c>
    </row>
    <row r="7723" spans="1:1" x14ac:dyDescent="0.25">
      <c r="A7723" t="str">
        <f t="shared" si="121"/>
        <v/>
      </c>
    </row>
    <row r="7724" spans="1:1" x14ac:dyDescent="0.25">
      <c r="A7724" t="str">
        <f t="shared" si="121"/>
        <v/>
      </c>
    </row>
    <row r="7725" spans="1:1" x14ac:dyDescent="0.25">
      <c r="A7725" t="str">
        <f t="shared" si="121"/>
        <v/>
      </c>
    </row>
    <row r="7726" spans="1:1" x14ac:dyDescent="0.25">
      <c r="A7726" t="str">
        <f t="shared" si="121"/>
        <v/>
      </c>
    </row>
    <row r="7727" spans="1:1" x14ac:dyDescent="0.25">
      <c r="A7727" t="str">
        <f t="shared" si="121"/>
        <v/>
      </c>
    </row>
    <row r="7728" spans="1:1" x14ac:dyDescent="0.25">
      <c r="A7728" t="str">
        <f t="shared" si="121"/>
        <v/>
      </c>
    </row>
    <row r="7729" spans="1:1" x14ac:dyDescent="0.25">
      <c r="A7729" t="str">
        <f t="shared" si="121"/>
        <v/>
      </c>
    </row>
    <row r="7730" spans="1:1" x14ac:dyDescent="0.25">
      <c r="A7730" t="str">
        <f t="shared" si="121"/>
        <v/>
      </c>
    </row>
    <row r="7731" spans="1:1" x14ac:dyDescent="0.25">
      <c r="A7731" t="str">
        <f t="shared" si="121"/>
        <v/>
      </c>
    </row>
    <row r="7732" spans="1:1" x14ac:dyDescent="0.25">
      <c r="A7732" t="str">
        <f t="shared" si="121"/>
        <v/>
      </c>
    </row>
    <row r="7733" spans="1:1" x14ac:dyDescent="0.25">
      <c r="A7733" t="str">
        <f t="shared" ref="A7733:A7796" si="122">B7731&amp;D7731</f>
        <v/>
      </c>
    </row>
    <row r="7734" spans="1:1" x14ac:dyDescent="0.25">
      <c r="A7734" t="str">
        <f t="shared" si="122"/>
        <v/>
      </c>
    </row>
    <row r="7735" spans="1:1" x14ac:dyDescent="0.25">
      <c r="A7735" t="str">
        <f t="shared" si="122"/>
        <v/>
      </c>
    </row>
    <row r="7736" spans="1:1" x14ac:dyDescent="0.25">
      <c r="A7736" t="str">
        <f t="shared" si="122"/>
        <v/>
      </c>
    </row>
    <row r="7737" spans="1:1" x14ac:dyDescent="0.25">
      <c r="A7737" t="str">
        <f t="shared" si="122"/>
        <v/>
      </c>
    </row>
    <row r="7738" spans="1:1" x14ac:dyDescent="0.25">
      <c r="A7738" t="str">
        <f t="shared" si="122"/>
        <v/>
      </c>
    </row>
    <row r="7739" spans="1:1" x14ac:dyDescent="0.25">
      <c r="A7739" t="str">
        <f t="shared" si="122"/>
        <v/>
      </c>
    </row>
    <row r="7740" spans="1:1" x14ac:dyDescent="0.25">
      <c r="A7740" t="str">
        <f t="shared" si="122"/>
        <v/>
      </c>
    </row>
    <row r="7741" spans="1:1" x14ac:dyDescent="0.25">
      <c r="A7741" t="str">
        <f t="shared" si="122"/>
        <v/>
      </c>
    </row>
    <row r="7742" spans="1:1" x14ac:dyDescent="0.25">
      <c r="A7742" t="str">
        <f t="shared" si="122"/>
        <v/>
      </c>
    </row>
    <row r="7743" spans="1:1" x14ac:dyDescent="0.25">
      <c r="A7743" t="str">
        <f t="shared" si="122"/>
        <v/>
      </c>
    </row>
    <row r="7744" spans="1:1" x14ac:dyDescent="0.25">
      <c r="A7744" t="str">
        <f t="shared" si="122"/>
        <v/>
      </c>
    </row>
    <row r="7745" spans="1:1" x14ac:dyDescent="0.25">
      <c r="A7745" t="str">
        <f t="shared" si="122"/>
        <v/>
      </c>
    </row>
    <row r="7746" spans="1:1" x14ac:dyDescent="0.25">
      <c r="A7746" t="str">
        <f t="shared" si="122"/>
        <v/>
      </c>
    </row>
    <row r="7747" spans="1:1" x14ac:dyDescent="0.25">
      <c r="A7747" t="str">
        <f t="shared" si="122"/>
        <v/>
      </c>
    </row>
    <row r="7748" spans="1:1" x14ac:dyDescent="0.25">
      <c r="A7748" t="str">
        <f t="shared" si="122"/>
        <v/>
      </c>
    </row>
    <row r="7749" spans="1:1" x14ac:dyDescent="0.25">
      <c r="A7749" t="str">
        <f t="shared" si="122"/>
        <v/>
      </c>
    </row>
    <row r="7750" spans="1:1" x14ac:dyDescent="0.25">
      <c r="A7750" t="str">
        <f t="shared" si="122"/>
        <v/>
      </c>
    </row>
    <row r="7751" spans="1:1" x14ac:dyDescent="0.25">
      <c r="A7751" t="str">
        <f t="shared" si="122"/>
        <v/>
      </c>
    </row>
    <row r="7752" spans="1:1" x14ac:dyDescent="0.25">
      <c r="A7752" t="str">
        <f t="shared" si="122"/>
        <v/>
      </c>
    </row>
    <row r="7753" spans="1:1" x14ac:dyDescent="0.25">
      <c r="A7753" t="str">
        <f t="shared" si="122"/>
        <v/>
      </c>
    </row>
    <row r="7754" spans="1:1" x14ac:dyDescent="0.25">
      <c r="A7754" t="str">
        <f t="shared" si="122"/>
        <v/>
      </c>
    </row>
    <row r="7755" spans="1:1" x14ac:dyDescent="0.25">
      <c r="A7755" t="str">
        <f t="shared" si="122"/>
        <v/>
      </c>
    </row>
    <row r="7756" spans="1:1" x14ac:dyDescent="0.25">
      <c r="A7756" t="str">
        <f t="shared" si="122"/>
        <v/>
      </c>
    </row>
    <row r="7757" spans="1:1" x14ac:dyDescent="0.25">
      <c r="A7757" t="str">
        <f t="shared" si="122"/>
        <v/>
      </c>
    </row>
    <row r="7758" spans="1:1" x14ac:dyDescent="0.25">
      <c r="A7758" t="str">
        <f t="shared" si="122"/>
        <v/>
      </c>
    </row>
    <row r="7759" spans="1:1" x14ac:dyDescent="0.25">
      <c r="A7759" t="str">
        <f t="shared" si="122"/>
        <v/>
      </c>
    </row>
    <row r="7760" spans="1:1" x14ac:dyDescent="0.25">
      <c r="A7760" t="str">
        <f t="shared" si="122"/>
        <v/>
      </c>
    </row>
    <row r="7761" spans="1:1" x14ac:dyDescent="0.25">
      <c r="A7761" t="str">
        <f t="shared" si="122"/>
        <v/>
      </c>
    </row>
    <row r="7762" spans="1:1" x14ac:dyDescent="0.25">
      <c r="A7762" t="str">
        <f t="shared" si="122"/>
        <v/>
      </c>
    </row>
    <row r="7763" spans="1:1" x14ac:dyDescent="0.25">
      <c r="A7763" t="str">
        <f t="shared" si="122"/>
        <v/>
      </c>
    </row>
    <row r="7764" spans="1:1" x14ac:dyDescent="0.25">
      <c r="A7764" t="str">
        <f t="shared" si="122"/>
        <v/>
      </c>
    </row>
    <row r="7765" spans="1:1" x14ac:dyDescent="0.25">
      <c r="A7765" t="str">
        <f t="shared" si="122"/>
        <v/>
      </c>
    </row>
    <row r="7766" spans="1:1" x14ac:dyDescent="0.25">
      <c r="A7766" t="str">
        <f t="shared" si="122"/>
        <v/>
      </c>
    </row>
    <row r="7767" spans="1:1" x14ac:dyDescent="0.25">
      <c r="A7767" t="str">
        <f t="shared" si="122"/>
        <v/>
      </c>
    </row>
    <row r="7768" spans="1:1" x14ac:dyDescent="0.25">
      <c r="A7768" t="str">
        <f t="shared" si="122"/>
        <v/>
      </c>
    </row>
    <row r="7769" spans="1:1" x14ac:dyDescent="0.25">
      <c r="A7769" t="str">
        <f t="shared" si="122"/>
        <v/>
      </c>
    </row>
    <row r="7770" spans="1:1" x14ac:dyDescent="0.25">
      <c r="A7770" t="str">
        <f t="shared" si="122"/>
        <v/>
      </c>
    </row>
    <row r="7771" spans="1:1" x14ac:dyDescent="0.25">
      <c r="A7771" t="str">
        <f t="shared" si="122"/>
        <v/>
      </c>
    </row>
    <row r="7772" spans="1:1" x14ac:dyDescent="0.25">
      <c r="A7772" t="str">
        <f t="shared" si="122"/>
        <v/>
      </c>
    </row>
    <row r="7773" spans="1:1" x14ac:dyDescent="0.25">
      <c r="A7773" t="str">
        <f t="shared" si="122"/>
        <v/>
      </c>
    </row>
    <row r="7774" spans="1:1" x14ac:dyDescent="0.25">
      <c r="A7774" t="str">
        <f t="shared" si="122"/>
        <v/>
      </c>
    </row>
    <row r="7775" spans="1:1" x14ac:dyDescent="0.25">
      <c r="A7775" t="str">
        <f t="shared" si="122"/>
        <v/>
      </c>
    </row>
    <row r="7776" spans="1:1" x14ac:dyDescent="0.25">
      <c r="A7776" t="str">
        <f t="shared" si="122"/>
        <v/>
      </c>
    </row>
    <row r="7777" spans="1:1" x14ac:dyDescent="0.25">
      <c r="A7777" t="str">
        <f t="shared" si="122"/>
        <v/>
      </c>
    </row>
    <row r="7778" spans="1:1" x14ac:dyDescent="0.25">
      <c r="A7778" t="str">
        <f t="shared" si="122"/>
        <v/>
      </c>
    </row>
    <row r="7779" spans="1:1" x14ac:dyDescent="0.25">
      <c r="A7779" t="str">
        <f t="shared" si="122"/>
        <v/>
      </c>
    </row>
    <row r="7780" spans="1:1" x14ac:dyDescent="0.25">
      <c r="A7780" t="str">
        <f t="shared" si="122"/>
        <v/>
      </c>
    </row>
    <row r="7781" spans="1:1" x14ac:dyDescent="0.25">
      <c r="A7781" t="str">
        <f t="shared" si="122"/>
        <v/>
      </c>
    </row>
    <row r="7782" spans="1:1" x14ac:dyDescent="0.25">
      <c r="A7782" t="str">
        <f t="shared" si="122"/>
        <v/>
      </c>
    </row>
    <row r="7783" spans="1:1" x14ac:dyDescent="0.25">
      <c r="A7783" t="str">
        <f t="shared" si="122"/>
        <v/>
      </c>
    </row>
    <row r="7784" spans="1:1" x14ac:dyDescent="0.25">
      <c r="A7784" t="str">
        <f t="shared" si="122"/>
        <v/>
      </c>
    </row>
    <row r="7785" spans="1:1" x14ac:dyDescent="0.25">
      <c r="A7785" t="str">
        <f t="shared" si="122"/>
        <v/>
      </c>
    </row>
    <row r="7786" spans="1:1" x14ac:dyDescent="0.25">
      <c r="A7786" t="str">
        <f t="shared" si="122"/>
        <v/>
      </c>
    </row>
    <row r="7787" spans="1:1" x14ac:dyDescent="0.25">
      <c r="A7787" t="str">
        <f t="shared" si="122"/>
        <v/>
      </c>
    </row>
    <row r="7788" spans="1:1" x14ac:dyDescent="0.25">
      <c r="A7788" t="str">
        <f t="shared" si="122"/>
        <v/>
      </c>
    </row>
    <row r="7789" spans="1:1" x14ac:dyDescent="0.25">
      <c r="A7789" t="str">
        <f t="shared" si="122"/>
        <v/>
      </c>
    </row>
    <row r="7790" spans="1:1" x14ac:dyDescent="0.25">
      <c r="A7790" t="str">
        <f t="shared" si="122"/>
        <v/>
      </c>
    </row>
    <row r="7791" spans="1:1" x14ac:dyDescent="0.25">
      <c r="A7791" t="str">
        <f t="shared" si="122"/>
        <v/>
      </c>
    </row>
    <row r="7792" spans="1:1" x14ac:dyDescent="0.25">
      <c r="A7792" t="str">
        <f t="shared" si="122"/>
        <v/>
      </c>
    </row>
    <row r="7793" spans="1:1" x14ac:dyDescent="0.25">
      <c r="A7793" t="str">
        <f t="shared" si="122"/>
        <v/>
      </c>
    </row>
    <row r="7794" spans="1:1" x14ac:dyDescent="0.25">
      <c r="A7794" t="str">
        <f t="shared" si="122"/>
        <v/>
      </c>
    </row>
    <row r="7795" spans="1:1" x14ac:dyDescent="0.25">
      <c r="A7795" t="str">
        <f t="shared" si="122"/>
        <v/>
      </c>
    </row>
    <row r="7796" spans="1:1" x14ac:dyDescent="0.25">
      <c r="A7796" t="str">
        <f t="shared" si="122"/>
        <v/>
      </c>
    </row>
    <row r="7797" spans="1:1" x14ac:dyDescent="0.25">
      <c r="A7797" t="str">
        <f t="shared" ref="A7797:A7860" si="123">B7795&amp;D7795</f>
        <v/>
      </c>
    </row>
    <row r="7798" spans="1:1" x14ac:dyDescent="0.25">
      <c r="A7798" t="str">
        <f t="shared" si="123"/>
        <v/>
      </c>
    </row>
    <row r="7799" spans="1:1" x14ac:dyDescent="0.25">
      <c r="A7799" t="str">
        <f t="shared" si="123"/>
        <v/>
      </c>
    </row>
    <row r="7800" spans="1:1" x14ac:dyDescent="0.25">
      <c r="A7800" t="str">
        <f t="shared" si="123"/>
        <v/>
      </c>
    </row>
    <row r="7801" spans="1:1" x14ac:dyDescent="0.25">
      <c r="A7801" t="str">
        <f t="shared" si="123"/>
        <v/>
      </c>
    </row>
    <row r="7802" spans="1:1" x14ac:dyDescent="0.25">
      <c r="A7802" t="str">
        <f t="shared" si="123"/>
        <v/>
      </c>
    </row>
    <row r="7803" spans="1:1" x14ac:dyDescent="0.25">
      <c r="A7803" t="str">
        <f t="shared" si="123"/>
        <v/>
      </c>
    </row>
    <row r="7804" spans="1:1" x14ac:dyDescent="0.25">
      <c r="A7804" t="str">
        <f t="shared" si="123"/>
        <v/>
      </c>
    </row>
    <row r="7805" spans="1:1" x14ac:dyDescent="0.25">
      <c r="A7805" t="str">
        <f t="shared" si="123"/>
        <v/>
      </c>
    </row>
    <row r="7806" spans="1:1" x14ac:dyDescent="0.25">
      <c r="A7806" t="str">
        <f t="shared" si="123"/>
        <v/>
      </c>
    </row>
    <row r="7807" spans="1:1" x14ac:dyDescent="0.25">
      <c r="A7807" t="str">
        <f t="shared" si="123"/>
        <v/>
      </c>
    </row>
    <row r="7808" spans="1:1" x14ac:dyDescent="0.25">
      <c r="A7808" t="str">
        <f t="shared" si="123"/>
        <v/>
      </c>
    </row>
    <row r="7809" spans="1:1" x14ac:dyDescent="0.25">
      <c r="A7809" t="str">
        <f t="shared" si="123"/>
        <v/>
      </c>
    </row>
    <row r="7810" spans="1:1" x14ac:dyDescent="0.25">
      <c r="A7810" t="str">
        <f t="shared" si="123"/>
        <v/>
      </c>
    </row>
    <row r="7811" spans="1:1" x14ac:dyDescent="0.25">
      <c r="A7811" t="str">
        <f t="shared" si="123"/>
        <v/>
      </c>
    </row>
    <row r="7812" spans="1:1" x14ac:dyDescent="0.25">
      <c r="A7812" t="str">
        <f t="shared" si="123"/>
        <v/>
      </c>
    </row>
    <row r="7813" spans="1:1" x14ac:dyDescent="0.25">
      <c r="A7813" t="str">
        <f t="shared" si="123"/>
        <v/>
      </c>
    </row>
    <row r="7814" spans="1:1" x14ac:dyDescent="0.25">
      <c r="A7814" t="str">
        <f t="shared" si="123"/>
        <v/>
      </c>
    </row>
    <row r="7815" spans="1:1" x14ac:dyDescent="0.25">
      <c r="A7815" t="str">
        <f t="shared" si="123"/>
        <v/>
      </c>
    </row>
    <row r="7816" spans="1:1" x14ac:dyDescent="0.25">
      <c r="A7816" t="str">
        <f t="shared" si="123"/>
        <v/>
      </c>
    </row>
    <row r="7817" spans="1:1" x14ac:dyDescent="0.25">
      <c r="A7817" t="str">
        <f t="shared" si="123"/>
        <v/>
      </c>
    </row>
    <row r="7818" spans="1:1" x14ac:dyDescent="0.25">
      <c r="A7818" t="str">
        <f t="shared" si="123"/>
        <v/>
      </c>
    </row>
    <row r="7819" spans="1:1" x14ac:dyDescent="0.25">
      <c r="A7819" t="str">
        <f t="shared" si="123"/>
        <v/>
      </c>
    </row>
    <row r="7820" spans="1:1" x14ac:dyDescent="0.25">
      <c r="A7820" t="str">
        <f t="shared" si="123"/>
        <v/>
      </c>
    </row>
    <row r="7821" spans="1:1" x14ac:dyDescent="0.25">
      <c r="A7821" t="str">
        <f t="shared" si="123"/>
        <v/>
      </c>
    </row>
    <row r="7822" spans="1:1" x14ac:dyDescent="0.25">
      <c r="A7822" t="str">
        <f t="shared" si="123"/>
        <v/>
      </c>
    </row>
    <row r="7823" spans="1:1" x14ac:dyDescent="0.25">
      <c r="A7823" t="str">
        <f t="shared" si="123"/>
        <v/>
      </c>
    </row>
    <row r="7824" spans="1:1" x14ac:dyDescent="0.25">
      <c r="A7824" t="str">
        <f t="shared" si="123"/>
        <v/>
      </c>
    </row>
    <row r="7825" spans="1:1" x14ac:dyDescent="0.25">
      <c r="A7825" t="str">
        <f t="shared" si="123"/>
        <v/>
      </c>
    </row>
    <row r="7826" spans="1:1" x14ac:dyDescent="0.25">
      <c r="A7826" t="str">
        <f t="shared" si="123"/>
        <v/>
      </c>
    </row>
    <row r="7827" spans="1:1" x14ac:dyDescent="0.25">
      <c r="A7827" t="str">
        <f t="shared" si="123"/>
        <v/>
      </c>
    </row>
    <row r="7828" spans="1:1" x14ac:dyDescent="0.25">
      <c r="A7828" t="str">
        <f t="shared" si="123"/>
        <v/>
      </c>
    </row>
    <row r="7829" spans="1:1" x14ac:dyDescent="0.25">
      <c r="A7829" t="str">
        <f t="shared" si="123"/>
        <v/>
      </c>
    </row>
    <row r="7830" spans="1:1" x14ac:dyDescent="0.25">
      <c r="A7830" t="str">
        <f t="shared" si="123"/>
        <v/>
      </c>
    </row>
    <row r="7831" spans="1:1" x14ac:dyDescent="0.25">
      <c r="A7831" t="str">
        <f t="shared" si="123"/>
        <v/>
      </c>
    </row>
    <row r="7832" spans="1:1" x14ac:dyDescent="0.25">
      <c r="A7832" t="str">
        <f t="shared" si="123"/>
        <v/>
      </c>
    </row>
    <row r="7833" spans="1:1" x14ac:dyDescent="0.25">
      <c r="A7833" t="str">
        <f t="shared" si="123"/>
        <v/>
      </c>
    </row>
    <row r="7834" spans="1:1" x14ac:dyDescent="0.25">
      <c r="A7834" t="str">
        <f t="shared" si="123"/>
        <v/>
      </c>
    </row>
    <row r="7835" spans="1:1" x14ac:dyDescent="0.25">
      <c r="A7835" t="str">
        <f t="shared" si="123"/>
        <v/>
      </c>
    </row>
    <row r="7836" spans="1:1" x14ac:dyDescent="0.25">
      <c r="A7836" t="str">
        <f t="shared" si="123"/>
        <v/>
      </c>
    </row>
    <row r="7837" spans="1:1" x14ac:dyDescent="0.25">
      <c r="A7837" t="str">
        <f t="shared" si="123"/>
        <v/>
      </c>
    </row>
    <row r="7838" spans="1:1" x14ac:dyDescent="0.25">
      <c r="A7838" t="str">
        <f t="shared" si="123"/>
        <v/>
      </c>
    </row>
    <row r="7839" spans="1:1" x14ac:dyDescent="0.25">
      <c r="A7839" t="str">
        <f t="shared" si="123"/>
        <v/>
      </c>
    </row>
    <row r="7840" spans="1:1" x14ac:dyDescent="0.25">
      <c r="A7840" t="str">
        <f t="shared" si="123"/>
        <v/>
      </c>
    </row>
    <row r="7841" spans="1:1" x14ac:dyDescent="0.25">
      <c r="A7841" t="str">
        <f t="shared" si="123"/>
        <v/>
      </c>
    </row>
    <row r="7842" spans="1:1" x14ac:dyDescent="0.25">
      <c r="A7842" t="str">
        <f t="shared" si="123"/>
        <v/>
      </c>
    </row>
    <row r="7843" spans="1:1" x14ac:dyDescent="0.25">
      <c r="A7843" t="str">
        <f t="shared" si="123"/>
        <v/>
      </c>
    </row>
    <row r="7844" spans="1:1" x14ac:dyDescent="0.25">
      <c r="A7844" t="str">
        <f t="shared" si="123"/>
        <v/>
      </c>
    </row>
    <row r="7845" spans="1:1" x14ac:dyDescent="0.25">
      <c r="A7845" t="str">
        <f t="shared" si="123"/>
        <v/>
      </c>
    </row>
    <row r="7846" spans="1:1" x14ac:dyDescent="0.25">
      <c r="A7846" t="str">
        <f t="shared" si="123"/>
        <v/>
      </c>
    </row>
    <row r="7847" spans="1:1" x14ac:dyDescent="0.25">
      <c r="A7847" t="str">
        <f t="shared" si="123"/>
        <v/>
      </c>
    </row>
    <row r="7848" spans="1:1" x14ac:dyDescent="0.25">
      <c r="A7848" t="str">
        <f t="shared" si="123"/>
        <v/>
      </c>
    </row>
    <row r="7849" spans="1:1" x14ac:dyDescent="0.25">
      <c r="A7849" t="str">
        <f t="shared" si="123"/>
        <v/>
      </c>
    </row>
    <row r="7850" spans="1:1" x14ac:dyDescent="0.25">
      <c r="A7850" t="str">
        <f t="shared" si="123"/>
        <v/>
      </c>
    </row>
    <row r="7851" spans="1:1" x14ac:dyDescent="0.25">
      <c r="A7851" t="str">
        <f t="shared" si="123"/>
        <v/>
      </c>
    </row>
    <row r="7852" spans="1:1" x14ac:dyDescent="0.25">
      <c r="A7852" t="str">
        <f t="shared" si="123"/>
        <v/>
      </c>
    </row>
    <row r="7853" spans="1:1" x14ac:dyDescent="0.25">
      <c r="A7853" t="str">
        <f t="shared" si="123"/>
        <v/>
      </c>
    </row>
    <row r="7854" spans="1:1" x14ac:dyDescent="0.25">
      <c r="A7854" t="str">
        <f t="shared" si="123"/>
        <v/>
      </c>
    </row>
    <row r="7855" spans="1:1" x14ac:dyDescent="0.25">
      <c r="A7855" t="str">
        <f t="shared" si="123"/>
        <v/>
      </c>
    </row>
    <row r="7856" spans="1:1" x14ac:dyDescent="0.25">
      <c r="A7856" t="str">
        <f t="shared" si="123"/>
        <v/>
      </c>
    </row>
    <row r="7857" spans="1:1" x14ac:dyDescent="0.25">
      <c r="A7857" t="str">
        <f t="shared" si="123"/>
        <v/>
      </c>
    </row>
    <row r="7858" spans="1:1" x14ac:dyDescent="0.25">
      <c r="A7858" t="str">
        <f t="shared" si="123"/>
        <v/>
      </c>
    </row>
    <row r="7859" spans="1:1" x14ac:dyDescent="0.25">
      <c r="A7859" t="str">
        <f t="shared" si="123"/>
        <v/>
      </c>
    </row>
    <row r="7860" spans="1:1" x14ac:dyDescent="0.25">
      <c r="A7860" t="str">
        <f t="shared" si="123"/>
        <v/>
      </c>
    </row>
    <row r="7861" spans="1:1" x14ac:dyDescent="0.25">
      <c r="A7861" t="str">
        <f t="shared" ref="A7861:A7924" si="124">B7859&amp;D7859</f>
        <v/>
      </c>
    </row>
    <row r="7862" spans="1:1" x14ac:dyDescent="0.25">
      <c r="A7862" t="str">
        <f t="shared" si="124"/>
        <v/>
      </c>
    </row>
    <row r="7863" spans="1:1" x14ac:dyDescent="0.25">
      <c r="A7863" t="str">
        <f t="shared" si="124"/>
        <v/>
      </c>
    </row>
    <row r="7864" spans="1:1" x14ac:dyDescent="0.25">
      <c r="A7864" t="str">
        <f t="shared" si="124"/>
        <v/>
      </c>
    </row>
    <row r="7865" spans="1:1" x14ac:dyDescent="0.25">
      <c r="A7865" t="str">
        <f t="shared" si="124"/>
        <v/>
      </c>
    </row>
    <row r="7866" spans="1:1" x14ac:dyDescent="0.25">
      <c r="A7866" t="str">
        <f t="shared" si="124"/>
        <v/>
      </c>
    </row>
    <row r="7867" spans="1:1" x14ac:dyDescent="0.25">
      <c r="A7867" t="str">
        <f t="shared" si="124"/>
        <v/>
      </c>
    </row>
    <row r="7868" spans="1:1" x14ac:dyDescent="0.25">
      <c r="A7868" t="str">
        <f t="shared" si="124"/>
        <v/>
      </c>
    </row>
    <row r="7869" spans="1:1" x14ac:dyDescent="0.25">
      <c r="A7869" t="str">
        <f t="shared" si="124"/>
        <v/>
      </c>
    </row>
    <row r="7870" spans="1:1" x14ac:dyDescent="0.25">
      <c r="A7870" t="str">
        <f t="shared" si="124"/>
        <v/>
      </c>
    </row>
    <row r="7871" spans="1:1" x14ac:dyDescent="0.25">
      <c r="A7871" t="str">
        <f t="shared" si="124"/>
        <v/>
      </c>
    </row>
    <row r="7872" spans="1:1" x14ac:dyDescent="0.25">
      <c r="A7872" t="str">
        <f t="shared" si="124"/>
        <v/>
      </c>
    </row>
    <row r="7873" spans="1:1" x14ac:dyDescent="0.25">
      <c r="A7873" t="str">
        <f t="shared" si="124"/>
        <v/>
      </c>
    </row>
    <row r="7874" spans="1:1" x14ac:dyDescent="0.25">
      <c r="A7874" t="str">
        <f t="shared" si="124"/>
        <v/>
      </c>
    </row>
    <row r="7875" spans="1:1" x14ac:dyDescent="0.25">
      <c r="A7875" t="str">
        <f t="shared" si="124"/>
        <v/>
      </c>
    </row>
    <row r="7876" spans="1:1" x14ac:dyDescent="0.25">
      <c r="A7876" t="str">
        <f t="shared" si="124"/>
        <v/>
      </c>
    </row>
    <row r="7877" spans="1:1" x14ac:dyDescent="0.25">
      <c r="A7877" t="str">
        <f t="shared" si="124"/>
        <v/>
      </c>
    </row>
    <row r="7878" spans="1:1" x14ac:dyDescent="0.25">
      <c r="A7878" t="str">
        <f t="shared" si="124"/>
        <v/>
      </c>
    </row>
    <row r="7879" spans="1:1" x14ac:dyDescent="0.25">
      <c r="A7879" t="str">
        <f t="shared" si="124"/>
        <v/>
      </c>
    </row>
    <row r="7880" spans="1:1" x14ac:dyDescent="0.25">
      <c r="A7880" t="str">
        <f t="shared" si="124"/>
        <v/>
      </c>
    </row>
    <row r="7881" spans="1:1" x14ac:dyDescent="0.25">
      <c r="A7881" t="str">
        <f t="shared" si="124"/>
        <v/>
      </c>
    </row>
    <row r="7882" spans="1:1" x14ac:dyDescent="0.25">
      <c r="A7882" t="str">
        <f t="shared" si="124"/>
        <v/>
      </c>
    </row>
    <row r="7883" spans="1:1" x14ac:dyDescent="0.25">
      <c r="A7883" t="str">
        <f t="shared" si="124"/>
        <v/>
      </c>
    </row>
    <row r="7884" spans="1:1" x14ac:dyDescent="0.25">
      <c r="A7884" t="str">
        <f t="shared" si="124"/>
        <v/>
      </c>
    </row>
    <row r="7885" spans="1:1" x14ac:dyDescent="0.25">
      <c r="A7885" t="str">
        <f t="shared" si="124"/>
        <v/>
      </c>
    </row>
    <row r="7886" spans="1:1" x14ac:dyDescent="0.25">
      <c r="A7886" t="str">
        <f t="shared" si="124"/>
        <v/>
      </c>
    </row>
    <row r="7887" spans="1:1" x14ac:dyDescent="0.25">
      <c r="A7887" t="str">
        <f t="shared" si="124"/>
        <v/>
      </c>
    </row>
    <row r="7888" spans="1:1" x14ac:dyDescent="0.25">
      <c r="A7888" t="str">
        <f t="shared" si="124"/>
        <v/>
      </c>
    </row>
    <row r="7889" spans="1:1" x14ac:dyDescent="0.25">
      <c r="A7889" t="str">
        <f t="shared" si="124"/>
        <v/>
      </c>
    </row>
    <row r="7890" spans="1:1" x14ac:dyDescent="0.25">
      <c r="A7890" t="str">
        <f t="shared" si="124"/>
        <v/>
      </c>
    </row>
    <row r="7891" spans="1:1" x14ac:dyDescent="0.25">
      <c r="A7891" t="str">
        <f t="shared" si="124"/>
        <v/>
      </c>
    </row>
    <row r="7892" spans="1:1" x14ac:dyDescent="0.25">
      <c r="A7892" t="str">
        <f t="shared" si="124"/>
        <v/>
      </c>
    </row>
    <row r="7893" spans="1:1" x14ac:dyDescent="0.25">
      <c r="A7893" t="str">
        <f t="shared" si="124"/>
        <v/>
      </c>
    </row>
    <row r="7894" spans="1:1" x14ac:dyDescent="0.25">
      <c r="A7894" t="str">
        <f t="shared" si="124"/>
        <v/>
      </c>
    </row>
    <row r="7895" spans="1:1" x14ac:dyDescent="0.25">
      <c r="A7895" t="str">
        <f t="shared" si="124"/>
        <v/>
      </c>
    </row>
    <row r="7896" spans="1:1" x14ac:dyDescent="0.25">
      <c r="A7896" t="str">
        <f t="shared" si="124"/>
        <v/>
      </c>
    </row>
    <row r="7897" spans="1:1" x14ac:dyDescent="0.25">
      <c r="A7897" t="str">
        <f t="shared" si="124"/>
        <v/>
      </c>
    </row>
    <row r="7898" spans="1:1" x14ac:dyDescent="0.25">
      <c r="A7898" t="str">
        <f t="shared" si="124"/>
        <v/>
      </c>
    </row>
    <row r="7899" spans="1:1" x14ac:dyDescent="0.25">
      <c r="A7899" t="str">
        <f t="shared" si="124"/>
        <v/>
      </c>
    </row>
    <row r="7900" spans="1:1" x14ac:dyDescent="0.25">
      <c r="A7900" t="str">
        <f t="shared" si="124"/>
        <v/>
      </c>
    </row>
    <row r="7901" spans="1:1" x14ac:dyDescent="0.25">
      <c r="A7901" t="str">
        <f t="shared" si="124"/>
        <v/>
      </c>
    </row>
    <row r="7902" spans="1:1" x14ac:dyDescent="0.25">
      <c r="A7902" t="str">
        <f t="shared" si="124"/>
        <v/>
      </c>
    </row>
    <row r="7903" spans="1:1" x14ac:dyDescent="0.25">
      <c r="A7903" t="str">
        <f t="shared" si="124"/>
        <v/>
      </c>
    </row>
    <row r="7904" spans="1:1" x14ac:dyDescent="0.25">
      <c r="A7904" t="str">
        <f t="shared" si="124"/>
        <v/>
      </c>
    </row>
    <row r="7905" spans="1:1" x14ac:dyDescent="0.25">
      <c r="A7905" t="str">
        <f t="shared" si="124"/>
        <v/>
      </c>
    </row>
    <row r="7906" spans="1:1" x14ac:dyDescent="0.25">
      <c r="A7906" t="str">
        <f t="shared" si="124"/>
        <v/>
      </c>
    </row>
    <row r="7907" spans="1:1" x14ac:dyDescent="0.25">
      <c r="A7907" t="str">
        <f t="shared" si="124"/>
        <v/>
      </c>
    </row>
    <row r="7908" spans="1:1" x14ac:dyDescent="0.25">
      <c r="A7908" t="str">
        <f t="shared" si="124"/>
        <v/>
      </c>
    </row>
    <row r="7909" spans="1:1" x14ac:dyDescent="0.25">
      <c r="A7909" t="str">
        <f t="shared" si="124"/>
        <v/>
      </c>
    </row>
    <row r="7910" spans="1:1" x14ac:dyDescent="0.25">
      <c r="A7910" t="str">
        <f t="shared" si="124"/>
        <v/>
      </c>
    </row>
    <row r="7911" spans="1:1" x14ac:dyDescent="0.25">
      <c r="A7911" t="str">
        <f t="shared" si="124"/>
        <v/>
      </c>
    </row>
    <row r="7912" spans="1:1" x14ac:dyDescent="0.25">
      <c r="A7912" t="str">
        <f t="shared" si="124"/>
        <v/>
      </c>
    </row>
    <row r="7913" spans="1:1" x14ac:dyDescent="0.25">
      <c r="A7913" t="str">
        <f t="shared" si="124"/>
        <v/>
      </c>
    </row>
    <row r="7914" spans="1:1" x14ac:dyDescent="0.25">
      <c r="A7914" t="str">
        <f t="shared" si="124"/>
        <v/>
      </c>
    </row>
    <row r="7915" spans="1:1" x14ac:dyDescent="0.25">
      <c r="A7915" t="str">
        <f t="shared" si="124"/>
        <v/>
      </c>
    </row>
    <row r="7916" spans="1:1" x14ac:dyDescent="0.25">
      <c r="A7916" t="str">
        <f t="shared" si="124"/>
        <v/>
      </c>
    </row>
    <row r="7917" spans="1:1" x14ac:dyDescent="0.25">
      <c r="A7917" t="str">
        <f t="shared" si="124"/>
        <v/>
      </c>
    </row>
    <row r="7918" spans="1:1" x14ac:dyDescent="0.25">
      <c r="A7918" t="str">
        <f t="shared" si="124"/>
        <v/>
      </c>
    </row>
    <row r="7919" spans="1:1" x14ac:dyDescent="0.25">
      <c r="A7919" t="str">
        <f t="shared" si="124"/>
        <v/>
      </c>
    </row>
    <row r="7920" spans="1:1" x14ac:dyDescent="0.25">
      <c r="A7920" t="str">
        <f t="shared" si="124"/>
        <v/>
      </c>
    </row>
    <row r="7921" spans="1:1" x14ac:dyDescent="0.25">
      <c r="A7921" t="str">
        <f t="shared" si="124"/>
        <v/>
      </c>
    </row>
    <row r="7922" spans="1:1" x14ac:dyDescent="0.25">
      <c r="A7922" t="str">
        <f t="shared" si="124"/>
        <v/>
      </c>
    </row>
    <row r="7923" spans="1:1" x14ac:dyDescent="0.25">
      <c r="A7923" t="str">
        <f t="shared" si="124"/>
        <v/>
      </c>
    </row>
    <row r="7924" spans="1:1" x14ac:dyDescent="0.25">
      <c r="A7924" t="str">
        <f t="shared" si="124"/>
        <v/>
      </c>
    </row>
    <row r="7925" spans="1:1" x14ac:dyDescent="0.25">
      <c r="A7925" t="str">
        <f t="shared" ref="A7925:A7988" si="125">B7923&amp;D7923</f>
        <v/>
      </c>
    </row>
    <row r="7926" spans="1:1" x14ac:dyDescent="0.25">
      <c r="A7926" t="str">
        <f t="shared" si="125"/>
        <v/>
      </c>
    </row>
    <row r="7927" spans="1:1" x14ac:dyDescent="0.25">
      <c r="A7927" t="str">
        <f t="shared" si="125"/>
        <v/>
      </c>
    </row>
    <row r="7928" spans="1:1" x14ac:dyDescent="0.25">
      <c r="A7928" t="str">
        <f t="shared" si="125"/>
        <v/>
      </c>
    </row>
    <row r="7929" spans="1:1" x14ac:dyDescent="0.25">
      <c r="A7929" t="str">
        <f t="shared" si="125"/>
        <v/>
      </c>
    </row>
    <row r="7930" spans="1:1" x14ac:dyDescent="0.25">
      <c r="A7930" t="str">
        <f t="shared" si="125"/>
        <v/>
      </c>
    </row>
    <row r="7931" spans="1:1" x14ac:dyDescent="0.25">
      <c r="A7931" t="str">
        <f t="shared" si="125"/>
        <v/>
      </c>
    </row>
    <row r="7932" spans="1:1" x14ac:dyDescent="0.25">
      <c r="A7932" t="str">
        <f t="shared" si="125"/>
        <v/>
      </c>
    </row>
    <row r="7933" spans="1:1" x14ac:dyDescent="0.25">
      <c r="A7933" t="str">
        <f t="shared" si="125"/>
        <v/>
      </c>
    </row>
    <row r="7934" spans="1:1" x14ac:dyDescent="0.25">
      <c r="A7934" t="str">
        <f t="shared" si="125"/>
        <v/>
      </c>
    </row>
    <row r="7935" spans="1:1" x14ac:dyDescent="0.25">
      <c r="A7935" t="str">
        <f t="shared" si="125"/>
        <v/>
      </c>
    </row>
    <row r="7936" spans="1:1" x14ac:dyDescent="0.25">
      <c r="A7936" t="str">
        <f t="shared" si="125"/>
        <v/>
      </c>
    </row>
    <row r="7937" spans="1:1" x14ac:dyDescent="0.25">
      <c r="A7937" t="str">
        <f t="shared" si="125"/>
        <v/>
      </c>
    </row>
    <row r="7938" spans="1:1" x14ac:dyDescent="0.25">
      <c r="A7938" t="str">
        <f t="shared" si="125"/>
        <v/>
      </c>
    </row>
    <row r="7939" spans="1:1" x14ac:dyDescent="0.25">
      <c r="A7939" t="str">
        <f t="shared" si="125"/>
        <v/>
      </c>
    </row>
    <row r="7940" spans="1:1" x14ac:dyDescent="0.25">
      <c r="A7940" t="str">
        <f t="shared" si="125"/>
        <v/>
      </c>
    </row>
    <row r="7941" spans="1:1" x14ac:dyDescent="0.25">
      <c r="A7941" t="str">
        <f t="shared" si="125"/>
        <v/>
      </c>
    </row>
    <row r="7942" spans="1:1" x14ac:dyDescent="0.25">
      <c r="A7942" t="str">
        <f t="shared" si="125"/>
        <v/>
      </c>
    </row>
    <row r="7943" spans="1:1" x14ac:dyDescent="0.25">
      <c r="A7943" t="str">
        <f t="shared" si="125"/>
        <v/>
      </c>
    </row>
    <row r="7944" spans="1:1" x14ac:dyDescent="0.25">
      <c r="A7944" t="str">
        <f t="shared" si="125"/>
        <v/>
      </c>
    </row>
    <row r="7945" spans="1:1" x14ac:dyDescent="0.25">
      <c r="A7945" t="str">
        <f t="shared" si="125"/>
        <v/>
      </c>
    </row>
    <row r="7946" spans="1:1" x14ac:dyDescent="0.25">
      <c r="A7946" t="str">
        <f t="shared" si="125"/>
        <v/>
      </c>
    </row>
    <row r="7947" spans="1:1" x14ac:dyDescent="0.25">
      <c r="A7947" t="str">
        <f t="shared" si="125"/>
        <v/>
      </c>
    </row>
    <row r="7948" spans="1:1" x14ac:dyDescent="0.25">
      <c r="A7948" t="str">
        <f t="shared" si="125"/>
        <v/>
      </c>
    </row>
    <row r="7949" spans="1:1" x14ac:dyDescent="0.25">
      <c r="A7949" t="str">
        <f t="shared" si="125"/>
        <v/>
      </c>
    </row>
    <row r="7950" spans="1:1" x14ac:dyDescent="0.25">
      <c r="A7950" t="str">
        <f t="shared" si="125"/>
        <v/>
      </c>
    </row>
    <row r="7951" spans="1:1" x14ac:dyDescent="0.25">
      <c r="A7951" t="str">
        <f t="shared" si="125"/>
        <v/>
      </c>
    </row>
    <row r="7952" spans="1:1" x14ac:dyDescent="0.25">
      <c r="A7952" t="str">
        <f t="shared" si="125"/>
        <v/>
      </c>
    </row>
    <row r="7953" spans="1:1" x14ac:dyDescent="0.25">
      <c r="A7953" t="str">
        <f t="shared" si="125"/>
        <v/>
      </c>
    </row>
    <row r="7954" spans="1:1" x14ac:dyDescent="0.25">
      <c r="A7954" t="str">
        <f t="shared" si="125"/>
        <v/>
      </c>
    </row>
    <row r="7955" spans="1:1" x14ac:dyDescent="0.25">
      <c r="A7955" t="str">
        <f t="shared" si="125"/>
        <v/>
      </c>
    </row>
    <row r="7956" spans="1:1" x14ac:dyDescent="0.25">
      <c r="A7956" t="str">
        <f t="shared" si="125"/>
        <v/>
      </c>
    </row>
    <row r="7957" spans="1:1" x14ac:dyDescent="0.25">
      <c r="A7957" t="str">
        <f t="shared" si="125"/>
        <v/>
      </c>
    </row>
    <row r="7958" spans="1:1" x14ac:dyDescent="0.25">
      <c r="A7958" t="str">
        <f t="shared" si="125"/>
        <v/>
      </c>
    </row>
    <row r="7959" spans="1:1" x14ac:dyDescent="0.25">
      <c r="A7959" t="str">
        <f t="shared" si="125"/>
        <v/>
      </c>
    </row>
    <row r="7960" spans="1:1" x14ac:dyDescent="0.25">
      <c r="A7960" t="str">
        <f t="shared" si="125"/>
        <v/>
      </c>
    </row>
    <row r="7961" spans="1:1" x14ac:dyDescent="0.25">
      <c r="A7961" t="str">
        <f t="shared" si="125"/>
        <v/>
      </c>
    </row>
    <row r="7962" spans="1:1" x14ac:dyDescent="0.25">
      <c r="A7962" t="str">
        <f t="shared" si="125"/>
        <v/>
      </c>
    </row>
    <row r="7963" spans="1:1" x14ac:dyDescent="0.25">
      <c r="A7963" t="str">
        <f t="shared" si="125"/>
        <v/>
      </c>
    </row>
    <row r="7964" spans="1:1" x14ac:dyDescent="0.25">
      <c r="A7964" t="str">
        <f t="shared" si="125"/>
        <v/>
      </c>
    </row>
    <row r="7965" spans="1:1" x14ac:dyDescent="0.25">
      <c r="A7965" t="str">
        <f t="shared" si="125"/>
        <v/>
      </c>
    </row>
    <row r="7966" spans="1:1" x14ac:dyDescent="0.25">
      <c r="A7966" t="str">
        <f t="shared" si="125"/>
        <v/>
      </c>
    </row>
    <row r="7967" spans="1:1" x14ac:dyDescent="0.25">
      <c r="A7967" t="str">
        <f t="shared" si="125"/>
        <v/>
      </c>
    </row>
    <row r="7968" spans="1:1" x14ac:dyDescent="0.25">
      <c r="A7968" t="str">
        <f t="shared" si="125"/>
        <v/>
      </c>
    </row>
    <row r="7969" spans="1:1" x14ac:dyDescent="0.25">
      <c r="A7969" t="str">
        <f t="shared" si="125"/>
        <v/>
      </c>
    </row>
    <row r="7970" spans="1:1" x14ac:dyDescent="0.25">
      <c r="A7970" t="str">
        <f t="shared" si="125"/>
        <v/>
      </c>
    </row>
    <row r="7971" spans="1:1" x14ac:dyDescent="0.25">
      <c r="A7971" t="str">
        <f t="shared" si="125"/>
        <v/>
      </c>
    </row>
    <row r="7972" spans="1:1" x14ac:dyDescent="0.25">
      <c r="A7972" t="str">
        <f t="shared" si="125"/>
        <v/>
      </c>
    </row>
    <row r="7973" spans="1:1" x14ac:dyDescent="0.25">
      <c r="A7973" t="str">
        <f t="shared" si="125"/>
        <v/>
      </c>
    </row>
    <row r="7974" spans="1:1" x14ac:dyDescent="0.25">
      <c r="A7974" t="str">
        <f t="shared" si="125"/>
        <v/>
      </c>
    </row>
    <row r="7975" spans="1:1" x14ac:dyDescent="0.25">
      <c r="A7975" t="str">
        <f t="shared" si="125"/>
        <v/>
      </c>
    </row>
    <row r="7976" spans="1:1" x14ac:dyDescent="0.25">
      <c r="A7976" t="str">
        <f t="shared" si="125"/>
        <v/>
      </c>
    </row>
    <row r="7977" spans="1:1" x14ac:dyDescent="0.25">
      <c r="A7977" t="str">
        <f t="shared" si="125"/>
        <v/>
      </c>
    </row>
    <row r="7978" spans="1:1" x14ac:dyDescent="0.25">
      <c r="A7978" t="str">
        <f t="shared" si="125"/>
        <v/>
      </c>
    </row>
    <row r="7979" spans="1:1" x14ac:dyDescent="0.25">
      <c r="A7979" t="str">
        <f t="shared" si="125"/>
        <v/>
      </c>
    </row>
    <row r="7980" spans="1:1" x14ac:dyDescent="0.25">
      <c r="A7980" t="str">
        <f t="shared" si="125"/>
        <v/>
      </c>
    </row>
    <row r="7981" spans="1:1" x14ac:dyDescent="0.25">
      <c r="A7981" t="str">
        <f t="shared" si="125"/>
        <v/>
      </c>
    </row>
    <row r="7982" spans="1:1" x14ac:dyDescent="0.25">
      <c r="A7982" t="str">
        <f t="shared" si="125"/>
        <v/>
      </c>
    </row>
    <row r="7983" spans="1:1" x14ac:dyDescent="0.25">
      <c r="A7983" t="str">
        <f t="shared" si="125"/>
        <v/>
      </c>
    </row>
    <row r="7984" spans="1:1" x14ac:dyDescent="0.25">
      <c r="A7984" t="str">
        <f t="shared" si="125"/>
        <v/>
      </c>
    </row>
    <row r="7985" spans="1:1" x14ac:dyDescent="0.25">
      <c r="A7985" t="str">
        <f t="shared" si="125"/>
        <v/>
      </c>
    </row>
    <row r="7986" spans="1:1" x14ac:dyDescent="0.25">
      <c r="A7986" t="str">
        <f t="shared" si="125"/>
        <v/>
      </c>
    </row>
    <row r="7987" spans="1:1" x14ac:dyDescent="0.25">
      <c r="A7987" t="str">
        <f t="shared" si="125"/>
        <v/>
      </c>
    </row>
    <row r="7988" spans="1:1" x14ac:dyDescent="0.25">
      <c r="A7988" t="str">
        <f t="shared" si="125"/>
        <v/>
      </c>
    </row>
    <row r="7989" spans="1:1" x14ac:dyDescent="0.25">
      <c r="A7989" t="str">
        <f t="shared" ref="A7989:A8052" si="126">B7987&amp;D7987</f>
        <v/>
      </c>
    </row>
    <row r="7990" spans="1:1" x14ac:dyDescent="0.25">
      <c r="A7990" t="str">
        <f t="shared" si="126"/>
        <v/>
      </c>
    </row>
    <row r="7991" spans="1:1" x14ac:dyDescent="0.25">
      <c r="A7991" t="str">
        <f t="shared" si="126"/>
        <v/>
      </c>
    </row>
    <row r="7992" spans="1:1" x14ac:dyDescent="0.25">
      <c r="A7992" t="str">
        <f t="shared" si="126"/>
        <v/>
      </c>
    </row>
    <row r="7993" spans="1:1" x14ac:dyDescent="0.25">
      <c r="A7993" t="str">
        <f t="shared" si="126"/>
        <v/>
      </c>
    </row>
    <row r="7994" spans="1:1" x14ac:dyDescent="0.25">
      <c r="A7994" t="str">
        <f t="shared" si="126"/>
        <v/>
      </c>
    </row>
    <row r="7995" spans="1:1" x14ac:dyDescent="0.25">
      <c r="A7995" t="str">
        <f t="shared" si="126"/>
        <v/>
      </c>
    </row>
    <row r="7996" spans="1:1" x14ac:dyDescent="0.25">
      <c r="A7996" t="str">
        <f t="shared" si="126"/>
        <v/>
      </c>
    </row>
    <row r="7997" spans="1:1" x14ac:dyDescent="0.25">
      <c r="A7997" t="str">
        <f t="shared" si="126"/>
        <v/>
      </c>
    </row>
    <row r="7998" spans="1:1" x14ac:dyDescent="0.25">
      <c r="A7998" t="str">
        <f t="shared" si="126"/>
        <v/>
      </c>
    </row>
    <row r="7999" spans="1:1" x14ac:dyDescent="0.25">
      <c r="A7999" t="str">
        <f t="shared" si="126"/>
        <v/>
      </c>
    </row>
    <row r="8000" spans="1:1" x14ac:dyDescent="0.25">
      <c r="A8000" t="str">
        <f t="shared" si="126"/>
        <v/>
      </c>
    </row>
    <row r="8001" spans="1:1" x14ac:dyDescent="0.25">
      <c r="A8001" t="str">
        <f t="shared" si="126"/>
        <v/>
      </c>
    </row>
    <row r="8002" spans="1:1" x14ac:dyDescent="0.25">
      <c r="A8002" t="str">
        <f t="shared" si="126"/>
        <v/>
      </c>
    </row>
    <row r="8003" spans="1:1" x14ac:dyDescent="0.25">
      <c r="A8003" t="str">
        <f t="shared" si="126"/>
        <v/>
      </c>
    </row>
    <row r="8004" spans="1:1" x14ac:dyDescent="0.25">
      <c r="A8004" t="str">
        <f t="shared" si="126"/>
        <v/>
      </c>
    </row>
    <row r="8005" spans="1:1" x14ac:dyDescent="0.25">
      <c r="A8005" t="str">
        <f t="shared" si="126"/>
        <v/>
      </c>
    </row>
    <row r="8006" spans="1:1" x14ac:dyDescent="0.25">
      <c r="A8006" t="str">
        <f t="shared" si="126"/>
        <v/>
      </c>
    </row>
    <row r="8007" spans="1:1" x14ac:dyDescent="0.25">
      <c r="A8007" t="str">
        <f t="shared" si="126"/>
        <v/>
      </c>
    </row>
    <row r="8008" spans="1:1" x14ac:dyDescent="0.25">
      <c r="A8008" t="str">
        <f t="shared" si="126"/>
        <v/>
      </c>
    </row>
    <row r="8009" spans="1:1" x14ac:dyDescent="0.25">
      <c r="A8009" t="str">
        <f t="shared" si="126"/>
        <v/>
      </c>
    </row>
    <row r="8010" spans="1:1" x14ac:dyDescent="0.25">
      <c r="A8010" t="str">
        <f t="shared" si="126"/>
        <v/>
      </c>
    </row>
    <row r="8011" spans="1:1" x14ac:dyDescent="0.25">
      <c r="A8011" t="str">
        <f t="shared" si="126"/>
        <v/>
      </c>
    </row>
    <row r="8012" spans="1:1" x14ac:dyDescent="0.25">
      <c r="A8012" t="str">
        <f t="shared" si="126"/>
        <v/>
      </c>
    </row>
    <row r="8013" spans="1:1" x14ac:dyDescent="0.25">
      <c r="A8013" t="str">
        <f t="shared" si="126"/>
        <v/>
      </c>
    </row>
    <row r="8014" spans="1:1" x14ac:dyDescent="0.25">
      <c r="A8014" t="str">
        <f t="shared" si="126"/>
        <v/>
      </c>
    </row>
    <row r="8015" spans="1:1" x14ac:dyDescent="0.25">
      <c r="A8015" t="str">
        <f t="shared" si="126"/>
        <v/>
      </c>
    </row>
    <row r="8016" spans="1:1" x14ac:dyDescent="0.25">
      <c r="A8016" t="str">
        <f t="shared" si="126"/>
        <v/>
      </c>
    </row>
    <row r="8017" spans="1:1" x14ac:dyDescent="0.25">
      <c r="A8017" t="str">
        <f t="shared" si="126"/>
        <v/>
      </c>
    </row>
    <row r="8018" spans="1:1" x14ac:dyDescent="0.25">
      <c r="A8018" t="str">
        <f t="shared" si="126"/>
        <v/>
      </c>
    </row>
    <row r="8019" spans="1:1" x14ac:dyDescent="0.25">
      <c r="A8019" t="str">
        <f t="shared" si="126"/>
        <v/>
      </c>
    </row>
    <row r="8020" spans="1:1" x14ac:dyDescent="0.25">
      <c r="A8020" t="str">
        <f t="shared" si="126"/>
        <v/>
      </c>
    </row>
    <row r="8021" spans="1:1" x14ac:dyDescent="0.25">
      <c r="A8021" t="str">
        <f t="shared" si="126"/>
        <v/>
      </c>
    </row>
    <row r="8022" spans="1:1" x14ac:dyDescent="0.25">
      <c r="A8022" t="str">
        <f t="shared" si="126"/>
        <v/>
      </c>
    </row>
    <row r="8023" spans="1:1" x14ac:dyDescent="0.25">
      <c r="A8023" t="str">
        <f t="shared" si="126"/>
        <v/>
      </c>
    </row>
    <row r="8024" spans="1:1" x14ac:dyDescent="0.25">
      <c r="A8024" t="str">
        <f t="shared" si="126"/>
        <v/>
      </c>
    </row>
    <row r="8025" spans="1:1" x14ac:dyDescent="0.25">
      <c r="A8025" t="str">
        <f t="shared" si="126"/>
        <v/>
      </c>
    </row>
    <row r="8026" spans="1:1" x14ac:dyDescent="0.25">
      <c r="A8026" t="str">
        <f t="shared" si="126"/>
        <v/>
      </c>
    </row>
    <row r="8027" spans="1:1" x14ac:dyDescent="0.25">
      <c r="A8027" t="str">
        <f t="shared" si="126"/>
        <v/>
      </c>
    </row>
    <row r="8028" spans="1:1" x14ac:dyDescent="0.25">
      <c r="A8028" t="str">
        <f t="shared" si="126"/>
        <v/>
      </c>
    </row>
    <row r="8029" spans="1:1" x14ac:dyDescent="0.25">
      <c r="A8029" t="str">
        <f t="shared" si="126"/>
        <v/>
      </c>
    </row>
    <row r="8030" spans="1:1" x14ac:dyDescent="0.25">
      <c r="A8030" t="str">
        <f t="shared" si="126"/>
        <v/>
      </c>
    </row>
    <row r="8031" spans="1:1" x14ac:dyDescent="0.25">
      <c r="A8031" t="str">
        <f t="shared" si="126"/>
        <v/>
      </c>
    </row>
    <row r="8032" spans="1:1" x14ac:dyDescent="0.25">
      <c r="A8032" t="str">
        <f t="shared" si="126"/>
        <v/>
      </c>
    </row>
    <row r="8033" spans="1:1" x14ac:dyDescent="0.25">
      <c r="A8033" t="str">
        <f t="shared" si="126"/>
        <v/>
      </c>
    </row>
    <row r="8034" spans="1:1" x14ac:dyDescent="0.25">
      <c r="A8034" t="str">
        <f t="shared" si="126"/>
        <v/>
      </c>
    </row>
    <row r="8035" spans="1:1" x14ac:dyDescent="0.25">
      <c r="A8035" t="str">
        <f t="shared" si="126"/>
        <v/>
      </c>
    </row>
    <row r="8036" spans="1:1" x14ac:dyDescent="0.25">
      <c r="A8036" t="str">
        <f t="shared" si="126"/>
        <v/>
      </c>
    </row>
    <row r="8037" spans="1:1" x14ac:dyDescent="0.25">
      <c r="A8037" t="str">
        <f t="shared" si="126"/>
        <v/>
      </c>
    </row>
    <row r="8038" spans="1:1" x14ac:dyDescent="0.25">
      <c r="A8038" t="str">
        <f t="shared" si="126"/>
        <v/>
      </c>
    </row>
    <row r="8039" spans="1:1" x14ac:dyDescent="0.25">
      <c r="A8039" t="str">
        <f t="shared" si="126"/>
        <v/>
      </c>
    </row>
    <row r="8040" spans="1:1" x14ac:dyDescent="0.25">
      <c r="A8040" t="str">
        <f t="shared" si="126"/>
        <v/>
      </c>
    </row>
    <row r="8041" spans="1:1" x14ac:dyDescent="0.25">
      <c r="A8041" t="str">
        <f t="shared" si="126"/>
        <v/>
      </c>
    </row>
    <row r="8042" spans="1:1" x14ac:dyDescent="0.25">
      <c r="A8042" t="str">
        <f t="shared" si="126"/>
        <v/>
      </c>
    </row>
    <row r="8043" spans="1:1" x14ac:dyDescent="0.25">
      <c r="A8043" t="str">
        <f t="shared" si="126"/>
        <v/>
      </c>
    </row>
    <row r="8044" spans="1:1" x14ac:dyDescent="0.25">
      <c r="A8044" t="str">
        <f t="shared" si="126"/>
        <v/>
      </c>
    </row>
    <row r="8045" spans="1:1" x14ac:dyDescent="0.25">
      <c r="A8045" t="str">
        <f t="shared" si="126"/>
        <v/>
      </c>
    </row>
    <row r="8046" spans="1:1" x14ac:dyDescent="0.25">
      <c r="A8046" t="str">
        <f t="shared" si="126"/>
        <v/>
      </c>
    </row>
    <row r="8047" spans="1:1" x14ac:dyDescent="0.25">
      <c r="A8047" t="str">
        <f t="shared" si="126"/>
        <v/>
      </c>
    </row>
    <row r="8048" spans="1:1" x14ac:dyDescent="0.25">
      <c r="A8048" t="str">
        <f t="shared" si="126"/>
        <v/>
      </c>
    </row>
    <row r="8049" spans="1:1" x14ac:dyDescent="0.25">
      <c r="A8049" t="str">
        <f t="shared" si="126"/>
        <v/>
      </c>
    </row>
    <row r="8050" spans="1:1" x14ac:dyDescent="0.25">
      <c r="A8050" t="str">
        <f t="shared" si="126"/>
        <v/>
      </c>
    </row>
    <row r="8051" spans="1:1" x14ac:dyDescent="0.25">
      <c r="A8051" t="str">
        <f t="shared" si="126"/>
        <v/>
      </c>
    </row>
    <row r="8052" spans="1:1" x14ac:dyDescent="0.25">
      <c r="A8052" t="str">
        <f t="shared" si="126"/>
        <v/>
      </c>
    </row>
    <row r="8053" spans="1:1" x14ac:dyDescent="0.25">
      <c r="A8053" t="str">
        <f t="shared" ref="A8053:A8116" si="127">B8051&amp;D8051</f>
        <v/>
      </c>
    </row>
    <row r="8054" spans="1:1" x14ac:dyDescent="0.25">
      <c r="A8054" t="str">
        <f t="shared" si="127"/>
        <v/>
      </c>
    </row>
    <row r="8055" spans="1:1" x14ac:dyDescent="0.25">
      <c r="A8055" t="str">
        <f t="shared" si="127"/>
        <v/>
      </c>
    </row>
    <row r="8056" spans="1:1" x14ac:dyDescent="0.25">
      <c r="A8056" t="str">
        <f t="shared" si="127"/>
        <v/>
      </c>
    </row>
    <row r="8057" spans="1:1" x14ac:dyDescent="0.25">
      <c r="A8057" t="str">
        <f t="shared" si="127"/>
        <v/>
      </c>
    </row>
    <row r="8058" spans="1:1" x14ac:dyDescent="0.25">
      <c r="A8058" t="str">
        <f t="shared" si="127"/>
        <v/>
      </c>
    </row>
    <row r="8059" spans="1:1" x14ac:dyDescent="0.25">
      <c r="A8059" t="str">
        <f t="shared" si="127"/>
        <v/>
      </c>
    </row>
    <row r="8060" spans="1:1" x14ac:dyDescent="0.25">
      <c r="A8060" t="str">
        <f t="shared" si="127"/>
        <v/>
      </c>
    </row>
    <row r="8061" spans="1:1" x14ac:dyDescent="0.25">
      <c r="A8061" t="str">
        <f t="shared" si="127"/>
        <v/>
      </c>
    </row>
    <row r="8062" spans="1:1" x14ac:dyDescent="0.25">
      <c r="A8062" t="str">
        <f t="shared" si="127"/>
        <v/>
      </c>
    </row>
    <row r="8063" spans="1:1" x14ac:dyDescent="0.25">
      <c r="A8063" t="str">
        <f t="shared" si="127"/>
        <v/>
      </c>
    </row>
    <row r="8064" spans="1:1" x14ac:dyDescent="0.25">
      <c r="A8064" t="str">
        <f t="shared" si="127"/>
        <v/>
      </c>
    </row>
    <row r="8065" spans="1:1" x14ac:dyDescent="0.25">
      <c r="A8065" t="str">
        <f t="shared" si="127"/>
        <v/>
      </c>
    </row>
    <row r="8066" spans="1:1" x14ac:dyDescent="0.25">
      <c r="A8066" t="str">
        <f t="shared" si="127"/>
        <v/>
      </c>
    </row>
    <row r="8067" spans="1:1" x14ac:dyDescent="0.25">
      <c r="A8067" t="str">
        <f t="shared" si="127"/>
        <v/>
      </c>
    </row>
    <row r="8068" spans="1:1" x14ac:dyDescent="0.25">
      <c r="A8068" t="str">
        <f t="shared" si="127"/>
        <v/>
      </c>
    </row>
    <row r="8069" spans="1:1" x14ac:dyDescent="0.25">
      <c r="A8069" t="str">
        <f t="shared" si="127"/>
        <v/>
      </c>
    </row>
    <row r="8070" spans="1:1" x14ac:dyDescent="0.25">
      <c r="A8070" t="str">
        <f t="shared" si="127"/>
        <v/>
      </c>
    </row>
    <row r="8071" spans="1:1" x14ac:dyDescent="0.25">
      <c r="A8071" t="str">
        <f t="shared" si="127"/>
        <v/>
      </c>
    </row>
    <row r="8072" spans="1:1" x14ac:dyDescent="0.25">
      <c r="A8072" t="str">
        <f t="shared" si="127"/>
        <v/>
      </c>
    </row>
    <row r="8073" spans="1:1" x14ac:dyDescent="0.25">
      <c r="A8073" t="str">
        <f t="shared" si="127"/>
        <v/>
      </c>
    </row>
    <row r="8074" spans="1:1" x14ac:dyDescent="0.25">
      <c r="A8074" t="str">
        <f t="shared" si="127"/>
        <v/>
      </c>
    </row>
    <row r="8075" spans="1:1" x14ac:dyDescent="0.25">
      <c r="A8075" t="str">
        <f t="shared" si="127"/>
        <v/>
      </c>
    </row>
    <row r="8076" spans="1:1" x14ac:dyDescent="0.25">
      <c r="A8076" t="str">
        <f t="shared" si="127"/>
        <v/>
      </c>
    </row>
    <row r="8077" spans="1:1" x14ac:dyDescent="0.25">
      <c r="A8077" t="str">
        <f t="shared" si="127"/>
        <v/>
      </c>
    </row>
    <row r="8078" spans="1:1" x14ac:dyDescent="0.25">
      <c r="A8078" t="str">
        <f t="shared" si="127"/>
        <v/>
      </c>
    </row>
    <row r="8079" spans="1:1" x14ac:dyDescent="0.25">
      <c r="A8079" t="str">
        <f t="shared" si="127"/>
        <v/>
      </c>
    </row>
    <row r="8080" spans="1:1" x14ac:dyDescent="0.25">
      <c r="A8080" t="str">
        <f t="shared" si="127"/>
        <v/>
      </c>
    </row>
    <row r="8081" spans="1:1" x14ac:dyDescent="0.25">
      <c r="A8081" t="str">
        <f t="shared" si="127"/>
        <v/>
      </c>
    </row>
    <row r="8082" spans="1:1" x14ac:dyDescent="0.25">
      <c r="A8082" t="str">
        <f t="shared" si="127"/>
        <v/>
      </c>
    </row>
    <row r="8083" spans="1:1" x14ac:dyDescent="0.25">
      <c r="A8083" t="str">
        <f t="shared" si="127"/>
        <v/>
      </c>
    </row>
    <row r="8084" spans="1:1" x14ac:dyDescent="0.25">
      <c r="A8084" t="str">
        <f t="shared" si="127"/>
        <v/>
      </c>
    </row>
    <row r="8085" spans="1:1" x14ac:dyDescent="0.25">
      <c r="A8085" t="str">
        <f t="shared" si="127"/>
        <v/>
      </c>
    </row>
    <row r="8086" spans="1:1" x14ac:dyDescent="0.25">
      <c r="A8086" t="str">
        <f t="shared" si="127"/>
        <v/>
      </c>
    </row>
    <row r="8087" spans="1:1" x14ac:dyDescent="0.25">
      <c r="A8087" t="str">
        <f t="shared" si="127"/>
        <v/>
      </c>
    </row>
    <row r="8088" spans="1:1" x14ac:dyDescent="0.25">
      <c r="A8088" t="str">
        <f t="shared" si="127"/>
        <v/>
      </c>
    </row>
    <row r="8089" spans="1:1" x14ac:dyDescent="0.25">
      <c r="A8089" t="str">
        <f t="shared" si="127"/>
        <v/>
      </c>
    </row>
    <row r="8090" spans="1:1" x14ac:dyDescent="0.25">
      <c r="A8090" t="str">
        <f t="shared" si="127"/>
        <v/>
      </c>
    </row>
    <row r="8091" spans="1:1" x14ac:dyDescent="0.25">
      <c r="A8091" t="str">
        <f t="shared" si="127"/>
        <v/>
      </c>
    </row>
    <row r="8092" spans="1:1" x14ac:dyDescent="0.25">
      <c r="A8092" t="str">
        <f t="shared" si="127"/>
        <v/>
      </c>
    </row>
    <row r="8093" spans="1:1" x14ac:dyDescent="0.25">
      <c r="A8093" t="str">
        <f t="shared" si="127"/>
        <v/>
      </c>
    </row>
    <row r="8094" spans="1:1" x14ac:dyDescent="0.25">
      <c r="A8094" t="str">
        <f t="shared" si="127"/>
        <v/>
      </c>
    </row>
    <row r="8095" spans="1:1" x14ac:dyDescent="0.25">
      <c r="A8095" t="str">
        <f t="shared" si="127"/>
        <v/>
      </c>
    </row>
    <row r="8096" spans="1:1" x14ac:dyDescent="0.25">
      <c r="A8096" t="str">
        <f t="shared" si="127"/>
        <v/>
      </c>
    </row>
    <row r="8097" spans="1:1" x14ac:dyDescent="0.25">
      <c r="A8097" t="str">
        <f t="shared" si="127"/>
        <v/>
      </c>
    </row>
    <row r="8098" spans="1:1" x14ac:dyDescent="0.25">
      <c r="A8098" t="str">
        <f t="shared" si="127"/>
        <v/>
      </c>
    </row>
    <row r="8099" spans="1:1" x14ac:dyDescent="0.25">
      <c r="A8099" t="str">
        <f t="shared" si="127"/>
        <v/>
      </c>
    </row>
    <row r="8100" spans="1:1" x14ac:dyDescent="0.25">
      <c r="A8100" t="str">
        <f t="shared" si="127"/>
        <v/>
      </c>
    </row>
    <row r="8101" spans="1:1" x14ac:dyDescent="0.25">
      <c r="A8101" t="str">
        <f t="shared" si="127"/>
        <v/>
      </c>
    </row>
    <row r="8102" spans="1:1" x14ac:dyDescent="0.25">
      <c r="A8102" t="str">
        <f t="shared" si="127"/>
        <v/>
      </c>
    </row>
    <row r="8103" spans="1:1" x14ac:dyDescent="0.25">
      <c r="A8103" t="str">
        <f t="shared" si="127"/>
        <v/>
      </c>
    </row>
    <row r="8104" spans="1:1" x14ac:dyDescent="0.25">
      <c r="A8104" t="str">
        <f t="shared" si="127"/>
        <v/>
      </c>
    </row>
    <row r="8105" spans="1:1" x14ac:dyDescent="0.25">
      <c r="A8105" t="str">
        <f t="shared" si="127"/>
        <v/>
      </c>
    </row>
    <row r="8106" spans="1:1" x14ac:dyDescent="0.25">
      <c r="A8106" t="str">
        <f t="shared" si="127"/>
        <v/>
      </c>
    </row>
    <row r="8107" spans="1:1" x14ac:dyDescent="0.25">
      <c r="A8107" t="str">
        <f t="shared" si="127"/>
        <v/>
      </c>
    </row>
    <row r="8108" spans="1:1" x14ac:dyDescent="0.25">
      <c r="A8108" t="str">
        <f t="shared" si="127"/>
        <v/>
      </c>
    </row>
    <row r="8109" spans="1:1" x14ac:dyDescent="0.25">
      <c r="A8109" t="str">
        <f t="shared" si="127"/>
        <v/>
      </c>
    </row>
    <row r="8110" spans="1:1" x14ac:dyDescent="0.25">
      <c r="A8110" t="str">
        <f t="shared" si="127"/>
        <v/>
      </c>
    </row>
    <row r="8111" spans="1:1" x14ac:dyDescent="0.25">
      <c r="A8111" t="str">
        <f t="shared" si="127"/>
        <v/>
      </c>
    </row>
    <row r="8112" spans="1:1" x14ac:dyDescent="0.25">
      <c r="A8112" t="str">
        <f t="shared" si="127"/>
        <v/>
      </c>
    </row>
    <row r="8113" spans="1:1" x14ac:dyDescent="0.25">
      <c r="A8113" t="str">
        <f t="shared" si="127"/>
        <v/>
      </c>
    </row>
    <row r="8114" spans="1:1" x14ac:dyDescent="0.25">
      <c r="A8114" t="str">
        <f t="shared" si="127"/>
        <v/>
      </c>
    </row>
    <row r="8115" spans="1:1" x14ac:dyDescent="0.25">
      <c r="A8115" t="str">
        <f t="shared" si="127"/>
        <v/>
      </c>
    </row>
    <row r="8116" spans="1:1" x14ac:dyDescent="0.25">
      <c r="A8116" t="str">
        <f t="shared" si="127"/>
        <v/>
      </c>
    </row>
    <row r="8117" spans="1:1" x14ac:dyDescent="0.25">
      <c r="A8117" t="str">
        <f t="shared" ref="A8117:A8180" si="128">B8115&amp;D8115</f>
        <v/>
      </c>
    </row>
    <row r="8118" spans="1:1" x14ac:dyDescent="0.25">
      <c r="A8118" t="str">
        <f t="shared" si="128"/>
        <v/>
      </c>
    </row>
    <row r="8119" spans="1:1" x14ac:dyDescent="0.25">
      <c r="A8119" t="str">
        <f t="shared" si="128"/>
        <v/>
      </c>
    </row>
    <row r="8120" spans="1:1" x14ac:dyDescent="0.25">
      <c r="A8120" t="str">
        <f t="shared" si="128"/>
        <v/>
      </c>
    </row>
    <row r="8121" spans="1:1" x14ac:dyDescent="0.25">
      <c r="A8121" t="str">
        <f t="shared" si="128"/>
        <v/>
      </c>
    </row>
    <row r="8122" spans="1:1" x14ac:dyDescent="0.25">
      <c r="A8122" t="str">
        <f t="shared" si="128"/>
        <v/>
      </c>
    </row>
    <row r="8123" spans="1:1" x14ac:dyDescent="0.25">
      <c r="A8123" t="str">
        <f t="shared" si="128"/>
        <v/>
      </c>
    </row>
    <row r="8124" spans="1:1" x14ac:dyDescent="0.25">
      <c r="A8124" t="str">
        <f t="shared" si="128"/>
        <v/>
      </c>
    </row>
    <row r="8125" spans="1:1" x14ac:dyDescent="0.25">
      <c r="A8125" t="str">
        <f t="shared" si="128"/>
        <v/>
      </c>
    </row>
    <row r="8126" spans="1:1" x14ac:dyDescent="0.25">
      <c r="A8126" t="str">
        <f t="shared" si="128"/>
        <v/>
      </c>
    </row>
    <row r="8127" spans="1:1" x14ac:dyDescent="0.25">
      <c r="A8127" t="str">
        <f t="shared" si="128"/>
        <v/>
      </c>
    </row>
    <row r="8128" spans="1:1" x14ac:dyDescent="0.25">
      <c r="A8128" t="str">
        <f t="shared" si="128"/>
        <v/>
      </c>
    </row>
    <row r="8129" spans="1:1" x14ac:dyDescent="0.25">
      <c r="A8129" t="str">
        <f t="shared" si="128"/>
        <v/>
      </c>
    </row>
    <row r="8130" spans="1:1" x14ac:dyDescent="0.25">
      <c r="A8130" t="str">
        <f t="shared" si="128"/>
        <v/>
      </c>
    </row>
    <row r="8131" spans="1:1" x14ac:dyDescent="0.25">
      <c r="A8131" t="str">
        <f t="shared" si="128"/>
        <v/>
      </c>
    </row>
    <row r="8132" spans="1:1" x14ac:dyDescent="0.25">
      <c r="A8132" t="str">
        <f t="shared" si="128"/>
        <v/>
      </c>
    </row>
    <row r="8133" spans="1:1" x14ac:dyDescent="0.25">
      <c r="A8133" t="str">
        <f t="shared" si="128"/>
        <v/>
      </c>
    </row>
    <row r="8134" spans="1:1" x14ac:dyDescent="0.25">
      <c r="A8134" t="str">
        <f t="shared" si="128"/>
        <v/>
      </c>
    </row>
    <row r="8135" spans="1:1" x14ac:dyDescent="0.25">
      <c r="A8135" t="str">
        <f t="shared" si="128"/>
        <v/>
      </c>
    </row>
    <row r="8136" spans="1:1" x14ac:dyDescent="0.25">
      <c r="A8136" t="str">
        <f t="shared" si="128"/>
        <v/>
      </c>
    </row>
    <row r="8137" spans="1:1" x14ac:dyDescent="0.25">
      <c r="A8137" t="str">
        <f t="shared" si="128"/>
        <v/>
      </c>
    </row>
    <row r="8138" spans="1:1" x14ac:dyDescent="0.25">
      <c r="A8138" t="str">
        <f t="shared" si="128"/>
        <v/>
      </c>
    </row>
    <row r="8139" spans="1:1" x14ac:dyDescent="0.25">
      <c r="A8139" t="str">
        <f t="shared" si="128"/>
        <v/>
      </c>
    </row>
    <row r="8140" spans="1:1" x14ac:dyDescent="0.25">
      <c r="A8140" t="str">
        <f t="shared" si="128"/>
        <v/>
      </c>
    </row>
    <row r="8141" spans="1:1" x14ac:dyDescent="0.25">
      <c r="A8141" t="str">
        <f t="shared" si="128"/>
        <v/>
      </c>
    </row>
    <row r="8142" spans="1:1" x14ac:dyDescent="0.25">
      <c r="A8142" t="str">
        <f t="shared" si="128"/>
        <v/>
      </c>
    </row>
    <row r="8143" spans="1:1" x14ac:dyDescent="0.25">
      <c r="A8143" t="str">
        <f t="shared" si="128"/>
        <v/>
      </c>
    </row>
    <row r="8144" spans="1:1" x14ac:dyDescent="0.25">
      <c r="A8144" t="str">
        <f t="shared" si="128"/>
        <v/>
      </c>
    </row>
    <row r="8145" spans="1:1" x14ac:dyDescent="0.25">
      <c r="A8145" t="str">
        <f t="shared" si="128"/>
        <v/>
      </c>
    </row>
    <row r="8146" spans="1:1" x14ac:dyDescent="0.25">
      <c r="A8146" t="str">
        <f t="shared" si="128"/>
        <v/>
      </c>
    </row>
    <row r="8147" spans="1:1" x14ac:dyDescent="0.25">
      <c r="A8147" t="str">
        <f t="shared" si="128"/>
        <v/>
      </c>
    </row>
    <row r="8148" spans="1:1" x14ac:dyDescent="0.25">
      <c r="A8148" t="str">
        <f t="shared" si="128"/>
        <v/>
      </c>
    </row>
    <row r="8149" spans="1:1" x14ac:dyDescent="0.25">
      <c r="A8149" t="str">
        <f t="shared" si="128"/>
        <v/>
      </c>
    </row>
    <row r="8150" spans="1:1" x14ac:dyDescent="0.25">
      <c r="A8150" t="str">
        <f t="shared" si="128"/>
        <v/>
      </c>
    </row>
    <row r="8151" spans="1:1" x14ac:dyDescent="0.25">
      <c r="A8151" t="str">
        <f t="shared" si="128"/>
        <v/>
      </c>
    </row>
    <row r="8152" spans="1:1" x14ac:dyDescent="0.25">
      <c r="A8152" t="str">
        <f t="shared" si="128"/>
        <v/>
      </c>
    </row>
    <row r="8153" spans="1:1" x14ac:dyDescent="0.25">
      <c r="A8153" t="str">
        <f t="shared" si="128"/>
        <v/>
      </c>
    </row>
    <row r="8154" spans="1:1" x14ac:dyDescent="0.25">
      <c r="A8154" t="str">
        <f t="shared" si="128"/>
        <v/>
      </c>
    </row>
    <row r="8155" spans="1:1" x14ac:dyDescent="0.25">
      <c r="A8155" t="str">
        <f t="shared" si="128"/>
        <v/>
      </c>
    </row>
    <row r="8156" spans="1:1" x14ac:dyDescent="0.25">
      <c r="A8156" t="str">
        <f t="shared" si="128"/>
        <v/>
      </c>
    </row>
    <row r="8157" spans="1:1" x14ac:dyDescent="0.25">
      <c r="A8157" t="str">
        <f t="shared" si="128"/>
        <v/>
      </c>
    </row>
    <row r="8158" spans="1:1" x14ac:dyDescent="0.25">
      <c r="A8158" t="str">
        <f t="shared" si="128"/>
        <v/>
      </c>
    </row>
    <row r="8159" spans="1:1" x14ac:dyDescent="0.25">
      <c r="A8159" t="str">
        <f t="shared" si="128"/>
        <v/>
      </c>
    </row>
    <row r="8160" spans="1:1" x14ac:dyDescent="0.25">
      <c r="A8160" t="str">
        <f t="shared" si="128"/>
        <v/>
      </c>
    </row>
    <row r="8161" spans="1:1" x14ac:dyDescent="0.25">
      <c r="A8161" t="str">
        <f t="shared" si="128"/>
        <v/>
      </c>
    </row>
    <row r="8162" spans="1:1" x14ac:dyDescent="0.25">
      <c r="A8162" t="str">
        <f t="shared" si="128"/>
        <v/>
      </c>
    </row>
    <row r="8163" spans="1:1" x14ac:dyDescent="0.25">
      <c r="A8163" t="str">
        <f t="shared" si="128"/>
        <v/>
      </c>
    </row>
    <row r="8164" spans="1:1" x14ac:dyDescent="0.25">
      <c r="A8164" t="str">
        <f t="shared" si="128"/>
        <v/>
      </c>
    </row>
    <row r="8165" spans="1:1" x14ac:dyDescent="0.25">
      <c r="A8165" t="str">
        <f t="shared" si="128"/>
        <v/>
      </c>
    </row>
    <row r="8166" spans="1:1" x14ac:dyDescent="0.25">
      <c r="A8166" t="str">
        <f t="shared" si="128"/>
        <v/>
      </c>
    </row>
    <row r="8167" spans="1:1" x14ac:dyDescent="0.25">
      <c r="A8167" t="str">
        <f t="shared" si="128"/>
        <v/>
      </c>
    </row>
    <row r="8168" spans="1:1" x14ac:dyDescent="0.25">
      <c r="A8168" t="str">
        <f t="shared" si="128"/>
        <v/>
      </c>
    </row>
    <row r="8169" spans="1:1" x14ac:dyDescent="0.25">
      <c r="A8169" t="str">
        <f t="shared" si="128"/>
        <v/>
      </c>
    </row>
    <row r="8170" spans="1:1" x14ac:dyDescent="0.25">
      <c r="A8170" t="str">
        <f t="shared" si="128"/>
        <v/>
      </c>
    </row>
    <row r="8171" spans="1:1" x14ac:dyDescent="0.25">
      <c r="A8171" t="str">
        <f t="shared" si="128"/>
        <v/>
      </c>
    </row>
    <row r="8172" spans="1:1" x14ac:dyDescent="0.25">
      <c r="A8172" t="str">
        <f t="shared" si="128"/>
        <v/>
      </c>
    </row>
    <row r="8173" spans="1:1" x14ac:dyDescent="0.25">
      <c r="A8173" t="str">
        <f t="shared" si="128"/>
        <v/>
      </c>
    </row>
    <row r="8174" spans="1:1" x14ac:dyDescent="0.25">
      <c r="A8174" t="str">
        <f t="shared" si="128"/>
        <v/>
      </c>
    </row>
    <row r="8175" spans="1:1" x14ac:dyDescent="0.25">
      <c r="A8175" t="str">
        <f t="shared" si="128"/>
        <v/>
      </c>
    </row>
    <row r="8176" spans="1:1" x14ac:dyDescent="0.25">
      <c r="A8176" t="str">
        <f t="shared" si="128"/>
        <v/>
      </c>
    </row>
    <row r="8177" spans="1:1" x14ac:dyDescent="0.25">
      <c r="A8177" t="str">
        <f t="shared" si="128"/>
        <v/>
      </c>
    </row>
    <row r="8178" spans="1:1" x14ac:dyDescent="0.25">
      <c r="A8178" t="str">
        <f t="shared" si="128"/>
        <v/>
      </c>
    </row>
    <row r="8179" spans="1:1" x14ac:dyDescent="0.25">
      <c r="A8179" t="str">
        <f t="shared" si="128"/>
        <v/>
      </c>
    </row>
    <row r="8180" spans="1:1" x14ac:dyDescent="0.25">
      <c r="A8180" t="str">
        <f t="shared" si="128"/>
        <v/>
      </c>
    </row>
    <row r="8181" spans="1:1" x14ac:dyDescent="0.25">
      <c r="A8181" t="str">
        <f t="shared" ref="A8181:A8244" si="129">B8179&amp;D8179</f>
        <v/>
      </c>
    </row>
    <row r="8182" spans="1:1" x14ac:dyDescent="0.25">
      <c r="A8182" t="str">
        <f t="shared" si="129"/>
        <v/>
      </c>
    </row>
    <row r="8183" spans="1:1" x14ac:dyDescent="0.25">
      <c r="A8183" t="str">
        <f t="shared" si="129"/>
        <v/>
      </c>
    </row>
    <row r="8184" spans="1:1" x14ac:dyDescent="0.25">
      <c r="A8184" t="str">
        <f t="shared" si="129"/>
        <v/>
      </c>
    </row>
    <row r="8185" spans="1:1" x14ac:dyDescent="0.25">
      <c r="A8185" t="str">
        <f t="shared" si="129"/>
        <v/>
      </c>
    </row>
    <row r="8186" spans="1:1" x14ac:dyDescent="0.25">
      <c r="A8186" t="str">
        <f t="shared" si="129"/>
        <v/>
      </c>
    </row>
    <row r="8187" spans="1:1" x14ac:dyDescent="0.25">
      <c r="A8187" t="str">
        <f t="shared" si="129"/>
        <v/>
      </c>
    </row>
    <row r="8188" spans="1:1" x14ac:dyDescent="0.25">
      <c r="A8188" t="str">
        <f t="shared" si="129"/>
        <v/>
      </c>
    </row>
    <row r="8189" spans="1:1" x14ac:dyDescent="0.25">
      <c r="A8189" t="str">
        <f t="shared" si="129"/>
        <v/>
      </c>
    </row>
    <row r="8190" spans="1:1" x14ac:dyDescent="0.25">
      <c r="A8190" t="str">
        <f t="shared" si="129"/>
        <v/>
      </c>
    </row>
    <row r="8191" spans="1:1" x14ac:dyDescent="0.25">
      <c r="A8191" t="str">
        <f t="shared" si="129"/>
        <v/>
      </c>
    </row>
    <row r="8192" spans="1:1" x14ac:dyDescent="0.25">
      <c r="A8192" t="str">
        <f t="shared" si="129"/>
        <v/>
      </c>
    </row>
    <row r="8193" spans="1:1" x14ac:dyDescent="0.25">
      <c r="A8193" t="str">
        <f t="shared" si="129"/>
        <v/>
      </c>
    </row>
    <row r="8194" spans="1:1" x14ac:dyDescent="0.25">
      <c r="A8194" t="str">
        <f t="shared" si="129"/>
        <v/>
      </c>
    </row>
    <row r="8195" spans="1:1" x14ac:dyDescent="0.25">
      <c r="A8195" t="str">
        <f t="shared" si="129"/>
        <v/>
      </c>
    </row>
    <row r="8196" spans="1:1" x14ac:dyDescent="0.25">
      <c r="A8196" t="str">
        <f t="shared" si="129"/>
        <v/>
      </c>
    </row>
    <row r="8197" spans="1:1" x14ac:dyDescent="0.25">
      <c r="A8197" t="str">
        <f t="shared" si="129"/>
        <v/>
      </c>
    </row>
    <row r="8198" spans="1:1" x14ac:dyDescent="0.25">
      <c r="A8198" t="str">
        <f t="shared" si="129"/>
        <v/>
      </c>
    </row>
    <row r="8199" spans="1:1" x14ac:dyDescent="0.25">
      <c r="A8199" t="str">
        <f t="shared" si="129"/>
        <v/>
      </c>
    </row>
    <row r="8200" spans="1:1" x14ac:dyDescent="0.25">
      <c r="A8200" t="str">
        <f t="shared" si="129"/>
        <v/>
      </c>
    </row>
    <row r="8201" spans="1:1" x14ac:dyDescent="0.25">
      <c r="A8201" t="str">
        <f t="shared" si="129"/>
        <v/>
      </c>
    </row>
    <row r="8202" spans="1:1" x14ac:dyDescent="0.25">
      <c r="A8202" t="str">
        <f t="shared" si="129"/>
        <v/>
      </c>
    </row>
    <row r="8203" spans="1:1" x14ac:dyDescent="0.25">
      <c r="A8203" t="str">
        <f t="shared" si="129"/>
        <v/>
      </c>
    </row>
    <row r="8204" spans="1:1" x14ac:dyDescent="0.25">
      <c r="A8204" t="str">
        <f t="shared" si="129"/>
        <v/>
      </c>
    </row>
    <row r="8205" spans="1:1" x14ac:dyDescent="0.25">
      <c r="A8205" t="str">
        <f t="shared" si="129"/>
        <v/>
      </c>
    </row>
    <row r="8206" spans="1:1" x14ac:dyDescent="0.25">
      <c r="A8206" t="str">
        <f t="shared" si="129"/>
        <v/>
      </c>
    </row>
    <row r="8207" spans="1:1" x14ac:dyDescent="0.25">
      <c r="A8207" t="str">
        <f t="shared" si="129"/>
        <v/>
      </c>
    </row>
    <row r="8208" spans="1:1" x14ac:dyDescent="0.25">
      <c r="A8208" t="str">
        <f t="shared" si="129"/>
        <v/>
      </c>
    </row>
    <row r="8209" spans="1:1" x14ac:dyDescent="0.25">
      <c r="A8209" t="str">
        <f t="shared" si="129"/>
        <v/>
      </c>
    </row>
    <row r="8210" spans="1:1" x14ac:dyDescent="0.25">
      <c r="A8210" t="str">
        <f t="shared" si="129"/>
        <v/>
      </c>
    </row>
    <row r="8211" spans="1:1" x14ac:dyDescent="0.25">
      <c r="A8211" t="str">
        <f t="shared" si="129"/>
        <v/>
      </c>
    </row>
    <row r="8212" spans="1:1" x14ac:dyDescent="0.25">
      <c r="A8212" t="str">
        <f t="shared" si="129"/>
        <v/>
      </c>
    </row>
    <row r="8213" spans="1:1" x14ac:dyDescent="0.25">
      <c r="A8213" t="str">
        <f t="shared" si="129"/>
        <v/>
      </c>
    </row>
    <row r="8214" spans="1:1" x14ac:dyDescent="0.25">
      <c r="A8214" t="str">
        <f t="shared" si="129"/>
        <v/>
      </c>
    </row>
    <row r="8215" spans="1:1" x14ac:dyDescent="0.25">
      <c r="A8215" t="str">
        <f t="shared" si="129"/>
        <v/>
      </c>
    </row>
    <row r="8216" spans="1:1" x14ac:dyDescent="0.25">
      <c r="A8216" t="str">
        <f t="shared" si="129"/>
        <v/>
      </c>
    </row>
    <row r="8217" spans="1:1" x14ac:dyDescent="0.25">
      <c r="A8217" t="str">
        <f t="shared" si="129"/>
        <v/>
      </c>
    </row>
    <row r="8218" spans="1:1" x14ac:dyDescent="0.25">
      <c r="A8218" t="str">
        <f t="shared" si="129"/>
        <v/>
      </c>
    </row>
    <row r="8219" spans="1:1" x14ac:dyDescent="0.25">
      <c r="A8219" t="str">
        <f t="shared" si="129"/>
        <v/>
      </c>
    </row>
    <row r="8220" spans="1:1" x14ac:dyDescent="0.25">
      <c r="A8220" t="str">
        <f t="shared" si="129"/>
        <v/>
      </c>
    </row>
    <row r="8221" spans="1:1" x14ac:dyDescent="0.25">
      <c r="A8221" t="str">
        <f t="shared" si="129"/>
        <v/>
      </c>
    </row>
    <row r="8222" spans="1:1" x14ac:dyDescent="0.25">
      <c r="A8222" t="str">
        <f t="shared" si="129"/>
        <v/>
      </c>
    </row>
    <row r="8223" spans="1:1" x14ac:dyDescent="0.25">
      <c r="A8223" t="str">
        <f t="shared" si="129"/>
        <v/>
      </c>
    </row>
    <row r="8224" spans="1:1" x14ac:dyDescent="0.25">
      <c r="A8224" t="str">
        <f t="shared" si="129"/>
        <v/>
      </c>
    </row>
    <row r="8225" spans="1:1" x14ac:dyDescent="0.25">
      <c r="A8225" t="str">
        <f t="shared" si="129"/>
        <v/>
      </c>
    </row>
    <row r="8226" spans="1:1" x14ac:dyDescent="0.25">
      <c r="A8226" t="str">
        <f t="shared" si="129"/>
        <v/>
      </c>
    </row>
    <row r="8227" spans="1:1" x14ac:dyDescent="0.25">
      <c r="A8227" t="str">
        <f t="shared" si="129"/>
        <v/>
      </c>
    </row>
    <row r="8228" spans="1:1" x14ac:dyDescent="0.25">
      <c r="A8228" t="str">
        <f t="shared" si="129"/>
        <v/>
      </c>
    </row>
    <row r="8229" spans="1:1" x14ac:dyDescent="0.25">
      <c r="A8229" t="str">
        <f t="shared" si="129"/>
        <v/>
      </c>
    </row>
    <row r="8230" spans="1:1" x14ac:dyDescent="0.25">
      <c r="A8230" t="str">
        <f t="shared" si="129"/>
        <v/>
      </c>
    </row>
    <row r="8231" spans="1:1" x14ac:dyDescent="0.25">
      <c r="A8231" t="str">
        <f t="shared" si="129"/>
        <v/>
      </c>
    </row>
    <row r="8232" spans="1:1" x14ac:dyDescent="0.25">
      <c r="A8232" t="str">
        <f t="shared" si="129"/>
        <v/>
      </c>
    </row>
    <row r="8233" spans="1:1" x14ac:dyDescent="0.25">
      <c r="A8233" t="str">
        <f t="shared" si="129"/>
        <v/>
      </c>
    </row>
    <row r="8234" spans="1:1" x14ac:dyDescent="0.25">
      <c r="A8234" t="str">
        <f t="shared" si="129"/>
        <v/>
      </c>
    </row>
    <row r="8235" spans="1:1" x14ac:dyDescent="0.25">
      <c r="A8235" t="str">
        <f t="shared" si="129"/>
        <v/>
      </c>
    </row>
    <row r="8236" spans="1:1" x14ac:dyDescent="0.25">
      <c r="A8236" t="str">
        <f t="shared" si="129"/>
        <v/>
      </c>
    </row>
    <row r="8237" spans="1:1" x14ac:dyDescent="0.25">
      <c r="A8237" t="str">
        <f t="shared" si="129"/>
        <v/>
      </c>
    </row>
    <row r="8238" spans="1:1" x14ac:dyDescent="0.25">
      <c r="A8238" t="str">
        <f t="shared" si="129"/>
        <v/>
      </c>
    </row>
    <row r="8239" spans="1:1" x14ac:dyDescent="0.25">
      <c r="A8239" t="str">
        <f t="shared" si="129"/>
        <v/>
      </c>
    </row>
    <row r="8240" spans="1:1" x14ac:dyDescent="0.25">
      <c r="A8240" t="str">
        <f t="shared" si="129"/>
        <v/>
      </c>
    </row>
    <row r="8241" spans="1:1" x14ac:dyDescent="0.25">
      <c r="A8241" t="str">
        <f t="shared" si="129"/>
        <v/>
      </c>
    </row>
    <row r="8242" spans="1:1" x14ac:dyDescent="0.25">
      <c r="A8242" t="str">
        <f t="shared" si="129"/>
        <v/>
      </c>
    </row>
    <row r="8243" spans="1:1" x14ac:dyDescent="0.25">
      <c r="A8243" t="str">
        <f t="shared" si="129"/>
        <v/>
      </c>
    </row>
    <row r="8244" spans="1:1" x14ac:dyDescent="0.25">
      <c r="A8244" t="str">
        <f t="shared" si="129"/>
        <v/>
      </c>
    </row>
    <row r="8245" spans="1:1" x14ac:dyDescent="0.25">
      <c r="A8245" t="str">
        <f t="shared" ref="A8245:A8308" si="130">B8243&amp;D8243</f>
        <v/>
      </c>
    </row>
    <row r="8246" spans="1:1" x14ac:dyDescent="0.25">
      <c r="A8246" t="str">
        <f t="shared" si="130"/>
        <v/>
      </c>
    </row>
    <row r="8247" spans="1:1" x14ac:dyDescent="0.25">
      <c r="A8247" t="str">
        <f t="shared" si="130"/>
        <v/>
      </c>
    </row>
    <row r="8248" spans="1:1" x14ac:dyDescent="0.25">
      <c r="A8248" t="str">
        <f t="shared" si="130"/>
        <v/>
      </c>
    </row>
    <row r="8249" spans="1:1" x14ac:dyDescent="0.25">
      <c r="A8249" t="str">
        <f t="shared" si="130"/>
        <v/>
      </c>
    </row>
    <row r="8250" spans="1:1" x14ac:dyDescent="0.25">
      <c r="A8250" t="str">
        <f t="shared" si="130"/>
        <v/>
      </c>
    </row>
    <row r="8251" spans="1:1" x14ac:dyDescent="0.25">
      <c r="A8251" t="str">
        <f t="shared" si="130"/>
        <v/>
      </c>
    </row>
    <row r="8252" spans="1:1" x14ac:dyDescent="0.25">
      <c r="A8252" t="str">
        <f t="shared" si="130"/>
        <v/>
      </c>
    </row>
    <row r="8253" spans="1:1" x14ac:dyDescent="0.25">
      <c r="A8253" t="str">
        <f t="shared" si="130"/>
        <v/>
      </c>
    </row>
    <row r="8254" spans="1:1" x14ac:dyDescent="0.25">
      <c r="A8254" t="str">
        <f t="shared" si="130"/>
        <v/>
      </c>
    </row>
    <row r="8255" spans="1:1" x14ac:dyDescent="0.25">
      <c r="A8255" t="str">
        <f t="shared" si="130"/>
        <v/>
      </c>
    </row>
    <row r="8256" spans="1:1" x14ac:dyDescent="0.25">
      <c r="A8256" t="str">
        <f t="shared" si="130"/>
        <v/>
      </c>
    </row>
    <row r="8257" spans="1:1" x14ac:dyDescent="0.25">
      <c r="A8257" t="str">
        <f t="shared" si="130"/>
        <v/>
      </c>
    </row>
    <row r="8258" spans="1:1" x14ac:dyDescent="0.25">
      <c r="A8258" t="str">
        <f t="shared" si="130"/>
        <v/>
      </c>
    </row>
    <row r="8259" spans="1:1" x14ac:dyDescent="0.25">
      <c r="A8259" t="str">
        <f t="shared" si="130"/>
        <v/>
      </c>
    </row>
    <row r="8260" spans="1:1" x14ac:dyDescent="0.25">
      <c r="A8260" t="str">
        <f t="shared" si="130"/>
        <v/>
      </c>
    </row>
    <row r="8261" spans="1:1" x14ac:dyDescent="0.25">
      <c r="A8261" t="str">
        <f t="shared" si="130"/>
        <v/>
      </c>
    </row>
    <row r="8262" spans="1:1" x14ac:dyDescent="0.25">
      <c r="A8262" t="str">
        <f t="shared" si="130"/>
        <v/>
      </c>
    </row>
    <row r="8263" spans="1:1" x14ac:dyDescent="0.25">
      <c r="A8263" t="str">
        <f t="shared" si="130"/>
        <v/>
      </c>
    </row>
    <row r="8264" spans="1:1" x14ac:dyDescent="0.25">
      <c r="A8264" t="str">
        <f t="shared" si="130"/>
        <v/>
      </c>
    </row>
    <row r="8265" spans="1:1" x14ac:dyDescent="0.25">
      <c r="A8265" t="str">
        <f t="shared" si="130"/>
        <v/>
      </c>
    </row>
    <row r="8266" spans="1:1" x14ac:dyDescent="0.25">
      <c r="A8266" t="str">
        <f t="shared" si="130"/>
        <v/>
      </c>
    </row>
    <row r="8267" spans="1:1" x14ac:dyDescent="0.25">
      <c r="A8267" t="str">
        <f t="shared" si="130"/>
        <v/>
      </c>
    </row>
    <row r="8268" spans="1:1" x14ac:dyDescent="0.25">
      <c r="A8268" t="str">
        <f t="shared" si="130"/>
        <v/>
      </c>
    </row>
    <row r="8269" spans="1:1" x14ac:dyDescent="0.25">
      <c r="A8269" t="str">
        <f t="shared" si="130"/>
        <v/>
      </c>
    </row>
    <row r="8270" spans="1:1" x14ac:dyDescent="0.25">
      <c r="A8270" t="str">
        <f t="shared" si="130"/>
        <v/>
      </c>
    </row>
    <row r="8271" spans="1:1" x14ac:dyDescent="0.25">
      <c r="A8271" t="str">
        <f t="shared" si="130"/>
        <v/>
      </c>
    </row>
    <row r="8272" spans="1:1" x14ac:dyDescent="0.25">
      <c r="A8272" t="str">
        <f t="shared" si="130"/>
        <v/>
      </c>
    </row>
    <row r="8273" spans="1:1" x14ac:dyDescent="0.25">
      <c r="A8273" t="str">
        <f t="shared" si="130"/>
        <v/>
      </c>
    </row>
    <row r="8274" spans="1:1" x14ac:dyDescent="0.25">
      <c r="A8274" t="str">
        <f t="shared" si="130"/>
        <v/>
      </c>
    </row>
    <row r="8275" spans="1:1" x14ac:dyDescent="0.25">
      <c r="A8275" t="str">
        <f t="shared" si="130"/>
        <v/>
      </c>
    </row>
    <row r="8276" spans="1:1" x14ac:dyDescent="0.25">
      <c r="A8276" t="str">
        <f t="shared" si="130"/>
        <v/>
      </c>
    </row>
    <row r="8277" spans="1:1" x14ac:dyDescent="0.25">
      <c r="A8277" t="str">
        <f t="shared" si="130"/>
        <v/>
      </c>
    </row>
    <row r="8278" spans="1:1" x14ac:dyDescent="0.25">
      <c r="A8278" t="str">
        <f t="shared" si="130"/>
        <v/>
      </c>
    </row>
    <row r="8279" spans="1:1" x14ac:dyDescent="0.25">
      <c r="A8279" t="str">
        <f t="shared" si="130"/>
        <v/>
      </c>
    </row>
    <row r="8280" spans="1:1" x14ac:dyDescent="0.25">
      <c r="A8280" t="str">
        <f t="shared" si="130"/>
        <v/>
      </c>
    </row>
    <row r="8281" spans="1:1" x14ac:dyDescent="0.25">
      <c r="A8281" t="str">
        <f t="shared" si="130"/>
        <v/>
      </c>
    </row>
    <row r="8282" spans="1:1" x14ac:dyDescent="0.25">
      <c r="A8282" t="str">
        <f t="shared" si="130"/>
        <v/>
      </c>
    </row>
    <row r="8283" spans="1:1" x14ac:dyDescent="0.25">
      <c r="A8283" t="str">
        <f t="shared" si="130"/>
        <v/>
      </c>
    </row>
    <row r="8284" spans="1:1" x14ac:dyDescent="0.25">
      <c r="A8284" t="str">
        <f t="shared" si="130"/>
        <v/>
      </c>
    </row>
    <row r="8285" spans="1:1" x14ac:dyDescent="0.25">
      <c r="A8285" t="str">
        <f t="shared" si="130"/>
        <v/>
      </c>
    </row>
    <row r="8286" spans="1:1" x14ac:dyDescent="0.25">
      <c r="A8286" t="str">
        <f t="shared" si="130"/>
        <v/>
      </c>
    </row>
    <row r="8287" spans="1:1" x14ac:dyDescent="0.25">
      <c r="A8287" t="str">
        <f t="shared" si="130"/>
        <v/>
      </c>
    </row>
    <row r="8288" spans="1:1" x14ac:dyDescent="0.25">
      <c r="A8288" t="str">
        <f t="shared" si="130"/>
        <v/>
      </c>
    </row>
    <row r="8289" spans="1:1" x14ac:dyDescent="0.25">
      <c r="A8289" t="str">
        <f t="shared" si="130"/>
        <v/>
      </c>
    </row>
    <row r="8290" spans="1:1" x14ac:dyDescent="0.25">
      <c r="A8290" t="str">
        <f t="shared" si="130"/>
        <v/>
      </c>
    </row>
    <row r="8291" spans="1:1" x14ac:dyDescent="0.25">
      <c r="A8291" t="str">
        <f t="shared" si="130"/>
        <v/>
      </c>
    </row>
    <row r="8292" spans="1:1" x14ac:dyDescent="0.25">
      <c r="A8292" t="str">
        <f t="shared" si="130"/>
        <v/>
      </c>
    </row>
    <row r="8293" spans="1:1" x14ac:dyDescent="0.25">
      <c r="A8293" t="str">
        <f t="shared" si="130"/>
        <v/>
      </c>
    </row>
    <row r="8294" spans="1:1" x14ac:dyDescent="0.25">
      <c r="A8294" t="str">
        <f t="shared" si="130"/>
        <v/>
      </c>
    </row>
    <row r="8295" spans="1:1" x14ac:dyDescent="0.25">
      <c r="A8295" t="str">
        <f t="shared" si="130"/>
        <v/>
      </c>
    </row>
    <row r="8296" spans="1:1" x14ac:dyDescent="0.25">
      <c r="A8296" t="str">
        <f t="shared" si="130"/>
        <v/>
      </c>
    </row>
    <row r="8297" spans="1:1" x14ac:dyDescent="0.25">
      <c r="A8297" t="str">
        <f t="shared" si="130"/>
        <v/>
      </c>
    </row>
    <row r="8298" spans="1:1" x14ac:dyDescent="0.25">
      <c r="A8298" t="str">
        <f t="shared" si="130"/>
        <v/>
      </c>
    </row>
    <row r="8299" spans="1:1" x14ac:dyDescent="0.25">
      <c r="A8299" t="str">
        <f t="shared" si="130"/>
        <v/>
      </c>
    </row>
    <row r="8300" spans="1:1" x14ac:dyDescent="0.25">
      <c r="A8300" t="str">
        <f t="shared" si="130"/>
        <v/>
      </c>
    </row>
    <row r="8301" spans="1:1" x14ac:dyDescent="0.25">
      <c r="A8301" t="str">
        <f t="shared" si="130"/>
        <v/>
      </c>
    </row>
    <row r="8302" spans="1:1" x14ac:dyDescent="0.25">
      <c r="A8302" t="str">
        <f t="shared" si="130"/>
        <v/>
      </c>
    </row>
    <row r="8303" spans="1:1" x14ac:dyDescent="0.25">
      <c r="A8303" t="str">
        <f t="shared" si="130"/>
        <v/>
      </c>
    </row>
    <row r="8304" spans="1:1" x14ac:dyDescent="0.25">
      <c r="A8304" t="str">
        <f t="shared" si="130"/>
        <v/>
      </c>
    </row>
    <row r="8305" spans="1:1" x14ac:dyDescent="0.25">
      <c r="A8305" t="str">
        <f t="shared" si="130"/>
        <v/>
      </c>
    </row>
    <row r="8306" spans="1:1" x14ac:dyDescent="0.25">
      <c r="A8306" t="str">
        <f t="shared" si="130"/>
        <v/>
      </c>
    </row>
    <row r="8307" spans="1:1" x14ac:dyDescent="0.25">
      <c r="A8307" t="str">
        <f t="shared" si="130"/>
        <v/>
      </c>
    </row>
    <row r="8308" spans="1:1" x14ac:dyDescent="0.25">
      <c r="A8308" t="str">
        <f t="shared" si="130"/>
        <v/>
      </c>
    </row>
    <row r="8309" spans="1:1" x14ac:dyDescent="0.25">
      <c r="A8309" t="str">
        <f t="shared" ref="A8309:A8372" si="131">B8307&amp;D8307</f>
        <v/>
      </c>
    </row>
    <row r="8310" spans="1:1" x14ac:dyDescent="0.25">
      <c r="A8310" t="str">
        <f t="shared" si="131"/>
        <v/>
      </c>
    </row>
    <row r="8311" spans="1:1" x14ac:dyDescent="0.25">
      <c r="A8311" t="str">
        <f t="shared" si="131"/>
        <v/>
      </c>
    </row>
    <row r="8312" spans="1:1" x14ac:dyDescent="0.25">
      <c r="A8312" t="str">
        <f t="shared" si="131"/>
        <v/>
      </c>
    </row>
    <row r="8313" spans="1:1" x14ac:dyDescent="0.25">
      <c r="A8313" t="str">
        <f t="shared" si="131"/>
        <v/>
      </c>
    </row>
    <row r="8314" spans="1:1" x14ac:dyDescent="0.25">
      <c r="A8314" t="str">
        <f t="shared" si="131"/>
        <v/>
      </c>
    </row>
    <row r="8315" spans="1:1" x14ac:dyDescent="0.25">
      <c r="A8315" t="str">
        <f t="shared" si="131"/>
        <v/>
      </c>
    </row>
    <row r="8316" spans="1:1" x14ac:dyDescent="0.25">
      <c r="A8316" t="str">
        <f t="shared" si="131"/>
        <v/>
      </c>
    </row>
    <row r="8317" spans="1:1" x14ac:dyDescent="0.25">
      <c r="A8317" t="str">
        <f t="shared" si="131"/>
        <v/>
      </c>
    </row>
    <row r="8318" spans="1:1" x14ac:dyDescent="0.25">
      <c r="A8318" t="str">
        <f t="shared" si="131"/>
        <v/>
      </c>
    </row>
    <row r="8319" spans="1:1" x14ac:dyDescent="0.25">
      <c r="A8319" t="str">
        <f t="shared" si="131"/>
        <v/>
      </c>
    </row>
    <row r="8320" spans="1:1" x14ac:dyDescent="0.25">
      <c r="A8320" t="str">
        <f t="shared" si="131"/>
        <v/>
      </c>
    </row>
    <row r="8321" spans="1:1" x14ac:dyDescent="0.25">
      <c r="A8321" t="str">
        <f t="shared" si="131"/>
        <v/>
      </c>
    </row>
    <row r="8322" spans="1:1" x14ac:dyDescent="0.25">
      <c r="A8322" t="str">
        <f t="shared" si="131"/>
        <v/>
      </c>
    </row>
    <row r="8323" spans="1:1" x14ac:dyDescent="0.25">
      <c r="A8323" t="str">
        <f t="shared" si="131"/>
        <v/>
      </c>
    </row>
    <row r="8324" spans="1:1" x14ac:dyDescent="0.25">
      <c r="A8324" t="str">
        <f t="shared" si="131"/>
        <v/>
      </c>
    </row>
    <row r="8325" spans="1:1" x14ac:dyDescent="0.25">
      <c r="A8325" t="str">
        <f t="shared" si="131"/>
        <v/>
      </c>
    </row>
    <row r="8326" spans="1:1" x14ac:dyDescent="0.25">
      <c r="A8326" t="str">
        <f t="shared" si="131"/>
        <v/>
      </c>
    </row>
    <row r="8327" spans="1:1" x14ac:dyDescent="0.25">
      <c r="A8327" t="str">
        <f t="shared" si="131"/>
        <v/>
      </c>
    </row>
    <row r="8328" spans="1:1" x14ac:dyDescent="0.25">
      <c r="A8328" t="str">
        <f t="shared" si="131"/>
        <v/>
      </c>
    </row>
    <row r="8329" spans="1:1" x14ac:dyDescent="0.25">
      <c r="A8329" t="str">
        <f t="shared" si="131"/>
        <v/>
      </c>
    </row>
    <row r="8330" spans="1:1" x14ac:dyDescent="0.25">
      <c r="A8330" t="str">
        <f t="shared" si="131"/>
        <v/>
      </c>
    </row>
    <row r="8331" spans="1:1" x14ac:dyDescent="0.25">
      <c r="A8331" t="str">
        <f t="shared" si="131"/>
        <v/>
      </c>
    </row>
    <row r="8332" spans="1:1" x14ac:dyDescent="0.25">
      <c r="A8332" t="str">
        <f t="shared" si="131"/>
        <v/>
      </c>
    </row>
    <row r="8333" spans="1:1" x14ac:dyDescent="0.25">
      <c r="A8333" t="str">
        <f t="shared" si="131"/>
        <v/>
      </c>
    </row>
    <row r="8334" spans="1:1" x14ac:dyDescent="0.25">
      <c r="A8334" t="str">
        <f t="shared" si="131"/>
        <v/>
      </c>
    </row>
    <row r="8335" spans="1:1" x14ac:dyDescent="0.25">
      <c r="A8335" t="str">
        <f t="shared" si="131"/>
        <v/>
      </c>
    </row>
    <row r="8336" spans="1:1" x14ac:dyDescent="0.25">
      <c r="A8336" t="str">
        <f t="shared" si="131"/>
        <v/>
      </c>
    </row>
    <row r="8337" spans="1:1" x14ac:dyDescent="0.25">
      <c r="A8337" t="str">
        <f t="shared" si="131"/>
        <v/>
      </c>
    </row>
    <row r="8338" spans="1:1" x14ac:dyDescent="0.25">
      <c r="A8338" t="str">
        <f t="shared" si="131"/>
        <v/>
      </c>
    </row>
    <row r="8339" spans="1:1" x14ac:dyDescent="0.25">
      <c r="A8339" t="str">
        <f t="shared" si="131"/>
        <v/>
      </c>
    </row>
    <row r="8340" spans="1:1" x14ac:dyDescent="0.25">
      <c r="A8340" t="str">
        <f t="shared" si="131"/>
        <v/>
      </c>
    </row>
    <row r="8341" spans="1:1" x14ac:dyDescent="0.25">
      <c r="A8341" t="str">
        <f t="shared" si="131"/>
        <v/>
      </c>
    </row>
    <row r="8342" spans="1:1" x14ac:dyDescent="0.25">
      <c r="A8342" t="str">
        <f t="shared" si="131"/>
        <v/>
      </c>
    </row>
    <row r="8343" spans="1:1" x14ac:dyDescent="0.25">
      <c r="A8343" t="str">
        <f t="shared" si="131"/>
        <v/>
      </c>
    </row>
    <row r="8344" spans="1:1" x14ac:dyDescent="0.25">
      <c r="A8344" t="str">
        <f t="shared" si="131"/>
        <v/>
      </c>
    </row>
    <row r="8345" spans="1:1" x14ac:dyDescent="0.25">
      <c r="A8345" t="str">
        <f t="shared" si="131"/>
        <v/>
      </c>
    </row>
    <row r="8346" spans="1:1" x14ac:dyDescent="0.25">
      <c r="A8346" t="str">
        <f t="shared" si="131"/>
        <v/>
      </c>
    </row>
    <row r="8347" spans="1:1" x14ac:dyDescent="0.25">
      <c r="A8347" t="str">
        <f t="shared" si="131"/>
        <v/>
      </c>
    </row>
    <row r="8348" spans="1:1" x14ac:dyDescent="0.25">
      <c r="A8348" t="str">
        <f t="shared" si="131"/>
        <v/>
      </c>
    </row>
    <row r="8349" spans="1:1" x14ac:dyDescent="0.25">
      <c r="A8349" t="str">
        <f t="shared" si="131"/>
        <v/>
      </c>
    </row>
    <row r="8350" spans="1:1" x14ac:dyDescent="0.25">
      <c r="A8350" t="str">
        <f t="shared" si="131"/>
        <v/>
      </c>
    </row>
    <row r="8351" spans="1:1" x14ac:dyDescent="0.25">
      <c r="A8351" t="str">
        <f t="shared" si="131"/>
        <v/>
      </c>
    </row>
    <row r="8352" spans="1:1" x14ac:dyDescent="0.25">
      <c r="A8352" t="str">
        <f t="shared" si="131"/>
        <v/>
      </c>
    </row>
    <row r="8353" spans="1:1" x14ac:dyDescent="0.25">
      <c r="A8353" t="str">
        <f t="shared" si="131"/>
        <v/>
      </c>
    </row>
    <row r="8354" spans="1:1" x14ac:dyDescent="0.25">
      <c r="A8354" t="str">
        <f t="shared" si="131"/>
        <v/>
      </c>
    </row>
    <row r="8355" spans="1:1" x14ac:dyDescent="0.25">
      <c r="A8355" t="str">
        <f t="shared" si="131"/>
        <v/>
      </c>
    </row>
    <row r="8356" spans="1:1" x14ac:dyDescent="0.25">
      <c r="A8356" t="str">
        <f t="shared" si="131"/>
        <v/>
      </c>
    </row>
    <row r="8357" spans="1:1" x14ac:dyDescent="0.25">
      <c r="A8357" t="str">
        <f t="shared" si="131"/>
        <v/>
      </c>
    </row>
    <row r="8358" spans="1:1" x14ac:dyDescent="0.25">
      <c r="A8358" t="str">
        <f t="shared" si="131"/>
        <v/>
      </c>
    </row>
    <row r="8359" spans="1:1" x14ac:dyDescent="0.25">
      <c r="A8359" t="str">
        <f t="shared" si="131"/>
        <v/>
      </c>
    </row>
    <row r="8360" spans="1:1" x14ac:dyDescent="0.25">
      <c r="A8360" t="str">
        <f t="shared" si="131"/>
        <v/>
      </c>
    </row>
    <row r="8361" spans="1:1" x14ac:dyDescent="0.25">
      <c r="A8361" t="str">
        <f t="shared" si="131"/>
        <v/>
      </c>
    </row>
    <row r="8362" spans="1:1" x14ac:dyDescent="0.25">
      <c r="A8362" t="str">
        <f t="shared" si="131"/>
        <v/>
      </c>
    </row>
    <row r="8363" spans="1:1" x14ac:dyDescent="0.25">
      <c r="A8363" t="str">
        <f t="shared" si="131"/>
        <v/>
      </c>
    </row>
    <row r="8364" spans="1:1" x14ac:dyDescent="0.25">
      <c r="A8364" t="str">
        <f t="shared" si="131"/>
        <v/>
      </c>
    </row>
    <row r="8365" spans="1:1" x14ac:dyDescent="0.25">
      <c r="A8365" t="str">
        <f t="shared" si="131"/>
        <v/>
      </c>
    </row>
    <row r="8366" spans="1:1" x14ac:dyDescent="0.25">
      <c r="A8366" t="str">
        <f t="shared" si="131"/>
        <v/>
      </c>
    </row>
    <row r="8367" spans="1:1" x14ac:dyDescent="0.25">
      <c r="A8367" t="str">
        <f t="shared" si="131"/>
        <v/>
      </c>
    </row>
    <row r="8368" spans="1:1" x14ac:dyDescent="0.25">
      <c r="A8368" t="str">
        <f t="shared" si="131"/>
        <v/>
      </c>
    </row>
    <row r="8369" spans="1:1" x14ac:dyDescent="0.25">
      <c r="A8369" t="str">
        <f t="shared" si="131"/>
        <v/>
      </c>
    </row>
    <row r="8370" spans="1:1" x14ac:dyDescent="0.25">
      <c r="A8370" t="str">
        <f t="shared" si="131"/>
        <v/>
      </c>
    </row>
    <row r="8371" spans="1:1" x14ac:dyDescent="0.25">
      <c r="A8371" t="str">
        <f t="shared" si="131"/>
        <v/>
      </c>
    </row>
    <row r="8372" spans="1:1" x14ac:dyDescent="0.25">
      <c r="A8372" t="str">
        <f t="shared" si="131"/>
        <v/>
      </c>
    </row>
    <row r="8373" spans="1:1" x14ac:dyDescent="0.25">
      <c r="A8373" t="str">
        <f t="shared" ref="A8373:A8436" si="132">B8371&amp;D8371</f>
        <v/>
      </c>
    </row>
    <row r="8374" spans="1:1" x14ac:dyDescent="0.25">
      <c r="A8374" t="str">
        <f t="shared" si="132"/>
        <v/>
      </c>
    </row>
    <row r="8375" spans="1:1" x14ac:dyDescent="0.25">
      <c r="A8375" t="str">
        <f t="shared" si="132"/>
        <v/>
      </c>
    </row>
    <row r="8376" spans="1:1" x14ac:dyDescent="0.25">
      <c r="A8376" t="str">
        <f t="shared" si="132"/>
        <v/>
      </c>
    </row>
    <row r="8377" spans="1:1" x14ac:dyDescent="0.25">
      <c r="A8377" t="str">
        <f t="shared" si="132"/>
        <v/>
      </c>
    </row>
    <row r="8378" spans="1:1" x14ac:dyDescent="0.25">
      <c r="A8378" t="str">
        <f t="shared" si="132"/>
        <v/>
      </c>
    </row>
    <row r="8379" spans="1:1" x14ac:dyDescent="0.25">
      <c r="A8379" t="str">
        <f t="shared" si="132"/>
        <v/>
      </c>
    </row>
    <row r="8380" spans="1:1" x14ac:dyDescent="0.25">
      <c r="A8380" t="str">
        <f t="shared" si="132"/>
        <v/>
      </c>
    </row>
    <row r="8381" spans="1:1" x14ac:dyDescent="0.25">
      <c r="A8381" t="str">
        <f t="shared" si="132"/>
        <v/>
      </c>
    </row>
    <row r="8382" spans="1:1" x14ac:dyDescent="0.25">
      <c r="A8382" t="str">
        <f t="shared" si="132"/>
        <v/>
      </c>
    </row>
    <row r="8383" spans="1:1" x14ac:dyDescent="0.25">
      <c r="A8383" t="str">
        <f t="shared" si="132"/>
        <v/>
      </c>
    </row>
    <row r="8384" spans="1:1" x14ac:dyDescent="0.25">
      <c r="A8384" t="str">
        <f t="shared" si="132"/>
        <v/>
      </c>
    </row>
    <row r="8385" spans="1:1" x14ac:dyDescent="0.25">
      <c r="A8385" t="str">
        <f t="shared" si="132"/>
        <v/>
      </c>
    </row>
    <row r="8386" spans="1:1" x14ac:dyDescent="0.25">
      <c r="A8386" t="str">
        <f t="shared" si="132"/>
        <v/>
      </c>
    </row>
    <row r="8387" spans="1:1" x14ac:dyDescent="0.25">
      <c r="A8387" t="str">
        <f t="shared" si="132"/>
        <v/>
      </c>
    </row>
    <row r="8388" spans="1:1" x14ac:dyDescent="0.25">
      <c r="A8388" t="str">
        <f t="shared" si="132"/>
        <v/>
      </c>
    </row>
    <row r="8389" spans="1:1" x14ac:dyDescent="0.25">
      <c r="A8389" t="str">
        <f t="shared" si="132"/>
        <v/>
      </c>
    </row>
    <row r="8390" spans="1:1" x14ac:dyDescent="0.25">
      <c r="A8390" t="str">
        <f t="shared" si="132"/>
        <v/>
      </c>
    </row>
    <row r="8391" spans="1:1" x14ac:dyDescent="0.25">
      <c r="A8391" t="str">
        <f t="shared" si="132"/>
        <v/>
      </c>
    </row>
    <row r="8392" spans="1:1" x14ac:dyDescent="0.25">
      <c r="A8392" t="str">
        <f t="shared" si="132"/>
        <v/>
      </c>
    </row>
    <row r="8393" spans="1:1" x14ac:dyDescent="0.25">
      <c r="A8393" t="str">
        <f t="shared" si="132"/>
        <v/>
      </c>
    </row>
    <row r="8394" spans="1:1" x14ac:dyDescent="0.25">
      <c r="A8394" t="str">
        <f t="shared" si="132"/>
        <v/>
      </c>
    </row>
    <row r="8395" spans="1:1" x14ac:dyDescent="0.25">
      <c r="A8395" t="str">
        <f t="shared" si="132"/>
        <v/>
      </c>
    </row>
    <row r="8396" spans="1:1" x14ac:dyDescent="0.25">
      <c r="A8396" t="str">
        <f t="shared" si="132"/>
        <v/>
      </c>
    </row>
    <row r="8397" spans="1:1" x14ac:dyDescent="0.25">
      <c r="A8397" t="str">
        <f t="shared" si="132"/>
        <v/>
      </c>
    </row>
    <row r="8398" spans="1:1" x14ac:dyDescent="0.25">
      <c r="A8398" t="str">
        <f t="shared" si="132"/>
        <v/>
      </c>
    </row>
    <row r="8399" spans="1:1" x14ac:dyDescent="0.25">
      <c r="A8399" t="str">
        <f t="shared" si="132"/>
        <v/>
      </c>
    </row>
    <row r="8400" spans="1:1" x14ac:dyDescent="0.25">
      <c r="A8400" t="str">
        <f t="shared" si="132"/>
        <v/>
      </c>
    </row>
    <row r="8401" spans="1:1" x14ac:dyDescent="0.25">
      <c r="A8401" t="str">
        <f t="shared" si="132"/>
        <v/>
      </c>
    </row>
    <row r="8402" spans="1:1" x14ac:dyDescent="0.25">
      <c r="A8402" t="str">
        <f t="shared" si="132"/>
        <v/>
      </c>
    </row>
    <row r="8403" spans="1:1" x14ac:dyDescent="0.25">
      <c r="A8403" t="str">
        <f t="shared" si="132"/>
        <v/>
      </c>
    </row>
    <row r="8404" spans="1:1" x14ac:dyDescent="0.25">
      <c r="A8404" t="str">
        <f t="shared" si="132"/>
        <v/>
      </c>
    </row>
    <row r="8405" spans="1:1" x14ac:dyDescent="0.25">
      <c r="A8405" t="str">
        <f t="shared" si="132"/>
        <v/>
      </c>
    </row>
    <row r="8406" spans="1:1" x14ac:dyDescent="0.25">
      <c r="A8406" t="str">
        <f t="shared" si="132"/>
        <v/>
      </c>
    </row>
    <row r="8407" spans="1:1" x14ac:dyDescent="0.25">
      <c r="A8407" t="str">
        <f t="shared" si="132"/>
        <v/>
      </c>
    </row>
    <row r="8408" spans="1:1" x14ac:dyDescent="0.25">
      <c r="A8408" t="str">
        <f t="shared" si="132"/>
        <v/>
      </c>
    </row>
    <row r="8409" spans="1:1" x14ac:dyDescent="0.25">
      <c r="A8409" t="str">
        <f t="shared" si="132"/>
        <v/>
      </c>
    </row>
    <row r="8410" spans="1:1" x14ac:dyDescent="0.25">
      <c r="A8410" t="str">
        <f t="shared" si="132"/>
        <v/>
      </c>
    </row>
    <row r="8411" spans="1:1" x14ac:dyDescent="0.25">
      <c r="A8411" t="str">
        <f t="shared" si="132"/>
        <v/>
      </c>
    </row>
    <row r="8412" spans="1:1" x14ac:dyDescent="0.25">
      <c r="A8412" t="str">
        <f t="shared" si="132"/>
        <v/>
      </c>
    </row>
    <row r="8413" spans="1:1" x14ac:dyDescent="0.25">
      <c r="A8413" t="str">
        <f t="shared" si="132"/>
        <v/>
      </c>
    </row>
    <row r="8414" spans="1:1" x14ac:dyDescent="0.25">
      <c r="A8414" t="str">
        <f t="shared" si="132"/>
        <v/>
      </c>
    </row>
    <row r="8415" spans="1:1" x14ac:dyDescent="0.25">
      <c r="A8415" t="str">
        <f t="shared" si="132"/>
        <v/>
      </c>
    </row>
    <row r="8416" spans="1:1" x14ac:dyDescent="0.25">
      <c r="A8416" t="str">
        <f t="shared" si="132"/>
        <v/>
      </c>
    </row>
    <row r="8417" spans="1:1" x14ac:dyDescent="0.25">
      <c r="A8417" t="str">
        <f t="shared" si="132"/>
        <v/>
      </c>
    </row>
    <row r="8418" spans="1:1" x14ac:dyDescent="0.25">
      <c r="A8418" t="str">
        <f t="shared" si="132"/>
        <v/>
      </c>
    </row>
    <row r="8419" spans="1:1" x14ac:dyDescent="0.25">
      <c r="A8419" t="str">
        <f t="shared" si="132"/>
        <v/>
      </c>
    </row>
    <row r="8420" spans="1:1" x14ac:dyDescent="0.25">
      <c r="A8420" t="str">
        <f t="shared" si="132"/>
        <v/>
      </c>
    </row>
    <row r="8421" spans="1:1" x14ac:dyDescent="0.25">
      <c r="A8421" t="str">
        <f t="shared" si="132"/>
        <v/>
      </c>
    </row>
    <row r="8422" spans="1:1" x14ac:dyDescent="0.25">
      <c r="A8422" t="str">
        <f t="shared" si="132"/>
        <v/>
      </c>
    </row>
    <row r="8423" spans="1:1" x14ac:dyDescent="0.25">
      <c r="A8423" t="str">
        <f t="shared" si="132"/>
        <v/>
      </c>
    </row>
    <row r="8424" spans="1:1" x14ac:dyDescent="0.25">
      <c r="A8424" t="str">
        <f t="shared" si="132"/>
        <v/>
      </c>
    </row>
    <row r="8425" spans="1:1" x14ac:dyDescent="0.25">
      <c r="A8425" t="str">
        <f t="shared" si="132"/>
        <v/>
      </c>
    </row>
    <row r="8426" spans="1:1" x14ac:dyDescent="0.25">
      <c r="A8426" t="str">
        <f t="shared" si="132"/>
        <v/>
      </c>
    </row>
    <row r="8427" spans="1:1" x14ac:dyDescent="0.25">
      <c r="A8427" t="str">
        <f t="shared" si="132"/>
        <v/>
      </c>
    </row>
    <row r="8428" spans="1:1" x14ac:dyDescent="0.25">
      <c r="A8428" t="str">
        <f t="shared" si="132"/>
        <v/>
      </c>
    </row>
    <row r="8429" spans="1:1" x14ac:dyDescent="0.25">
      <c r="A8429" t="str">
        <f t="shared" si="132"/>
        <v/>
      </c>
    </row>
    <row r="8430" spans="1:1" x14ac:dyDescent="0.25">
      <c r="A8430" t="str">
        <f t="shared" si="132"/>
        <v/>
      </c>
    </row>
    <row r="8431" spans="1:1" x14ac:dyDescent="0.25">
      <c r="A8431" t="str">
        <f t="shared" si="132"/>
        <v/>
      </c>
    </row>
    <row r="8432" spans="1:1" x14ac:dyDescent="0.25">
      <c r="A8432" t="str">
        <f t="shared" si="132"/>
        <v/>
      </c>
    </row>
    <row r="8433" spans="1:1" x14ac:dyDescent="0.25">
      <c r="A8433" t="str">
        <f t="shared" si="132"/>
        <v/>
      </c>
    </row>
    <row r="8434" spans="1:1" x14ac:dyDescent="0.25">
      <c r="A8434" t="str">
        <f t="shared" si="132"/>
        <v/>
      </c>
    </row>
    <row r="8435" spans="1:1" x14ac:dyDescent="0.25">
      <c r="A8435" t="str">
        <f t="shared" si="132"/>
        <v/>
      </c>
    </row>
    <row r="8436" spans="1:1" x14ac:dyDescent="0.25">
      <c r="A8436" t="str">
        <f t="shared" si="132"/>
        <v/>
      </c>
    </row>
    <row r="8437" spans="1:1" x14ac:dyDescent="0.25">
      <c r="A8437" t="str">
        <f t="shared" ref="A8437:A8500" si="133">B8435&amp;D8435</f>
        <v/>
      </c>
    </row>
    <row r="8438" spans="1:1" x14ac:dyDescent="0.25">
      <c r="A8438" t="str">
        <f t="shared" si="133"/>
        <v/>
      </c>
    </row>
    <row r="8439" spans="1:1" x14ac:dyDescent="0.25">
      <c r="A8439" t="str">
        <f t="shared" si="133"/>
        <v/>
      </c>
    </row>
    <row r="8440" spans="1:1" x14ac:dyDescent="0.25">
      <c r="A8440" t="str">
        <f t="shared" si="133"/>
        <v/>
      </c>
    </row>
    <row r="8441" spans="1:1" x14ac:dyDescent="0.25">
      <c r="A8441" t="str">
        <f t="shared" si="133"/>
        <v/>
      </c>
    </row>
    <row r="8442" spans="1:1" x14ac:dyDescent="0.25">
      <c r="A8442" t="str">
        <f t="shared" si="133"/>
        <v/>
      </c>
    </row>
    <row r="8443" spans="1:1" x14ac:dyDescent="0.25">
      <c r="A8443" t="str">
        <f t="shared" si="133"/>
        <v/>
      </c>
    </row>
    <row r="8444" spans="1:1" x14ac:dyDescent="0.25">
      <c r="A8444" t="str">
        <f t="shared" si="133"/>
        <v/>
      </c>
    </row>
    <row r="8445" spans="1:1" x14ac:dyDescent="0.25">
      <c r="A8445" t="str">
        <f t="shared" si="133"/>
        <v/>
      </c>
    </row>
    <row r="8446" spans="1:1" x14ac:dyDescent="0.25">
      <c r="A8446" t="str">
        <f t="shared" si="133"/>
        <v/>
      </c>
    </row>
    <row r="8447" spans="1:1" x14ac:dyDescent="0.25">
      <c r="A8447" t="str">
        <f t="shared" si="133"/>
        <v/>
      </c>
    </row>
    <row r="8448" spans="1:1" x14ac:dyDescent="0.25">
      <c r="A8448" t="str">
        <f t="shared" si="133"/>
        <v/>
      </c>
    </row>
    <row r="8449" spans="1:1" x14ac:dyDescent="0.25">
      <c r="A8449" t="str">
        <f t="shared" si="133"/>
        <v/>
      </c>
    </row>
    <row r="8450" spans="1:1" x14ac:dyDescent="0.25">
      <c r="A8450" t="str">
        <f t="shared" si="133"/>
        <v/>
      </c>
    </row>
    <row r="8451" spans="1:1" x14ac:dyDescent="0.25">
      <c r="A8451" t="str">
        <f t="shared" si="133"/>
        <v/>
      </c>
    </row>
    <row r="8452" spans="1:1" x14ac:dyDescent="0.25">
      <c r="A8452" t="str">
        <f t="shared" si="133"/>
        <v/>
      </c>
    </row>
    <row r="8453" spans="1:1" x14ac:dyDescent="0.25">
      <c r="A8453" t="str">
        <f t="shared" si="133"/>
        <v/>
      </c>
    </row>
    <row r="8454" spans="1:1" x14ac:dyDescent="0.25">
      <c r="A8454" t="str">
        <f t="shared" si="133"/>
        <v/>
      </c>
    </row>
    <row r="8455" spans="1:1" x14ac:dyDescent="0.25">
      <c r="A8455" t="str">
        <f t="shared" si="133"/>
        <v/>
      </c>
    </row>
    <row r="8456" spans="1:1" x14ac:dyDescent="0.25">
      <c r="A8456" t="str">
        <f t="shared" si="133"/>
        <v/>
      </c>
    </row>
    <row r="8457" spans="1:1" x14ac:dyDescent="0.25">
      <c r="A8457" t="str">
        <f t="shared" si="133"/>
        <v/>
      </c>
    </row>
    <row r="8458" spans="1:1" x14ac:dyDescent="0.25">
      <c r="A8458" t="str">
        <f t="shared" si="133"/>
        <v/>
      </c>
    </row>
    <row r="8459" spans="1:1" x14ac:dyDescent="0.25">
      <c r="A8459" t="str">
        <f t="shared" si="133"/>
        <v/>
      </c>
    </row>
    <row r="8460" spans="1:1" x14ac:dyDescent="0.25">
      <c r="A8460" t="str">
        <f t="shared" si="133"/>
        <v/>
      </c>
    </row>
    <row r="8461" spans="1:1" x14ac:dyDescent="0.25">
      <c r="A8461" t="str">
        <f t="shared" si="133"/>
        <v/>
      </c>
    </row>
    <row r="8462" spans="1:1" x14ac:dyDescent="0.25">
      <c r="A8462" t="str">
        <f t="shared" si="133"/>
        <v/>
      </c>
    </row>
    <row r="8463" spans="1:1" x14ac:dyDescent="0.25">
      <c r="A8463" t="str">
        <f t="shared" si="133"/>
        <v/>
      </c>
    </row>
    <row r="8464" spans="1:1" x14ac:dyDescent="0.25">
      <c r="A8464" t="str">
        <f t="shared" si="133"/>
        <v/>
      </c>
    </row>
    <row r="8465" spans="1:1" x14ac:dyDescent="0.25">
      <c r="A8465" t="str">
        <f t="shared" si="133"/>
        <v/>
      </c>
    </row>
    <row r="8466" spans="1:1" x14ac:dyDescent="0.25">
      <c r="A8466" t="str">
        <f t="shared" si="133"/>
        <v/>
      </c>
    </row>
    <row r="8467" spans="1:1" x14ac:dyDescent="0.25">
      <c r="A8467" t="str">
        <f t="shared" si="133"/>
        <v/>
      </c>
    </row>
    <row r="8468" spans="1:1" x14ac:dyDescent="0.25">
      <c r="A8468" t="str">
        <f t="shared" si="133"/>
        <v/>
      </c>
    </row>
    <row r="8469" spans="1:1" x14ac:dyDescent="0.25">
      <c r="A8469" t="str">
        <f t="shared" si="133"/>
        <v/>
      </c>
    </row>
    <row r="8470" spans="1:1" x14ac:dyDescent="0.25">
      <c r="A8470" t="str">
        <f t="shared" si="133"/>
        <v/>
      </c>
    </row>
    <row r="8471" spans="1:1" x14ac:dyDescent="0.25">
      <c r="A8471" t="str">
        <f t="shared" si="133"/>
        <v/>
      </c>
    </row>
    <row r="8472" spans="1:1" x14ac:dyDescent="0.25">
      <c r="A8472" t="str">
        <f t="shared" si="133"/>
        <v/>
      </c>
    </row>
    <row r="8473" spans="1:1" x14ac:dyDescent="0.25">
      <c r="A8473" t="str">
        <f t="shared" si="133"/>
        <v/>
      </c>
    </row>
    <row r="8474" spans="1:1" x14ac:dyDescent="0.25">
      <c r="A8474" t="str">
        <f t="shared" si="133"/>
        <v/>
      </c>
    </row>
    <row r="8475" spans="1:1" x14ac:dyDescent="0.25">
      <c r="A8475" t="str">
        <f t="shared" si="133"/>
        <v/>
      </c>
    </row>
    <row r="8476" spans="1:1" x14ac:dyDescent="0.25">
      <c r="A8476" t="str">
        <f t="shared" si="133"/>
        <v/>
      </c>
    </row>
    <row r="8477" spans="1:1" x14ac:dyDescent="0.25">
      <c r="A8477" t="str">
        <f t="shared" si="133"/>
        <v/>
      </c>
    </row>
    <row r="8478" spans="1:1" x14ac:dyDescent="0.25">
      <c r="A8478" t="str">
        <f t="shared" si="133"/>
        <v/>
      </c>
    </row>
    <row r="8479" spans="1:1" x14ac:dyDescent="0.25">
      <c r="A8479" t="str">
        <f t="shared" si="133"/>
        <v/>
      </c>
    </row>
    <row r="8480" spans="1:1" x14ac:dyDescent="0.25">
      <c r="A8480" t="str">
        <f t="shared" si="133"/>
        <v/>
      </c>
    </row>
    <row r="8481" spans="1:1" x14ac:dyDescent="0.25">
      <c r="A8481" t="str">
        <f t="shared" si="133"/>
        <v/>
      </c>
    </row>
    <row r="8482" spans="1:1" x14ac:dyDescent="0.25">
      <c r="A8482" t="str">
        <f t="shared" si="133"/>
        <v/>
      </c>
    </row>
    <row r="8483" spans="1:1" x14ac:dyDescent="0.25">
      <c r="A8483" t="str">
        <f t="shared" si="133"/>
        <v/>
      </c>
    </row>
    <row r="8484" spans="1:1" x14ac:dyDescent="0.25">
      <c r="A8484" t="str">
        <f t="shared" si="133"/>
        <v/>
      </c>
    </row>
    <row r="8485" spans="1:1" x14ac:dyDescent="0.25">
      <c r="A8485" t="str">
        <f t="shared" si="133"/>
        <v/>
      </c>
    </row>
    <row r="8486" spans="1:1" x14ac:dyDescent="0.25">
      <c r="A8486" t="str">
        <f t="shared" si="133"/>
        <v/>
      </c>
    </row>
    <row r="8487" spans="1:1" x14ac:dyDescent="0.25">
      <c r="A8487" t="str">
        <f t="shared" si="133"/>
        <v/>
      </c>
    </row>
    <row r="8488" spans="1:1" x14ac:dyDescent="0.25">
      <c r="A8488" t="str">
        <f t="shared" si="133"/>
        <v/>
      </c>
    </row>
    <row r="8489" spans="1:1" x14ac:dyDescent="0.25">
      <c r="A8489" t="str">
        <f t="shared" si="133"/>
        <v/>
      </c>
    </row>
    <row r="8490" spans="1:1" x14ac:dyDescent="0.25">
      <c r="A8490" t="str">
        <f t="shared" si="133"/>
        <v/>
      </c>
    </row>
    <row r="8491" spans="1:1" x14ac:dyDescent="0.25">
      <c r="A8491" t="str">
        <f t="shared" si="133"/>
        <v/>
      </c>
    </row>
    <row r="8492" spans="1:1" x14ac:dyDescent="0.25">
      <c r="A8492" t="str">
        <f t="shared" si="133"/>
        <v/>
      </c>
    </row>
    <row r="8493" spans="1:1" x14ac:dyDescent="0.25">
      <c r="A8493" t="str">
        <f t="shared" si="133"/>
        <v/>
      </c>
    </row>
    <row r="8494" spans="1:1" x14ac:dyDescent="0.25">
      <c r="A8494" t="str">
        <f t="shared" si="133"/>
        <v/>
      </c>
    </row>
    <row r="8495" spans="1:1" x14ac:dyDescent="0.25">
      <c r="A8495" t="str">
        <f t="shared" si="133"/>
        <v/>
      </c>
    </row>
    <row r="8496" spans="1:1" x14ac:dyDescent="0.25">
      <c r="A8496" t="str">
        <f t="shared" si="133"/>
        <v/>
      </c>
    </row>
    <row r="8497" spans="1:1" x14ac:dyDescent="0.25">
      <c r="A8497" t="str">
        <f t="shared" si="133"/>
        <v/>
      </c>
    </row>
    <row r="8498" spans="1:1" x14ac:dyDescent="0.25">
      <c r="A8498" t="str">
        <f t="shared" si="133"/>
        <v/>
      </c>
    </row>
    <row r="8499" spans="1:1" x14ac:dyDescent="0.25">
      <c r="A8499" t="str">
        <f t="shared" si="133"/>
        <v/>
      </c>
    </row>
    <row r="8500" spans="1:1" x14ac:dyDescent="0.25">
      <c r="A8500" t="str">
        <f t="shared" si="133"/>
        <v/>
      </c>
    </row>
    <row r="8501" spans="1:1" x14ac:dyDescent="0.25">
      <c r="A8501" t="str">
        <f t="shared" ref="A8501:A8564" si="134">B8499&amp;D8499</f>
        <v/>
      </c>
    </row>
    <row r="8502" spans="1:1" x14ac:dyDescent="0.25">
      <c r="A8502" t="str">
        <f t="shared" si="134"/>
        <v/>
      </c>
    </row>
    <row r="8503" spans="1:1" x14ac:dyDescent="0.25">
      <c r="A8503" t="str">
        <f t="shared" si="134"/>
        <v/>
      </c>
    </row>
    <row r="8504" spans="1:1" x14ac:dyDescent="0.25">
      <c r="A8504" t="str">
        <f t="shared" si="134"/>
        <v/>
      </c>
    </row>
    <row r="8505" spans="1:1" x14ac:dyDescent="0.25">
      <c r="A8505" t="str">
        <f t="shared" si="134"/>
        <v/>
      </c>
    </row>
    <row r="8506" spans="1:1" x14ac:dyDescent="0.25">
      <c r="A8506" t="str">
        <f t="shared" si="134"/>
        <v/>
      </c>
    </row>
    <row r="8507" spans="1:1" x14ac:dyDescent="0.25">
      <c r="A8507" t="str">
        <f t="shared" si="134"/>
        <v/>
      </c>
    </row>
    <row r="8508" spans="1:1" x14ac:dyDescent="0.25">
      <c r="A8508" t="str">
        <f t="shared" si="134"/>
        <v/>
      </c>
    </row>
    <row r="8509" spans="1:1" x14ac:dyDescent="0.25">
      <c r="A8509" t="str">
        <f t="shared" si="134"/>
        <v/>
      </c>
    </row>
    <row r="8510" spans="1:1" x14ac:dyDescent="0.25">
      <c r="A8510" t="str">
        <f t="shared" si="134"/>
        <v/>
      </c>
    </row>
    <row r="8511" spans="1:1" x14ac:dyDescent="0.25">
      <c r="A8511" t="str">
        <f t="shared" si="134"/>
        <v/>
      </c>
    </row>
    <row r="8512" spans="1:1" x14ac:dyDescent="0.25">
      <c r="A8512" t="str">
        <f t="shared" si="134"/>
        <v/>
      </c>
    </row>
    <row r="8513" spans="1:1" x14ac:dyDescent="0.25">
      <c r="A8513" t="str">
        <f t="shared" si="134"/>
        <v/>
      </c>
    </row>
    <row r="8514" spans="1:1" x14ac:dyDescent="0.25">
      <c r="A8514" t="str">
        <f t="shared" si="134"/>
        <v/>
      </c>
    </row>
    <row r="8515" spans="1:1" x14ac:dyDescent="0.25">
      <c r="A8515" t="str">
        <f t="shared" si="134"/>
        <v/>
      </c>
    </row>
    <row r="8516" spans="1:1" x14ac:dyDescent="0.25">
      <c r="A8516" t="str">
        <f t="shared" si="134"/>
        <v/>
      </c>
    </row>
    <row r="8517" spans="1:1" x14ac:dyDescent="0.25">
      <c r="A8517" t="str">
        <f t="shared" si="134"/>
        <v/>
      </c>
    </row>
    <row r="8518" spans="1:1" x14ac:dyDescent="0.25">
      <c r="A8518" t="str">
        <f t="shared" si="134"/>
        <v/>
      </c>
    </row>
    <row r="8519" spans="1:1" x14ac:dyDescent="0.25">
      <c r="A8519" t="str">
        <f t="shared" si="134"/>
        <v/>
      </c>
    </row>
    <row r="8520" spans="1:1" x14ac:dyDescent="0.25">
      <c r="A8520" t="str">
        <f t="shared" si="134"/>
        <v/>
      </c>
    </row>
    <row r="8521" spans="1:1" x14ac:dyDescent="0.25">
      <c r="A8521" t="str">
        <f t="shared" si="134"/>
        <v/>
      </c>
    </row>
    <row r="8522" spans="1:1" x14ac:dyDescent="0.25">
      <c r="A8522" t="str">
        <f t="shared" si="134"/>
        <v/>
      </c>
    </row>
    <row r="8523" spans="1:1" x14ac:dyDescent="0.25">
      <c r="A8523" t="str">
        <f t="shared" si="134"/>
        <v/>
      </c>
    </row>
    <row r="8524" spans="1:1" x14ac:dyDescent="0.25">
      <c r="A8524" t="str">
        <f t="shared" si="134"/>
        <v/>
      </c>
    </row>
    <row r="8525" spans="1:1" x14ac:dyDescent="0.25">
      <c r="A8525" t="str">
        <f t="shared" si="134"/>
        <v/>
      </c>
    </row>
    <row r="8526" spans="1:1" x14ac:dyDescent="0.25">
      <c r="A8526" t="str">
        <f t="shared" si="134"/>
        <v/>
      </c>
    </row>
    <row r="8527" spans="1:1" x14ac:dyDescent="0.25">
      <c r="A8527" t="str">
        <f t="shared" si="134"/>
        <v/>
      </c>
    </row>
    <row r="8528" spans="1:1" x14ac:dyDescent="0.25">
      <c r="A8528" t="str">
        <f t="shared" si="134"/>
        <v/>
      </c>
    </row>
    <row r="8529" spans="1:1" x14ac:dyDescent="0.25">
      <c r="A8529" t="str">
        <f t="shared" si="134"/>
        <v/>
      </c>
    </row>
    <row r="8530" spans="1:1" x14ac:dyDescent="0.25">
      <c r="A8530" t="str">
        <f t="shared" si="134"/>
        <v/>
      </c>
    </row>
    <row r="8531" spans="1:1" x14ac:dyDescent="0.25">
      <c r="A8531" t="str">
        <f t="shared" si="134"/>
        <v/>
      </c>
    </row>
    <row r="8532" spans="1:1" x14ac:dyDescent="0.25">
      <c r="A8532" t="str">
        <f t="shared" si="134"/>
        <v/>
      </c>
    </row>
    <row r="8533" spans="1:1" x14ac:dyDescent="0.25">
      <c r="A8533" t="str">
        <f t="shared" si="134"/>
        <v/>
      </c>
    </row>
    <row r="8534" spans="1:1" x14ac:dyDescent="0.25">
      <c r="A8534" t="str">
        <f t="shared" si="134"/>
        <v/>
      </c>
    </row>
    <row r="8535" spans="1:1" x14ac:dyDescent="0.25">
      <c r="A8535" t="str">
        <f t="shared" si="134"/>
        <v/>
      </c>
    </row>
    <row r="8536" spans="1:1" x14ac:dyDescent="0.25">
      <c r="A8536" t="str">
        <f t="shared" si="134"/>
        <v/>
      </c>
    </row>
    <row r="8537" spans="1:1" x14ac:dyDescent="0.25">
      <c r="A8537" t="str">
        <f t="shared" si="134"/>
        <v/>
      </c>
    </row>
    <row r="8538" spans="1:1" x14ac:dyDescent="0.25">
      <c r="A8538" t="str">
        <f t="shared" si="134"/>
        <v/>
      </c>
    </row>
    <row r="8539" spans="1:1" x14ac:dyDescent="0.25">
      <c r="A8539" t="str">
        <f t="shared" si="134"/>
        <v/>
      </c>
    </row>
    <row r="8540" spans="1:1" x14ac:dyDescent="0.25">
      <c r="A8540" t="str">
        <f t="shared" si="134"/>
        <v/>
      </c>
    </row>
    <row r="8541" spans="1:1" x14ac:dyDescent="0.25">
      <c r="A8541" t="str">
        <f t="shared" si="134"/>
        <v/>
      </c>
    </row>
    <row r="8542" spans="1:1" x14ac:dyDescent="0.25">
      <c r="A8542" t="str">
        <f t="shared" si="134"/>
        <v/>
      </c>
    </row>
    <row r="8543" spans="1:1" x14ac:dyDescent="0.25">
      <c r="A8543" t="str">
        <f t="shared" si="134"/>
        <v/>
      </c>
    </row>
    <row r="8544" spans="1:1" x14ac:dyDescent="0.25">
      <c r="A8544" t="str">
        <f t="shared" si="134"/>
        <v/>
      </c>
    </row>
    <row r="8545" spans="1:1" x14ac:dyDescent="0.25">
      <c r="A8545" t="str">
        <f t="shared" si="134"/>
        <v/>
      </c>
    </row>
    <row r="8546" spans="1:1" x14ac:dyDescent="0.25">
      <c r="A8546" t="str">
        <f t="shared" si="134"/>
        <v/>
      </c>
    </row>
    <row r="8547" spans="1:1" x14ac:dyDescent="0.25">
      <c r="A8547" t="str">
        <f t="shared" si="134"/>
        <v/>
      </c>
    </row>
    <row r="8548" spans="1:1" x14ac:dyDescent="0.25">
      <c r="A8548" t="str">
        <f t="shared" si="134"/>
        <v/>
      </c>
    </row>
    <row r="8549" spans="1:1" x14ac:dyDescent="0.25">
      <c r="A8549" t="str">
        <f t="shared" si="134"/>
        <v/>
      </c>
    </row>
    <row r="8550" spans="1:1" x14ac:dyDescent="0.25">
      <c r="A8550" t="str">
        <f t="shared" si="134"/>
        <v/>
      </c>
    </row>
    <row r="8551" spans="1:1" x14ac:dyDescent="0.25">
      <c r="A8551" t="str">
        <f t="shared" si="134"/>
        <v/>
      </c>
    </row>
    <row r="8552" spans="1:1" x14ac:dyDescent="0.25">
      <c r="A8552" t="str">
        <f t="shared" si="134"/>
        <v/>
      </c>
    </row>
    <row r="8553" spans="1:1" x14ac:dyDescent="0.25">
      <c r="A8553" t="str">
        <f t="shared" si="134"/>
        <v/>
      </c>
    </row>
    <row r="8554" spans="1:1" x14ac:dyDescent="0.25">
      <c r="A8554" t="str">
        <f t="shared" si="134"/>
        <v/>
      </c>
    </row>
    <row r="8555" spans="1:1" x14ac:dyDescent="0.25">
      <c r="A8555" t="str">
        <f t="shared" si="134"/>
        <v/>
      </c>
    </row>
    <row r="8556" spans="1:1" x14ac:dyDescent="0.25">
      <c r="A8556" t="str">
        <f t="shared" si="134"/>
        <v/>
      </c>
    </row>
    <row r="8557" spans="1:1" x14ac:dyDescent="0.25">
      <c r="A8557" t="str">
        <f t="shared" si="134"/>
        <v/>
      </c>
    </row>
    <row r="8558" spans="1:1" x14ac:dyDescent="0.25">
      <c r="A8558" t="str">
        <f t="shared" si="134"/>
        <v/>
      </c>
    </row>
    <row r="8559" spans="1:1" x14ac:dyDescent="0.25">
      <c r="A8559" t="str">
        <f t="shared" si="134"/>
        <v/>
      </c>
    </row>
    <row r="8560" spans="1:1" x14ac:dyDescent="0.25">
      <c r="A8560" t="str">
        <f t="shared" si="134"/>
        <v/>
      </c>
    </row>
    <row r="8561" spans="1:1" x14ac:dyDescent="0.25">
      <c r="A8561" t="str">
        <f t="shared" si="134"/>
        <v/>
      </c>
    </row>
    <row r="8562" spans="1:1" x14ac:dyDescent="0.25">
      <c r="A8562" t="str">
        <f t="shared" si="134"/>
        <v/>
      </c>
    </row>
    <row r="8563" spans="1:1" x14ac:dyDescent="0.25">
      <c r="A8563" t="str">
        <f t="shared" si="134"/>
        <v/>
      </c>
    </row>
    <row r="8564" spans="1:1" x14ac:dyDescent="0.25">
      <c r="A8564" t="str">
        <f t="shared" si="134"/>
        <v/>
      </c>
    </row>
    <row r="8565" spans="1:1" x14ac:dyDescent="0.25">
      <c r="A8565" t="str">
        <f t="shared" ref="A8565:A8628" si="135">B8563&amp;D8563</f>
        <v/>
      </c>
    </row>
    <row r="8566" spans="1:1" x14ac:dyDescent="0.25">
      <c r="A8566" t="str">
        <f t="shared" si="135"/>
        <v/>
      </c>
    </row>
    <row r="8567" spans="1:1" x14ac:dyDescent="0.25">
      <c r="A8567" t="str">
        <f t="shared" si="135"/>
        <v/>
      </c>
    </row>
    <row r="8568" spans="1:1" x14ac:dyDescent="0.25">
      <c r="A8568" t="str">
        <f t="shared" si="135"/>
        <v/>
      </c>
    </row>
    <row r="8569" spans="1:1" x14ac:dyDescent="0.25">
      <c r="A8569" t="str">
        <f t="shared" si="135"/>
        <v/>
      </c>
    </row>
    <row r="8570" spans="1:1" x14ac:dyDescent="0.25">
      <c r="A8570" t="str">
        <f t="shared" si="135"/>
        <v/>
      </c>
    </row>
    <row r="8571" spans="1:1" x14ac:dyDescent="0.25">
      <c r="A8571" t="str">
        <f t="shared" si="135"/>
        <v/>
      </c>
    </row>
    <row r="8572" spans="1:1" x14ac:dyDescent="0.25">
      <c r="A8572" t="str">
        <f t="shared" si="135"/>
        <v/>
      </c>
    </row>
    <row r="8573" spans="1:1" x14ac:dyDescent="0.25">
      <c r="A8573" t="str">
        <f t="shared" si="135"/>
        <v/>
      </c>
    </row>
    <row r="8574" spans="1:1" x14ac:dyDescent="0.25">
      <c r="A8574" t="str">
        <f t="shared" si="135"/>
        <v/>
      </c>
    </row>
    <row r="8575" spans="1:1" x14ac:dyDescent="0.25">
      <c r="A8575" t="str">
        <f t="shared" si="135"/>
        <v/>
      </c>
    </row>
    <row r="8576" spans="1:1" x14ac:dyDescent="0.25">
      <c r="A8576" t="str">
        <f t="shared" si="135"/>
        <v/>
      </c>
    </row>
    <row r="8577" spans="1:1" x14ac:dyDescent="0.25">
      <c r="A8577" t="str">
        <f t="shared" si="135"/>
        <v/>
      </c>
    </row>
    <row r="8578" spans="1:1" x14ac:dyDescent="0.25">
      <c r="A8578" t="str">
        <f t="shared" si="135"/>
        <v/>
      </c>
    </row>
    <row r="8579" spans="1:1" x14ac:dyDescent="0.25">
      <c r="A8579" t="str">
        <f t="shared" si="135"/>
        <v/>
      </c>
    </row>
    <row r="8580" spans="1:1" x14ac:dyDescent="0.25">
      <c r="A8580" t="str">
        <f t="shared" si="135"/>
        <v/>
      </c>
    </row>
    <row r="8581" spans="1:1" x14ac:dyDescent="0.25">
      <c r="A8581" t="str">
        <f t="shared" si="135"/>
        <v/>
      </c>
    </row>
    <row r="8582" spans="1:1" x14ac:dyDescent="0.25">
      <c r="A8582" t="str">
        <f t="shared" si="135"/>
        <v/>
      </c>
    </row>
    <row r="8583" spans="1:1" x14ac:dyDescent="0.25">
      <c r="A8583" t="str">
        <f t="shared" si="135"/>
        <v/>
      </c>
    </row>
    <row r="8584" spans="1:1" x14ac:dyDescent="0.25">
      <c r="A8584" t="str">
        <f t="shared" si="135"/>
        <v/>
      </c>
    </row>
    <row r="8585" spans="1:1" x14ac:dyDescent="0.25">
      <c r="A8585" t="str">
        <f t="shared" si="135"/>
        <v/>
      </c>
    </row>
    <row r="8586" spans="1:1" x14ac:dyDescent="0.25">
      <c r="A8586" t="str">
        <f t="shared" si="135"/>
        <v/>
      </c>
    </row>
    <row r="8587" spans="1:1" x14ac:dyDescent="0.25">
      <c r="A8587" t="str">
        <f t="shared" si="135"/>
        <v/>
      </c>
    </row>
    <row r="8588" spans="1:1" x14ac:dyDescent="0.25">
      <c r="A8588" t="str">
        <f t="shared" si="135"/>
        <v/>
      </c>
    </row>
    <row r="8589" spans="1:1" x14ac:dyDescent="0.25">
      <c r="A8589" t="str">
        <f t="shared" si="135"/>
        <v/>
      </c>
    </row>
    <row r="8590" spans="1:1" x14ac:dyDescent="0.25">
      <c r="A8590" t="str">
        <f t="shared" si="135"/>
        <v/>
      </c>
    </row>
    <row r="8591" spans="1:1" x14ac:dyDescent="0.25">
      <c r="A8591" t="str">
        <f t="shared" si="135"/>
        <v/>
      </c>
    </row>
    <row r="8592" spans="1:1" x14ac:dyDescent="0.25">
      <c r="A8592" t="str">
        <f t="shared" si="135"/>
        <v/>
      </c>
    </row>
    <row r="8593" spans="1:1" x14ac:dyDescent="0.25">
      <c r="A8593" t="str">
        <f t="shared" si="135"/>
        <v/>
      </c>
    </row>
    <row r="8594" spans="1:1" x14ac:dyDescent="0.25">
      <c r="A8594" t="str">
        <f t="shared" si="135"/>
        <v/>
      </c>
    </row>
    <row r="8595" spans="1:1" x14ac:dyDescent="0.25">
      <c r="A8595" t="str">
        <f t="shared" si="135"/>
        <v/>
      </c>
    </row>
    <row r="8596" spans="1:1" x14ac:dyDescent="0.25">
      <c r="A8596" t="str">
        <f t="shared" si="135"/>
        <v/>
      </c>
    </row>
    <row r="8597" spans="1:1" x14ac:dyDescent="0.25">
      <c r="A8597" t="str">
        <f t="shared" si="135"/>
        <v/>
      </c>
    </row>
    <row r="8598" spans="1:1" x14ac:dyDescent="0.25">
      <c r="A8598" t="str">
        <f t="shared" si="135"/>
        <v/>
      </c>
    </row>
    <row r="8599" spans="1:1" x14ac:dyDescent="0.25">
      <c r="A8599" t="str">
        <f t="shared" si="135"/>
        <v/>
      </c>
    </row>
    <row r="8600" spans="1:1" x14ac:dyDescent="0.25">
      <c r="A8600" t="str">
        <f t="shared" si="135"/>
        <v/>
      </c>
    </row>
    <row r="8601" spans="1:1" x14ac:dyDescent="0.25">
      <c r="A8601" t="str">
        <f t="shared" si="135"/>
        <v/>
      </c>
    </row>
    <row r="8602" spans="1:1" x14ac:dyDescent="0.25">
      <c r="A8602" t="str">
        <f t="shared" si="135"/>
        <v/>
      </c>
    </row>
    <row r="8603" spans="1:1" x14ac:dyDescent="0.25">
      <c r="A8603" t="str">
        <f t="shared" si="135"/>
        <v/>
      </c>
    </row>
    <row r="8604" spans="1:1" x14ac:dyDescent="0.25">
      <c r="A8604" t="str">
        <f t="shared" si="135"/>
        <v/>
      </c>
    </row>
    <row r="8605" spans="1:1" x14ac:dyDescent="0.25">
      <c r="A8605" t="str">
        <f t="shared" si="135"/>
        <v/>
      </c>
    </row>
    <row r="8606" spans="1:1" x14ac:dyDescent="0.25">
      <c r="A8606" t="str">
        <f t="shared" si="135"/>
        <v/>
      </c>
    </row>
    <row r="8607" spans="1:1" x14ac:dyDescent="0.25">
      <c r="A8607" t="str">
        <f t="shared" si="135"/>
        <v/>
      </c>
    </row>
    <row r="8608" spans="1:1" x14ac:dyDescent="0.25">
      <c r="A8608" t="str">
        <f t="shared" si="135"/>
        <v/>
      </c>
    </row>
    <row r="8609" spans="1:1" x14ac:dyDescent="0.25">
      <c r="A8609" t="str">
        <f t="shared" si="135"/>
        <v/>
      </c>
    </row>
    <row r="8610" spans="1:1" x14ac:dyDescent="0.25">
      <c r="A8610" t="str">
        <f t="shared" si="135"/>
        <v/>
      </c>
    </row>
    <row r="8611" spans="1:1" x14ac:dyDescent="0.25">
      <c r="A8611" t="str">
        <f t="shared" si="135"/>
        <v/>
      </c>
    </row>
    <row r="8612" spans="1:1" x14ac:dyDescent="0.25">
      <c r="A8612" t="str">
        <f t="shared" si="135"/>
        <v/>
      </c>
    </row>
    <row r="8613" spans="1:1" x14ac:dyDescent="0.25">
      <c r="A8613" t="str">
        <f t="shared" si="135"/>
        <v/>
      </c>
    </row>
    <row r="8614" spans="1:1" x14ac:dyDescent="0.25">
      <c r="A8614" t="str">
        <f t="shared" si="135"/>
        <v/>
      </c>
    </row>
    <row r="8615" spans="1:1" x14ac:dyDescent="0.25">
      <c r="A8615" t="str">
        <f t="shared" si="135"/>
        <v/>
      </c>
    </row>
    <row r="8616" spans="1:1" x14ac:dyDescent="0.25">
      <c r="A8616" t="str">
        <f t="shared" si="135"/>
        <v/>
      </c>
    </row>
    <row r="8617" spans="1:1" x14ac:dyDescent="0.25">
      <c r="A8617" t="str">
        <f t="shared" si="135"/>
        <v/>
      </c>
    </row>
    <row r="8618" spans="1:1" x14ac:dyDescent="0.25">
      <c r="A8618" t="str">
        <f t="shared" si="135"/>
        <v/>
      </c>
    </row>
    <row r="8619" spans="1:1" x14ac:dyDescent="0.25">
      <c r="A8619" t="str">
        <f t="shared" si="135"/>
        <v/>
      </c>
    </row>
    <row r="8620" spans="1:1" x14ac:dyDescent="0.25">
      <c r="A8620" t="str">
        <f t="shared" si="135"/>
        <v/>
      </c>
    </row>
    <row r="8621" spans="1:1" x14ac:dyDescent="0.25">
      <c r="A8621" t="str">
        <f t="shared" si="135"/>
        <v/>
      </c>
    </row>
    <row r="8622" spans="1:1" x14ac:dyDescent="0.25">
      <c r="A8622" t="str">
        <f t="shared" si="135"/>
        <v/>
      </c>
    </row>
    <row r="8623" spans="1:1" x14ac:dyDescent="0.25">
      <c r="A8623" t="str">
        <f t="shared" si="135"/>
        <v/>
      </c>
    </row>
    <row r="8624" spans="1:1" x14ac:dyDescent="0.25">
      <c r="A8624" t="str">
        <f t="shared" si="135"/>
        <v/>
      </c>
    </row>
    <row r="8625" spans="1:1" x14ac:dyDescent="0.25">
      <c r="A8625" t="str">
        <f t="shared" si="135"/>
        <v/>
      </c>
    </row>
    <row r="8626" spans="1:1" x14ac:dyDescent="0.25">
      <c r="A8626" t="str">
        <f t="shared" si="135"/>
        <v/>
      </c>
    </row>
    <row r="8627" spans="1:1" x14ac:dyDescent="0.25">
      <c r="A8627" t="str">
        <f t="shared" si="135"/>
        <v/>
      </c>
    </row>
    <row r="8628" spans="1:1" x14ac:dyDescent="0.25">
      <c r="A8628" t="str">
        <f t="shared" si="135"/>
        <v/>
      </c>
    </row>
    <row r="8629" spans="1:1" x14ac:dyDescent="0.25">
      <c r="A8629" t="str">
        <f t="shared" ref="A8629:A8692" si="136">B8627&amp;D8627</f>
        <v/>
      </c>
    </row>
    <row r="8630" spans="1:1" x14ac:dyDescent="0.25">
      <c r="A8630" t="str">
        <f t="shared" si="136"/>
        <v/>
      </c>
    </row>
    <row r="8631" spans="1:1" x14ac:dyDescent="0.25">
      <c r="A8631" t="str">
        <f t="shared" si="136"/>
        <v/>
      </c>
    </row>
    <row r="8632" spans="1:1" x14ac:dyDescent="0.25">
      <c r="A8632" t="str">
        <f t="shared" si="136"/>
        <v/>
      </c>
    </row>
    <row r="8633" spans="1:1" x14ac:dyDescent="0.25">
      <c r="A8633" t="str">
        <f t="shared" si="136"/>
        <v/>
      </c>
    </row>
    <row r="8634" spans="1:1" x14ac:dyDescent="0.25">
      <c r="A8634" t="str">
        <f t="shared" si="136"/>
        <v/>
      </c>
    </row>
    <row r="8635" spans="1:1" x14ac:dyDescent="0.25">
      <c r="A8635" t="str">
        <f t="shared" si="136"/>
        <v/>
      </c>
    </row>
    <row r="8636" spans="1:1" x14ac:dyDescent="0.25">
      <c r="A8636" t="str">
        <f t="shared" si="136"/>
        <v/>
      </c>
    </row>
    <row r="8637" spans="1:1" x14ac:dyDescent="0.25">
      <c r="A8637" t="str">
        <f t="shared" si="136"/>
        <v/>
      </c>
    </row>
    <row r="8638" spans="1:1" x14ac:dyDescent="0.25">
      <c r="A8638" t="str">
        <f t="shared" si="136"/>
        <v/>
      </c>
    </row>
    <row r="8639" spans="1:1" x14ac:dyDescent="0.25">
      <c r="A8639" t="str">
        <f t="shared" si="136"/>
        <v/>
      </c>
    </row>
    <row r="8640" spans="1:1" x14ac:dyDescent="0.25">
      <c r="A8640" t="str">
        <f t="shared" si="136"/>
        <v/>
      </c>
    </row>
    <row r="8641" spans="1:1" x14ac:dyDescent="0.25">
      <c r="A8641" t="str">
        <f t="shared" si="136"/>
        <v/>
      </c>
    </row>
    <row r="8642" spans="1:1" x14ac:dyDescent="0.25">
      <c r="A8642" t="str">
        <f t="shared" si="136"/>
        <v/>
      </c>
    </row>
    <row r="8643" spans="1:1" x14ac:dyDescent="0.25">
      <c r="A8643" t="str">
        <f t="shared" si="136"/>
        <v/>
      </c>
    </row>
    <row r="8644" spans="1:1" x14ac:dyDescent="0.25">
      <c r="A8644" t="str">
        <f t="shared" si="136"/>
        <v/>
      </c>
    </row>
    <row r="8645" spans="1:1" x14ac:dyDescent="0.25">
      <c r="A8645" t="str">
        <f t="shared" si="136"/>
        <v/>
      </c>
    </row>
    <row r="8646" spans="1:1" x14ac:dyDescent="0.25">
      <c r="A8646" t="str">
        <f t="shared" si="136"/>
        <v/>
      </c>
    </row>
    <row r="8647" spans="1:1" x14ac:dyDescent="0.25">
      <c r="A8647" t="str">
        <f t="shared" si="136"/>
        <v/>
      </c>
    </row>
    <row r="8648" spans="1:1" x14ac:dyDescent="0.25">
      <c r="A8648" t="str">
        <f t="shared" si="136"/>
        <v/>
      </c>
    </row>
    <row r="8649" spans="1:1" x14ac:dyDescent="0.25">
      <c r="A8649" t="str">
        <f t="shared" si="136"/>
        <v/>
      </c>
    </row>
    <row r="8650" spans="1:1" x14ac:dyDescent="0.25">
      <c r="A8650" t="str">
        <f t="shared" si="136"/>
        <v/>
      </c>
    </row>
    <row r="8651" spans="1:1" x14ac:dyDescent="0.25">
      <c r="A8651" t="str">
        <f t="shared" si="136"/>
        <v/>
      </c>
    </row>
    <row r="8652" spans="1:1" x14ac:dyDescent="0.25">
      <c r="A8652" t="str">
        <f t="shared" si="136"/>
        <v/>
      </c>
    </row>
    <row r="8653" spans="1:1" x14ac:dyDescent="0.25">
      <c r="A8653" t="str">
        <f t="shared" si="136"/>
        <v/>
      </c>
    </row>
    <row r="8654" spans="1:1" x14ac:dyDescent="0.25">
      <c r="A8654" t="str">
        <f t="shared" si="136"/>
        <v/>
      </c>
    </row>
    <row r="8655" spans="1:1" x14ac:dyDescent="0.25">
      <c r="A8655" t="str">
        <f t="shared" si="136"/>
        <v/>
      </c>
    </row>
    <row r="8656" spans="1:1" x14ac:dyDescent="0.25">
      <c r="A8656" t="str">
        <f t="shared" si="136"/>
        <v/>
      </c>
    </row>
    <row r="8657" spans="1:1" x14ac:dyDescent="0.25">
      <c r="A8657" t="str">
        <f t="shared" si="136"/>
        <v/>
      </c>
    </row>
    <row r="8658" spans="1:1" x14ac:dyDescent="0.25">
      <c r="A8658" t="str">
        <f t="shared" si="136"/>
        <v/>
      </c>
    </row>
    <row r="8659" spans="1:1" x14ac:dyDescent="0.25">
      <c r="A8659" t="str">
        <f t="shared" si="136"/>
        <v/>
      </c>
    </row>
    <row r="8660" spans="1:1" x14ac:dyDescent="0.25">
      <c r="A8660" t="str">
        <f t="shared" si="136"/>
        <v/>
      </c>
    </row>
    <row r="8661" spans="1:1" x14ac:dyDescent="0.25">
      <c r="A8661" t="str">
        <f t="shared" si="136"/>
        <v/>
      </c>
    </row>
    <row r="8662" spans="1:1" x14ac:dyDescent="0.25">
      <c r="A8662" t="str">
        <f t="shared" si="136"/>
        <v/>
      </c>
    </row>
    <row r="8663" spans="1:1" x14ac:dyDescent="0.25">
      <c r="A8663" t="str">
        <f t="shared" si="136"/>
        <v/>
      </c>
    </row>
    <row r="8664" spans="1:1" x14ac:dyDescent="0.25">
      <c r="A8664" t="str">
        <f t="shared" si="136"/>
        <v/>
      </c>
    </row>
    <row r="8665" spans="1:1" x14ac:dyDescent="0.25">
      <c r="A8665" t="str">
        <f t="shared" si="136"/>
        <v/>
      </c>
    </row>
    <row r="8666" spans="1:1" x14ac:dyDescent="0.25">
      <c r="A8666" t="str">
        <f t="shared" si="136"/>
        <v/>
      </c>
    </row>
    <row r="8667" spans="1:1" x14ac:dyDescent="0.25">
      <c r="A8667" t="str">
        <f t="shared" si="136"/>
        <v/>
      </c>
    </row>
    <row r="8668" spans="1:1" x14ac:dyDescent="0.25">
      <c r="A8668" t="str">
        <f t="shared" si="136"/>
        <v/>
      </c>
    </row>
    <row r="8669" spans="1:1" x14ac:dyDescent="0.25">
      <c r="A8669" t="str">
        <f t="shared" si="136"/>
        <v/>
      </c>
    </row>
    <row r="8670" spans="1:1" x14ac:dyDescent="0.25">
      <c r="A8670" t="str">
        <f t="shared" si="136"/>
        <v/>
      </c>
    </row>
    <row r="8671" spans="1:1" x14ac:dyDescent="0.25">
      <c r="A8671" t="str">
        <f t="shared" si="136"/>
        <v/>
      </c>
    </row>
    <row r="8672" spans="1:1" x14ac:dyDescent="0.25">
      <c r="A8672" t="str">
        <f t="shared" si="136"/>
        <v/>
      </c>
    </row>
    <row r="8673" spans="1:1" x14ac:dyDescent="0.25">
      <c r="A8673" t="str">
        <f t="shared" si="136"/>
        <v/>
      </c>
    </row>
    <row r="8674" spans="1:1" x14ac:dyDescent="0.25">
      <c r="A8674" t="str">
        <f t="shared" si="136"/>
        <v/>
      </c>
    </row>
    <row r="8675" spans="1:1" x14ac:dyDescent="0.25">
      <c r="A8675" t="str">
        <f t="shared" si="136"/>
        <v/>
      </c>
    </row>
    <row r="8676" spans="1:1" x14ac:dyDescent="0.25">
      <c r="A8676" t="str">
        <f t="shared" si="136"/>
        <v/>
      </c>
    </row>
    <row r="8677" spans="1:1" x14ac:dyDescent="0.25">
      <c r="A8677" t="str">
        <f t="shared" si="136"/>
        <v/>
      </c>
    </row>
    <row r="8678" spans="1:1" x14ac:dyDescent="0.25">
      <c r="A8678" t="str">
        <f t="shared" si="136"/>
        <v/>
      </c>
    </row>
    <row r="8679" spans="1:1" x14ac:dyDescent="0.25">
      <c r="A8679" t="str">
        <f t="shared" si="136"/>
        <v/>
      </c>
    </row>
    <row r="8680" spans="1:1" x14ac:dyDescent="0.25">
      <c r="A8680" t="str">
        <f t="shared" si="136"/>
        <v/>
      </c>
    </row>
    <row r="8681" spans="1:1" x14ac:dyDescent="0.25">
      <c r="A8681" t="str">
        <f t="shared" si="136"/>
        <v/>
      </c>
    </row>
    <row r="8682" spans="1:1" x14ac:dyDescent="0.25">
      <c r="A8682" t="str">
        <f t="shared" si="136"/>
        <v/>
      </c>
    </row>
    <row r="8683" spans="1:1" x14ac:dyDescent="0.25">
      <c r="A8683" t="str">
        <f t="shared" si="136"/>
        <v/>
      </c>
    </row>
    <row r="8684" spans="1:1" x14ac:dyDescent="0.25">
      <c r="A8684" t="str">
        <f t="shared" si="136"/>
        <v/>
      </c>
    </row>
    <row r="8685" spans="1:1" x14ac:dyDescent="0.25">
      <c r="A8685" t="str">
        <f t="shared" si="136"/>
        <v/>
      </c>
    </row>
    <row r="8686" spans="1:1" x14ac:dyDescent="0.25">
      <c r="A8686" t="str">
        <f t="shared" si="136"/>
        <v/>
      </c>
    </row>
    <row r="8687" spans="1:1" x14ac:dyDescent="0.25">
      <c r="A8687" t="str">
        <f t="shared" si="136"/>
        <v/>
      </c>
    </row>
    <row r="8688" spans="1:1" x14ac:dyDescent="0.25">
      <c r="A8688" t="str">
        <f t="shared" si="136"/>
        <v/>
      </c>
    </row>
    <row r="8689" spans="1:1" x14ac:dyDescent="0.25">
      <c r="A8689" t="str">
        <f t="shared" si="136"/>
        <v/>
      </c>
    </row>
    <row r="8690" spans="1:1" x14ac:dyDescent="0.25">
      <c r="A8690" t="str">
        <f t="shared" si="136"/>
        <v/>
      </c>
    </row>
    <row r="8691" spans="1:1" x14ac:dyDescent="0.25">
      <c r="A8691" t="str">
        <f t="shared" si="136"/>
        <v/>
      </c>
    </row>
    <row r="8692" spans="1:1" x14ac:dyDescent="0.25">
      <c r="A8692" t="str">
        <f t="shared" si="136"/>
        <v/>
      </c>
    </row>
    <row r="8693" spans="1:1" x14ac:dyDescent="0.25">
      <c r="A8693" t="str">
        <f t="shared" ref="A8693:A8756" si="137">B8691&amp;D8691</f>
        <v/>
      </c>
    </row>
    <row r="8694" spans="1:1" x14ac:dyDescent="0.25">
      <c r="A8694" t="str">
        <f t="shared" si="137"/>
        <v/>
      </c>
    </row>
    <row r="8695" spans="1:1" x14ac:dyDescent="0.25">
      <c r="A8695" t="str">
        <f t="shared" si="137"/>
        <v/>
      </c>
    </row>
    <row r="8696" spans="1:1" x14ac:dyDescent="0.25">
      <c r="A8696" t="str">
        <f t="shared" si="137"/>
        <v/>
      </c>
    </row>
    <row r="8697" spans="1:1" x14ac:dyDescent="0.25">
      <c r="A8697" t="str">
        <f t="shared" si="137"/>
        <v/>
      </c>
    </row>
    <row r="8698" spans="1:1" x14ac:dyDescent="0.25">
      <c r="A8698" t="str">
        <f t="shared" si="137"/>
        <v/>
      </c>
    </row>
    <row r="8699" spans="1:1" x14ac:dyDescent="0.25">
      <c r="A8699" t="str">
        <f t="shared" si="137"/>
        <v/>
      </c>
    </row>
    <row r="8700" spans="1:1" x14ac:dyDescent="0.25">
      <c r="A8700" t="str">
        <f t="shared" si="137"/>
        <v/>
      </c>
    </row>
    <row r="8701" spans="1:1" x14ac:dyDescent="0.25">
      <c r="A8701" t="str">
        <f t="shared" si="137"/>
        <v/>
      </c>
    </row>
    <row r="8702" spans="1:1" x14ac:dyDescent="0.25">
      <c r="A8702" t="str">
        <f t="shared" si="137"/>
        <v/>
      </c>
    </row>
    <row r="8703" spans="1:1" x14ac:dyDescent="0.25">
      <c r="A8703" t="str">
        <f t="shared" si="137"/>
        <v/>
      </c>
    </row>
    <row r="8704" spans="1:1" x14ac:dyDescent="0.25">
      <c r="A8704" t="str">
        <f t="shared" si="137"/>
        <v/>
      </c>
    </row>
    <row r="8705" spans="1:1" x14ac:dyDescent="0.25">
      <c r="A8705" t="str">
        <f t="shared" si="137"/>
        <v/>
      </c>
    </row>
    <row r="8706" spans="1:1" x14ac:dyDescent="0.25">
      <c r="A8706" t="str">
        <f t="shared" si="137"/>
        <v/>
      </c>
    </row>
    <row r="8707" spans="1:1" x14ac:dyDescent="0.25">
      <c r="A8707" t="str">
        <f t="shared" si="137"/>
        <v/>
      </c>
    </row>
    <row r="8708" spans="1:1" x14ac:dyDescent="0.25">
      <c r="A8708" t="str">
        <f t="shared" si="137"/>
        <v/>
      </c>
    </row>
    <row r="8709" spans="1:1" x14ac:dyDescent="0.25">
      <c r="A8709" t="str">
        <f t="shared" si="137"/>
        <v/>
      </c>
    </row>
    <row r="8710" spans="1:1" x14ac:dyDescent="0.25">
      <c r="A8710" t="str">
        <f t="shared" si="137"/>
        <v/>
      </c>
    </row>
    <row r="8711" spans="1:1" x14ac:dyDescent="0.25">
      <c r="A8711" t="str">
        <f t="shared" si="137"/>
        <v/>
      </c>
    </row>
    <row r="8712" spans="1:1" x14ac:dyDescent="0.25">
      <c r="A8712" t="str">
        <f t="shared" si="137"/>
        <v/>
      </c>
    </row>
    <row r="8713" spans="1:1" x14ac:dyDescent="0.25">
      <c r="A8713" t="str">
        <f t="shared" si="137"/>
        <v/>
      </c>
    </row>
    <row r="8714" spans="1:1" x14ac:dyDescent="0.25">
      <c r="A8714" t="str">
        <f t="shared" si="137"/>
        <v/>
      </c>
    </row>
    <row r="8715" spans="1:1" x14ac:dyDescent="0.25">
      <c r="A8715" t="str">
        <f t="shared" si="137"/>
        <v/>
      </c>
    </row>
    <row r="8716" spans="1:1" x14ac:dyDescent="0.25">
      <c r="A8716" t="str">
        <f t="shared" si="137"/>
        <v/>
      </c>
    </row>
    <row r="8717" spans="1:1" x14ac:dyDescent="0.25">
      <c r="A8717" t="str">
        <f t="shared" si="137"/>
        <v/>
      </c>
    </row>
    <row r="8718" spans="1:1" x14ac:dyDescent="0.25">
      <c r="A8718" t="str">
        <f t="shared" si="137"/>
        <v/>
      </c>
    </row>
    <row r="8719" spans="1:1" x14ac:dyDescent="0.25">
      <c r="A8719" t="str">
        <f t="shared" si="137"/>
        <v/>
      </c>
    </row>
    <row r="8720" spans="1:1" x14ac:dyDescent="0.25">
      <c r="A8720" t="str">
        <f t="shared" si="137"/>
        <v/>
      </c>
    </row>
    <row r="8721" spans="1:1" x14ac:dyDescent="0.25">
      <c r="A8721" t="str">
        <f t="shared" si="137"/>
        <v/>
      </c>
    </row>
    <row r="8722" spans="1:1" x14ac:dyDescent="0.25">
      <c r="A8722" t="str">
        <f t="shared" si="137"/>
        <v/>
      </c>
    </row>
    <row r="8723" spans="1:1" x14ac:dyDescent="0.25">
      <c r="A8723" t="str">
        <f t="shared" si="137"/>
        <v/>
      </c>
    </row>
    <row r="8724" spans="1:1" x14ac:dyDescent="0.25">
      <c r="A8724" t="str">
        <f t="shared" si="137"/>
        <v/>
      </c>
    </row>
    <row r="8725" spans="1:1" x14ac:dyDescent="0.25">
      <c r="A8725" t="str">
        <f t="shared" si="137"/>
        <v/>
      </c>
    </row>
    <row r="8726" spans="1:1" x14ac:dyDescent="0.25">
      <c r="A8726" t="str">
        <f t="shared" si="137"/>
        <v/>
      </c>
    </row>
    <row r="8727" spans="1:1" x14ac:dyDescent="0.25">
      <c r="A8727" t="str">
        <f t="shared" si="137"/>
        <v/>
      </c>
    </row>
    <row r="8728" spans="1:1" x14ac:dyDescent="0.25">
      <c r="A8728" t="str">
        <f t="shared" si="137"/>
        <v/>
      </c>
    </row>
    <row r="8729" spans="1:1" x14ac:dyDescent="0.25">
      <c r="A8729" t="str">
        <f t="shared" si="137"/>
        <v/>
      </c>
    </row>
    <row r="8730" spans="1:1" x14ac:dyDescent="0.25">
      <c r="A8730" t="str">
        <f t="shared" si="137"/>
        <v/>
      </c>
    </row>
    <row r="8731" spans="1:1" x14ac:dyDescent="0.25">
      <c r="A8731" t="str">
        <f t="shared" si="137"/>
        <v/>
      </c>
    </row>
    <row r="8732" spans="1:1" x14ac:dyDescent="0.25">
      <c r="A8732" t="str">
        <f t="shared" si="137"/>
        <v/>
      </c>
    </row>
    <row r="8733" spans="1:1" x14ac:dyDescent="0.25">
      <c r="A8733" t="str">
        <f t="shared" si="137"/>
        <v/>
      </c>
    </row>
    <row r="8734" spans="1:1" x14ac:dyDescent="0.25">
      <c r="A8734" t="str">
        <f t="shared" si="137"/>
        <v/>
      </c>
    </row>
    <row r="8735" spans="1:1" x14ac:dyDescent="0.25">
      <c r="A8735" t="str">
        <f t="shared" si="137"/>
        <v/>
      </c>
    </row>
    <row r="8736" spans="1:1" x14ac:dyDescent="0.25">
      <c r="A8736" t="str">
        <f t="shared" si="137"/>
        <v/>
      </c>
    </row>
    <row r="8737" spans="1:1" x14ac:dyDescent="0.25">
      <c r="A8737" t="str">
        <f t="shared" si="137"/>
        <v/>
      </c>
    </row>
    <row r="8738" spans="1:1" x14ac:dyDescent="0.25">
      <c r="A8738" t="str">
        <f t="shared" si="137"/>
        <v/>
      </c>
    </row>
    <row r="8739" spans="1:1" x14ac:dyDescent="0.25">
      <c r="A8739" t="str">
        <f t="shared" si="137"/>
        <v/>
      </c>
    </row>
    <row r="8740" spans="1:1" x14ac:dyDescent="0.25">
      <c r="A8740" t="str">
        <f t="shared" si="137"/>
        <v/>
      </c>
    </row>
    <row r="8741" spans="1:1" x14ac:dyDescent="0.25">
      <c r="A8741" t="str">
        <f t="shared" si="137"/>
        <v/>
      </c>
    </row>
    <row r="8742" spans="1:1" x14ac:dyDescent="0.25">
      <c r="A8742" t="str">
        <f t="shared" si="137"/>
        <v/>
      </c>
    </row>
    <row r="8743" spans="1:1" x14ac:dyDescent="0.25">
      <c r="A8743" t="str">
        <f t="shared" si="137"/>
        <v/>
      </c>
    </row>
    <row r="8744" spans="1:1" x14ac:dyDescent="0.25">
      <c r="A8744" t="str">
        <f t="shared" si="137"/>
        <v/>
      </c>
    </row>
    <row r="8745" spans="1:1" x14ac:dyDescent="0.25">
      <c r="A8745" t="str">
        <f t="shared" si="137"/>
        <v/>
      </c>
    </row>
    <row r="8746" spans="1:1" x14ac:dyDescent="0.25">
      <c r="A8746" t="str">
        <f t="shared" si="137"/>
        <v/>
      </c>
    </row>
    <row r="8747" spans="1:1" x14ac:dyDescent="0.25">
      <c r="A8747" t="str">
        <f t="shared" si="137"/>
        <v/>
      </c>
    </row>
    <row r="8748" spans="1:1" x14ac:dyDescent="0.25">
      <c r="A8748" t="str">
        <f t="shared" si="137"/>
        <v/>
      </c>
    </row>
    <row r="8749" spans="1:1" x14ac:dyDescent="0.25">
      <c r="A8749" t="str">
        <f t="shared" si="137"/>
        <v/>
      </c>
    </row>
    <row r="8750" spans="1:1" x14ac:dyDescent="0.25">
      <c r="A8750" t="str">
        <f t="shared" si="137"/>
        <v/>
      </c>
    </row>
    <row r="8751" spans="1:1" x14ac:dyDescent="0.25">
      <c r="A8751" t="str">
        <f t="shared" si="137"/>
        <v/>
      </c>
    </row>
    <row r="8752" spans="1:1" x14ac:dyDescent="0.25">
      <c r="A8752" t="str">
        <f t="shared" si="137"/>
        <v/>
      </c>
    </row>
    <row r="8753" spans="1:1" x14ac:dyDescent="0.25">
      <c r="A8753" t="str">
        <f t="shared" si="137"/>
        <v/>
      </c>
    </row>
    <row r="8754" spans="1:1" x14ac:dyDescent="0.25">
      <c r="A8754" t="str">
        <f t="shared" si="137"/>
        <v/>
      </c>
    </row>
    <row r="8755" spans="1:1" x14ac:dyDescent="0.25">
      <c r="A8755" t="str">
        <f t="shared" si="137"/>
        <v/>
      </c>
    </row>
    <row r="8756" spans="1:1" x14ac:dyDescent="0.25">
      <c r="A8756" t="str">
        <f t="shared" si="137"/>
        <v/>
      </c>
    </row>
    <row r="8757" spans="1:1" x14ac:dyDescent="0.25">
      <c r="A8757" t="str">
        <f t="shared" ref="A8757:A8820" si="138">B8755&amp;D8755</f>
        <v/>
      </c>
    </row>
    <row r="8758" spans="1:1" x14ac:dyDescent="0.25">
      <c r="A8758" t="str">
        <f t="shared" si="138"/>
        <v/>
      </c>
    </row>
    <row r="8759" spans="1:1" x14ac:dyDescent="0.25">
      <c r="A8759" t="str">
        <f t="shared" si="138"/>
        <v/>
      </c>
    </row>
    <row r="8760" spans="1:1" x14ac:dyDescent="0.25">
      <c r="A8760" t="str">
        <f t="shared" si="138"/>
        <v/>
      </c>
    </row>
    <row r="8761" spans="1:1" x14ac:dyDescent="0.25">
      <c r="A8761" t="str">
        <f t="shared" si="138"/>
        <v/>
      </c>
    </row>
    <row r="8762" spans="1:1" x14ac:dyDescent="0.25">
      <c r="A8762" t="str">
        <f t="shared" si="138"/>
        <v/>
      </c>
    </row>
    <row r="8763" spans="1:1" x14ac:dyDescent="0.25">
      <c r="A8763" t="str">
        <f t="shared" si="138"/>
        <v/>
      </c>
    </row>
    <row r="8764" spans="1:1" x14ac:dyDescent="0.25">
      <c r="A8764" t="str">
        <f t="shared" si="138"/>
        <v/>
      </c>
    </row>
    <row r="8765" spans="1:1" x14ac:dyDescent="0.25">
      <c r="A8765" t="str">
        <f t="shared" si="138"/>
        <v/>
      </c>
    </row>
    <row r="8766" spans="1:1" x14ac:dyDescent="0.25">
      <c r="A8766" t="str">
        <f t="shared" si="138"/>
        <v/>
      </c>
    </row>
    <row r="8767" spans="1:1" x14ac:dyDescent="0.25">
      <c r="A8767" t="str">
        <f t="shared" si="138"/>
        <v/>
      </c>
    </row>
    <row r="8768" spans="1:1" x14ac:dyDescent="0.25">
      <c r="A8768" t="str">
        <f t="shared" si="138"/>
        <v/>
      </c>
    </row>
    <row r="8769" spans="1:1" x14ac:dyDescent="0.25">
      <c r="A8769" t="str">
        <f t="shared" si="138"/>
        <v/>
      </c>
    </row>
    <row r="8770" spans="1:1" x14ac:dyDescent="0.25">
      <c r="A8770" t="str">
        <f t="shared" si="138"/>
        <v/>
      </c>
    </row>
    <row r="8771" spans="1:1" x14ac:dyDescent="0.25">
      <c r="A8771" t="str">
        <f t="shared" si="138"/>
        <v/>
      </c>
    </row>
    <row r="8772" spans="1:1" x14ac:dyDescent="0.25">
      <c r="A8772" t="str">
        <f t="shared" si="138"/>
        <v/>
      </c>
    </row>
    <row r="8773" spans="1:1" x14ac:dyDescent="0.25">
      <c r="A8773" t="str">
        <f t="shared" si="138"/>
        <v/>
      </c>
    </row>
    <row r="8774" spans="1:1" x14ac:dyDescent="0.25">
      <c r="A8774" t="str">
        <f t="shared" si="138"/>
        <v/>
      </c>
    </row>
    <row r="8775" spans="1:1" x14ac:dyDescent="0.25">
      <c r="A8775" t="str">
        <f t="shared" si="138"/>
        <v/>
      </c>
    </row>
    <row r="8776" spans="1:1" x14ac:dyDescent="0.25">
      <c r="A8776" t="str">
        <f t="shared" si="138"/>
        <v/>
      </c>
    </row>
    <row r="8777" spans="1:1" x14ac:dyDescent="0.25">
      <c r="A8777" t="str">
        <f t="shared" si="138"/>
        <v/>
      </c>
    </row>
    <row r="8778" spans="1:1" x14ac:dyDescent="0.25">
      <c r="A8778" t="str">
        <f t="shared" si="138"/>
        <v/>
      </c>
    </row>
    <row r="8779" spans="1:1" x14ac:dyDescent="0.25">
      <c r="A8779" t="str">
        <f t="shared" si="138"/>
        <v/>
      </c>
    </row>
    <row r="8780" spans="1:1" x14ac:dyDescent="0.25">
      <c r="A8780" t="str">
        <f t="shared" si="138"/>
        <v/>
      </c>
    </row>
    <row r="8781" spans="1:1" x14ac:dyDescent="0.25">
      <c r="A8781" t="str">
        <f t="shared" si="138"/>
        <v/>
      </c>
    </row>
    <row r="8782" spans="1:1" x14ac:dyDescent="0.25">
      <c r="A8782" t="str">
        <f t="shared" si="138"/>
        <v/>
      </c>
    </row>
    <row r="8783" spans="1:1" x14ac:dyDescent="0.25">
      <c r="A8783" t="str">
        <f t="shared" si="138"/>
        <v/>
      </c>
    </row>
    <row r="8784" spans="1:1" x14ac:dyDescent="0.25">
      <c r="A8784" t="str">
        <f t="shared" si="138"/>
        <v/>
      </c>
    </row>
    <row r="8785" spans="1:1" x14ac:dyDescent="0.25">
      <c r="A8785" t="str">
        <f t="shared" si="138"/>
        <v/>
      </c>
    </row>
    <row r="8786" spans="1:1" x14ac:dyDescent="0.25">
      <c r="A8786" t="str">
        <f t="shared" si="138"/>
        <v/>
      </c>
    </row>
    <row r="8787" spans="1:1" x14ac:dyDescent="0.25">
      <c r="A8787" t="str">
        <f t="shared" si="138"/>
        <v/>
      </c>
    </row>
    <row r="8788" spans="1:1" x14ac:dyDescent="0.25">
      <c r="A8788" t="str">
        <f t="shared" si="138"/>
        <v/>
      </c>
    </row>
    <row r="8789" spans="1:1" x14ac:dyDescent="0.25">
      <c r="A8789" t="str">
        <f t="shared" si="138"/>
        <v/>
      </c>
    </row>
    <row r="8790" spans="1:1" x14ac:dyDescent="0.25">
      <c r="A8790" t="str">
        <f t="shared" si="138"/>
        <v/>
      </c>
    </row>
    <row r="8791" spans="1:1" x14ac:dyDescent="0.25">
      <c r="A8791" t="str">
        <f t="shared" si="138"/>
        <v/>
      </c>
    </row>
    <row r="8792" spans="1:1" x14ac:dyDescent="0.25">
      <c r="A8792" t="str">
        <f t="shared" si="138"/>
        <v/>
      </c>
    </row>
    <row r="8793" spans="1:1" x14ac:dyDescent="0.25">
      <c r="A8793" t="str">
        <f t="shared" si="138"/>
        <v/>
      </c>
    </row>
    <row r="8794" spans="1:1" x14ac:dyDescent="0.25">
      <c r="A8794" t="str">
        <f t="shared" si="138"/>
        <v/>
      </c>
    </row>
    <row r="8795" spans="1:1" x14ac:dyDescent="0.25">
      <c r="A8795" t="str">
        <f t="shared" si="138"/>
        <v/>
      </c>
    </row>
    <row r="8796" spans="1:1" x14ac:dyDescent="0.25">
      <c r="A8796" t="str">
        <f t="shared" si="138"/>
        <v/>
      </c>
    </row>
    <row r="8797" spans="1:1" x14ac:dyDescent="0.25">
      <c r="A8797" t="str">
        <f t="shared" si="138"/>
        <v/>
      </c>
    </row>
    <row r="8798" spans="1:1" x14ac:dyDescent="0.25">
      <c r="A8798" t="str">
        <f t="shared" si="138"/>
        <v/>
      </c>
    </row>
    <row r="8799" spans="1:1" x14ac:dyDescent="0.25">
      <c r="A8799" t="str">
        <f t="shared" si="138"/>
        <v/>
      </c>
    </row>
    <row r="8800" spans="1:1" x14ac:dyDescent="0.25">
      <c r="A8800" t="str">
        <f t="shared" si="138"/>
        <v/>
      </c>
    </row>
    <row r="8801" spans="1:1" x14ac:dyDescent="0.25">
      <c r="A8801" t="str">
        <f t="shared" si="138"/>
        <v/>
      </c>
    </row>
    <row r="8802" spans="1:1" x14ac:dyDescent="0.25">
      <c r="A8802" t="str">
        <f t="shared" si="138"/>
        <v/>
      </c>
    </row>
    <row r="8803" spans="1:1" x14ac:dyDescent="0.25">
      <c r="A8803" t="str">
        <f t="shared" si="138"/>
        <v/>
      </c>
    </row>
    <row r="8804" spans="1:1" x14ac:dyDescent="0.25">
      <c r="A8804" t="str">
        <f t="shared" si="138"/>
        <v/>
      </c>
    </row>
    <row r="8805" spans="1:1" x14ac:dyDescent="0.25">
      <c r="A8805" t="str">
        <f t="shared" si="138"/>
        <v/>
      </c>
    </row>
    <row r="8806" spans="1:1" x14ac:dyDescent="0.25">
      <c r="A8806" t="str">
        <f t="shared" si="138"/>
        <v/>
      </c>
    </row>
    <row r="8807" spans="1:1" x14ac:dyDescent="0.25">
      <c r="A8807" t="str">
        <f t="shared" si="138"/>
        <v/>
      </c>
    </row>
    <row r="8808" spans="1:1" x14ac:dyDescent="0.25">
      <c r="A8808" t="str">
        <f t="shared" si="138"/>
        <v/>
      </c>
    </row>
    <row r="8809" spans="1:1" x14ac:dyDescent="0.25">
      <c r="A8809" t="str">
        <f t="shared" si="138"/>
        <v/>
      </c>
    </row>
    <row r="8810" spans="1:1" x14ac:dyDescent="0.25">
      <c r="A8810" t="str">
        <f t="shared" si="138"/>
        <v/>
      </c>
    </row>
    <row r="8811" spans="1:1" x14ac:dyDescent="0.25">
      <c r="A8811" t="str">
        <f t="shared" si="138"/>
        <v/>
      </c>
    </row>
    <row r="8812" spans="1:1" x14ac:dyDescent="0.25">
      <c r="A8812" t="str">
        <f t="shared" si="138"/>
        <v/>
      </c>
    </row>
    <row r="8813" spans="1:1" x14ac:dyDescent="0.25">
      <c r="A8813" t="str">
        <f t="shared" si="138"/>
        <v/>
      </c>
    </row>
    <row r="8814" spans="1:1" x14ac:dyDescent="0.25">
      <c r="A8814" t="str">
        <f t="shared" si="138"/>
        <v/>
      </c>
    </row>
    <row r="8815" spans="1:1" x14ac:dyDescent="0.25">
      <c r="A8815" t="str">
        <f t="shared" si="138"/>
        <v/>
      </c>
    </row>
    <row r="8816" spans="1:1" x14ac:dyDescent="0.25">
      <c r="A8816" t="str">
        <f t="shared" si="138"/>
        <v/>
      </c>
    </row>
    <row r="8817" spans="1:1" x14ac:dyDescent="0.25">
      <c r="A8817" t="str">
        <f t="shared" si="138"/>
        <v/>
      </c>
    </row>
    <row r="8818" spans="1:1" x14ac:dyDescent="0.25">
      <c r="A8818" t="str">
        <f t="shared" si="138"/>
        <v/>
      </c>
    </row>
    <row r="8819" spans="1:1" x14ac:dyDescent="0.25">
      <c r="A8819" t="str">
        <f t="shared" si="138"/>
        <v/>
      </c>
    </row>
    <row r="8820" spans="1:1" x14ac:dyDescent="0.25">
      <c r="A8820" t="str">
        <f t="shared" si="138"/>
        <v/>
      </c>
    </row>
    <row r="8821" spans="1:1" x14ac:dyDescent="0.25">
      <c r="A8821" t="str">
        <f t="shared" ref="A8821:A8884" si="139">B8819&amp;D8819</f>
        <v/>
      </c>
    </row>
    <row r="8822" spans="1:1" x14ac:dyDescent="0.25">
      <c r="A8822" t="str">
        <f t="shared" si="139"/>
        <v/>
      </c>
    </row>
    <row r="8823" spans="1:1" x14ac:dyDescent="0.25">
      <c r="A8823" t="str">
        <f t="shared" si="139"/>
        <v/>
      </c>
    </row>
    <row r="8824" spans="1:1" x14ac:dyDescent="0.25">
      <c r="A8824" t="str">
        <f t="shared" si="139"/>
        <v/>
      </c>
    </row>
    <row r="8825" spans="1:1" x14ac:dyDescent="0.25">
      <c r="A8825" t="str">
        <f t="shared" si="139"/>
        <v/>
      </c>
    </row>
    <row r="8826" spans="1:1" x14ac:dyDescent="0.25">
      <c r="A8826" t="str">
        <f t="shared" si="139"/>
        <v/>
      </c>
    </row>
    <row r="8827" spans="1:1" x14ac:dyDescent="0.25">
      <c r="A8827" t="str">
        <f t="shared" si="139"/>
        <v/>
      </c>
    </row>
    <row r="8828" spans="1:1" x14ac:dyDescent="0.25">
      <c r="A8828" t="str">
        <f t="shared" si="139"/>
        <v/>
      </c>
    </row>
    <row r="8829" spans="1:1" x14ac:dyDescent="0.25">
      <c r="A8829" t="str">
        <f t="shared" si="139"/>
        <v/>
      </c>
    </row>
    <row r="8830" spans="1:1" x14ac:dyDescent="0.25">
      <c r="A8830" t="str">
        <f t="shared" si="139"/>
        <v/>
      </c>
    </row>
    <row r="8831" spans="1:1" x14ac:dyDescent="0.25">
      <c r="A8831" t="str">
        <f t="shared" si="139"/>
        <v/>
      </c>
    </row>
    <row r="8832" spans="1:1" x14ac:dyDescent="0.25">
      <c r="A8832" t="str">
        <f t="shared" si="139"/>
        <v/>
      </c>
    </row>
    <row r="8833" spans="1:1" x14ac:dyDescent="0.25">
      <c r="A8833" t="str">
        <f t="shared" si="139"/>
        <v/>
      </c>
    </row>
    <row r="8834" spans="1:1" x14ac:dyDescent="0.25">
      <c r="A8834" t="str">
        <f t="shared" si="139"/>
        <v/>
      </c>
    </row>
    <row r="8835" spans="1:1" x14ac:dyDescent="0.25">
      <c r="A8835" t="str">
        <f t="shared" si="139"/>
        <v/>
      </c>
    </row>
    <row r="8836" spans="1:1" x14ac:dyDescent="0.25">
      <c r="A8836" t="str">
        <f t="shared" si="139"/>
        <v/>
      </c>
    </row>
    <row r="8837" spans="1:1" x14ac:dyDescent="0.25">
      <c r="A8837" t="str">
        <f t="shared" si="139"/>
        <v/>
      </c>
    </row>
    <row r="8838" spans="1:1" x14ac:dyDescent="0.25">
      <c r="A8838" t="str">
        <f t="shared" si="139"/>
        <v/>
      </c>
    </row>
    <row r="8839" spans="1:1" x14ac:dyDescent="0.25">
      <c r="A8839" t="str">
        <f t="shared" si="139"/>
        <v/>
      </c>
    </row>
    <row r="8840" spans="1:1" x14ac:dyDescent="0.25">
      <c r="A8840" t="str">
        <f t="shared" si="139"/>
        <v/>
      </c>
    </row>
    <row r="8841" spans="1:1" x14ac:dyDescent="0.25">
      <c r="A8841" t="str">
        <f t="shared" si="139"/>
        <v/>
      </c>
    </row>
    <row r="8842" spans="1:1" x14ac:dyDescent="0.25">
      <c r="A8842" t="str">
        <f t="shared" si="139"/>
        <v/>
      </c>
    </row>
    <row r="8843" spans="1:1" x14ac:dyDescent="0.25">
      <c r="A8843" t="str">
        <f t="shared" si="139"/>
        <v/>
      </c>
    </row>
    <row r="8844" spans="1:1" x14ac:dyDescent="0.25">
      <c r="A8844" t="str">
        <f t="shared" si="139"/>
        <v/>
      </c>
    </row>
    <row r="8845" spans="1:1" x14ac:dyDescent="0.25">
      <c r="A8845" t="str">
        <f t="shared" si="139"/>
        <v/>
      </c>
    </row>
    <row r="8846" spans="1:1" x14ac:dyDescent="0.25">
      <c r="A8846" t="str">
        <f t="shared" si="139"/>
        <v/>
      </c>
    </row>
    <row r="8847" spans="1:1" x14ac:dyDescent="0.25">
      <c r="A8847" t="str">
        <f t="shared" si="139"/>
        <v/>
      </c>
    </row>
    <row r="8848" spans="1:1" x14ac:dyDescent="0.25">
      <c r="A8848" t="str">
        <f t="shared" si="139"/>
        <v/>
      </c>
    </row>
    <row r="8849" spans="1:1" x14ac:dyDescent="0.25">
      <c r="A8849" t="str">
        <f t="shared" si="139"/>
        <v/>
      </c>
    </row>
    <row r="8850" spans="1:1" x14ac:dyDescent="0.25">
      <c r="A8850" t="str">
        <f t="shared" si="139"/>
        <v/>
      </c>
    </row>
    <row r="8851" spans="1:1" x14ac:dyDescent="0.25">
      <c r="A8851" t="str">
        <f t="shared" si="139"/>
        <v/>
      </c>
    </row>
    <row r="8852" spans="1:1" x14ac:dyDescent="0.25">
      <c r="A8852" t="str">
        <f t="shared" si="139"/>
        <v/>
      </c>
    </row>
    <row r="8853" spans="1:1" x14ac:dyDescent="0.25">
      <c r="A8853" t="str">
        <f t="shared" si="139"/>
        <v/>
      </c>
    </row>
    <row r="8854" spans="1:1" x14ac:dyDescent="0.25">
      <c r="A8854" t="str">
        <f t="shared" si="139"/>
        <v/>
      </c>
    </row>
    <row r="8855" spans="1:1" x14ac:dyDescent="0.25">
      <c r="A8855" t="str">
        <f t="shared" si="139"/>
        <v/>
      </c>
    </row>
    <row r="8856" spans="1:1" x14ac:dyDescent="0.25">
      <c r="A8856" t="str">
        <f t="shared" si="139"/>
        <v/>
      </c>
    </row>
    <row r="8857" spans="1:1" x14ac:dyDescent="0.25">
      <c r="A8857" t="str">
        <f t="shared" si="139"/>
        <v/>
      </c>
    </row>
    <row r="8858" spans="1:1" x14ac:dyDescent="0.25">
      <c r="A8858" t="str">
        <f t="shared" si="139"/>
        <v/>
      </c>
    </row>
    <row r="8859" spans="1:1" x14ac:dyDescent="0.25">
      <c r="A8859" t="str">
        <f t="shared" si="139"/>
        <v/>
      </c>
    </row>
    <row r="8860" spans="1:1" x14ac:dyDescent="0.25">
      <c r="A8860" t="str">
        <f t="shared" si="139"/>
        <v/>
      </c>
    </row>
    <row r="8861" spans="1:1" x14ac:dyDescent="0.25">
      <c r="A8861" t="str">
        <f t="shared" si="139"/>
        <v/>
      </c>
    </row>
    <row r="8862" spans="1:1" x14ac:dyDescent="0.25">
      <c r="A8862" t="str">
        <f t="shared" si="139"/>
        <v/>
      </c>
    </row>
    <row r="8863" spans="1:1" x14ac:dyDescent="0.25">
      <c r="A8863" t="str">
        <f t="shared" si="139"/>
        <v/>
      </c>
    </row>
    <row r="8864" spans="1:1" x14ac:dyDescent="0.25">
      <c r="A8864" t="str">
        <f t="shared" si="139"/>
        <v/>
      </c>
    </row>
    <row r="8865" spans="1:1" x14ac:dyDescent="0.25">
      <c r="A8865" t="str">
        <f t="shared" si="139"/>
        <v/>
      </c>
    </row>
    <row r="8866" spans="1:1" x14ac:dyDescent="0.25">
      <c r="A8866" t="str">
        <f t="shared" si="139"/>
        <v/>
      </c>
    </row>
    <row r="8867" spans="1:1" x14ac:dyDescent="0.25">
      <c r="A8867" t="str">
        <f t="shared" si="139"/>
        <v/>
      </c>
    </row>
    <row r="8868" spans="1:1" x14ac:dyDescent="0.25">
      <c r="A8868" t="str">
        <f t="shared" si="139"/>
        <v/>
      </c>
    </row>
    <row r="8869" spans="1:1" x14ac:dyDescent="0.25">
      <c r="A8869" t="str">
        <f t="shared" si="139"/>
        <v/>
      </c>
    </row>
    <row r="8870" spans="1:1" x14ac:dyDescent="0.25">
      <c r="A8870" t="str">
        <f t="shared" si="139"/>
        <v/>
      </c>
    </row>
    <row r="8871" spans="1:1" x14ac:dyDescent="0.25">
      <c r="A8871" t="str">
        <f t="shared" si="139"/>
        <v/>
      </c>
    </row>
    <row r="8872" spans="1:1" x14ac:dyDescent="0.25">
      <c r="A8872" t="str">
        <f t="shared" si="139"/>
        <v/>
      </c>
    </row>
    <row r="8873" spans="1:1" x14ac:dyDescent="0.25">
      <c r="A8873" t="str">
        <f t="shared" si="139"/>
        <v/>
      </c>
    </row>
    <row r="8874" spans="1:1" x14ac:dyDescent="0.25">
      <c r="A8874" t="str">
        <f t="shared" si="139"/>
        <v/>
      </c>
    </row>
    <row r="8875" spans="1:1" x14ac:dyDescent="0.25">
      <c r="A8875" t="str">
        <f t="shared" si="139"/>
        <v/>
      </c>
    </row>
    <row r="8876" spans="1:1" x14ac:dyDescent="0.25">
      <c r="A8876" t="str">
        <f t="shared" si="139"/>
        <v/>
      </c>
    </row>
    <row r="8877" spans="1:1" x14ac:dyDescent="0.25">
      <c r="A8877" t="str">
        <f t="shared" si="139"/>
        <v/>
      </c>
    </row>
    <row r="8878" spans="1:1" x14ac:dyDescent="0.25">
      <c r="A8878" t="str">
        <f t="shared" si="139"/>
        <v/>
      </c>
    </row>
    <row r="8879" spans="1:1" x14ac:dyDescent="0.25">
      <c r="A8879" t="str">
        <f t="shared" si="139"/>
        <v/>
      </c>
    </row>
    <row r="8880" spans="1:1" x14ac:dyDescent="0.25">
      <c r="A8880" t="str">
        <f t="shared" si="139"/>
        <v/>
      </c>
    </row>
    <row r="8881" spans="1:1" x14ac:dyDescent="0.25">
      <c r="A8881" t="str">
        <f t="shared" si="139"/>
        <v/>
      </c>
    </row>
    <row r="8882" spans="1:1" x14ac:dyDescent="0.25">
      <c r="A8882" t="str">
        <f t="shared" si="139"/>
        <v/>
      </c>
    </row>
    <row r="8883" spans="1:1" x14ac:dyDescent="0.25">
      <c r="A8883" t="str">
        <f t="shared" si="139"/>
        <v/>
      </c>
    </row>
    <row r="8884" spans="1:1" x14ac:dyDescent="0.25">
      <c r="A8884" t="str">
        <f t="shared" si="139"/>
        <v/>
      </c>
    </row>
    <row r="8885" spans="1:1" x14ac:dyDescent="0.25">
      <c r="A8885" t="str">
        <f t="shared" ref="A8885:A8948" si="140">B8883&amp;D8883</f>
        <v/>
      </c>
    </row>
    <row r="8886" spans="1:1" x14ac:dyDescent="0.25">
      <c r="A8886" t="str">
        <f t="shared" si="140"/>
        <v/>
      </c>
    </row>
    <row r="8887" spans="1:1" x14ac:dyDescent="0.25">
      <c r="A8887" t="str">
        <f t="shared" si="140"/>
        <v/>
      </c>
    </row>
    <row r="8888" spans="1:1" x14ac:dyDescent="0.25">
      <c r="A8888" t="str">
        <f t="shared" si="140"/>
        <v/>
      </c>
    </row>
    <row r="8889" spans="1:1" x14ac:dyDescent="0.25">
      <c r="A8889" t="str">
        <f t="shared" si="140"/>
        <v/>
      </c>
    </row>
    <row r="8890" spans="1:1" x14ac:dyDescent="0.25">
      <c r="A8890" t="str">
        <f t="shared" si="140"/>
        <v/>
      </c>
    </row>
    <row r="8891" spans="1:1" x14ac:dyDescent="0.25">
      <c r="A8891" t="str">
        <f t="shared" si="140"/>
        <v/>
      </c>
    </row>
    <row r="8892" spans="1:1" x14ac:dyDescent="0.25">
      <c r="A8892" t="str">
        <f t="shared" si="140"/>
        <v/>
      </c>
    </row>
    <row r="8893" spans="1:1" x14ac:dyDescent="0.25">
      <c r="A8893" t="str">
        <f t="shared" si="140"/>
        <v/>
      </c>
    </row>
    <row r="8894" spans="1:1" x14ac:dyDescent="0.25">
      <c r="A8894" t="str">
        <f t="shared" si="140"/>
        <v/>
      </c>
    </row>
    <row r="8895" spans="1:1" x14ac:dyDescent="0.25">
      <c r="A8895" t="str">
        <f t="shared" si="140"/>
        <v/>
      </c>
    </row>
    <row r="8896" spans="1:1" x14ac:dyDescent="0.25">
      <c r="A8896" t="str">
        <f t="shared" si="140"/>
        <v/>
      </c>
    </row>
    <row r="8897" spans="1:1" x14ac:dyDescent="0.25">
      <c r="A8897" t="str">
        <f t="shared" si="140"/>
        <v/>
      </c>
    </row>
    <row r="8898" spans="1:1" x14ac:dyDescent="0.25">
      <c r="A8898" t="str">
        <f t="shared" si="140"/>
        <v/>
      </c>
    </row>
    <row r="8899" spans="1:1" x14ac:dyDescent="0.25">
      <c r="A8899" t="str">
        <f t="shared" si="140"/>
        <v/>
      </c>
    </row>
    <row r="8900" spans="1:1" x14ac:dyDescent="0.25">
      <c r="A8900" t="str">
        <f t="shared" si="140"/>
        <v/>
      </c>
    </row>
    <row r="8901" spans="1:1" x14ac:dyDescent="0.25">
      <c r="A8901" t="str">
        <f t="shared" si="140"/>
        <v/>
      </c>
    </row>
    <row r="8902" spans="1:1" x14ac:dyDescent="0.25">
      <c r="A8902" t="str">
        <f t="shared" si="140"/>
        <v/>
      </c>
    </row>
    <row r="8903" spans="1:1" x14ac:dyDescent="0.25">
      <c r="A8903" t="str">
        <f t="shared" si="140"/>
        <v/>
      </c>
    </row>
    <row r="8904" spans="1:1" x14ac:dyDescent="0.25">
      <c r="A8904" t="str">
        <f t="shared" si="140"/>
        <v/>
      </c>
    </row>
    <row r="8905" spans="1:1" x14ac:dyDescent="0.25">
      <c r="A8905" t="str">
        <f t="shared" si="140"/>
        <v/>
      </c>
    </row>
    <row r="8906" spans="1:1" x14ac:dyDescent="0.25">
      <c r="A8906" t="str">
        <f t="shared" si="140"/>
        <v/>
      </c>
    </row>
    <row r="8907" spans="1:1" x14ac:dyDescent="0.25">
      <c r="A8907" t="str">
        <f t="shared" si="140"/>
        <v/>
      </c>
    </row>
    <row r="8908" spans="1:1" x14ac:dyDescent="0.25">
      <c r="A8908" t="str">
        <f t="shared" si="140"/>
        <v/>
      </c>
    </row>
    <row r="8909" spans="1:1" x14ac:dyDescent="0.25">
      <c r="A8909" t="str">
        <f t="shared" si="140"/>
        <v/>
      </c>
    </row>
    <row r="8910" spans="1:1" x14ac:dyDescent="0.25">
      <c r="A8910" t="str">
        <f t="shared" si="140"/>
        <v/>
      </c>
    </row>
    <row r="8911" spans="1:1" x14ac:dyDescent="0.25">
      <c r="A8911" t="str">
        <f t="shared" si="140"/>
        <v/>
      </c>
    </row>
    <row r="8912" spans="1:1" x14ac:dyDescent="0.25">
      <c r="A8912" t="str">
        <f t="shared" si="140"/>
        <v/>
      </c>
    </row>
    <row r="8913" spans="1:1" x14ac:dyDescent="0.25">
      <c r="A8913" t="str">
        <f t="shared" si="140"/>
        <v/>
      </c>
    </row>
    <row r="8914" spans="1:1" x14ac:dyDescent="0.25">
      <c r="A8914" t="str">
        <f t="shared" si="140"/>
        <v/>
      </c>
    </row>
    <row r="8915" spans="1:1" x14ac:dyDescent="0.25">
      <c r="A8915" t="str">
        <f t="shared" si="140"/>
        <v/>
      </c>
    </row>
    <row r="8916" spans="1:1" x14ac:dyDescent="0.25">
      <c r="A8916" t="str">
        <f t="shared" si="140"/>
        <v/>
      </c>
    </row>
    <row r="8917" spans="1:1" x14ac:dyDescent="0.25">
      <c r="A8917" t="str">
        <f t="shared" si="140"/>
        <v/>
      </c>
    </row>
    <row r="8918" spans="1:1" x14ac:dyDescent="0.25">
      <c r="A8918" t="str">
        <f t="shared" si="140"/>
        <v/>
      </c>
    </row>
    <row r="8919" spans="1:1" x14ac:dyDescent="0.25">
      <c r="A8919" t="str">
        <f t="shared" si="140"/>
        <v/>
      </c>
    </row>
    <row r="8920" spans="1:1" x14ac:dyDescent="0.25">
      <c r="A8920" t="str">
        <f t="shared" si="140"/>
        <v/>
      </c>
    </row>
    <row r="8921" spans="1:1" x14ac:dyDescent="0.25">
      <c r="A8921" t="str">
        <f t="shared" si="140"/>
        <v/>
      </c>
    </row>
    <row r="8922" spans="1:1" x14ac:dyDescent="0.25">
      <c r="A8922" t="str">
        <f t="shared" si="140"/>
        <v/>
      </c>
    </row>
    <row r="8923" spans="1:1" x14ac:dyDescent="0.25">
      <c r="A8923" t="str">
        <f t="shared" si="140"/>
        <v/>
      </c>
    </row>
    <row r="8924" spans="1:1" x14ac:dyDescent="0.25">
      <c r="A8924" t="str">
        <f t="shared" si="140"/>
        <v/>
      </c>
    </row>
    <row r="8925" spans="1:1" x14ac:dyDescent="0.25">
      <c r="A8925" t="str">
        <f t="shared" si="140"/>
        <v/>
      </c>
    </row>
    <row r="8926" spans="1:1" x14ac:dyDescent="0.25">
      <c r="A8926" t="str">
        <f t="shared" si="140"/>
        <v/>
      </c>
    </row>
    <row r="8927" spans="1:1" x14ac:dyDescent="0.25">
      <c r="A8927" t="str">
        <f t="shared" si="140"/>
        <v/>
      </c>
    </row>
    <row r="8928" spans="1:1" x14ac:dyDescent="0.25">
      <c r="A8928" t="str">
        <f t="shared" si="140"/>
        <v/>
      </c>
    </row>
    <row r="8929" spans="1:1" x14ac:dyDescent="0.25">
      <c r="A8929" t="str">
        <f t="shared" si="140"/>
        <v/>
      </c>
    </row>
    <row r="8930" spans="1:1" x14ac:dyDescent="0.25">
      <c r="A8930" t="str">
        <f t="shared" si="140"/>
        <v/>
      </c>
    </row>
    <row r="8931" spans="1:1" x14ac:dyDescent="0.25">
      <c r="A8931" t="str">
        <f t="shared" si="140"/>
        <v/>
      </c>
    </row>
    <row r="8932" spans="1:1" x14ac:dyDescent="0.25">
      <c r="A8932" t="str">
        <f t="shared" si="140"/>
        <v/>
      </c>
    </row>
    <row r="8933" spans="1:1" x14ac:dyDescent="0.25">
      <c r="A8933" t="str">
        <f t="shared" si="140"/>
        <v/>
      </c>
    </row>
    <row r="8934" spans="1:1" x14ac:dyDescent="0.25">
      <c r="A8934" t="str">
        <f t="shared" si="140"/>
        <v/>
      </c>
    </row>
    <row r="8935" spans="1:1" x14ac:dyDescent="0.25">
      <c r="A8935" t="str">
        <f t="shared" si="140"/>
        <v/>
      </c>
    </row>
    <row r="8936" spans="1:1" x14ac:dyDescent="0.25">
      <c r="A8936" t="str">
        <f t="shared" si="140"/>
        <v/>
      </c>
    </row>
    <row r="8937" spans="1:1" x14ac:dyDescent="0.25">
      <c r="A8937" t="str">
        <f t="shared" si="140"/>
        <v/>
      </c>
    </row>
    <row r="8938" spans="1:1" x14ac:dyDescent="0.25">
      <c r="A8938" t="str">
        <f t="shared" si="140"/>
        <v/>
      </c>
    </row>
    <row r="8939" spans="1:1" x14ac:dyDescent="0.25">
      <c r="A8939" t="str">
        <f t="shared" si="140"/>
        <v/>
      </c>
    </row>
    <row r="8940" spans="1:1" x14ac:dyDescent="0.25">
      <c r="A8940" t="str">
        <f t="shared" si="140"/>
        <v/>
      </c>
    </row>
    <row r="8941" spans="1:1" x14ac:dyDescent="0.25">
      <c r="A8941" t="str">
        <f t="shared" si="140"/>
        <v/>
      </c>
    </row>
    <row r="8942" spans="1:1" x14ac:dyDescent="0.25">
      <c r="A8942" t="str">
        <f t="shared" si="140"/>
        <v/>
      </c>
    </row>
    <row r="8943" spans="1:1" x14ac:dyDescent="0.25">
      <c r="A8943" t="str">
        <f t="shared" si="140"/>
        <v/>
      </c>
    </row>
    <row r="8944" spans="1:1" x14ac:dyDescent="0.25">
      <c r="A8944" t="str">
        <f t="shared" si="140"/>
        <v/>
      </c>
    </row>
    <row r="8945" spans="1:1" x14ac:dyDescent="0.25">
      <c r="A8945" t="str">
        <f t="shared" si="140"/>
        <v/>
      </c>
    </row>
    <row r="8946" spans="1:1" x14ac:dyDescent="0.25">
      <c r="A8946" t="str">
        <f t="shared" si="140"/>
        <v/>
      </c>
    </row>
    <row r="8947" spans="1:1" x14ac:dyDescent="0.25">
      <c r="A8947" t="str">
        <f t="shared" si="140"/>
        <v/>
      </c>
    </row>
    <row r="8948" spans="1:1" x14ac:dyDescent="0.25">
      <c r="A8948" t="str">
        <f t="shared" si="140"/>
        <v/>
      </c>
    </row>
    <row r="8949" spans="1:1" x14ac:dyDescent="0.25">
      <c r="A8949" t="str">
        <f t="shared" ref="A8949:A9012" si="141">B8947&amp;D8947</f>
        <v/>
      </c>
    </row>
    <row r="8950" spans="1:1" x14ac:dyDescent="0.25">
      <c r="A8950" t="str">
        <f t="shared" si="141"/>
        <v/>
      </c>
    </row>
    <row r="8951" spans="1:1" x14ac:dyDescent="0.25">
      <c r="A8951" t="str">
        <f t="shared" si="141"/>
        <v/>
      </c>
    </row>
    <row r="8952" spans="1:1" x14ac:dyDescent="0.25">
      <c r="A8952" t="str">
        <f t="shared" si="141"/>
        <v/>
      </c>
    </row>
    <row r="8953" spans="1:1" x14ac:dyDescent="0.25">
      <c r="A8953" t="str">
        <f t="shared" si="141"/>
        <v/>
      </c>
    </row>
    <row r="8954" spans="1:1" x14ac:dyDescent="0.25">
      <c r="A8954" t="str">
        <f t="shared" si="141"/>
        <v/>
      </c>
    </row>
    <row r="8955" spans="1:1" x14ac:dyDescent="0.25">
      <c r="A8955" t="str">
        <f t="shared" si="141"/>
        <v/>
      </c>
    </row>
    <row r="8956" spans="1:1" x14ac:dyDescent="0.25">
      <c r="A8956" t="str">
        <f t="shared" si="141"/>
        <v/>
      </c>
    </row>
    <row r="8957" spans="1:1" x14ac:dyDescent="0.25">
      <c r="A8957" t="str">
        <f t="shared" si="141"/>
        <v/>
      </c>
    </row>
    <row r="8958" spans="1:1" x14ac:dyDescent="0.25">
      <c r="A8958" t="str">
        <f t="shared" si="141"/>
        <v/>
      </c>
    </row>
    <row r="8959" spans="1:1" x14ac:dyDescent="0.25">
      <c r="A8959" t="str">
        <f t="shared" si="141"/>
        <v/>
      </c>
    </row>
    <row r="8960" spans="1:1" x14ac:dyDescent="0.25">
      <c r="A8960" t="str">
        <f t="shared" si="141"/>
        <v/>
      </c>
    </row>
    <row r="8961" spans="1:1" x14ac:dyDescent="0.25">
      <c r="A8961" t="str">
        <f t="shared" si="141"/>
        <v/>
      </c>
    </row>
    <row r="8962" spans="1:1" x14ac:dyDescent="0.25">
      <c r="A8962" t="str">
        <f t="shared" si="141"/>
        <v/>
      </c>
    </row>
    <row r="8963" spans="1:1" x14ac:dyDescent="0.25">
      <c r="A8963" t="str">
        <f t="shared" si="141"/>
        <v/>
      </c>
    </row>
    <row r="8964" spans="1:1" x14ac:dyDescent="0.25">
      <c r="A8964" t="str">
        <f t="shared" si="141"/>
        <v/>
      </c>
    </row>
    <row r="8965" spans="1:1" x14ac:dyDescent="0.25">
      <c r="A8965" t="str">
        <f t="shared" si="141"/>
        <v/>
      </c>
    </row>
    <row r="8966" spans="1:1" x14ac:dyDescent="0.25">
      <c r="A8966" t="str">
        <f t="shared" si="141"/>
        <v/>
      </c>
    </row>
    <row r="8967" spans="1:1" x14ac:dyDescent="0.25">
      <c r="A8967" t="str">
        <f t="shared" si="141"/>
        <v/>
      </c>
    </row>
    <row r="8968" spans="1:1" x14ac:dyDescent="0.25">
      <c r="A8968" t="str">
        <f t="shared" si="141"/>
        <v/>
      </c>
    </row>
    <row r="8969" spans="1:1" x14ac:dyDescent="0.25">
      <c r="A8969" t="str">
        <f t="shared" si="141"/>
        <v/>
      </c>
    </row>
    <row r="8970" spans="1:1" x14ac:dyDescent="0.25">
      <c r="A8970" t="str">
        <f t="shared" si="141"/>
        <v/>
      </c>
    </row>
    <row r="8971" spans="1:1" x14ac:dyDescent="0.25">
      <c r="A8971" t="str">
        <f t="shared" si="141"/>
        <v/>
      </c>
    </row>
    <row r="8972" spans="1:1" x14ac:dyDescent="0.25">
      <c r="A8972" t="str">
        <f t="shared" si="141"/>
        <v/>
      </c>
    </row>
    <row r="8973" spans="1:1" x14ac:dyDescent="0.25">
      <c r="A8973" t="str">
        <f t="shared" si="141"/>
        <v/>
      </c>
    </row>
    <row r="8974" spans="1:1" x14ac:dyDescent="0.25">
      <c r="A8974" t="str">
        <f t="shared" si="141"/>
        <v/>
      </c>
    </row>
    <row r="8975" spans="1:1" x14ac:dyDescent="0.25">
      <c r="A8975" t="str">
        <f t="shared" si="141"/>
        <v/>
      </c>
    </row>
    <row r="8976" spans="1:1" x14ac:dyDescent="0.25">
      <c r="A8976" t="str">
        <f t="shared" si="141"/>
        <v/>
      </c>
    </row>
    <row r="8977" spans="1:1" x14ac:dyDescent="0.25">
      <c r="A8977" t="str">
        <f t="shared" si="141"/>
        <v/>
      </c>
    </row>
    <row r="8978" spans="1:1" x14ac:dyDescent="0.25">
      <c r="A8978" t="str">
        <f t="shared" si="141"/>
        <v/>
      </c>
    </row>
    <row r="8979" spans="1:1" x14ac:dyDescent="0.25">
      <c r="A8979" t="str">
        <f t="shared" si="141"/>
        <v/>
      </c>
    </row>
    <row r="8980" spans="1:1" x14ac:dyDescent="0.25">
      <c r="A8980" t="str">
        <f t="shared" si="141"/>
        <v/>
      </c>
    </row>
    <row r="8981" spans="1:1" x14ac:dyDescent="0.25">
      <c r="A8981" t="str">
        <f t="shared" si="141"/>
        <v/>
      </c>
    </row>
    <row r="8982" spans="1:1" x14ac:dyDescent="0.25">
      <c r="A8982" t="str">
        <f t="shared" si="141"/>
        <v/>
      </c>
    </row>
    <row r="8983" spans="1:1" x14ac:dyDescent="0.25">
      <c r="A8983" t="str">
        <f t="shared" si="141"/>
        <v/>
      </c>
    </row>
    <row r="8984" spans="1:1" x14ac:dyDescent="0.25">
      <c r="A8984" t="str">
        <f t="shared" si="141"/>
        <v/>
      </c>
    </row>
    <row r="8985" spans="1:1" x14ac:dyDescent="0.25">
      <c r="A8985" t="str">
        <f t="shared" si="141"/>
        <v/>
      </c>
    </row>
    <row r="8986" spans="1:1" x14ac:dyDescent="0.25">
      <c r="A8986" t="str">
        <f t="shared" si="141"/>
        <v/>
      </c>
    </row>
    <row r="8987" spans="1:1" x14ac:dyDescent="0.25">
      <c r="A8987" t="str">
        <f t="shared" si="141"/>
        <v/>
      </c>
    </row>
    <row r="8988" spans="1:1" x14ac:dyDescent="0.25">
      <c r="A8988" t="str">
        <f t="shared" si="141"/>
        <v/>
      </c>
    </row>
    <row r="8989" spans="1:1" x14ac:dyDescent="0.25">
      <c r="A8989" t="str">
        <f t="shared" si="141"/>
        <v/>
      </c>
    </row>
    <row r="8990" spans="1:1" x14ac:dyDescent="0.25">
      <c r="A8990" t="str">
        <f t="shared" si="141"/>
        <v/>
      </c>
    </row>
    <row r="8991" spans="1:1" x14ac:dyDescent="0.25">
      <c r="A8991" t="str">
        <f t="shared" si="141"/>
        <v/>
      </c>
    </row>
    <row r="8992" spans="1:1" x14ac:dyDescent="0.25">
      <c r="A8992" t="str">
        <f t="shared" si="141"/>
        <v/>
      </c>
    </row>
    <row r="8993" spans="1:1" x14ac:dyDescent="0.25">
      <c r="A8993" t="str">
        <f t="shared" si="141"/>
        <v/>
      </c>
    </row>
    <row r="8994" spans="1:1" x14ac:dyDescent="0.25">
      <c r="A8994" t="str">
        <f t="shared" si="141"/>
        <v/>
      </c>
    </row>
    <row r="8995" spans="1:1" x14ac:dyDescent="0.25">
      <c r="A8995" t="str">
        <f t="shared" si="141"/>
        <v/>
      </c>
    </row>
    <row r="8996" spans="1:1" x14ac:dyDescent="0.25">
      <c r="A8996" t="str">
        <f t="shared" si="141"/>
        <v/>
      </c>
    </row>
    <row r="8997" spans="1:1" x14ac:dyDescent="0.25">
      <c r="A8997" t="str">
        <f t="shared" si="141"/>
        <v/>
      </c>
    </row>
    <row r="8998" spans="1:1" x14ac:dyDescent="0.25">
      <c r="A8998" t="str">
        <f t="shared" si="141"/>
        <v/>
      </c>
    </row>
    <row r="8999" spans="1:1" x14ac:dyDescent="0.25">
      <c r="A8999" t="str">
        <f t="shared" si="141"/>
        <v/>
      </c>
    </row>
    <row r="9000" spans="1:1" x14ac:dyDescent="0.25">
      <c r="A9000" t="str">
        <f t="shared" si="141"/>
        <v/>
      </c>
    </row>
    <row r="9001" spans="1:1" x14ac:dyDescent="0.25">
      <c r="A9001" t="str">
        <f t="shared" si="141"/>
        <v/>
      </c>
    </row>
    <row r="9002" spans="1:1" x14ac:dyDescent="0.25">
      <c r="A9002" t="str">
        <f t="shared" si="141"/>
        <v/>
      </c>
    </row>
    <row r="9003" spans="1:1" x14ac:dyDescent="0.25">
      <c r="A9003" t="str">
        <f t="shared" si="141"/>
        <v/>
      </c>
    </row>
    <row r="9004" spans="1:1" x14ac:dyDescent="0.25">
      <c r="A9004" t="str">
        <f t="shared" si="141"/>
        <v/>
      </c>
    </row>
    <row r="9005" spans="1:1" x14ac:dyDescent="0.25">
      <c r="A9005" t="str">
        <f t="shared" si="141"/>
        <v/>
      </c>
    </row>
    <row r="9006" spans="1:1" x14ac:dyDescent="0.25">
      <c r="A9006" t="str">
        <f t="shared" si="141"/>
        <v/>
      </c>
    </row>
    <row r="9007" spans="1:1" x14ac:dyDescent="0.25">
      <c r="A9007" t="str">
        <f t="shared" si="141"/>
        <v/>
      </c>
    </row>
    <row r="9008" spans="1:1" x14ac:dyDescent="0.25">
      <c r="A9008" t="str">
        <f t="shared" si="141"/>
        <v/>
      </c>
    </row>
    <row r="9009" spans="1:1" x14ac:dyDescent="0.25">
      <c r="A9009" t="str">
        <f t="shared" si="141"/>
        <v/>
      </c>
    </row>
    <row r="9010" spans="1:1" x14ac:dyDescent="0.25">
      <c r="A9010" t="str">
        <f t="shared" si="141"/>
        <v/>
      </c>
    </row>
    <row r="9011" spans="1:1" x14ac:dyDescent="0.25">
      <c r="A9011" t="str">
        <f t="shared" si="141"/>
        <v/>
      </c>
    </row>
    <row r="9012" spans="1:1" x14ac:dyDescent="0.25">
      <c r="A9012" t="str">
        <f t="shared" si="141"/>
        <v/>
      </c>
    </row>
    <row r="9013" spans="1:1" x14ac:dyDescent="0.25">
      <c r="A9013" t="str">
        <f t="shared" ref="A9013:A9076" si="142">B9011&amp;D9011</f>
        <v/>
      </c>
    </row>
    <row r="9014" spans="1:1" x14ac:dyDescent="0.25">
      <c r="A9014" t="str">
        <f t="shared" si="142"/>
        <v/>
      </c>
    </row>
    <row r="9015" spans="1:1" x14ac:dyDescent="0.25">
      <c r="A9015" t="str">
        <f t="shared" si="142"/>
        <v/>
      </c>
    </row>
    <row r="9016" spans="1:1" x14ac:dyDescent="0.25">
      <c r="A9016" t="str">
        <f t="shared" si="142"/>
        <v/>
      </c>
    </row>
    <row r="9017" spans="1:1" x14ac:dyDescent="0.25">
      <c r="A9017" t="str">
        <f t="shared" si="142"/>
        <v/>
      </c>
    </row>
    <row r="9018" spans="1:1" x14ac:dyDescent="0.25">
      <c r="A9018" t="str">
        <f t="shared" si="142"/>
        <v/>
      </c>
    </row>
    <row r="9019" spans="1:1" x14ac:dyDescent="0.25">
      <c r="A9019" t="str">
        <f t="shared" si="142"/>
        <v/>
      </c>
    </row>
    <row r="9020" spans="1:1" x14ac:dyDescent="0.25">
      <c r="A9020" t="str">
        <f t="shared" si="142"/>
        <v/>
      </c>
    </row>
    <row r="9021" spans="1:1" x14ac:dyDescent="0.25">
      <c r="A9021" t="str">
        <f t="shared" si="142"/>
        <v/>
      </c>
    </row>
    <row r="9022" spans="1:1" x14ac:dyDescent="0.25">
      <c r="A9022" t="str">
        <f t="shared" si="142"/>
        <v/>
      </c>
    </row>
    <row r="9023" spans="1:1" x14ac:dyDescent="0.25">
      <c r="A9023" t="str">
        <f t="shared" si="142"/>
        <v/>
      </c>
    </row>
    <row r="9024" spans="1:1" x14ac:dyDescent="0.25">
      <c r="A9024" t="str">
        <f t="shared" si="142"/>
        <v/>
      </c>
    </row>
    <row r="9025" spans="1:1" x14ac:dyDescent="0.25">
      <c r="A9025" t="str">
        <f t="shared" si="142"/>
        <v/>
      </c>
    </row>
    <row r="9026" spans="1:1" x14ac:dyDescent="0.25">
      <c r="A9026" t="str">
        <f t="shared" si="142"/>
        <v/>
      </c>
    </row>
    <row r="9027" spans="1:1" x14ac:dyDescent="0.25">
      <c r="A9027" t="str">
        <f t="shared" si="142"/>
        <v/>
      </c>
    </row>
    <row r="9028" spans="1:1" x14ac:dyDescent="0.25">
      <c r="A9028" t="str">
        <f t="shared" si="142"/>
        <v/>
      </c>
    </row>
    <row r="9029" spans="1:1" x14ac:dyDescent="0.25">
      <c r="A9029" t="str">
        <f t="shared" si="142"/>
        <v/>
      </c>
    </row>
    <row r="9030" spans="1:1" x14ac:dyDescent="0.25">
      <c r="A9030" t="str">
        <f t="shared" si="142"/>
        <v/>
      </c>
    </row>
    <row r="9031" spans="1:1" x14ac:dyDescent="0.25">
      <c r="A9031" t="str">
        <f t="shared" si="142"/>
        <v/>
      </c>
    </row>
    <row r="9032" spans="1:1" x14ac:dyDescent="0.25">
      <c r="A9032" t="str">
        <f t="shared" si="142"/>
        <v/>
      </c>
    </row>
    <row r="9033" spans="1:1" x14ac:dyDescent="0.25">
      <c r="A9033" t="str">
        <f t="shared" si="142"/>
        <v/>
      </c>
    </row>
    <row r="9034" spans="1:1" x14ac:dyDescent="0.25">
      <c r="A9034" t="str">
        <f t="shared" si="142"/>
        <v/>
      </c>
    </row>
    <row r="9035" spans="1:1" x14ac:dyDescent="0.25">
      <c r="A9035" t="str">
        <f t="shared" si="142"/>
        <v/>
      </c>
    </row>
    <row r="9036" spans="1:1" x14ac:dyDescent="0.25">
      <c r="A9036" t="str">
        <f t="shared" si="142"/>
        <v/>
      </c>
    </row>
    <row r="9037" spans="1:1" x14ac:dyDescent="0.25">
      <c r="A9037" t="str">
        <f t="shared" si="142"/>
        <v/>
      </c>
    </row>
    <row r="9038" spans="1:1" x14ac:dyDescent="0.25">
      <c r="A9038" t="str">
        <f t="shared" si="142"/>
        <v/>
      </c>
    </row>
    <row r="9039" spans="1:1" x14ac:dyDescent="0.25">
      <c r="A9039" t="str">
        <f t="shared" si="142"/>
        <v/>
      </c>
    </row>
    <row r="9040" spans="1:1" x14ac:dyDescent="0.25">
      <c r="A9040" t="str">
        <f t="shared" si="142"/>
        <v/>
      </c>
    </row>
    <row r="9041" spans="1:1" x14ac:dyDescent="0.25">
      <c r="A9041" t="str">
        <f t="shared" si="142"/>
        <v/>
      </c>
    </row>
    <row r="9042" spans="1:1" x14ac:dyDescent="0.25">
      <c r="A9042" t="str">
        <f t="shared" si="142"/>
        <v/>
      </c>
    </row>
    <row r="9043" spans="1:1" x14ac:dyDescent="0.25">
      <c r="A9043" t="str">
        <f t="shared" si="142"/>
        <v/>
      </c>
    </row>
    <row r="9044" spans="1:1" x14ac:dyDescent="0.25">
      <c r="A9044" t="str">
        <f t="shared" si="142"/>
        <v/>
      </c>
    </row>
    <row r="9045" spans="1:1" x14ac:dyDescent="0.25">
      <c r="A9045" t="str">
        <f t="shared" si="142"/>
        <v/>
      </c>
    </row>
    <row r="9046" spans="1:1" x14ac:dyDescent="0.25">
      <c r="A9046" t="str">
        <f t="shared" si="142"/>
        <v/>
      </c>
    </row>
    <row r="9047" spans="1:1" x14ac:dyDescent="0.25">
      <c r="A9047" t="str">
        <f t="shared" si="142"/>
        <v/>
      </c>
    </row>
    <row r="9048" spans="1:1" x14ac:dyDescent="0.25">
      <c r="A9048" t="str">
        <f t="shared" si="142"/>
        <v/>
      </c>
    </row>
    <row r="9049" spans="1:1" x14ac:dyDescent="0.25">
      <c r="A9049" t="str">
        <f t="shared" si="142"/>
        <v/>
      </c>
    </row>
    <row r="9050" spans="1:1" x14ac:dyDescent="0.25">
      <c r="A9050" t="str">
        <f t="shared" si="142"/>
        <v/>
      </c>
    </row>
    <row r="9051" spans="1:1" x14ac:dyDescent="0.25">
      <c r="A9051" t="str">
        <f t="shared" si="142"/>
        <v/>
      </c>
    </row>
    <row r="9052" spans="1:1" x14ac:dyDescent="0.25">
      <c r="A9052" t="str">
        <f t="shared" si="142"/>
        <v/>
      </c>
    </row>
    <row r="9053" spans="1:1" x14ac:dyDescent="0.25">
      <c r="A9053" t="str">
        <f t="shared" si="142"/>
        <v/>
      </c>
    </row>
    <row r="9054" spans="1:1" x14ac:dyDescent="0.25">
      <c r="A9054" t="str">
        <f t="shared" si="142"/>
        <v/>
      </c>
    </row>
    <row r="9055" spans="1:1" x14ac:dyDescent="0.25">
      <c r="A9055" t="str">
        <f t="shared" si="142"/>
        <v/>
      </c>
    </row>
    <row r="9056" spans="1:1" x14ac:dyDescent="0.25">
      <c r="A9056" t="str">
        <f t="shared" si="142"/>
        <v/>
      </c>
    </row>
    <row r="9057" spans="1:1" x14ac:dyDescent="0.25">
      <c r="A9057" t="str">
        <f t="shared" si="142"/>
        <v/>
      </c>
    </row>
    <row r="9058" spans="1:1" x14ac:dyDescent="0.25">
      <c r="A9058" t="str">
        <f t="shared" si="142"/>
        <v/>
      </c>
    </row>
    <row r="9059" spans="1:1" x14ac:dyDescent="0.25">
      <c r="A9059" t="str">
        <f t="shared" si="142"/>
        <v/>
      </c>
    </row>
    <row r="9060" spans="1:1" x14ac:dyDescent="0.25">
      <c r="A9060" t="str">
        <f t="shared" si="142"/>
        <v/>
      </c>
    </row>
    <row r="9061" spans="1:1" x14ac:dyDescent="0.25">
      <c r="A9061" t="str">
        <f t="shared" si="142"/>
        <v/>
      </c>
    </row>
    <row r="9062" spans="1:1" x14ac:dyDescent="0.25">
      <c r="A9062" t="str">
        <f t="shared" si="142"/>
        <v/>
      </c>
    </row>
    <row r="9063" spans="1:1" x14ac:dyDescent="0.25">
      <c r="A9063" t="str">
        <f t="shared" si="142"/>
        <v/>
      </c>
    </row>
    <row r="9064" spans="1:1" x14ac:dyDescent="0.25">
      <c r="A9064" t="str">
        <f t="shared" si="142"/>
        <v/>
      </c>
    </row>
    <row r="9065" spans="1:1" x14ac:dyDescent="0.25">
      <c r="A9065" t="str">
        <f t="shared" si="142"/>
        <v/>
      </c>
    </row>
    <row r="9066" spans="1:1" x14ac:dyDescent="0.25">
      <c r="A9066" t="str">
        <f t="shared" si="142"/>
        <v/>
      </c>
    </row>
    <row r="9067" spans="1:1" x14ac:dyDescent="0.25">
      <c r="A9067" t="str">
        <f t="shared" si="142"/>
        <v/>
      </c>
    </row>
    <row r="9068" spans="1:1" x14ac:dyDescent="0.25">
      <c r="A9068" t="str">
        <f t="shared" si="142"/>
        <v/>
      </c>
    </row>
    <row r="9069" spans="1:1" x14ac:dyDescent="0.25">
      <c r="A9069" t="str">
        <f t="shared" si="142"/>
        <v/>
      </c>
    </row>
    <row r="9070" spans="1:1" x14ac:dyDescent="0.25">
      <c r="A9070" t="str">
        <f t="shared" si="142"/>
        <v/>
      </c>
    </row>
    <row r="9071" spans="1:1" x14ac:dyDescent="0.25">
      <c r="A9071" t="str">
        <f t="shared" si="142"/>
        <v/>
      </c>
    </row>
    <row r="9072" spans="1:1" x14ac:dyDescent="0.25">
      <c r="A9072" t="str">
        <f t="shared" si="142"/>
        <v/>
      </c>
    </row>
    <row r="9073" spans="1:1" x14ac:dyDescent="0.25">
      <c r="A9073" t="str">
        <f t="shared" si="142"/>
        <v/>
      </c>
    </row>
    <row r="9074" spans="1:1" x14ac:dyDescent="0.25">
      <c r="A9074" t="str">
        <f t="shared" si="142"/>
        <v/>
      </c>
    </row>
    <row r="9075" spans="1:1" x14ac:dyDescent="0.25">
      <c r="A9075" t="str">
        <f t="shared" si="142"/>
        <v/>
      </c>
    </row>
    <row r="9076" spans="1:1" x14ac:dyDescent="0.25">
      <c r="A9076" t="str">
        <f t="shared" si="142"/>
        <v/>
      </c>
    </row>
    <row r="9077" spans="1:1" x14ac:dyDescent="0.25">
      <c r="A9077" t="str">
        <f t="shared" ref="A9077:A9140" si="143">B9075&amp;D9075</f>
        <v/>
      </c>
    </row>
    <row r="9078" spans="1:1" x14ac:dyDescent="0.25">
      <c r="A9078" t="str">
        <f t="shared" si="143"/>
        <v/>
      </c>
    </row>
    <row r="9079" spans="1:1" x14ac:dyDescent="0.25">
      <c r="A9079" t="str">
        <f t="shared" si="143"/>
        <v/>
      </c>
    </row>
    <row r="9080" spans="1:1" x14ac:dyDescent="0.25">
      <c r="A9080" t="str">
        <f t="shared" si="143"/>
        <v/>
      </c>
    </row>
    <row r="9081" spans="1:1" x14ac:dyDescent="0.25">
      <c r="A9081" t="str">
        <f t="shared" si="143"/>
        <v/>
      </c>
    </row>
    <row r="9082" spans="1:1" x14ac:dyDescent="0.25">
      <c r="A9082" t="str">
        <f t="shared" si="143"/>
        <v/>
      </c>
    </row>
    <row r="9083" spans="1:1" x14ac:dyDescent="0.25">
      <c r="A9083" t="str">
        <f t="shared" si="143"/>
        <v/>
      </c>
    </row>
    <row r="9084" spans="1:1" x14ac:dyDescent="0.25">
      <c r="A9084" t="str">
        <f t="shared" si="143"/>
        <v/>
      </c>
    </row>
    <row r="9085" spans="1:1" x14ac:dyDescent="0.25">
      <c r="A9085" t="str">
        <f t="shared" si="143"/>
        <v/>
      </c>
    </row>
    <row r="9086" spans="1:1" x14ac:dyDescent="0.25">
      <c r="A9086" t="str">
        <f t="shared" si="143"/>
        <v/>
      </c>
    </row>
    <row r="9087" spans="1:1" x14ac:dyDescent="0.25">
      <c r="A9087" t="str">
        <f t="shared" si="143"/>
        <v/>
      </c>
    </row>
    <row r="9088" spans="1:1" x14ac:dyDescent="0.25">
      <c r="A9088" t="str">
        <f t="shared" si="143"/>
        <v/>
      </c>
    </row>
    <row r="9089" spans="1:1" x14ac:dyDescent="0.25">
      <c r="A9089" t="str">
        <f t="shared" si="143"/>
        <v/>
      </c>
    </row>
    <row r="9090" spans="1:1" x14ac:dyDescent="0.25">
      <c r="A9090" t="str">
        <f t="shared" si="143"/>
        <v/>
      </c>
    </row>
    <row r="9091" spans="1:1" x14ac:dyDescent="0.25">
      <c r="A9091" t="str">
        <f t="shared" si="143"/>
        <v/>
      </c>
    </row>
    <row r="9092" spans="1:1" x14ac:dyDescent="0.25">
      <c r="A9092" t="str">
        <f t="shared" si="143"/>
        <v/>
      </c>
    </row>
    <row r="9093" spans="1:1" x14ac:dyDescent="0.25">
      <c r="A9093" t="str">
        <f t="shared" si="143"/>
        <v/>
      </c>
    </row>
    <row r="9094" spans="1:1" x14ac:dyDescent="0.25">
      <c r="A9094" t="str">
        <f t="shared" si="143"/>
        <v/>
      </c>
    </row>
    <row r="9095" spans="1:1" x14ac:dyDescent="0.25">
      <c r="A9095" t="str">
        <f t="shared" si="143"/>
        <v/>
      </c>
    </row>
    <row r="9096" spans="1:1" x14ac:dyDescent="0.25">
      <c r="A9096" t="str">
        <f t="shared" si="143"/>
        <v/>
      </c>
    </row>
    <row r="9097" spans="1:1" x14ac:dyDescent="0.25">
      <c r="A9097" t="str">
        <f t="shared" si="143"/>
        <v/>
      </c>
    </row>
    <row r="9098" spans="1:1" x14ac:dyDescent="0.25">
      <c r="A9098" t="str">
        <f t="shared" si="143"/>
        <v/>
      </c>
    </row>
    <row r="9099" spans="1:1" x14ac:dyDescent="0.25">
      <c r="A9099" t="str">
        <f t="shared" si="143"/>
        <v/>
      </c>
    </row>
    <row r="9100" spans="1:1" x14ac:dyDescent="0.25">
      <c r="A9100" t="str">
        <f t="shared" si="143"/>
        <v/>
      </c>
    </row>
    <row r="9101" spans="1:1" x14ac:dyDescent="0.25">
      <c r="A9101" t="str">
        <f t="shared" si="143"/>
        <v/>
      </c>
    </row>
    <row r="9102" spans="1:1" x14ac:dyDescent="0.25">
      <c r="A9102" t="str">
        <f t="shared" si="143"/>
        <v/>
      </c>
    </row>
    <row r="9103" spans="1:1" x14ac:dyDescent="0.25">
      <c r="A9103" t="str">
        <f t="shared" si="143"/>
        <v/>
      </c>
    </row>
    <row r="9104" spans="1:1" x14ac:dyDescent="0.25">
      <c r="A9104" t="str">
        <f t="shared" si="143"/>
        <v/>
      </c>
    </row>
    <row r="9105" spans="1:1" x14ac:dyDescent="0.25">
      <c r="A9105" t="str">
        <f t="shared" si="143"/>
        <v/>
      </c>
    </row>
    <row r="9106" spans="1:1" x14ac:dyDescent="0.25">
      <c r="A9106" t="str">
        <f t="shared" si="143"/>
        <v/>
      </c>
    </row>
    <row r="9107" spans="1:1" x14ac:dyDescent="0.25">
      <c r="A9107" t="str">
        <f t="shared" si="143"/>
        <v/>
      </c>
    </row>
    <row r="9108" spans="1:1" x14ac:dyDescent="0.25">
      <c r="A9108" t="str">
        <f t="shared" si="143"/>
        <v/>
      </c>
    </row>
    <row r="9109" spans="1:1" x14ac:dyDescent="0.25">
      <c r="A9109" t="str">
        <f t="shared" si="143"/>
        <v/>
      </c>
    </row>
    <row r="9110" spans="1:1" x14ac:dyDescent="0.25">
      <c r="A9110" t="str">
        <f t="shared" si="143"/>
        <v/>
      </c>
    </row>
    <row r="9111" spans="1:1" x14ac:dyDescent="0.25">
      <c r="A9111" t="str">
        <f t="shared" si="143"/>
        <v/>
      </c>
    </row>
    <row r="9112" spans="1:1" x14ac:dyDescent="0.25">
      <c r="A9112" t="str">
        <f t="shared" si="143"/>
        <v/>
      </c>
    </row>
    <row r="9113" spans="1:1" x14ac:dyDescent="0.25">
      <c r="A9113" t="str">
        <f t="shared" si="143"/>
        <v/>
      </c>
    </row>
    <row r="9114" spans="1:1" x14ac:dyDescent="0.25">
      <c r="A9114" t="str">
        <f t="shared" si="143"/>
        <v/>
      </c>
    </row>
    <row r="9115" spans="1:1" x14ac:dyDescent="0.25">
      <c r="A9115" t="str">
        <f t="shared" si="143"/>
        <v/>
      </c>
    </row>
    <row r="9116" spans="1:1" x14ac:dyDescent="0.25">
      <c r="A9116" t="str">
        <f t="shared" si="143"/>
        <v/>
      </c>
    </row>
    <row r="9117" spans="1:1" x14ac:dyDescent="0.25">
      <c r="A9117" t="str">
        <f t="shared" si="143"/>
        <v/>
      </c>
    </row>
    <row r="9118" spans="1:1" x14ac:dyDescent="0.25">
      <c r="A9118" t="str">
        <f t="shared" si="143"/>
        <v/>
      </c>
    </row>
    <row r="9119" spans="1:1" x14ac:dyDescent="0.25">
      <c r="A9119" t="str">
        <f t="shared" si="143"/>
        <v/>
      </c>
    </row>
    <row r="9120" spans="1:1" x14ac:dyDescent="0.25">
      <c r="A9120" t="str">
        <f t="shared" si="143"/>
        <v/>
      </c>
    </row>
    <row r="9121" spans="1:1" x14ac:dyDescent="0.25">
      <c r="A9121" t="str">
        <f t="shared" si="143"/>
        <v/>
      </c>
    </row>
    <row r="9122" spans="1:1" x14ac:dyDescent="0.25">
      <c r="A9122" t="str">
        <f t="shared" si="143"/>
        <v/>
      </c>
    </row>
    <row r="9123" spans="1:1" x14ac:dyDescent="0.25">
      <c r="A9123" t="str">
        <f t="shared" si="143"/>
        <v/>
      </c>
    </row>
    <row r="9124" spans="1:1" x14ac:dyDescent="0.25">
      <c r="A9124" t="str">
        <f t="shared" si="143"/>
        <v/>
      </c>
    </row>
    <row r="9125" spans="1:1" x14ac:dyDescent="0.25">
      <c r="A9125" t="str">
        <f t="shared" si="143"/>
        <v/>
      </c>
    </row>
    <row r="9126" spans="1:1" x14ac:dyDescent="0.25">
      <c r="A9126" t="str">
        <f t="shared" si="143"/>
        <v/>
      </c>
    </row>
    <row r="9127" spans="1:1" x14ac:dyDescent="0.25">
      <c r="A9127" t="str">
        <f t="shared" si="143"/>
        <v/>
      </c>
    </row>
    <row r="9128" spans="1:1" x14ac:dyDescent="0.25">
      <c r="A9128" t="str">
        <f t="shared" si="143"/>
        <v/>
      </c>
    </row>
    <row r="9129" spans="1:1" x14ac:dyDescent="0.25">
      <c r="A9129" t="str">
        <f t="shared" si="143"/>
        <v/>
      </c>
    </row>
    <row r="9130" spans="1:1" x14ac:dyDescent="0.25">
      <c r="A9130" t="str">
        <f t="shared" si="143"/>
        <v/>
      </c>
    </row>
    <row r="9131" spans="1:1" x14ac:dyDescent="0.25">
      <c r="A9131" t="str">
        <f t="shared" si="143"/>
        <v/>
      </c>
    </row>
    <row r="9132" spans="1:1" x14ac:dyDescent="0.25">
      <c r="A9132" t="str">
        <f t="shared" si="143"/>
        <v/>
      </c>
    </row>
    <row r="9133" spans="1:1" x14ac:dyDescent="0.25">
      <c r="A9133" t="str">
        <f t="shared" si="143"/>
        <v/>
      </c>
    </row>
    <row r="9134" spans="1:1" x14ac:dyDescent="0.25">
      <c r="A9134" t="str">
        <f t="shared" si="143"/>
        <v/>
      </c>
    </row>
    <row r="9135" spans="1:1" x14ac:dyDescent="0.25">
      <c r="A9135" t="str">
        <f t="shared" si="143"/>
        <v/>
      </c>
    </row>
    <row r="9136" spans="1:1" x14ac:dyDescent="0.25">
      <c r="A9136" t="str">
        <f t="shared" si="143"/>
        <v/>
      </c>
    </row>
    <row r="9137" spans="1:1" x14ac:dyDescent="0.25">
      <c r="A9137" t="str">
        <f t="shared" si="143"/>
        <v/>
      </c>
    </row>
    <row r="9138" spans="1:1" x14ac:dyDescent="0.25">
      <c r="A9138" t="str">
        <f t="shared" si="143"/>
        <v/>
      </c>
    </row>
    <row r="9139" spans="1:1" x14ac:dyDescent="0.25">
      <c r="A9139" t="str">
        <f t="shared" si="143"/>
        <v/>
      </c>
    </row>
    <row r="9140" spans="1:1" x14ac:dyDescent="0.25">
      <c r="A9140" t="str">
        <f t="shared" si="143"/>
        <v/>
      </c>
    </row>
    <row r="9141" spans="1:1" x14ac:dyDescent="0.25">
      <c r="A9141" t="str">
        <f t="shared" ref="A9141:A9204" si="144">B9139&amp;D9139</f>
        <v/>
      </c>
    </row>
    <row r="9142" spans="1:1" x14ac:dyDescent="0.25">
      <c r="A9142" t="str">
        <f t="shared" si="144"/>
        <v/>
      </c>
    </row>
    <row r="9143" spans="1:1" x14ac:dyDescent="0.25">
      <c r="A9143" t="str">
        <f t="shared" si="144"/>
        <v/>
      </c>
    </row>
    <row r="9144" spans="1:1" x14ac:dyDescent="0.25">
      <c r="A9144" t="str">
        <f t="shared" si="144"/>
        <v/>
      </c>
    </row>
    <row r="9145" spans="1:1" x14ac:dyDescent="0.25">
      <c r="A9145" t="str">
        <f t="shared" si="144"/>
        <v/>
      </c>
    </row>
    <row r="9146" spans="1:1" x14ac:dyDescent="0.25">
      <c r="A9146" t="str">
        <f t="shared" si="144"/>
        <v/>
      </c>
    </row>
    <row r="9147" spans="1:1" x14ac:dyDescent="0.25">
      <c r="A9147" t="str">
        <f t="shared" si="144"/>
        <v/>
      </c>
    </row>
    <row r="9148" spans="1:1" x14ac:dyDescent="0.25">
      <c r="A9148" t="str">
        <f t="shared" si="144"/>
        <v/>
      </c>
    </row>
    <row r="9149" spans="1:1" x14ac:dyDescent="0.25">
      <c r="A9149" t="str">
        <f t="shared" si="144"/>
        <v/>
      </c>
    </row>
    <row r="9150" spans="1:1" x14ac:dyDescent="0.25">
      <c r="A9150" t="str">
        <f t="shared" si="144"/>
        <v/>
      </c>
    </row>
    <row r="9151" spans="1:1" x14ac:dyDescent="0.25">
      <c r="A9151" t="str">
        <f t="shared" si="144"/>
        <v/>
      </c>
    </row>
    <row r="9152" spans="1:1" x14ac:dyDescent="0.25">
      <c r="A9152" t="str">
        <f t="shared" si="144"/>
        <v/>
      </c>
    </row>
    <row r="9153" spans="1:1" x14ac:dyDescent="0.25">
      <c r="A9153" t="str">
        <f t="shared" si="144"/>
        <v/>
      </c>
    </row>
    <row r="9154" spans="1:1" x14ac:dyDescent="0.25">
      <c r="A9154" t="str">
        <f t="shared" si="144"/>
        <v/>
      </c>
    </row>
    <row r="9155" spans="1:1" x14ac:dyDescent="0.25">
      <c r="A9155" t="str">
        <f t="shared" si="144"/>
        <v/>
      </c>
    </row>
    <row r="9156" spans="1:1" x14ac:dyDescent="0.25">
      <c r="A9156" t="str">
        <f t="shared" si="144"/>
        <v/>
      </c>
    </row>
    <row r="9157" spans="1:1" x14ac:dyDescent="0.25">
      <c r="A9157" t="str">
        <f t="shared" si="144"/>
        <v/>
      </c>
    </row>
    <row r="9158" spans="1:1" x14ac:dyDescent="0.25">
      <c r="A9158" t="str">
        <f t="shared" si="144"/>
        <v/>
      </c>
    </row>
    <row r="9159" spans="1:1" x14ac:dyDescent="0.25">
      <c r="A9159" t="str">
        <f t="shared" si="144"/>
        <v/>
      </c>
    </row>
    <row r="9160" spans="1:1" x14ac:dyDescent="0.25">
      <c r="A9160" t="str">
        <f t="shared" si="144"/>
        <v/>
      </c>
    </row>
    <row r="9161" spans="1:1" x14ac:dyDescent="0.25">
      <c r="A9161" t="str">
        <f t="shared" si="144"/>
        <v/>
      </c>
    </row>
    <row r="9162" spans="1:1" x14ac:dyDescent="0.25">
      <c r="A9162" t="str">
        <f t="shared" si="144"/>
        <v/>
      </c>
    </row>
    <row r="9163" spans="1:1" x14ac:dyDescent="0.25">
      <c r="A9163" t="str">
        <f t="shared" si="144"/>
        <v/>
      </c>
    </row>
    <row r="9164" spans="1:1" x14ac:dyDescent="0.25">
      <c r="A9164" t="str">
        <f t="shared" si="144"/>
        <v/>
      </c>
    </row>
    <row r="9165" spans="1:1" x14ac:dyDescent="0.25">
      <c r="A9165" t="str">
        <f t="shared" si="144"/>
        <v/>
      </c>
    </row>
    <row r="9166" spans="1:1" x14ac:dyDescent="0.25">
      <c r="A9166" t="str">
        <f t="shared" si="144"/>
        <v/>
      </c>
    </row>
    <row r="9167" spans="1:1" x14ac:dyDescent="0.25">
      <c r="A9167" t="str">
        <f t="shared" si="144"/>
        <v/>
      </c>
    </row>
    <row r="9168" spans="1:1" x14ac:dyDescent="0.25">
      <c r="A9168" t="str">
        <f t="shared" si="144"/>
        <v/>
      </c>
    </row>
    <row r="9169" spans="1:1" x14ac:dyDescent="0.25">
      <c r="A9169" t="str">
        <f t="shared" si="144"/>
        <v/>
      </c>
    </row>
    <row r="9170" spans="1:1" x14ac:dyDescent="0.25">
      <c r="A9170" t="str">
        <f t="shared" si="144"/>
        <v/>
      </c>
    </row>
    <row r="9171" spans="1:1" x14ac:dyDescent="0.25">
      <c r="A9171" t="str">
        <f t="shared" si="144"/>
        <v/>
      </c>
    </row>
    <row r="9172" spans="1:1" x14ac:dyDescent="0.25">
      <c r="A9172" t="str">
        <f t="shared" si="144"/>
        <v/>
      </c>
    </row>
    <row r="9173" spans="1:1" x14ac:dyDescent="0.25">
      <c r="A9173" t="str">
        <f t="shared" si="144"/>
        <v/>
      </c>
    </row>
    <row r="9174" spans="1:1" x14ac:dyDescent="0.25">
      <c r="A9174" t="str">
        <f t="shared" si="144"/>
        <v/>
      </c>
    </row>
    <row r="9175" spans="1:1" x14ac:dyDescent="0.25">
      <c r="A9175" t="str">
        <f t="shared" si="144"/>
        <v/>
      </c>
    </row>
    <row r="9176" spans="1:1" x14ac:dyDescent="0.25">
      <c r="A9176" t="str">
        <f t="shared" si="144"/>
        <v/>
      </c>
    </row>
    <row r="9177" spans="1:1" x14ac:dyDescent="0.25">
      <c r="A9177" t="str">
        <f t="shared" si="144"/>
        <v/>
      </c>
    </row>
    <row r="9178" spans="1:1" x14ac:dyDescent="0.25">
      <c r="A9178" t="str">
        <f t="shared" si="144"/>
        <v/>
      </c>
    </row>
    <row r="9179" spans="1:1" x14ac:dyDescent="0.25">
      <c r="A9179" t="str">
        <f t="shared" si="144"/>
        <v/>
      </c>
    </row>
    <row r="9180" spans="1:1" x14ac:dyDescent="0.25">
      <c r="A9180" t="str">
        <f t="shared" si="144"/>
        <v/>
      </c>
    </row>
    <row r="9181" spans="1:1" x14ac:dyDescent="0.25">
      <c r="A9181" t="str">
        <f t="shared" si="144"/>
        <v/>
      </c>
    </row>
    <row r="9182" spans="1:1" x14ac:dyDescent="0.25">
      <c r="A9182" t="str">
        <f t="shared" si="144"/>
        <v/>
      </c>
    </row>
    <row r="9183" spans="1:1" x14ac:dyDescent="0.25">
      <c r="A9183" t="str">
        <f t="shared" si="144"/>
        <v/>
      </c>
    </row>
    <row r="9184" spans="1:1" x14ac:dyDescent="0.25">
      <c r="A9184" t="str">
        <f t="shared" si="144"/>
        <v/>
      </c>
    </row>
    <row r="9185" spans="1:1" x14ac:dyDescent="0.25">
      <c r="A9185" t="str">
        <f t="shared" si="144"/>
        <v/>
      </c>
    </row>
    <row r="9186" spans="1:1" x14ac:dyDescent="0.25">
      <c r="A9186" t="str">
        <f t="shared" si="144"/>
        <v/>
      </c>
    </row>
    <row r="9187" spans="1:1" x14ac:dyDescent="0.25">
      <c r="A9187" t="str">
        <f t="shared" si="144"/>
        <v/>
      </c>
    </row>
    <row r="9188" spans="1:1" x14ac:dyDescent="0.25">
      <c r="A9188" t="str">
        <f t="shared" si="144"/>
        <v/>
      </c>
    </row>
    <row r="9189" spans="1:1" x14ac:dyDescent="0.25">
      <c r="A9189" t="str">
        <f t="shared" si="144"/>
        <v/>
      </c>
    </row>
    <row r="9190" spans="1:1" x14ac:dyDescent="0.25">
      <c r="A9190" t="str">
        <f t="shared" si="144"/>
        <v/>
      </c>
    </row>
    <row r="9191" spans="1:1" x14ac:dyDescent="0.25">
      <c r="A9191" t="str">
        <f t="shared" si="144"/>
        <v/>
      </c>
    </row>
    <row r="9192" spans="1:1" x14ac:dyDescent="0.25">
      <c r="A9192" t="str">
        <f t="shared" si="144"/>
        <v/>
      </c>
    </row>
    <row r="9193" spans="1:1" x14ac:dyDescent="0.25">
      <c r="A9193" t="str">
        <f t="shared" si="144"/>
        <v/>
      </c>
    </row>
    <row r="9194" spans="1:1" x14ac:dyDescent="0.25">
      <c r="A9194" t="str">
        <f t="shared" si="144"/>
        <v/>
      </c>
    </row>
    <row r="9195" spans="1:1" x14ac:dyDescent="0.25">
      <c r="A9195" t="str">
        <f t="shared" si="144"/>
        <v/>
      </c>
    </row>
    <row r="9196" spans="1:1" x14ac:dyDescent="0.25">
      <c r="A9196" t="str">
        <f t="shared" si="144"/>
        <v/>
      </c>
    </row>
    <row r="9197" spans="1:1" x14ac:dyDescent="0.25">
      <c r="A9197" t="str">
        <f t="shared" si="144"/>
        <v/>
      </c>
    </row>
    <row r="9198" spans="1:1" x14ac:dyDescent="0.25">
      <c r="A9198" t="str">
        <f t="shared" si="144"/>
        <v/>
      </c>
    </row>
    <row r="9199" spans="1:1" x14ac:dyDescent="0.25">
      <c r="A9199" t="str">
        <f t="shared" si="144"/>
        <v/>
      </c>
    </row>
    <row r="9200" spans="1:1" x14ac:dyDescent="0.25">
      <c r="A9200" t="str">
        <f t="shared" si="144"/>
        <v/>
      </c>
    </row>
    <row r="9201" spans="1:1" x14ac:dyDescent="0.25">
      <c r="A9201" t="str">
        <f t="shared" si="144"/>
        <v/>
      </c>
    </row>
    <row r="9202" spans="1:1" x14ac:dyDescent="0.25">
      <c r="A9202" t="str">
        <f t="shared" si="144"/>
        <v/>
      </c>
    </row>
    <row r="9203" spans="1:1" x14ac:dyDescent="0.25">
      <c r="A9203" t="str">
        <f t="shared" si="144"/>
        <v/>
      </c>
    </row>
    <row r="9204" spans="1:1" x14ac:dyDescent="0.25">
      <c r="A9204" t="str">
        <f t="shared" si="144"/>
        <v/>
      </c>
    </row>
    <row r="9205" spans="1:1" x14ac:dyDescent="0.25">
      <c r="A9205" t="str">
        <f t="shared" ref="A9205:A9268" si="145">B9203&amp;D9203</f>
        <v/>
      </c>
    </row>
    <row r="9206" spans="1:1" x14ac:dyDescent="0.25">
      <c r="A9206" t="str">
        <f t="shared" si="145"/>
        <v/>
      </c>
    </row>
    <row r="9207" spans="1:1" x14ac:dyDescent="0.25">
      <c r="A9207" t="str">
        <f t="shared" si="145"/>
        <v/>
      </c>
    </row>
    <row r="9208" spans="1:1" x14ac:dyDescent="0.25">
      <c r="A9208" t="str">
        <f t="shared" si="145"/>
        <v/>
      </c>
    </row>
    <row r="9209" spans="1:1" x14ac:dyDescent="0.25">
      <c r="A9209" t="str">
        <f t="shared" si="145"/>
        <v/>
      </c>
    </row>
    <row r="9210" spans="1:1" x14ac:dyDescent="0.25">
      <c r="A9210" t="str">
        <f t="shared" si="145"/>
        <v/>
      </c>
    </row>
    <row r="9211" spans="1:1" x14ac:dyDescent="0.25">
      <c r="A9211" t="str">
        <f t="shared" si="145"/>
        <v/>
      </c>
    </row>
    <row r="9212" spans="1:1" x14ac:dyDescent="0.25">
      <c r="A9212" t="str">
        <f t="shared" si="145"/>
        <v/>
      </c>
    </row>
    <row r="9213" spans="1:1" x14ac:dyDescent="0.25">
      <c r="A9213" t="str">
        <f t="shared" si="145"/>
        <v/>
      </c>
    </row>
    <row r="9214" spans="1:1" x14ac:dyDescent="0.25">
      <c r="A9214" t="str">
        <f t="shared" si="145"/>
        <v/>
      </c>
    </row>
    <row r="9215" spans="1:1" x14ac:dyDescent="0.25">
      <c r="A9215" t="str">
        <f t="shared" si="145"/>
        <v/>
      </c>
    </row>
    <row r="9216" spans="1:1" x14ac:dyDescent="0.25">
      <c r="A9216" t="str">
        <f t="shared" si="145"/>
        <v/>
      </c>
    </row>
    <row r="9217" spans="1:1" x14ac:dyDescent="0.25">
      <c r="A9217" t="str">
        <f t="shared" si="145"/>
        <v/>
      </c>
    </row>
    <row r="9218" spans="1:1" x14ac:dyDescent="0.25">
      <c r="A9218" t="str">
        <f t="shared" si="145"/>
        <v/>
      </c>
    </row>
    <row r="9219" spans="1:1" x14ac:dyDescent="0.25">
      <c r="A9219" t="str">
        <f t="shared" si="145"/>
        <v/>
      </c>
    </row>
    <row r="9220" spans="1:1" x14ac:dyDescent="0.25">
      <c r="A9220" t="str">
        <f t="shared" si="145"/>
        <v/>
      </c>
    </row>
    <row r="9221" spans="1:1" x14ac:dyDescent="0.25">
      <c r="A9221" t="str">
        <f t="shared" si="145"/>
        <v/>
      </c>
    </row>
    <row r="9222" spans="1:1" x14ac:dyDescent="0.25">
      <c r="A9222" t="str">
        <f t="shared" si="145"/>
        <v/>
      </c>
    </row>
    <row r="9223" spans="1:1" x14ac:dyDescent="0.25">
      <c r="A9223" t="str">
        <f t="shared" si="145"/>
        <v/>
      </c>
    </row>
    <row r="9224" spans="1:1" x14ac:dyDescent="0.25">
      <c r="A9224" t="str">
        <f t="shared" si="145"/>
        <v/>
      </c>
    </row>
    <row r="9225" spans="1:1" x14ac:dyDescent="0.25">
      <c r="A9225" t="str">
        <f t="shared" si="145"/>
        <v/>
      </c>
    </row>
    <row r="9226" spans="1:1" x14ac:dyDescent="0.25">
      <c r="A9226" t="str">
        <f t="shared" si="145"/>
        <v/>
      </c>
    </row>
    <row r="9227" spans="1:1" x14ac:dyDescent="0.25">
      <c r="A9227" t="str">
        <f t="shared" si="145"/>
        <v/>
      </c>
    </row>
    <row r="9228" spans="1:1" x14ac:dyDescent="0.25">
      <c r="A9228" t="str">
        <f t="shared" si="145"/>
        <v/>
      </c>
    </row>
    <row r="9229" spans="1:1" x14ac:dyDescent="0.25">
      <c r="A9229" t="str">
        <f t="shared" si="145"/>
        <v/>
      </c>
    </row>
    <row r="9230" spans="1:1" x14ac:dyDescent="0.25">
      <c r="A9230" t="str">
        <f t="shared" si="145"/>
        <v/>
      </c>
    </row>
    <row r="9231" spans="1:1" x14ac:dyDescent="0.25">
      <c r="A9231" t="str">
        <f t="shared" si="145"/>
        <v/>
      </c>
    </row>
    <row r="9232" spans="1:1" x14ac:dyDescent="0.25">
      <c r="A9232" t="str">
        <f t="shared" si="145"/>
        <v/>
      </c>
    </row>
    <row r="9233" spans="1:1" x14ac:dyDescent="0.25">
      <c r="A9233" t="str">
        <f t="shared" si="145"/>
        <v/>
      </c>
    </row>
    <row r="9234" spans="1:1" x14ac:dyDescent="0.25">
      <c r="A9234" t="str">
        <f t="shared" si="145"/>
        <v/>
      </c>
    </row>
    <row r="9235" spans="1:1" x14ac:dyDescent="0.25">
      <c r="A9235" t="str">
        <f t="shared" si="145"/>
        <v/>
      </c>
    </row>
    <row r="9236" spans="1:1" x14ac:dyDescent="0.25">
      <c r="A9236" t="str">
        <f t="shared" si="145"/>
        <v/>
      </c>
    </row>
    <row r="9237" spans="1:1" x14ac:dyDescent="0.25">
      <c r="A9237" t="str">
        <f t="shared" si="145"/>
        <v/>
      </c>
    </row>
    <row r="9238" spans="1:1" x14ac:dyDescent="0.25">
      <c r="A9238" t="str">
        <f t="shared" si="145"/>
        <v/>
      </c>
    </row>
    <row r="9239" spans="1:1" x14ac:dyDescent="0.25">
      <c r="A9239" t="str">
        <f t="shared" si="145"/>
        <v/>
      </c>
    </row>
    <row r="9240" spans="1:1" x14ac:dyDescent="0.25">
      <c r="A9240" t="str">
        <f t="shared" si="145"/>
        <v/>
      </c>
    </row>
    <row r="9241" spans="1:1" x14ac:dyDescent="0.25">
      <c r="A9241" t="str">
        <f t="shared" si="145"/>
        <v/>
      </c>
    </row>
    <row r="9242" spans="1:1" x14ac:dyDescent="0.25">
      <c r="A9242" t="str">
        <f t="shared" si="145"/>
        <v/>
      </c>
    </row>
    <row r="9243" spans="1:1" x14ac:dyDescent="0.25">
      <c r="A9243" t="str">
        <f t="shared" si="145"/>
        <v/>
      </c>
    </row>
    <row r="9244" spans="1:1" x14ac:dyDescent="0.25">
      <c r="A9244" t="str">
        <f t="shared" si="145"/>
        <v/>
      </c>
    </row>
    <row r="9245" spans="1:1" x14ac:dyDescent="0.25">
      <c r="A9245" t="str">
        <f t="shared" si="145"/>
        <v/>
      </c>
    </row>
    <row r="9246" spans="1:1" x14ac:dyDescent="0.25">
      <c r="A9246" t="str">
        <f t="shared" si="145"/>
        <v/>
      </c>
    </row>
    <row r="9247" spans="1:1" x14ac:dyDescent="0.25">
      <c r="A9247" t="str">
        <f t="shared" si="145"/>
        <v/>
      </c>
    </row>
    <row r="9248" spans="1:1" x14ac:dyDescent="0.25">
      <c r="A9248" t="str">
        <f t="shared" si="145"/>
        <v/>
      </c>
    </row>
    <row r="9249" spans="1:1" x14ac:dyDescent="0.25">
      <c r="A9249" t="str">
        <f t="shared" si="145"/>
        <v/>
      </c>
    </row>
    <row r="9250" spans="1:1" x14ac:dyDescent="0.25">
      <c r="A9250" t="str">
        <f t="shared" si="145"/>
        <v/>
      </c>
    </row>
    <row r="9251" spans="1:1" x14ac:dyDescent="0.25">
      <c r="A9251" t="str">
        <f t="shared" si="145"/>
        <v/>
      </c>
    </row>
    <row r="9252" spans="1:1" x14ac:dyDescent="0.25">
      <c r="A9252" t="str">
        <f t="shared" si="145"/>
        <v/>
      </c>
    </row>
    <row r="9253" spans="1:1" x14ac:dyDescent="0.25">
      <c r="A9253" t="str">
        <f t="shared" si="145"/>
        <v/>
      </c>
    </row>
    <row r="9254" spans="1:1" x14ac:dyDescent="0.25">
      <c r="A9254" t="str">
        <f t="shared" si="145"/>
        <v/>
      </c>
    </row>
    <row r="9255" spans="1:1" x14ac:dyDescent="0.25">
      <c r="A9255" t="str">
        <f t="shared" si="145"/>
        <v/>
      </c>
    </row>
    <row r="9256" spans="1:1" x14ac:dyDescent="0.25">
      <c r="A9256" t="str">
        <f t="shared" si="145"/>
        <v/>
      </c>
    </row>
    <row r="9257" spans="1:1" x14ac:dyDescent="0.25">
      <c r="A9257" t="str">
        <f t="shared" si="145"/>
        <v/>
      </c>
    </row>
    <row r="9258" spans="1:1" x14ac:dyDescent="0.25">
      <c r="A9258" t="str">
        <f t="shared" si="145"/>
        <v/>
      </c>
    </row>
    <row r="9259" spans="1:1" x14ac:dyDescent="0.25">
      <c r="A9259" t="str">
        <f t="shared" si="145"/>
        <v/>
      </c>
    </row>
    <row r="9260" spans="1:1" x14ac:dyDescent="0.25">
      <c r="A9260" t="str">
        <f t="shared" si="145"/>
        <v/>
      </c>
    </row>
    <row r="9261" spans="1:1" x14ac:dyDescent="0.25">
      <c r="A9261" t="str">
        <f t="shared" si="145"/>
        <v/>
      </c>
    </row>
    <row r="9262" spans="1:1" x14ac:dyDescent="0.25">
      <c r="A9262" t="str">
        <f t="shared" si="145"/>
        <v/>
      </c>
    </row>
    <row r="9263" spans="1:1" x14ac:dyDescent="0.25">
      <c r="A9263" t="str">
        <f t="shared" si="145"/>
        <v/>
      </c>
    </row>
    <row r="9264" spans="1:1" x14ac:dyDescent="0.25">
      <c r="A9264" t="str">
        <f t="shared" si="145"/>
        <v/>
      </c>
    </row>
    <row r="9265" spans="1:1" x14ac:dyDescent="0.25">
      <c r="A9265" t="str">
        <f t="shared" si="145"/>
        <v/>
      </c>
    </row>
    <row r="9266" spans="1:1" x14ac:dyDescent="0.25">
      <c r="A9266" t="str">
        <f t="shared" si="145"/>
        <v/>
      </c>
    </row>
    <row r="9267" spans="1:1" x14ac:dyDescent="0.25">
      <c r="A9267" t="str">
        <f t="shared" si="145"/>
        <v/>
      </c>
    </row>
    <row r="9268" spans="1:1" x14ac:dyDescent="0.25">
      <c r="A9268" t="str">
        <f t="shared" si="145"/>
        <v/>
      </c>
    </row>
    <row r="9269" spans="1:1" x14ac:dyDescent="0.25">
      <c r="A9269" t="str">
        <f t="shared" ref="A9269:A9332" si="146">B9267&amp;D9267</f>
        <v/>
      </c>
    </row>
    <row r="9270" spans="1:1" x14ac:dyDescent="0.25">
      <c r="A9270" t="str">
        <f t="shared" si="146"/>
        <v/>
      </c>
    </row>
    <row r="9271" spans="1:1" x14ac:dyDescent="0.25">
      <c r="A9271" t="str">
        <f t="shared" si="146"/>
        <v/>
      </c>
    </row>
    <row r="9272" spans="1:1" x14ac:dyDescent="0.25">
      <c r="A9272" t="str">
        <f t="shared" si="146"/>
        <v/>
      </c>
    </row>
    <row r="9273" spans="1:1" x14ac:dyDescent="0.25">
      <c r="A9273" t="str">
        <f t="shared" si="146"/>
        <v/>
      </c>
    </row>
    <row r="9274" spans="1:1" x14ac:dyDescent="0.25">
      <c r="A9274" t="str">
        <f t="shared" si="146"/>
        <v/>
      </c>
    </row>
    <row r="9275" spans="1:1" x14ac:dyDescent="0.25">
      <c r="A9275" t="str">
        <f t="shared" si="146"/>
        <v/>
      </c>
    </row>
    <row r="9276" spans="1:1" x14ac:dyDescent="0.25">
      <c r="A9276" t="str">
        <f t="shared" si="146"/>
        <v/>
      </c>
    </row>
    <row r="9277" spans="1:1" x14ac:dyDescent="0.25">
      <c r="A9277" t="str">
        <f t="shared" si="146"/>
        <v/>
      </c>
    </row>
    <row r="9278" spans="1:1" x14ac:dyDescent="0.25">
      <c r="A9278" t="str">
        <f t="shared" si="146"/>
        <v/>
      </c>
    </row>
    <row r="9279" spans="1:1" x14ac:dyDescent="0.25">
      <c r="A9279" t="str">
        <f t="shared" si="146"/>
        <v/>
      </c>
    </row>
    <row r="9280" spans="1:1" x14ac:dyDescent="0.25">
      <c r="A9280" t="str">
        <f t="shared" si="146"/>
        <v/>
      </c>
    </row>
    <row r="9281" spans="1:1" x14ac:dyDescent="0.25">
      <c r="A9281" t="str">
        <f t="shared" si="146"/>
        <v/>
      </c>
    </row>
    <row r="9282" spans="1:1" x14ac:dyDescent="0.25">
      <c r="A9282" t="str">
        <f t="shared" si="146"/>
        <v/>
      </c>
    </row>
    <row r="9283" spans="1:1" x14ac:dyDescent="0.25">
      <c r="A9283" t="str">
        <f t="shared" si="146"/>
        <v/>
      </c>
    </row>
    <row r="9284" spans="1:1" x14ac:dyDescent="0.25">
      <c r="A9284" t="str">
        <f t="shared" si="146"/>
        <v/>
      </c>
    </row>
    <row r="9285" spans="1:1" x14ac:dyDescent="0.25">
      <c r="A9285" t="str">
        <f t="shared" si="146"/>
        <v/>
      </c>
    </row>
    <row r="9286" spans="1:1" x14ac:dyDescent="0.25">
      <c r="A9286" t="str">
        <f t="shared" si="146"/>
        <v/>
      </c>
    </row>
    <row r="9287" spans="1:1" x14ac:dyDescent="0.25">
      <c r="A9287" t="str">
        <f t="shared" si="146"/>
        <v/>
      </c>
    </row>
    <row r="9288" spans="1:1" x14ac:dyDescent="0.25">
      <c r="A9288" t="str">
        <f t="shared" si="146"/>
        <v/>
      </c>
    </row>
    <row r="9289" spans="1:1" x14ac:dyDescent="0.25">
      <c r="A9289" t="str">
        <f t="shared" si="146"/>
        <v/>
      </c>
    </row>
    <row r="9290" spans="1:1" x14ac:dyDescent="0.25">
      <c r="A9290" t="str">
        <f t="shared" si="146"/>
        <v/>
      </c>
    </row>
    <row r="9291" spans="1:1" x14ac:dyDescent="0.25">
      <c r="A9291" t="str">
        <f t="shared" si="146"/>
        <v/>
      </c>
    </row>
    <row r="9292" spans="1:1" x14ac:dyDescent="0.25">
      <c r="A9292" t="str">
        <f t="shared" si="146"/>
        <v/>
      </c>
    </row>
    <row r="9293" spans="1:1" x14ac:dyDescent="0.25">
      <c r="A9293" t="str">
        <f t="shared" si="146"/>
        <v/>
      </c>
    </row>
    <row r="9294" spans="1:1" x14ac:dyDescent="0.25">
      <c r="A9294" t="str">
        <f t="shared" si="146"/>
        <v/>
      </c>
    </row>
    <row r="9295" spans="1:1" x14ac:dyDescent="0.25">
      <c r="A9295" t="str">
        <f t="shared" si="146"/>
        <v/>
      </c>
    </row>
    <row r="9296" spans="1:1" x14ac:dyDescent="0.25">
      <c r="A9296" t="str">
        <f t="shared" si="146"/>
        <v/>
      </c>
    </row>
    <row r="9297" spans="1:1" x14ac:dyDescent="0.25">
      <c r="A9297" t="str">
        <f t="shared" si="146"/>
        <v/>
      </c>
    </row>
    <row r="9298" spans="1:1" x14ac:dyDescent="0.25">
      <c r="A9298" t="str">
        <f t="shared" si="146"/>
        <v/>
      </c>
    </row>
    <row r="9299" spans="1:1" x14ac:dyDescent="0.25">
      <c r="A9299" t="str">
        <f t="shared" si="146"/>
        <v/>
      </c>
    </row>
    <row r="9300" spans="1:1" x14ac:dyDescent="0.25">
      <c r="A9300" t="str">
        <f t="shared" si="146"/>
        <v/>
      </c>
    </row>
    <row r="9301" spans="1:1" x14ac:dyDescent="0.25">
      <c r="A9301" t="str">
        <f t="shared" si="146"/>
        <v/>
      </c>
    </row>
    <row r="9302" spans="1:1" x14ac:dyDescent="0.25">
      <c r="A9302" t="str">
        <f t="shared" si="146"/>
        <v/>
      </c>
    </row>
    <row r="9303" spans="1:1" x14ac:dyDescent="0.25">
      <c r="A9303" t="str">
        <f t="shared" si="146"/>
        <v/>
      </c>
    </row>
    <row r="9304" spans="1:1" x14ac:dyDescent="0.25">
      <c r="A9304" t="str">
        <f t="shared" si="146"/>
        <v/>
      </c>
    </row>
    <row r="9305" spans="1:1" x14ac:dyDescent="0.25">
      <c r="A9305" t="str">
        <f t="shared" si="146"/>
        <v/>
      </c>
    </row>
    <row r="9306" spans="1:1" x14ac:dyDescent="0.25">
      <c r="A9306" t="str">
        <f t="shared" si="146"/>
        <v/>
      </c>
    </row>
    <row r="9307" spans="1:1" x14ac:dyDescent="0.25">
      <c r="A9307" t="str">
        <f t="shared" si="146"/>
        <v/>
      </c>
    </row>
    <row r="9308" spans="1:1" x14ac:dyDescent="0.25">
      <c r="A9308" t="str">
        <f t="shared" si="146"/>
        <v/>
      </c>
    </row>
    <row r="9309" spans="1:1" x14ac:dyDescent="0.25">
      <c r="A9309" t="str">
        <f t="shared" si="146"/>
        <v/>
      </c>
    </row>
    <row r="9310" spans="1:1" x14ac:dyDescent="0.25">
      <c r="A9310" t="str">
        <f t="shared" si="146"/>
        <v/>
      </c>
    </row>
    <row r="9311" spans="1:1" x14ac:dyDescent="0.25">
      <c r="A9311" t="str">
        <f t="shared" si="146"/>
        <v/>
      </c>
    </row>
    <row r="9312" spans="1:1" x14ac:dyDescent="0.25">
      <c r="A9312" t="str">
        <f t="shared" si="146"/>
        <v/>
      </c>
    </row>
    <row r="9313" spans="1:1" x14ac:dyDescent="0.25">
      <c r="A9313" t="str">
        <f t="shared" si="146"/>
        <v/>
      </c>
    </row>
    <row r="9314" spans="1:1" x14ac:dyDescent="0.25">
      <c r="A9314" t="str">
        <f t="shared" si="146"/>
        <v/>
      </c>
    </row>
    <row r="9315" spans="1:1" x14ac:dyDescent="0.25">
      <c r="A9315" t="str">
        <f t="shared" si="146"/>
        <v/>
      </c>
    </row>
    <row r="9316" spans="1:1" x14ac:dyDescent="0.25">
      <c r="A9316" t="str">
        <f t="shared" si="146"/>
        <v/>
      </c>
    </row>
    <row r="9317" spans="1:1" x14ac:dyDescent="0.25">
      <c r="A9317" t="str">
        <f t="shared" si="146"/>
        <v/>
      </c>
    </row>
    <row r="9318" spans="1:1" x14ac:dyDescent="0.25">
      <c r="A9318" t="str">
        <f t="shared" si="146"/>
        <v/>
      </c>
    </row>
    <row r="9319" spans="1:1" x14ac:dyDescent="0.25">
      <c r="A9319" t="str">
        <f t="shared" si="146"/>
        <v/>
      </c>
    </row>
    <row r="9320" spans="1:1" x14ac:dyDescent="0.25">
      <c r="A9320" t="str">
        <f t="shared" si="146"/>
        <v/>
      </c>
    </row>
    <row r="9321" spans="1:1" x14ac:dyDescent="0.25">
      <c r="A9321" t="str">
        <f t="shared" si="146"/>
        <v/>
      </c>
    </row>
    <row r="9322" spans="1:1" x14ac:dyDescent="0.25">
      <c r="A9322" t="str">
        <f t="shared" si="146"/>
        <v/>
      </c>
    </row>
    <row r="9323" spans="1:1" x14ac:dyDescent="0.25">
      <c r="A9323" t="str">
        <f t="shared" si="146"/>
        <v/>
      </c>
    </row>
    <row r="9324" spans="1:1" x14ac:dyDescent="0.25">
      <c r="A9324" t="str">
        <f t="shared" si="146"/>
        <v/>
      </c>
    </row>
    <row r="9325" spans="1:1" x14ac:dyDescent="0.25">
      <c r="A9325" t="str">
        <f t="shared" si="146"/>
        <v/>
      </c>
    </row>
    <row r="9326" spans="1:1" x14ac:dyDescent="0.25">
      <c r="A9326" t="str">
        <f t="shared" si="146"/>
        <v/>
      </c>
    </row>
    <row r="9327" spans="1:1" x14ac:dyDescent="0.25">
      <c r="A9327" t="str">
        <f t="shared" si="146"/>
        <v/>
      </c>
    </row>
    <row r="9328" spans="1:1" x14ac:dyDescent="0.25">
      <c r="A9328" t="str">
        <f t="shared" si="146"/>
        <v/>
      </c>
    </row>
    <row r="9329" spans="1:1" x14ac:dyDescent="0.25">
      <c r="A9329" t="str">
        <f t="shared" si="146"/>
        <v/>
      </c>
    </row>
    <row r="9330" spans="1:1" x14ac:dyDescent="0.25">
      <c r="A9330" t="str">
        <f t="shared" si="146"/>
        <v/>
      </c>
    </row>
    <row r="9331" spans="1:1" x14ac:dyDescent="0.25">
      <c r="A9331" t="str">
        <f t="shared" si="146"/>
        <v/>
      </c>
    </row>
    <row r="9332" spans="1:1" x14ac:dyDescent="0.25">
      <c r="A9332" t="str">
        <f t="shared" si="146"/>
        <v/>
      </c>
    </row>
    <row r="9333" spans="1:1" x14ac:dyDescent="0.25">
      <c r="A9333" t="str">
        <f t="shared" ref="A9333:A9396" si="147">B9331&amp;D9331</f>
        <v/>
      </c>
    </row>
    <row r="9334" spans="1:1" x14ac:dyDescent="0.25">
      <c r="A9334" t="str">
        <f t="shared" si="147"/>
        <v/>
      </c>
    </row>
    <row r="9335" spans="1:1" x14ac:dyDescent="0.25">
      <c r="A9335" t="str">
        <f t="shared" si="147"/>
        <v/>
      </c>
    </row>
    <row r="9336" spans="1:1" x14ac:dyDescent="0.25">
      <c r="A9336" t="str">
        <f t="shared" si="147"/>
        <v/>
      </c>
    </row>
    <row r="9337" spans="1:1" x14ac:dyDescent="0.25">
      <c r="A9337" t="str">
        <f t="shared" si="147"/>
        <v/>
      </c>
    </row>
    <row r="9338" spans="1:1" x14ac:dyDescent="0.25">
      <c r="A9338" t="str">
        <f t="shared" si="147"/>
        <v/>
      </c>
    </row>
    <row r="9339" spans="1:1" x14ac:dyDescent="0.25">
      <c r="A9339" t="str">
        <f t="shared" si="147"/>
        <v/>
      </c>
    </row>
    <row r="9340" spans="1:1" x14ac:dyDescent="0.25">
      <c r="A9340" t="str">
        <f t="shared" si="147"/>
        <v/>
      </c>
    </row>
    <row r="9341" spans="1:1" x14ac:dyDescent="0.25">
      <c r="A9341" t="str">
        <f t="shared" si="147"/>
        <v/>
      </c>
    </row>
    <row r="9342" spans="1:1" x14ac:dyDescent="0.25">
      <c r="A9342" t="str">
        <f t="shared" si="147"/>
        <v/>
      </c>
    </row>
    <row r="9343" spans="1:1" x14ac:dyDescent="0.25">
      <c r="A9343" t="str">
        <f t="shared" si="147"/>
        <v/>
      </c>
    </row>
    <row r="9344" spans="1:1" x14ac:dyDescent="0.25">
      <c r="A9344" t="str">
        <f t="shared" si="147"/>
        <v/>
      </c>
    </row>
    <row r="9345" spans="1:1" x14ac:dyDescent="0.25">
      <c r="A9345" t="str">
        <f t="shared" si="147"/>
        <v/>
      </c>
    </row>
    <row r="9346" spans="1:1" x14ac:dyDescent="0.25">
      <c r="A9346" t="str">
        <f t="shared" si="147"/>
        <v/>
      </c>
    </row>
    <row r="9347" spans="1:1" x14ac:dyDescent="0.25">
      <c r="A9347" t="str">
        <f t="shared" si="147"/>
        <v/>
      </c>
    </row>
    <row r="9348" spans="1:1" x14ac:dyDescent="0.25">
      <c r="A9348" t="str">
        <f t="shared" si="147"/>
        <v/>
      </c>
    </row>
    <row r="9349" spans="1:1" x14ac:dyDescent="0.25">
      <c r="A9349" t="str">
        <f t="shared" si="147"/>
        <v/>
      </c>
    </row>
    <row r="9350" spans="1:1" x14ac:dyDescent="0.25">
      <c r="A9350" t="str">
        <f t="shared" si="147"/>
        <v/>
      </c>
    </row>
    <row r="9351" spans="1:1" x14ac:dyDescent="0.25">
      <c r="A9351" t="str">
        <f t="shared" si="147"/>
        <v/>
      </c>
    </row>
    <row r="9352" spans="1:1" x14ac:dyDescent="0.25">
      <c r="A9352" t="str">
        <f t="shared" si="147"/>
        <v/>
      </c>
    </row>
    <row r="9353" spans="1:1" x14ac:dyDescent="0.25">
      <c r="A9353" t="str">
        <f t="shared" si="147"/>
        <v/>
      </c>
    </row>
    <row r="9354" spans="1:1" x14ac:dyDescent="0.25">
      <c r="A9354" t="str">
        <f t="shared" si="147"/>
        <v/>
      </c>
    </row>
    <row r="9355" spans="1:1" x14ac:dyDescent="0.25">
      <c r="A9355" t="str">
        <f t="shared" si="147"/>
        <v/>
      </c>
    </row>
    <row r="9356" spans="1:1" x14ac:dyDescent="0.25">
      <c r="A9356" t="str">
        <f t="shared" si="147"/>
        <v/>
      </c>
    </row>
    <row r="9357" spans="1:1" x14ac:dyDescent="0.25">
      <c r="A9357" t="str">
        <f t="shared" si="147"/>
        <v/>
      </c>
    </row>
    <row r="9358" spans="1:1" x14ac:dyDescent="0.25">
      <c r="A9358" t="str">
        <f t="shared" si="147"/>
        <v/>
      </c>
    </row>
    <row r="9359" spans="1:1" x14ac:dyDescent="0.25">
      <c r="A9359" t="str">
        <f t="shared" si="147"/>
        <v/>
      </c>
    </row>
    <row r="9360" spans="1:1" x14ac:dyDescent="0.25">
      <c r="A9360" t="str">
        <f t="shared" si="147"/>
        <v/>
      </c>
    </row>
    <row r="9361" spans="1:1" x14ac:dyDescent="0.25">
      <c r="A9361" t="str">
        <f t="shared" si="147"/>
        <v/>
      </c>
    </row>
    <row r="9362" spans="1:1" x14ac:dyDescent="0.25">
      <c r="A9362" t="str">
        <f t="shared" si="147"/>
        <v/>
      </c>
    </row>
    <row r="9363" spans="1:1" x14ac:dyDescent="0.25">
      <c r="A9363" t="str">
        <f t="shared" si="147"/>
        <v/>
      </c>
    </row>
    <row r="9364" spans="1:1" x14ac:dyDescent="0.25">
      <c r="A9364" t="str">
        <f t="shared" si="147"/>
        <v/>
      </c>
    </row>
    <row r="9365" spans="1:1" x14ac:dyDescent="0.25">
      <c r="A9365" t="str">
        <f t="shared" si="147"/>
        <v/>
      </c>
    </row>
    <row r="9366" spans="1:1" x14ac:dyDescent="0.25">
      <c r="A9366" t="str">
        <f t="shared" si="147"/>
        <v/>
      </c>
    </row>
    <row r="9367" spans="1:1" x14ac:dyDescent="0.25">
      <c r="A9367" t="str">
        <f t="shared" si="147"/>
        <v/>
      </c>
    </row>
    <row r="9368" spans="1:1" x14ac:dyDescent="0.25">
      <c r="A9368" t="str">
        <f t="shared" si="147"/>
        <v/>
      </c>
    </row>
    <row r="9369" spans="1:1" x14ac:dyDescent="0.25">
      <c r="A9369" t="str">
        <f t="shared" si="147"/>
        <v/>
      </c>
    </row>
    <row r="9370" spans="1:1" x14ac:dyDescent="0.25">
      <c r="A9370" t="str">
        <f t="shared" si="147"/>
        <v/>
      </c>
    </row>
    <row r="9371" spans="1:1" x14ac:dyDescent="0.25">
      <c r="A9371" t="str">
        <f t="shared" si="147"/>
        <v/>
      </c>
    </row>
    <row r="9372" spans="1:1" x14ac:dyDescent="0.25">
      <c r="A9372" t="str">
        <f t="shared" si="147"/>
        <v/>
      </c>
    </row>
    <row r="9373" spans="1:1" x14ac:dyDescent="0.25">
      <c r="A9373" t="str">
        <f t="shared" si="147"/>
        <v/>
      </c>
    </row>
    <row r="9374" spans="1:1" x14ac:dyDescent="0.25">
      <c r="A9374" t="str">
        <f t="shared" si="147"/>
        <v/>
      </c>
    </row>
    <row r="9375" spans="1:1" x14ac:dyDescent="0.25">
      <c r="A9375" t="str">
        <f t="shared" si="147"/>
        <v/>
      </c>
    </row>
    <row r="9376" spans="1:1" x14ac:dyDescent="0.25">
      <c r="A9376" t="str">
        <f t="shared" si="147"/>
        <v/>
      </c>
    </row>
    <row r="9377" spans="1:1" x14ac:dyDescent="0.25">
      <c r="A9377" t="str">
        <f t="shared" si="147"/>
        <v/>
      </c>
    </row>
    <row r="9378" spans="1:1" x14ac:dyDescent="0.25">
      <c r="A9378" t="str">
        <f t="shared" si="147"/>
        <v/>
      </c>
    </row>
    <row r="9379" spans="1:1" x14ac:dyDescent="0.25">
      <c r="A9379" t="str">
        <f t="shared" si="147"/>
        <v/>
      </c>
    </row>
    <row r="9380" spans="1:1" x14ac:dyDescent="0.25">
      <c r="A9380" t="str">
        <f t="shared" si="147"/>
        <v/>
      </c>
    </row>
    <row r="9381" spans="1:1" x14ac:dyDescent="0.25">
      <c r="A9381" t="str">
        <f t="shared" si="147"/>
        <v/>
      </c>
    </row>
    <row r="9382" spans="1:1" x14ac:dyDescent="0.25">
      <c r="A9382" t="str">
        <f t="shared" si="147"/>
        <v/>
      </c>
    </row>
    <row r="9383" spans="1:1" x14ac:dyDescent="0.25">
      <c r="A9383" t="str">
        <f t="shared" si="147"/>
        <v/>
      </c>
    </row>
    <row r="9384" spans="1:1" x14ac:dyDescent="0.25">
      <c r="A9384" t="str">
        <f t="shared" si="147"/>
        <v/>
      </c>
    </row>
    <row r="9385" spans="1:1" x14ac:dyDescent="0.25">
      <c r="A9385" t="str">
        <f t="shared" si="147"/>
        <v/>
      </c>
    </row>
    <row r="9386" spans="1:1" x14ac:dyDescent="0.25">
      <c r="A9386" t="str">
        <f t="shared" si="147"/>
        <v/>
      </c>
    </row>
    <row r="9387" spans="1:1" x14ac:dyDescent="0.25">
      <c r="A9387" t="str">
        <f t="shared" si="147"/>
        <v/>
      </c>
    </row>
    <row r="9388" spans="1:1" x14ac:dyDescent="0.25">
      <c r="A9388" t="str">
        <f t="shared" si="147"/>
        <v/>
      </c>
    </row>
    <row r="9389" spans="1:1" x14ac:dyDescent="0.25">
      <c r="A9389" t="str">
        <f t="shared" si="147"/>
        <v/>
      </c>
    </row>
    <row r="9390" spans="1:1" x14ac:dyDescent="0.25">
      <c r="A9390" t="str">
        <f t="shared" si="147"/>
        <v/>
      </c>
    </row>
    <row r="9391" spans="1:1" x14ac:dyDescent="0.25">
      <c r="A9391" t="str">
        <f t="shared" si="147"/>
        <v/>
      </c>
    </row>
    <row r="9392" spans="1:1" x14ac:dyDescent="0.25">
      <c r="A9392" t="str">
        <f t="shared" si="147"/>
        <v/>
      </c>
    </row>
    <row r="9393" spans="1:1" x14ac:dyDescent="0.25">
      <c r="A9393" t="str">
        <f t="shared" si="147"/>
        <v/>
      </c>
    </row>
    <row r="9394" spans="1:1" x14ac:dyDescent="0.25">
      <c r="A9394" t="str">
        <f t="shared" si="147"/>
        <v/>
      </c>
    </row>
    <row r="9395" spans="1:1" x14ac:dyDescent="0.25">
      <c r="A9395" t="str">
        <f t="shared" si="147"/>
        <v/>
      </c>
    </row>
    <row r="9396" spans="1:1" x14ac:dyDescent="0.25">
      <c r="A9396" t="str">
        <f t="shared" si="147"/>
        <v/>
      </c>
    </row>
    <row r="9397" spans="1:1" x14ac:dyDescent="0.25">
      <c r="A9397" t="str">
        <f t="shared" ref="A9397:A9460" si="148">B9395&amp;D9395</f>
        <v/>
      </c>
    </row>
    <row r="9398" spans="1:1" x14ac:dyDescent="0.25">
      <c r="A9398" t="str">
        <f t="shared" si="148"/>
        <v/>
      </c>
    </row>
    <row r="9399" spans="1:1" x14ac:dyDescent="0.25">
      <c r="A9399" t="str">
        <f t="shared" si="148"/>
        <v/>
      </c>
    </row>
    <row r="9400" spans="1:1" x14ac:dyDescent="0.25">
      <c r="A9400" t="str">
        <f t="shared" si="148"/>
        <v/>
      </c>
    </row>
    <row r="9401" spans="1:1" x14ac:dyDescent="0.25">
      <c r="A9401" t="str">
        <f t="shared" si="148"/>
        <v/>
      </c>
    </row>
    <row r="9402" spans="1:1" x14ac:dyDescent="0.25">
      <c r="A9402" t="str">
        <f t="shared" si="148"/>
        <v/>
      </c>
    </row>
    <row r="9403" spans="1:1" x14ac:dyDescent="0.25">
      <c r="A9403" t="str">
        <f t="shared" si="148"/>
        <v/>
      </c>
    </row>
    <row r="9404" spans="1:1" x14ac:dyDescent="0.25">
      <c r="A9404" t="str">
        <f t="shared" si="148"/>
        <v/>
      </c>
    </row>
    <row r="9405" spans="1:1" x14ac:dyDescent="0.25">
      <c r="A9405" t="str">
        <f t="shared" si="148"/>
        <v/>
      </c>
    </row>
    <row r="9406" spans="1:1" x14ac:dyDescent="0.25">
      <c r="A9406" t="str">
        <f t="shared" si="148"/>
        <v/>
      </c>
    </row>
    <row r="9407" spans="1:1" x14ac:dyDescent="0.25">
      <c r="A9407" t="str">
        <f t="shared" si="148"/>
        <v/>
      </c>
    </row>
    <row r="9408" spans="1:1" x14ac:dyDescent="0.25">
      <c r="A9408" t="str">
        <f t="shared" si="148"/>
        <v/>
      </c>
    </row>
    <row r="9409" spans="1:1" x14ac:dyDescent="0.25">
      <c r="A9409" t="str">
        <f t="shared" si="148"/>
        <v/>
      </c>
    </row>
    <row r="9410" spans="1:1" x14ac:dyDescent="0.25">
      <c r="A9410" t="str">
        <f t="shared" si="148"/>
        <v/>
      </c>
    </row>
    <row r="9411" spans="1:1" x14ac:dyDescent="0.25">
      <c r="A9411" t="str">
        <f t="shared" si="148"/>
        <v/>
      </c>
    </row>
    <row r="9412" spans="1:1" x14ac:dyDescent="0.25">
      <c r="A9412" t="str">
        <f t="shared" si="148"/>
        <v/>
      </c>
    </row>
    <row r="9413" spans="1:1" x14ac:dyDescent="0.25">
      <c r="A9413" t="str">
        <f t="shared" si="148"/>
        <v/>
      </c>
    </row>
    <row r="9414" spans="1:1" x14ac:dyDescent="0.25">
      <c r="A9414" t="str">
        <f t="shared" si="148"/>
        <v/>
      </c>
    </row>
    <row r="9415" spans="1:1" x14ac:dyDescent="0.25">
      <c r="A9415" t="str">
        <f t="shared" si="148"/>
        <v/>
      </c>
    </row>
    <row r="9416" spans="1:1" x14ac:dyDescent="0.25">
      <c r="A9416" t="str">
        <f t="shared" si="148"/>
        <v/>
      </c>
    </row>
    <row r="9417" spans="1:1" x14ac:dyDescent="0.25">
      <c r="A9417" t="str">
        <f t="shared" si="148"/>
        <v/>
      </c>
    </row>
    <row r="9418" spans="1:1" x14ac:dyDescent="0.25">
      <c r="A9418" t="str">
        <f t="shared" si="148"/>
        <v/>
      </c>
    </row>
    <row r="9419" spans="1:1" x14ac:dyDescent="0.25">
      <c r="A9419" t="str">
        <f t="shared" si="148"/>
        <v/>
      </c>
    </row>
    <row r="9420" spans="1:1" x14ac:dyDescent="0.25">
      <c r="A9420" t="str">
        <f t="shared" si="148"/>
        <v/>
      </c>
    </row>
    <row r="9421" spans="1:1" x14ac:dyDescent="0.25">
      <c r="A9421" t="str">
        <f t="shared" si="148"/>
        <v/>
      </c>
    </row>
    <row r="9422" spans="1:1" x14ac:dyDescent="0.25">
      <c r="A9422" t="str">
        <f t="shared" si="148"/>
        <v/>
      </c>
    </row>
    <row r="9423" spans="1:1" x14ac:dyDescent="0.25">
      <c r="A9423" t="str">
        <f t="shared" si="148"/>
        <v/>
      </c>
    </row>
    <row r="9424" spans="1:1" x14ac:dyDescent="0.25">
      <c r="A9424" t="str">
        <f t="shared" si="148"/>
        <v/>
      </c>
    </row>
    <row r="9425" spans="1:1" x14ac:dyDescent="0.25">
      <c r="A9425" t="str">
        <f t="shared" si="148"/>
        <v/>
      </c>
    </row>
    <row r="9426" spans="1:1" x14ac:dyDescent="0.25">
      <c r="A9426" t="str">
        <f t="shared" si="148"/>
        <v/>
      </c>
    </row>
    <row r="9427" spans="1:1" x14ac:dyDescent="0.25">
      <c r="A9427" t="str">
        <f t="shared" si="148"/>
        <v/>
      </c>
    </row>
    <row r="9428" spans="1:1" x14ac:dyDescent="0.25">
      <c r="A9428" t="str">
        <f t="shared" si="148"/>
        <v/>
      </c>
    </row>
    <row r="9429" spans="1:1" x14ac:dyDescent="0.25">
      <c r="A9429" t="str">
        <f t="shared" si="148"/>
        <v/>
      </c>
    </row>
    <row r="9430" spans="1:1" x14ac:dyDescent="0.25">
      <c r="A9430" t="str">
        <f t="shared" si="148"/>
        <v/>
      </c>
    </row>
    <row r="9431" spans="1:1" x14ac:dyDescent="0.25">
      <c r="A9431" t="str">
        <f t="shared" si="148"/>
        <v/>
      </c>
    </row>
    <row r="9432" spans="1:1" x14ac:dyDescent="0.25">
      <c r="A9432" t="str">
        <f t="shared" si="148"/>
        <v/>
      </c>
    </row>
    <row r="9433" spans="1:1" x14ac:dyDescent="0.25">
      <c r="A9433" t="str">
        <f t="shared" si="148"/>
        <v/>
      </c>
    </row>
    <row r="9434" spans="1:1" x14ac:dyDescent="0.25">
      <c r="A9434" t="str">
        <f t="shared" si="148"/>
        <v/>
      </c>
    </row>
    <row r="9435" spans="1:1" x14ac:dyDescent="0.25">
      <c r="A9435" t="str">
        <f t="shared" si="148"/>
        <v/>
      </c>
    </row>
    <row r="9436" spans="1:1" x14ac:dyDescent="0.25">
      <c r="A9436" t="str">
        <f t="shared" si="148"/>
        <v/>
      </c>
    </row>
    <row r="9437" spans="1:1" x14ac:dyDescent="0.25">
      <c r="A9437" t="str">
        <f t="shared" si="148"/>
        <v/>
      </c>
    </row>
    <row r="9438" spans="1:1" x14ac:dyDescent="0.25">
      <c r="A9438" t="str">
        <f t="shared" si="148"/>
        <v/>
      </c>
    </row>
    <row r="9439" spans="1:1" x14ac:dyDescent="0.25">
      <c r="A9439" t="str">
        <f t="shared" si="148"/>
        <v/>
      </c>
    </row>
    <row r="9440" spans="1:1" x14ac:dyDescent="0.25">
      <c r="A9440" t="str">
        <f t="shared" si="148"/>
        <v/>
      </c>
    </row>
    <row r="9441" spans="1:1" x14ac:dyDescent="0.25">
      <c r="A9441" t="str">
        <f t="shared" si="148"/>
        <v/>
      </c>
    </row>
    <row r="9442" spans="1:1" x14ac:dyDescent="0.25">
      <c r="A9442" t="str">
        <f t="shared" si="148"/>
        <v/>
      </c>
    </row>
    <row r="9443" spans="1:1" x14ac:dyDescent="0.25">
      <c r="A9443" t="str">
        <f t="shared" si="148"/>
        <v/>
      </c>
    </row>
    <row r="9444" spans="1:1" x14ac:dyDescent="0.25">
      <c r="A9444" t="str">
        <f t="shared" si="148"/>
        <v/>
      </c>
    </row>
    <row r="9445" spans="1:1" x14ac:dyDescent="0.25">
      <c r="A9445" t="str">
        <f t="shared" si="148"/>
        <v/>
      </c>
    </row>
    <row r="9446" spans="1:1" x14ac:dyDescent="0.25">
      <c r="A9446" t="str">
        <f t="shared" si="148"/>
        <v/>
      </c>
    </row>
    <row r="9447" spans="1:1" x14ac:dyDescent="0.25">
      <c r="A9447" t="str">
        <f t="shared" si="148"/>
        <v/>
      </c>
    </row>
    <row r="9448" spans="1:1" x14ac:dyDescent="0.25">
      <c r="A9448" t="str">
        <f t="shared" si="148"/>
        <v/>
      </c>
    </row>
    <row r="9449" spans="1:1" x14ac:dyDescent="0.25">
      <c r="A9449" t="str">
        <f t="shared" si="148"/>
        <v/>
      </c>
    </row>
    <row r="9450" spans="1:1" x14ac:dyDescent="0.25">
      <c r="A9450" t="str">
        <f t="shared" si="148"/>
        <v/>
      </c>
    </row>
    <row r="9451" spans="1:1" x14ac:dyDescent="0.25">
      <c r="A9451" t="str">
        <f t="shared" si="148"/>
        <v/>
      </c>
    </row>
    <row r="9452" spans="1:1" x14ac:dyDescent="0.25">
      <c r="A9452" t="str">
        <f t="shared" si="148"/>
        <v/>
      </c>
    </row>
    <row r="9453" spans="1:1" x14ac:dyDescent="0.25">
      <c r="A9453" t="str">
        <f t="shared" si="148"/>
        <v/>
      </c>
    </row>
    <row r="9454" spans="1:1" x14ac:dyDescent="0.25">
      <c r="A9454" t="str">
        <f t="shared" si="148"/>
        <v/>
      </c>
    </row>
    <row r="9455" spans="1:1" x14ac:dyDescent="0.25">
      <c r="A9455" t="str">
        <f t="shared" si="148"/>
        <v/>
      </c>
    </row>
    <row r="9456" spans="1:1" x14ac:dyDescent="0.25">
      <c r="A9456" t="str">
        <f t="shared" si="148"/>
        <v/>
      </c>
    </row>
    <row r="9457" spans="1:1" x14ac:dyDescent="0.25">
      <c r="A9457" t="str">
        <f t="shared" si="148"/>
        <v/>
      </c>
    </row>
    <row r="9458" spans="1:1" x14ac:dyDescent="0.25">
      <c r="A9458" t="str">
        <f t="shared" si="148"/>
        <v/>
      </c>
    </row>
    <row r="9459" spans="1:1" x14ac:dyDescent="0.25">
      <c r="A9459" t="str">
        <f t="shared" si="148"/>
        <v/>
      </c>
    </row>
    <row r="9460" spans="1:1" x14ac:dyDescent="0.25">
      <c r="A9460" t="str">
        <f t="shared" si="148"/>
        <v/>
      </c>
    </row>
    <row r="9461" spans="1:1" x14ac:dyDescent="0.25">
      <c r="A9461" t="str">
        <f t="shared" ref="A9461:A9524" si="149">B9459&amp;D9459</f>
        <v/>
      </c>
    </row>
    <row r="9462" spans="1:1" x14ac:dyDescent="0.25">
      <c r="A9462" t="str">
        <f t="shared" si="149"/>
        <v/>
      </c>
    </row>
    <row r="9463" spans="1:1" x14ac:dyDescent="0.25">
      <c r="A9463" t="str">
        <f t="shared" si="149"/>
        <v/>
      </c>
    </row>
    <row r="9464" spans="1:1" x14ac:dyDescent="0.25">
      <c r="A9464" t="str">
        <f t="shared" si="149"/>
        <v/>
      </c>
    </row>
    <row r="9465" spans="1:1" x14ac:dyDescent="0.25">
      <c r="A9465" t="str">
        <f t="shared" si="149"/>
        <v/>
      </c>
    </row>
    <row r="9466" spans="1:1" x14ac:dyDescent="0.25">
      <c r="A9466" t="str">
        <f t="shared" si="149"/>
        <v/>
      </c>
    </row>
    <row r="9467" spans="1:1" x14ac:dyDescent="0.25">
      <c r="A9467" t="str">
        <f t="shared" si="149"/>
        <v/>
      </c>
    </row>
    <row r="9468" spans="1:1" x14ac:dyDescent="0.25">
      <c r="A9468" t="str">
        <f t="shared" si="149"/>
        <v/>
      </c>
    </row>
    <row r="9469" spans="1:1" x14ac:dyDescent="0.25">
      <c r="A9469" t="str">
        <f t="shared" si="149"/>
        <v/>
      </c>
    </row>
    <row r="9470" spans="1:1" x14ac:dyDescent="0.25">
      <c r="A9470" t="str">
        <f t="shared" si="149"/>
        <v/>
      </c>
    </row>
    <row r="9471" spans="1:1" x14ac:dyDescent="0.25">
      <c r="A9471" t="str">
        <f t="shared" si="149"/>
        <v/>
      </c>
    </row>
    <row r="9472" spans="1:1" x14ac:dyDescent="0.25">
      <c r="A9472" t="str">
        <f t="shared" si="149"/>
        <v/>
      </c>
    </row>
    <row r="9473" spans="1:1" x14ac:dyDescent="0.25">
      <c r="A9473" t="str">
        <f t="shared" si="149"/>
        <v/>
      </c>
    </row>
    <row r="9474" spans="1:1" x14ac:dyDescent="0.25">
      <c r="A9474" t="str">
        <f t="shared" si="149"/>
        <v/>
      </c>
    </row>
    <row r="9475" spans="1:1" x14ac:dyDescent="0.25">
      <c r="A9475" t="str">
        <f t="shared" si="149"/>
        <v/>
      </c>
    </row>
    <row r="9476" spans="1:1" x14ac:dyDescent="0.25">
      <c r="A9476" t="str">
        <f t="shared" si="149"/>
        <v/>
      </c>
    </row>
    <row r="9477" spans="1:1" x14ac:dyDescent="0.25">
      <c r="A9477" t="str">
        <f t="shared" si="149"/>
        <v/>
      </c>
    </row>
    <row r="9478" spans="1:1" x14ac:dyDescent="0.25">
      <c r="A9478" t="str">
        <f t="shared" si="149"/>
        <v/>
      </c>
    </row>
    <row r="9479" spans="1:1" x14ac:dyDescent="0.25">
      <c r="A9479" t="str">
        <f t="shared" si="149"/>
        <v/>
      </c>
    </row>
    <row r="9480" spans="1:1" x14ac:dyDescent="0.25">
      <c r="A9480" t="str">
        <f t="shared" si="149"/>
        <v/>
      </c>
    </row>
    <row r="9481" spans="1:1" x14ac:dyDescent="0.25">
      <c r="A9481" t="str">
        <f t="shared" si="149"/>
        <v/>
      </c>
    </row>
    <row r="9482" spans="1:1" x14ac:dyDescent="0.25">
      <c r="A9482" t="str">
        <f t="shared" si="149"/>
        <v/>
      </c>
    </row>
    <row r="9483" spans="1:1" x14ac:dyDescent="0.25">
      <c r="A9483" t="str">
        <f t="shared" si="149"/>
        <v/>
      </c>
    </row>
    <row r="9484" spans="1:1" x14ac:dyDescent="0.25">
      <c r="A9484" t="str">
        <f t="shared" si="149"/>
        <v/>
      </c>
    </row>
    <row r="9485" spans="1:1" x14ac:dyDescent="0.25">
      <c r="A9485" t="str">
        <f t="shared" si="149"/>
        <v/>
      </c>
    </row>
    <row r="9486" spans="1:1" x14ac:dyDescent="0.25">
      <c r="A9486" t="str">
        <f t="shared" si="149"/>
        <v/>
      </c>
    </row>
    <row r="9487" spans="1:1" x14ac:dyDescent="0.25">
      <c r="A9487" t="str">
        <f t="shared" si="149"/>
        <v/>
      </c>
    </row>
    <row r="9488" spans="1:1" x14ac:dyDescent="0.25">
      <c r="A9488" t="str">
        <f t="shared" si="149"/>
        <v/>
      </c>
    </row>
    <row r="9489" spans="1:1" x14ac:dyDescent="0.25">
      <c r="A9489" t="str">
        <f t="shared" si="149"/>
        <v/>
      </c>
    </row>
    <row r="9490" spans="1:1" x14ac:dyDescent="0.25">
      <c r="A9490" t="str">
        <f t="shared" si="149"/>
        <v/>
      </c>
    </row>
    <row r="9491" spans="1:1" x14ac:dyDescent="0.25">
      <c r="A9491" t="str">
        <f t="shared" si="149"/>
        <v/>
      </c>
    </row>
    <row r="9492" spans="1:1" x14ac:dyDescent="0.25">
      <c r="A9492" t="str">
        <f t="shared" si="149"/>
        <v/>
      </c>
    </row>
    <row r="9493" spans="1:1" x14ac:dyDescent="0.25">
      <c r="A9493" t="str">
        <f t="shared" si="149"/>
        <v/>
      </c>
    </row>
    <row r="9494" spans="1:1" x14ac:dyDescent="0.25">
      <c r="A9494" t="str">
        <f t="shared" si="149"/>
        <v/>
      </c>
    </row>
    <row r="9495" spans="1:1" x14ac:dyDescent="0.25">
      <c r="A9495" t="str">
        <f t="shared" si="149"/>
        <v/>
      </c>
    </row>
    <row r="9496" spans="1:1" x14ac:dyDescent="0.25">
      <c r="A9496" t="str">
        <f t="shared" si="149"/>
        <v/>
      </c>
    </row>
    <row r="9497" spans="1:1" x14ac:dyDescent="0.25">
      <c r="A9497" t="str">
        <f t="shared" si="149"/>
        <v/>
      </c>
    </row>
    <row r="9498" spans="1:1" x14ac:dyDescent="0.25">
      <c r="A9498" t="str">
        <f t="shared" si="149"/>
        <v/>
      </c>
    </row>
    <row r="9499" spans="1:1" x14ac:dyDescent="0.25">
      <c r="A9499" t="str">
        <f t="shared" si="149"/>
        <v/>
      </c>
    </row>
    <row r="9500" spans="1:1" x14ac:dyDescent="0.25">
      <c r="A9500" t="str">
        <f t="shared" si="149"/>
        <v/>
      </c>
    </row>
    <row r="9501" spans="1:1" x14ac:dyDescent="0.25">
      <c r="A9501" t="str">
        <f t="shared" si="149"/>
        <v/>
      </c>
    </row>
    <row r="9502" spans="1:1" x14ac:dyDescent="0.25">
      <c r="A9502" t="str">
        <f t="shared" si="149"/>
        <v/>
      </c>
    </row>
    <row r="9503" spans="1:1" x14ac:dyDescent="0.25">
      <c r="A9503" t="str">
        <f t="shared" si="149"/>
        <v/>
      </c>
    </row>
    <row r="9504" spans="1:1" x14ac:dyDescent="0.25">
      <c r="A9504" t="str">
        <f t="shared" si="149"/>
        <v/>
      </c>
    </row>
    <row r="9505" spans="1:1" x14ac:dyDescent="0.25">
      <c r="A9505" t="str">
        <f t="shared" si="149"/>
        <v/>
      </c>
    </row>
    <row r="9506" spans="1:1" x14ac:dyDescent="0.25">
      <c r="A9506" t="str">
        <f t="shared" si="149"/>
        <v/>
      </c>
    </row>
    <row r="9507" spans="1:1" x14ac:dyDescent="0.25">
      <c r="A9507" t="str">
        <f t="shared" si="149"/>
        <v/>
      </c>
    </row>
    <row r="9508" spans="1:1" x14ac:dyDescent="0.25">
      <c r="A9508" t="str">
        <f t="shared" si="149"/>
        <v/>
      </c>
    </row>
    <row r="9509" spans="1:1" x14ac:dyDescent="0.25">
      <c r="A9509" t="str">
        <f t="shared" si="149"/>
        <v/>
      </c>
    </row>
    <row r="9510" spans="1:1" x14ac:dyDescent="0.25">
      <c r="A9510" t="str">
        <f t="shared" si="149"/>
        <v/>
      </c>
    </row>
    <row r="9511" spans="1:1" x14ac:dyDescent="0.25">
      <c r="A9511" t="str">
        <f t="shared" si="149"/>
        <v/>
      </c>
    </row>
    <row r="9512" spans="1:1" x14ac:dyDescent="0.25">
      <c r="A9512" t="str">
        <f t="shared" si="149"/>
        <v/>
      </c>
    </row>
    <row r="9513" spans="1:1" x14ac:dyDescent="0.25">
      <c r="A9513" t="str">
        <f t="shared" si="149"/>
        <v/>
      </c>
    </row>
    <row r="9514" spans="1:1" x14ac:dyDescent="0.25">
      <c r="A9514" t="str">
        <f t="shared" si="149"/>
        <v/>
      </c>
    </row>
    <row r="9515" spans="1:1" x14ac:dyDescent="0.25">
      <c r="A9515" t="str">
        <f t="shared" si="149"/>
        <v/>
      </c>
    </row>
    <row r="9516" spans="1:1" x14ac:dyDescent="0.25">
      <c r="A9516" t="str">
        <f t="shared" si="149"/>
        <v/>
      </c>
    </row>
    <row r="9517" spans="1:1" x14ac:dyDescent="0.25">
      <c r="A9517" t="str">
        <f t="shared" si="149"/>
        <v/>
      </c>
    </row>
    <row r="9518" spans="1:1" x14ac:dyDescent="0.25">
      <c r="A9518" t="str">
        <f t="shared" si="149"/>
        <v/>
      </c>
    </row>
    <row r="9519" spans="1:1" x14ac:dyDescent="0.25">
      <c r="A9519" t="str">
        <f t="shared" si="149"/>
        <v/>
      </c>
    </row>
    <row r="9520" spans="1:1" x14ac:dyDescent="0.25">
      <c r="A9520" t="str">
        <f t="shared" si="149"/>
        <v/>
      </c>
    </row>
    <row r="9521" spans="1:1" x14ac:dyDescent="0.25">
      <c r="A9521" t="str">
        <f t="shared" si="149"/>
        <v/>
      </c>
    </row>
    <row r="9522" spans="1:1" x14ac:dyDescent="0.25">
      <c r="A9522" t="str">
        <f t="shared" si="149"/>
        <v/>
      </c>
    </row>
    <row r="9523" spans="1:1" x14ac:dyDescent="0.25">
      <c r="A9523" t="str">
        <f t="shared" si="149"/>
        <v/>
      </c>
    </row>
    <row r="9524" spans="1:1" x14ac:dyDescent="0.25">
      <c r="A9524" t="str">
        <f t="shared" si="149"/>
        <v/>
      </c>
    </row>
    <row r="9525" spans="1:1" x14ac:dyDescent="0.25">
      <c r="A9525" t="str">
        <f t="shared" ref="A9525:A9588" si="150">B9523&amp;D9523</f>
        <v/>
      </c>
    </row>
    <row r="9526" spans="1:1" x14ac:dyDescent="0.25">
      <c r="A9526" t="str">
        <f t="shared" si="150"/>
        <v/>
      </c>
    </row>
    <row r="9527" spans="1:1" x14ac:dyDescent="0.25">
      <c r="A9527" t="str">
        <f t="shared" si="150"/>
        <v/>
      </c>
    </row>
    <row r="9528" spans="1:1" x14ac:dyDescent="0.25">
      <c r="A9528" t="str">
        <f t="shared" si="150"/>
        <v/>
      </c>
    </row>
    <row r="9529" spans="1:1" x14ac:dyDescent="0.25">
      <c r="A9529" t="str">
        <f t="shared" si="150"/>
        <v/>
      </c>
    </row>
    <row r="9530" spans="1:1" x14ac:dyDescent="0.25">
      <c r="A9530" t="str">
        <f t="shared" si="150"/>
        <v/>
      </c>
    </row>
    <row r="9531" spans="1:1" x14ac:dyDescent="0.25">
      <c r="A9531" t="str">
        <f t="shared" si="150"/>
        <v/>
      </c>
    </row>
    <row r="9532" spans="1:1" x14ac:dyDescent="0.25">
      <c r="A9532" t="str">
        <f t="shared" si="150"/>
        <v/>
      </c>
    </row>
    <row r="9533" spans="1:1" x14ac:dyDescent="0.25">
      <c r="A9533" t="str">
        <f t="shared" si="150"/>
        <v/>
      </c>
    </row>
    <row r="9534" spans="1:1" x14ac:dyDescent="0.25">
      <c r="A9534" t="str">
        <f t="shared" si="150"/>
        <v/>
      </c>
    </row>
    <row r="9535" spans="1:1" x14ac:dyDescent="0.25">
      <c r="A9535" t="str">
        <f t="shared" si="150"/>
        <v/>
      </c>
    </row>
    <row r="9536" spans="1:1" x14ac:dyDescent="0.25">
      <c r="A9536" t="str">
        <f t="shared" si="150"/>
        <v/>
      </c>
    </row>
    <row r="9537" spans="1:1" x14ac:dyDescent="0.25">
      <c r="A9537" t="str">
        <f t="shared" si="150"/>
        <v/>
      </c>
    </row>
    <row r="9538" spans="1:1" x14ac:dyDescent="0.25">
      <c r="A9538" t="str">
        <f t="shared" si="150"/>
        <v/>
      </c>
    </row>
    <row r="9539" spans="1:1" x14ac:dyDescent="0.25">
      <c r="A9539" t="str">
        <f t="shared" si="150"/>
        <v/>
      </c>
    </row>
    <row r="9540" spans="1:1" x14ac:dyDescent="0.25">
      <c r="A9540" t="str">
        <f t="shared" si="150"/>
        <v/>
      </c>
    </row>
    <row r="9541" spans="1:1" x14ac:dyDescent="0.25">
      <c r="A9541" t="str">
        <f t="shared" si="150"/>
        <v/>
      </c>
    </row>
    <row r="9542" spans="1:1" x14ac:dyDescent="0.25">
      <c r="A9542" t="str">
        <f t="shared" si="150"/>
        <v/>
      </c>
    </row>
    <row r="9543" spans="1:1" x14ac:dyDescent="0.25">
      <c r="A9543" t="str">
        <f t="shared" si="150"/>
        <v/>
      </c>
    </row>
    <row r="9544" spans="1:1" x14ac:dyDescent="0.25">
      <c r="A9544" t="str">
        <f t="shared" si="150"/>
        <v/>
      </c>
    </row>
    <row r="9545" spans="1:1" x14ac:dyDescent="0.25">
      <c r="A9545" t="str">
        <f t="shared" si="150"/>
        <v/>
      </c>
    </row>
    <row r="9546" spans="1:1" x14ac:dyDescent="0.25">
      <c r="A9546" t="str">
        <f t="shared" si="150"/>
        <v/>
      </c>
    </row>
    <row r="9547" spans="1:1" x14ac:dyDescent="0.25">
      <c r="A9547" t="str">
        <f t="shared" si="150"/>
        <v/>
      </c>
    </row>
    <row r="9548" spans="1:1" x14ac:dyDescent="0.25">
      <c r="A9548" t="str">
        <f t="shared" si="150"/>
        <v/>
      </c>
    </row>
    <row r="9549" spans="1:1" x14ac:dyDescent="0.25">
      <c r="A9549" t="str">
        <f t="shared" si="150"/>
        <v/>
      </c>
    </row>
    <row r="9550" spans="1:1" x14ac:dyDescent="0.25">
      <c r="A9550" t="str">
        <f t="shared" si="150"/>
        <v/>
      </c>
    </row>
    <row r="9551" spans="1:1" x14ac:dyDescent="0.25">
      <c r="A9551" t="str">
        <f t="shared" si="150"/>
        <v/>
      </c>
    </row>
    <row r="9552" spans="1:1" x14ac:dyDescent="0.25">
      <c r="A9552" t="str">
        <f t="shared" si="150"/>
        <v/>
      </c>
    </row>
    <row r="9553" spans="1:1" x14ac:dyDescent="0.25">
      <c r="A9553" t="str">
        <f t="shared" si="150"/>
        <v/>
      </c>
    </row>
    <row r="9554" spans="1:1" x14ac:dyDescent="0.25">
      <c r="A9554" t="str">
        <f t="shared" si="150"/>
        <v/>
      </c>
    </row>
    <row r="9555" spans="1:1" x14ac:dyDescent="0.25">
      <c r="A9555" t="str">
        <f t="shared" si="150"/>
        <v/>
      </c>
    </row>
    <row r="9556" spans="1:1" x14ac:dyDescent="0.25">
      <c r="A9556" t="str">
        <f t="shared" si="150"/>
        <v/>
      </c>
    </row>
    <row r="9557" spans="1:1" x14ac:dyDescent="0.25">
      <c r="A9557" t="str">
        <f t="shared" si="150"/>
        <v/>
      </c>
    </row>
    <row r="9558" spans="1:1" x14ac:dyDescent="0.25">
      <c r="A9558" t="str">
        <f t="shared" si="150"/>
        <v/>
      </c>
    </row>
    <row r="9559" spans="1:1" x14ac:dyDescent="0.25">
      <c r="A9559" t="str">
        <f t="shared" si="150"/>
        <v/>
      </c>
    </row>
    <row r="9560" spans="1:1" x14ac:dyDescent="0.25">
      <c r="A9560" t="str">
        <f t="shared" si="150"/>
        <v/>
      </c>
    </row>
    <row r="9561" spans="1:1" x14ac:dyDescent="0.25">
      <c r="A9561" t="str">
        <f t="shared" si="150"/>
        <v/>
      </c>
    </row>
    <row r="9562" spans="1:1" x14ac:dyDescent="0.25">
      <c r="A9562" t="str">
        <f t="shared" si="150"/>
        <v/>
      </c>
    </row>
    <row r="9563" spans="1:1" x14ac:dyDescent="0.25">
      <c r="A9563" t="str">
        <f t="shared" si="150"/>
        <v/>
      </c>
    </row>
    <row r="9564" spans="1:1" x14ac:dyDescent="0.25">
      <c r="A9564" t="str">
        <f t="shared" si="150"/>
        <v/>
      </c>
    </row>
    <row r="9565" spans="1:1" x14ac:dyDescent="0.25">
      <c r="A9565" t="str">
        <f t="shared" si="150"/>
        <v/>
      </c>
    </row>
    <row r="9566" spans="1:1" x14ac:dyDescent="0.25">
      <c r="A9566" t="str">
        <f t="shared" si="150"/>
        <v/>
      </c>
    </row>
    <row r="9567" spans="1:1" x14ac:dyDescent="0.25">
      <c r="A9567" t="str">
        <f t="shared" si="150"/>
        <v/>
      </c>
    </row>
    <row r="9568" spans="1:1" x14ac:dyDescent="0.25">
      <c r="A9568" t="str">
        <f t="shared" si="150"/>
        <v/>
      </c>
    </row>
    <row r="9569" spans="1:1" x14ac:dyDescent="0.25">
      <c r="A9569" t="str">
        <f t="shared" si="150"/>
        <v/>
      </c>
    </row>
    <row r="9570" spans="1:1" x14ac:dyDescent="0.25">
      <c r="A9570" t="str">
        <f t="shared" si="150"/>
        <v/>
      </c>
    </row>
    <row r="9571" spans="1:1" x14ac:dyDescent="0.25">
      <c r="A9571" t="str">
        <f t="shared" si="150"/>
        <v/>
      </c>
    </row>
    <row r="9572" spans="1:1" x14ac:dyDescent="0.25">
      <c r="A9572" t="str">
        <f t="shared" si="150"/>
        <v/>
      </c>
    </row>
    <row r="9573" spans="1:1" x14ac:dyDescent="0.25">
      <c r="A9573" t="str">
        <f t="shared" si="150"/>
        <v/>
      </c>
    </row>
    <row r="9574" spans="1:1" x14ac:dyDescent="0.25">
      <c r="A9574" t="str">
        <f t="shared" si="150"/>
        <v/>
      </c>
    </row>
    <row r="9575" spans="1:1" x14ac:dyDescent="0.25">
      <c r="A9575" t="str">
        <f t="shared" si="150"/>
        <v/>
      </c>
    </row>
    <row r="9576" spans="1:1" x14ac:dyDescent="0.25">
      <c r="A9576" t="str">
        <f t="shared" si="150"/>
        <v/>
      </c>
    </row>
    <row r="9577" spans="1:1" x14ac:dyDescent="0.25">
      <c r="A9577" t="str">
        <f t="shared" si="150"/>
        <v/>
      </c>
    </row>
    <row r="9578" spans="1:1" x14ac:dyDescent="0.25">
      <c r="A9578" t="str">
        <f t="shared" si="150"/>
        <v/>
      </c>
    </row>
    <row r="9579" spans="1:1" x14ac:dyDescent="0.25">
      <c r="A9579" t="str">
        <f t="shared" si="150"/>
        <v/>
      </c>
    </row>
    <row r="9580" spans="1:1" x14ac:dyDescent="0.25">
      <c r="A9580" t="str">
        <f t="shared" si="150"/>
        <v/>
      </c>
    </row>
    <row r="9581" spans="1:1" x14ac:dyDescent="0.25">
      <c r="A9581" t="str">
        <f t="shared" si="150"/>
        <v/>
      </c>
    </row>
    <row r="9582" spans="1:1" x14ac:dyDescent="0.25">
      <c r="A9582" t="str">
        <f t="shared" si="150"/>
        <v/>
      </c>
    </row>
    <row r="9583" spans="1:1" x14ac:dyDescent="0.25">
      <c r="A9583" t="str">
        <f t="shared" si="150"/>
        <v/>
      </c>
    </row>
    <row r="9584" spans="1:1" x14ac:dyDescent="0.25">
      <c r="A9584" t="str">
        <f t="shared" si="150"/>
        <v/>
      </c>
    </row>
    <row r="9585" spans="1:1" x14ac:dyDescent="0.25">
      <c r="A9585" t="str">
        <f t="shared" si="150"/>
        <v/>
      </c>
    </row>
    <row r="9586" spans="1:1" x14ac:dyDescent="0.25">
      <c r="A9586" t="str">
        <f t="shared" si="150"/>
        <v/>
      </c>
    </row>
    <row r="9587" spans="1:1" x14ac:dyDescent="0.25">
      <c r="A9587" t="str">
        <f t="shared" si="150"/>
        <v/>
      </c>
    </row>
    <row r="9588" spans="1:1" x14ac:dyDescent="0.25">
      <c r="A9588" t="str">
        <f t="shared" si="150"/>
        <v/>
      </c>
    </row>
    <row r="9589" spans="1:1" x14ac:dyDescent="0.25">
      <c r="A9589" t="str">
        <f t="shared" ref="A9589:A9652" si="151">B9587&amp;D9587</f>
        <v/>
      </c>
    </row>
    <row r="9590" spans="1:1" x14ac:dyDescent="0.25">
      <c r="A9590" t="str">
        <f t="shared" si="151"/>
        <v/>
      </c>
    </row>
    <row r="9591" spans="1:1" x14ac:dyDescent="0.25">
      <c r="A9591" t="str">
        <f t="shared" si="151"/>
        <v/>
      </c>
    </row>
    <row r="9592" spans="1:1" x14ac:dyDescent="0.25">
      <c r="A9592" t="str">
        <f t="shared" si="151"/>
        <v/>
      </c>
    </row>
    <row r="9593" spans="1:1" x14ac:dyDescent="0.25">
      <c r="A9593" t="str">
        <f t="shared" si="151"/>
        <v/>
      </c>
    </row>
    <row r="9594" spans="1:1" x14ac:dyDescent="0.25">
      <c r="A9594" t="str">
        <f t="shared" si="151"/>
        <v/>
      </c>
    </row>
    <row r="9595" spans="1:1" x14ac:dyDescent="0.25">
      <c r="A9595" t="str">
        <f t="shared" si="151"/>
        <v/>
      </c>
    </row>
    <row r="9596" spans="1:1" x14ac:dyDescent="0.25">
      <c r="A9596" t="str">
        <f t="shared" si="151"/>
        <v/>
      </c>
    </row>
    <row r="9597" spans="1:1" x14ac:dyDescent="0.25">
      <c r="A9597" t="str">
        <f t="shared" si="151"/>
        <v/>
      </c>
    </row>
    <row r="9598" spans="1:1" x14ac:dyDescent="0.25">
      <c r="A9598" t="str">
        <f t="shared" si="151"/>
        <v/>
      </c>
    </row>
    <row r="9599" spans="1:1" x14ac:dyDescent="0.25">
      <c r="A9599" t="str">
        <f t="shared" si="151"/>
        <v/>
      </c>
    </row>
    <row r="9600" spans="1:1" x14ac:dyDescent="0.25">
      <c r="A9600" t="str">
        <f t="shared" si="151"/>
        <v/>
      </c>
    </row>
    <row r="9601" spans="1:1" x14ac:dyDescent="0.25">
      <c r="A9601" t="str">
        <f t="shared" si="151"/>
        <v/>
      </c>
    </row>
    <row r="9602" spans="1:1" x14ac:dyDescent="0.25">
      <c r="A9602" t="str">
        <f t="shared" si="151"/>
        <v/>
      </c>
    </row>
    <row r="9603" spans="1:1" x14ac:dyDescent="0.25">
      <c r="A9603" t="str">
        <f t="shared" si="151"/>
        <v/>
      </c>
    </row>
    <row r="9604" spans="1:1" x14ac:dyDescent="0.25">
      <c r="A9604" t="str">
        <f t="shared" si="151"/>
        <v/>
      </c>
    </row>
    <row r="9605" spans="1:1" x14ac:dyDescent="0.25">
      <c r="A9605" t="str">
        <f t="shared" si="151"/>
        <v/>
      </c>
    </row>
    <row r="9606" spans="1:1" x14ac:dyDescent="0.25">
      <c r="A9606" t="str">
        <f t="shared" si="151"/>
        <v/>
      </c>
    </row>
    <row r="9607" spans="1:1" x14ac:dyDescent="0.25">
      <c r="A9607" t="str">
        <f t="shared" si="151"/>
        <v/>
      </c>
    </row>
    <row r="9608" spans="1:1" x14ac:dyDescent="0.25">
      <c r="A9608" t="str">
        <f t="shared" si="151"/>
        <v/>
      </c>
    </row>
    <row r="9609" spans="1:1" x14ac:dyDescent="0.25">
      <c r="A9609" t="str">
        <f t="shared" si="151"/>
        <v/>
      </c>
    </row>
    <row r="9610" spans="1:1" x14ac:dyDescent="0.25">
      <c r="A9610" t="str">
        <f t="shared" si="151"/>
        <v/>
      </c>
    </row>
    <row r="9611" spans="1:1" x14ac:dyDescent="0.25">
      <c r="A9611" t="str">
        <f t="shared" si="151"/>
        <v/>
      </c>
    </row>
    <row r="9612" spans="1:1" x14ac:dyDescent="0.25">
      <c r="A9612" t="str">
        <f t="shared" si="151"/>
        <v/>
      </c>
    </row>
    <row r="9613" spans="1:1" x14ac:dyDescent="0.25">
      <c r="A9613" t="str">
        <f t="shared" si="151"/>
        <v/>
      </c>
    </row>
    <row r="9614" spans="1:1" x14ac:dyDescent="0.25">
      <c r="A9614" t="str">
        <f t="shared" si="151"/>
        <v/>
      </c>
    </row>
    <row r="9615" spans="1:1" x14ac:dyDescent="0.25">
      <c r="A9615" t="str">
        <f t="shared" si="151"/>
        <v/>
      </c>
    </row>
    <row r="9616" spans="1:1" x14ac:dyDescent="0.25">
      <c r="A9616" t="str">
        <f t="shared" si="151"/>
        <v/>
      </c>
    </row>
    <row r="9617" spans="1:1" x14ac:dyDescent="0.25">
      <c r="A9617" t="str">
        <f t="shared" si="151"/>
        <v/>
      </c>
    </row>
    <row r="9618" spans="1:1" x14ac:dyDescent="0.25">
      <c r="A9618" t="str">
        <f t="shared" si="151"/>
        <v/>
      </c>
    </row>
    <row r="9619" spans="1:1" x14ac:dyDescent="0.25">
      <c r="A9619" t="str">
        <f t="shared" si="151"/>
        <v/>
      </c>
    </row>
    <row r="9620" spans="1:1" x14ac:dyDescent="0.25">
      <c r="A9620" t="str">
        <f t="shared" si="151"/>
        <v/>
      </c>
    </row>
    <row r="9621" spans="1:1" x14ac:dyDescent="0.25">
      <c r="A9621" t="str">
        <f t="shared" si="151"/>
        <v/>
      </c>
    </row>
    <row r="9622" spans="1:1" x14ac:dyDescent="0.25">
      <c r="A9622" t="str">
        <f t="shared" si="151"/>
        <v/>
      </c>
    </row>
    <row r="9623" spans="1:1" x14ac:dyDescent="0.25">
      <c r="A9623" t="str">
        <f t="shared" si="151"/>
        <v/>
      </c>
    </row>
    <row r="9624" spans="1:1" x14ac:dyDescent="0.25">
      <c r="A9624" t="str">
        <f t="shared" si="151"/>
        <v/>
      </c>
    </row>
    <row r="9625" spans="1:1" x14ac:dyDescent="0.25">
      <c r="A9625" t="str">
        <f t="shared" si="151"/>
        <v/>
      </c>
    </row>
    <row r="9626" spans="1:1" x14ac:dyDescent="0.25">
      <c r="A9626" t="str">
        <f t="shared" si="151"/>
        <v/>
      </c>
    </row>
    <row r="9627" spans="1:1" x14ac:dyDescent="0.25">
      <c r="A9627" t="str">
        <f t="shared" si="151"/>
        <v/>
      </c>
    </row>
    <row r="9628" spans="1:1" x14ac:dyDescent="0.25">
      <c r="A9628" t="str">
        <f t="shared" si="151"/>
        <v/>
      </c>
    </row>
    <row r="9629" spans="1:1" x14ac:dyDescent="0.25">
      <c r="A9629" t="str">
        <f t="shared" si="151"/>
        <v/>
      </c>
    </row>
    <row r="9630" spans="1:1" x14ac:dyDescent="0.25">
      <c r="A9630" t="str">
        <f t="shared" si="151"/>
        <v/>
      </c>
    </row>
    <row r="9631" spans="1:1" x14ac:dyDescent="0.25">
      <c r="A9631" t="str">
        <f t="shared" si="151"/>
        <v/>
      </c>
    </row>
    <row r="9632" spans="1:1" x14ac:dyDescent="0.25">
      <c r="A9632" t="str">
        <f t="shared" si="151"/>
        <v/>
      </c>
    </row>
    <row r="9633" spans="1:1" x14ac:dyDescent="0.25">
      <c r="A9633" t="str">
        <f t="shared" si="151"/>
        <v/>
      </c>
    </row>
    <row r="9634" spans="1:1" x14ac:dyDescent="0.25">
      <c r="A9634" t="str">
        <f t="shared" si="151"/>
        <v/>
      </c>
    </row>
    <row r="9635" spans="1:1" x14ac:dyDescent="0.25">
      <c r="A9635" t="str">
        <f t="shared" si="151"/>
        <v/>
      </c>
    </row>
    <row r="9636" spans="1:1" x14ac:dyDescent="0.25">
      <c r="A9636" t="str">
        <f t="shared" si="151"/>
        <v/>
      </c>
    </row>
    <row r="9637" spans="1:1" x14ac:dyDescent="0.25">
      <c r="A9637" t="str">
        <f t="shared" si="151"/>
        <v/>
      </c>
    </row>
    <row r="9638" spans="1:1" x14ac:dyDescent="0.25">
      <c r="A9638" t="str">
        <f t="shared" si="151"/>
        <v/>
      </c>
    </row>
    <row r="9639" spans="1:1" x14ac:dyDescent="0.25">
      <c r="A9639" t="str">
        <f t="shared" si="151"/>
        <v/>
      </c>
    </row>
    <row r="9640" spans="1:1" x14ac:dyDescent="0.25">
      <c r="A9640" t="str">
        <f t="shared" si="151"/>
        <v/>
      </c>
    </row>
    <row r="9641" spans="1:1" x14ac:dyDescent="0.25">
      <c r="A9641" t="str">
        <f t="shared" si="151"/>
        <v/>
      </c>
    </row>
    <row r="9642" spans="1:1" x14ac:dyDescent="0.25">
      <c r="A9642" t="str">
        <f t="shared" si="151"/>
        <v/>
      </c>
    </row>
    <row r="9643" spans="1:1" x14ac:dyDescent="0.25">
      <c r="A9643" t="str">
        <f t="shared" si="151"/>
        <v/>
      </c>
    </row>
    <row r="9644" spans="1:1" x14ac:dyDescent="0.25">
      <c r="A9644" t="str">
        <f t="shared" si="151"/>
        <v/>
      </c>
    </row>
    <row r="9645" spans="1:1" x14ac:dyDescent="0.25">
      <c r="A9645" t="str">
        <f t="shared" si="151"/>
        <v/>
      </c>
    </row>
    <row r="9646" spans="1:1" x14ac:dyDescent="0.25">
      <c r="A9646" t="str">
        <f t="shared" si="151"/>
        <v/>
      </c>
    </row>
    <row r="9647" spans="1:1" x14ac:dyDescent="0.25">
      <c r="A9647" t="str">
        <f t="shared" si="151"/>
        <v/>
      </c>
    </row>
    <row r="9648" spans="1:1" x14ac:dyDescent="0.25">
      <c r="A9648" t="str">
        <f t="shared" si="151"/>
        <v/>
      </c>
    </row>
    <row r="9649" spans="1:1" x14ac:dyDescent="0.25">
      <c r="A9649" t="str">
        <f t="shared" si="151"/>
        <v/>
      </c>
    </row>
    <row r="9650" spans="1:1" x14ac:dyDescent="0.25">
      <c r="A9650" t="str">
        <f t="shared" si="151"/>
        <v/>
      </c>
    </row>
    <row r="9651" spans="1:1" x14ac:dyDescent="0.25">
      <c r="A9651" t="str">
        <f t="shared" si="151"/>
        <v/>
      </c>
    </row>
    <row r="9652" spans="1:1" x14ac:dyDescent="0.25">
      <c r="A9652" t="str">
        <f t="shared" si="151"/>
        <v/>
      </c>
    </row>
    <row r="9653" spans="1:1" x14ac:dyDescent="0.25">
      <c r="A9653" t="str">
        <f t="shared" ref="A9653:A9716" si="152">B9651&amp;D9651</f>
        <v/>
      </c>
    </row>
    <row r="9654" spans="1:1" x14ac:dyDescent="0.25">
      <c r="A9654" t="str">
        <f t="shared" si="152"/>
        <v/>
      </c>
    </row>
    <row r="9655" spans="1:1" x14ac:dyDescent="0.25">
      <c r="A9655" t="str">
        <f t="shared" si="152"/>
        <v/>
      </c>
    </row>
    <row r="9656" spans="1:1" x14ac:dyDescent="0.25">
      <c r="A9656" t="str">
        <f t="shared" si="152"/>
        <v/>
      </c>
    </row>
    <row r="9657" spans="1:1" x14ac:dyDescent="0.25">
      <c r="A9657" t="str">
        <f t="shared" si="152"/>
        <v/>
      </c>
    </row>
    <row r="9658" spans="1:1" x14ac:dyDescent="0.25">
      <c r="A9658" t="str">
        <f t="shared" si="152"/>
        <v/>
      </c>
    </row>
    <row r="9659" spans="1:1" x14ac:dyDescent="0.25">
      <c r="A9659" t="str">
        <f t="shared" si="152"/>
        <v/>
      </c>
    </row>
    <row r="9660" spans="1:1" x14ac:dyDescent="0.25">
      <c r="A9660" t="str">
        <f t="shared" si="152"/>
        <v/>
      </c>
    </row>
    <row r="9661" spans="1:1" x14ac:dyDescent="0.25">
      <c r="A9661" t="str">
        <f t="shared" si="152"/>
        <v/>
      </c>
    </row>
    <row r="9662" spans="1:1" x14ac:dyDescent="0.25">
      <c r="A9662" t="str">
        <f t="shared" si="152"/>
        <v/>
      </c>
    </row>
    <row r="9663" spans="1:1" x14ac:dyDescent="0.25">
      <c r="A9663" t="str">
        <f t="shared" si="152"/>
        <v/>
      </c>
    </row>
    <row r="9664" spans="1:1" x14ac:dyDescent="0.25">
      <c r="A9664" t="str">
        <f t="shared" si="152"/>
        <v/>
      </c>
    </row>
    <row r="9665" spans="1:1" x14ac:dyDescent="0.25">
      <c r="A9665" t="str">
        <f t="shared" si="152"/>
        <v/>
      </c>
    </row>
    <row r="9666" spans="1:1" x14ac:dyDescent="0.25">
      <c r="A9666" t="str">
        <f t="shared" si="152"/>
        <v/>
      </c>
    </row>
    <row r="9667" spans="1:1" x14ac:dyDescent="0.25">
      <c r="A9667" t="str">
        <f t="shared" si="152"/>
        <v/>
      </c>
    </row>
    <row r="9668" spans="1:1" x14ac:dyDescent="0.25">
      <c r="A9668" t="str">
        <f t="shared" si="152"/>
        <v/>
      </c>
    </row>
    <row r="9669" spans="1:1" x14ac:dyDescent="0.25">
      <c r="A9669" t="str">
        <f t="shared" si="152"/>
        <v/>
      </c>
    </row>
    <row r="9670" spans="1:1" x14ac:dyDescent="0.25">
      <c r="A9670" t="str">
        <f t="shared" si="152"/>
        <v/>
      </c>
    </row>
    <row r="9671" spans="1:1" x14ac:dyDescent="0.25">
      <c r="A9671" t="str">
        <f t="shared" si="152"/>
        <v/>
      </c>
    </row>
    <row r="9672" spans="1:1" x14ac:dyDescent="0.25">
      <c r="A9672" t="str">
        <f t="shared" si="152"/>
        <v/>
      </c>
    </row>
    <row r="9673" spans="1:1" x14ac:dyDescent="0.25">
      <c r="A9673" t="str">
        <f t="shared" si="152"/>
        <v/>
      </c>
    </row>
    <row r="9674" spans="1:1" x14ac:dyDescent="0.25">
      <c r="A9674" t="str">
        <f t="shared" si="152"/>
        <v/>
      </c>
    </row>
    <row r="9675" spans="1:1" x14ac:dyDescent="0.25">
      <c r="A9675" t="str">
        <f t="shared" si="152"/>
        <v/>
      </c>
    </row>
    <row r="9676" spans="1:1" x14ac:dyDescent="0.25">
      <c r="A9676" t="str">
        <f t="shared" si="152"/>
        <v/>
      </c>
    </row>
    <row r="9677" spans="1:1" x14ac:dyDescent="0.25">
      <c r="A9677" t="str">
        <f t="shared" si="152"/>
        <v/>
      </c>
    </row>
    <row r="9678" spans="1:1" x14ac:dyDescent="0.25">
      <c r="A9678" t="str">
        <f t="shared" si="152"/>
        <v/>
      </c>
    </row>
    <row r="9679" spans="1:1" x14ac:dyDescent="0.25">
      <c r="A9679" t="str">
        <f t="shared" si="152"/>
        <v/>
      </c>
    </row>
    <row r="9680" spans="1:1" x14ac:dyDescent="0.25">
      <c r="A9680" t="str">
        <f t="shared" si="152"/>
        <v/>
      </c>
    </row>
    <row r="9681" spans="1:1" x14ac:dyDescent="0.25">
      <c r="A9681" t="str">
        <f t="shared" si="152"/>
        <v/>
      </c>
    </row>
    <row r="9682" spans="1:1" x14ac:dyDescent="0.25">
      <c r="A9682" t="str">
        <f t="shared" si="152"/>
        <v/>
      </c>
    </row>
    <row r="9683" spans="1:1" x14ac:dyDescent="0.25">
      <c r="A9683" t="str">
        <f t="shared" si="152"/>
        <v/>
      </c>
    </row>
    <row r="9684" spans="1:1" x14ac:dyDescent="0.25">
      <c r="A9684" t="str">
        <f t="shared" si="152"/>
        <v/>
      </c>
    </row>
    <row r="9685" spans="1:1" x14ac:dyDescent="0.25">
      <c r="A9685" t="str">
        <f t="shared" si="152"/>
        <v/>
      </c>
    </row>
    <row r="9686" spans="1:1" x14ac:dyDescent="0.25">
      <c r="A9686" t="str">
        <f t="shared" si="152"/>
        <v/>
      </c>
    </row>
    <row r="9687" spans="1:1" x14ac:dyDescent="0.25">
      <c r="A9687" t="str">
        <f t="shared" si="152"/>
        <v/>
      </c>
    </row>
    <row r="9688" spans="1:1" x14ac:dyDescent="0.25">
      <c r="A9688" t="str">
        <f t="shared" si="152"/>
        <v/>
      </c>
    </row>
    <row r="9689" spans="1:1" x14ac:dyDescent="0.25">
      <c r="A9689" t="str">
        <f t="shared" si="152"/>
        <v/>
      </c>
    </row>
    <row r="9690" spans="1:1" x14ac:dyDescent="0.25">
      <c r="A9690" t="str">
        <f t="shared" si="152"/>
        <v/>
      </c>
    </row>
    <row r="9691" spans="1:1" x14ac:dyDescent="0.25">
      <c r="A9691" t="str">
        <f t="shared" si="152"/>
        <v/>
      </c>
    </row>
    <row r="9692" spans="1:1" x14ac:dyDescent="0.25">
      <c r="A9692" t="str">
        <f t="shared" si="152"/>
        <v/>
      </c>
    </row>
    <row r="9693" spans="1:1" x14ac:dyDescent="0.25">
      <c r="A9693" t="str">
        <f t="shared" si="152"/>
        <v/>
      </c>
    </row>
    <row r="9694" spans="1:1" x14ac:dyDescent="0.25">
      <c r="A9694" t="str">
        <f t="shared" si="152"/>
        <v/>
      </c>
    </row>
    <row r="9695" spans="1:1" x14ac:dyDescent="0.25">
      <c r="A9695" t="str">
        <f t="shared" si="152"/>
        <v/>
      </c>
    </row>
    <row r="9696" spans="1:1" x14ac:dyDescent="0.25">
      <c r="A9696" t="str">
        <f t="shared" si="152"/>
        <v/>
      </c>
    </row>
    <row r="9697" spans="1:1" x14ac:dyDescent="0.25">
      <c r="A9697" t="str">
        <f t="shared" si="152"/>
        <v/>
      </c>
    </row>
    <row r="9698" spans="1:1" x14ac:dyDescent="0.25">
      <c r="A9698" t="str">
        <f t="shared" si="152"/>
        <v/>
      </c>
    </row>
    <row r="9699" spans="1:1" x14ac:dyDescent="0.25">
      <c r="A9699" t="str">
        <f t="shared" si="152"/>
        <v/>
      </c>
    </row>
    <row r="9700" spans="1:1" x14ac:dyDescent="0.25">
      <c r="A9700" t="str">
        <f t="shared" si="152"/>
        <v/>
      </c>
    </row>
    <row r="9701" spans="1:1" x14ac:dyDescent="0.25">
      <c r="A9701" t="str">
        <f t="shared" si="152"/>
        <v/>
      </c>
    </row>
    <row r="9702" spans="1:1" x14ac:dyDescent="0.25">
      <c r="A9702" t="str">
        <f t="shared" si="152"/>
        <v/>
      </c>
    </row>
    <row r="9703" spans="1:1" x14ac:dyDescent="0.25">
      <c r="A9703" t="str">
        <f t="shared" si="152"/>
        <v/>
      </c>
    </row>
    <row r="9704" spans="1:1" x14ac:dyDescent="0.25">
      <c r="A9704" t="str">
        <f t="shared" si="152"/>
        <v/>
      </c>
    </row>
    <row r="9705" spans="1:1" x14ac:dyDescent="0.25">
      <c r="A9705" t="str">
        <f t="shared" si="152"/>
        <v/>
      </c>
    </row>
    <row r="9706" spans="1:1" x14ac:dyDescent="0.25">
      <c r="A9706" t="str">
        <f t="shared" si="152"/>
        <v/>
      </c>
    </row>
    <row r="9707" spans="1:1" x14ac:dyDescent="0.25">
      <c r="A9707" t="str">
        <f t="shared" si="152"/>
        <v/>
      </c>
    </row>
    <row r="9708" spans="1:1" x14ac:dyDescent="0.25">
      <c r="A9708" t="str">
        <f t="shared" si="152"/>
        <v/>
      </c>
    </row>
    <row r="9709" spans="1:1" x14ac:dyDescent="0.25">
      <c r="A9709" t="str">
        <f t="shared" si="152"/>
        <v/>
      </c>
    </row>
    <row r="9710" spans="1:1" x14ac:dyDescent="0.25">
      <c r="A9710" t="str">
        <f t="shared" si="152"/>
        <v/>
      </c>
    </row>
    <row r="9711" spans="1:1" x14ac:dyDescent="0.25">
      <c r="A9711" t="str">
        <f t="shared" si="152"/>
        <v/>
      </c>
    </row>
    <row r="9712" spans="1:1" x14ac:dyDescent="0.25">
      <c r="A9712" t="str">
        <f t="shared" si="152"/>
        <v/>
      </c>
    </row>
    <row r="9713" spans="1:1" x14ac:dyDescent="0.25">
      <c r="A9713" t="str">
        <f t="shared" si="152"/>
        <v/>
      </c>
    </row>
    <row r="9714" spans="1:1" x14ac:dyDescent="0.25">
      <c r="A9714" t="str">
        <f t="shared" si="152"/>
        <v/>
      </c>
    </row>
    <row r="9715" spans="1:1" x14ac:dyDescent="0.25">
      <c r="A9715" t="str">
        <f t="shared" si="152"/>
        <v/>
      </c>
    </row>
    <row r="9716" spans="1:1" x14ac:dyDescent="0.25">
      <c r="A9716" t="str">
        <f t="shared" si="152"/>
        <v/>
      </c>
    </row>
    <row r="9717" spans="1:1" x14ac:dyDescent="0.25">
      <c r="A9717" t="str">
        <f t="shared" ref="A9717:A9780" si="153">B9715&amp;D9715</f>
        <v/>
      </c>
    </row>
    <row r="9718" spans="1:1" x14ac:dyDescent="0.25">
      <c r="A9718" t="str">
        <f t="shared" si="153"/>
        <v/>
      </c>
    </row>
    <row r="9719" spans="1:1" x14ac:dyDescent="0.25">
      <c r="A9719" t="str">
        <f t="shared" si="153"/>
        <v/>
      </c>
    </row>
    <row r="9720" spans="1:1" x14ac:dyDescent="0.25">
      <c r="A9720" t="str">
        <f t="shared" si="153"/>
        <v/>
      </c>
    </row>
    <row r="9721" spans="1:1" x14ac:dyDescent="0.25">
      <c r="A9721" t="str">
        <f t="shared" si="153"/>
        <v/>
      </c>
    </row>
    <row r="9722" spans="1:1" x14ac:dyDescent="0.25">
      <c r="A9722" t="str">
        <f t="shared" si="153"/>
        <v/>
      </c>
    </row>
    <row r="9723" spans="1:1" x14ac:dyDescent="0.25">
      <c r="A9723" t="str">
        <f t="shared" si="153"/>
        <v/>
      </c>
    </row>
    <row r="9724" spans="1:1" x14ac:dyDescent="0.25">
      <c r="A9724" t="str">
        <f t="shared" si="153"/>
        <v/>
      </c>
    </row>
    <row r="9725" spans="1:1" x14ac:dyDescent="0.25">
      <c r="A9725" t="str">
        <f t="shared" si="153"/>
        <v/>
      </c>
    </row>
    <row r="9726" spans="1:1" x14ac:dyDescent="0.25">
      <c r="A9726" t="str">
        <f t="shared" si="153"/>
        <v/>
      </c>
    </row>
    <row r="9727" spans="1:1" x14ac:dyDescent="0.25">
      <c r="A9727" t="str">
        <f t="shared" si="153"/>
        <v/>
      </c>
    </row>
    <row r="9728" spans="1:1" x14ac:dyDescent="0.25">
      <c r="A9728" t="str">
        <f t="shared" si="153"/>
        <v/>
      </c>
    </row>
    <row r="9729" spans="1:1" x14ac:dyDescent="0.25">
      <c r="A9729" t="str">
        <f t="shared" si="153"/>
        <v/>
      </c>
    </row>
    <row r="9730" spans="1:1" x14ac:dyDescent="0.25">
      <c r="A9730" t="str">
        <f t="shared" si="153"/>
        <v/>
      </c>
    </row>
    <row r="9731" spans="1:1" x14ac:dyDescent="0.25">
      <c r="A9731" t="str">
        <f t="shared" si="153"/>
        <v/>
      </c>
    </row>
    <row r="9732" spans="1:1" x14ac:dyDescent="0.25">
      <c r="A9732" t="str">
        <f t="shared" si="153"/>
        <v/>
      </c>
    </row>
    <row r="9733" spans="1:1" x14ac:dyDescent="0.25">
      <c r="A9733" t="str">
        <f t="shared" si="153"/>
        <v/>
      </c>
    </row>
    <row r="9734" spans="1:1" x14ac:dyDescent="0.25">
      <c r="A9734" t="str">
        <f t="shared" si="153"/>
        <v/>
      </c>
    </row>
    <row r="9735" spans="1:1" x14ac:dyDescent="0.25">
      <c r="A9735" t="str">
        <f t="shared" si="153"/>
        <v/>
      </c>
    </row>
    <row r="9736" spans="1:1" x14ac:dyDescent="0.25">
      <c r="A9736" t="str">
        <f t="shared" si="153"/>
        <v/>
      </c>
    </row>
    <row r="9737" spans="1:1" x14ac:dyDescent="0.25">
      <c r="A9737" t="str">
        <f t="shared" si="153"/>
        <v/>
      </c>
    </row>
    <row r="9738" spans="1:1" x14ac:dyDescent="0.25">
      <c r="A9738" t="str">
        <f t="shared" si="153"/>
        <v/>
      </c>
    </row>
    <row r="9739" spans="1:1" x14ac:dyDescent="0.25">
      <c r="A9739" t="str">
        <f t="shared" si="153"/>
        <v/>
      </c>
    </row>
    <row r="9740" spans="1:1" x14ac:dyDescent="0.25">
      <c r="A9740" t="str">
        <f t="shared" si="153"/>
        <v/>
      </c>
    </row>
    <row r="9741" spans="1:1" x14ac:dyDescent="0.25">
      <c r="A9741" t="str">
        <f t="shared" si="153"/>
        <v/>
      </c>
    </row>
    <row r="9742" spans="1:1" x14ac:dyDescent="0.25">
      <c r="A9742" t="str">
        <f t="shared" si="153"/>
        <v/>
      </c>
    </row>
    <row r="9743" spans="1:1" x14ac:dyDescent="0.25">
      <c r="A9743" t="str">
        <f t="shared" si="153"/>
        <v/>
      </c>
    </row>
    <row r="9744" spans="1:1" x14ac:dyDescent="0.25">
      <c r="A9744" t="str">
        <f t="shared" si="153"/>
        <v/>
      </c>
    </row>
    <row r="9745" spans="1:1" x14ac:dyDescent="0.25">
      <c r="A9745" t="str">
        <f t="shared" si="153"/>
        <v/>
      </c>
    </row>
    <row r="9746" spans="1:1" x14ac:dyDescent="0.25">
      <c r="A9746" t="str">
        <f t="shared" si="153"/>
        <v/>
      </c>
    </row>
    <row r="9747" spans="1:1" x14ac:dyDescent="0.25">
      <c r="A9747" t="str">
        <f t="shared" si="153"/>
        <v/>
      </c>
    </row>
    <row r="9748" spans="1:1" x14ac:dyDescent="0.25">
      <c r="A9748" t="str">
        <f t="shared" si="153"/>
        <v/>
      </c>
    </row>
    <row r="9749" spans="1:1" x14ac:dyDescent="0.25">
      <c r="A9749" t="str">
        <f t="shared" si="153"/>
        <v/>
      </c>
    </row>
    <row r="9750" spans="1:1" x14ac:dyDescent="0.25">
      <c r="A9750" t="str">
        <f t="shared" si="153"/>
        <v/>
      </c>
    </row>
    <row r="9751" spans="1:1" x14ac:dyDescent="0.25">
      <c r="A9751" t="str">
        <f t="shared" si="153"/>
        <v/>
      </c>
    </row>
    <row r="9752" spans="1:1" x14ac:dyDescent="0.25">
      <c r="A9752" t="str">
        <f t="shared" si="153"/>
        <v/>
      </c>
    </row>
    <row r="9753" spans="1:1" x14ac:dyDescent="0.25">
      <c r="A9753" t="str">
        <f t="shared" si="153"/>
        <v/>
      </c>
    </row>
    <row r="9754" spans="1:1" x14ac:dyDescent="0.25">
      <c r="A9754" t="str">
        <f t="shared" si="153"/>
        <v/>
      </c>
    </row>
    <row r="9755" spans="1:1" x14ac:dyDescent="0.25">
      <c r="A9755" t="str">
        <f t="shared" si="153"/>
        <v/>
      </c>
    </row>
    <row r="9756" spans="1:1" x14ac:dyDescent="0.25">
      <c r="A9756" t="str">
        <f t="shared" si="153"/>
        <v/>
      </c>
    </row>
    <row r="9757" spans="1:1" x14ac:dyDescent="0.25">
      <c r="A9757" t="str">
        <f t="shared" si="153"/>
        <v/>
      </c>
    </row>
    <row r="9758" spans="1:1" x14ac:dyDescent="0.25">
      <c r="A9758" t="str">
        <f t="shared" si="153"/>
        <v/>
      </c>
    </row>
    <row r="9759" spans="1:1" x14ac:dyDescent="0.25">
      <c r="A9759" t="str">
        <f t="shared" si="153"/>
        <v/>
      </c>
    </row>
    <row r="9760" spans="1:1" x14ac:dyDescent="0.25">
      <c r="A9760" t="str">
        <f t="shared" si="153"/>
        <v/>
      </c>
    </row>
    <row r="9761" spans="1:1" x14ac:dyDescent="0.25">
      <c r="A9761" t="str">
        <f t="shared" si="153"/>
        <v/>
      </c>
    </row>
    <row r="9762" spans="1:1" x14ac:dyDescent="0.25">
      <c r="A9762" t="str">
        <f t="shared" si="153"/>
        <v/>
      </c>
    </row>
    <row r="9763" spans="1:1" x14ac:dyDescent="0.25">
      <c r="A9763" t="str">
        <f t="shared" si="153"/>
        <v/>
      </c>
    </row>
    <row r="9764" spans="1:1" x14ac:dyDescent="0.25">
      <c r="A9764" t="str">
        <f t="shared" si="153"/>
        <v/>
      </c>
    </row>
    <row r="9765" spans="1:1" x14ac:dyDescent="0.25">
      <c r="A9765" t="str">
        <f t="shared" si="153"/>
        <v/>
      </c>
    </row>
    <row r="9766" spans="1:1" x14ac:dyDescent="0.25">
      <c r="A9766" t="str">
        <f t="shared" si="153"/>
        <v/>
      </c>
    </row>
    <row r="9767" spans="1:1" x14ac:dyDescent="0.25">
      <c r="A9767" t="str">
        <f t="shared" si="153"/>
        <v/>
      </c>
    </row>
    <row r="9768" spans="1:1" x14ac:dyDescent="0.25">
      <c r="A9768" t="str">
        <f t="shared" si="153"/>
        <v/>
      </c>
    </row>
    <row r="9769" spans="1:1" x14ac:dyDescent="0.25">
      <c r="A9769" t="str">
        <f t="shared" si="153"/>
        <v/>
      </c>
    </row>
    <row r="9770" spans="1:1" x14ac:dyDescent="0.25">
      <c r="A9770" t="str">
        <f t="shared" si="153"/>
        <v/>
      </c>
    </row>
    <row r="9771" spans="1:1" x14ac:dyDescent="0.25">
      <c r="A9771" t="str">
        <f t="shared" si="153"/>
        <v/>
      </c>
    </row>
    <row r="9772" spans="1:1" x14ac:dyDescent="0.25">
      <c r="A9772" t="str">
        <f t="shared" si="153"/>
        <v/>
      </c>
    </row>
    <row r="9773" spans="1:1" x14ac:dyDescent="0.25">
      <c r="A9773" t="str">
        <f t="shared" si="153"/>
        <v/>
      </c>
    </row>
    <row r="9774" spans="1:1" x14ac:dyDescent="0.25">
      <c r="A9774" t="str">
        <f t="shared" si="153"/>
        <v/>
      </c>
    </row>
    <row r="9775" spans="1:1" x14ac:dyDescent="0.25">
      <c r="A9775" t="str">
        <f t="shared" si="153"/>
        <v/>
      </c>
    </row>
    <row r="9776" spans="1:1" x14ac:dyDescent="0.25">
      <c r="A9776" t="str">
        <f t="shared" si="153"/>
        <v/>
      </c>
    </row>
    <row r="9777" spans="1:1" x14ac:dyDescent="0.25">
      <c r="A9777" t="str">
        <f t="shared" si="153"/>
        <v/>
      </c>
    </row>
    <row r="9778" spans="1:1" x14ac:dyDescent="0.25">
      <c r="A9778" t="str">
        <f t="shared" si="153"/>
        <v/>
      </c>
    </row>
    <row r="9779" spans="1:1" x14ac:dyDescent="0.25">
      <c r="A9779" t="str">
        <f t="shared" si="153"/>
        <v/>
      </c>
    </row>
    <row r="9780" spans="1:1" x14ac:dyDescent="0.25">
      <c r="A9780" t="str">
        <f t="shared" si="153"/>
        <v/>
      </c>
    </row>
    <row r="9781" spans="1:1" x14ac:dyDescent="0.25">
      <c r="A9781" t="str">
        <f t="shared" ref="A9781:A9844" si="154">B9779&amp;D9779</f>
        <v/>
      </c>
    </row>
    <row r="9782" spans="1:1" x14ac:dyDescent="0.25">
      <c r="A9782" t="str">
        <f t="shared" si="154"/>
        <v/>
      </c>
    </row>
    <row r="9783" spans="1:1" x14ac:dyDescent="0.25">
      <c r="A9783" t="str">
        <f t="shared" si="154"/>
        <v/>
      </c>
    </row>
    <row r="9784" spans="1:1" x14ac:dyDescent="0.25">
      <c r="A9784" t="str">
        <f t="shared" si="154"/>
        <v/>
      </c>
    </row>
    <row r="9785" spans="1:1" x14ac:dyDescent="0.25">
      <c r="A9785" t="str">
        <f t="shared" si="154"/>
        <v/>
      </c>
    </row>
    <row r="9786" spans="1:1" x14ac:dyDescent="0.25">
      <c r="A9786" t="str">
        <f t="shared" si="154"/>
        <v/>
      </c>
    </row>
    <row r="9787" spans="1:1" x14ac:dyDescent="0.25">
      <c r="A9787" t="str">
        <f t="shared" si="154"/>
        <v/>
      </c>
    </row>
    <row r="9788" spans="1:1" x14ac:dyDescent="0.25">
      <c r="A9788" t="str">
        <f t="shared" si="154"/>
        <v/>
      </c>
    </row>
    <row r="9789" spans="1:1" x14ac:dyDescent="0.25">
      <c r="A9789" t="str">
        <f t="shared" si="154"/>
        <v/>
      </c>
    </row>
    <row r="9790" spans="1:1" x14ac:dyDescent="0.25">
      <c r="A9790" t="str">
        <f t="shared" si="154"/>
        <v/>
      </c>
    </row>
    <row r="9791" spans="1:1" x14ac:dyDescent="0.25">
      <c r="A9791" t="str">
        <f t="shared" si="154"/>
        <v/>
      </c>
    </row>
    <row r="9792" spans="1:1" x14ac:dyDescent="0.25">
      <c r="A9792" t="str">
        <f t="shared" si="154"/>
        <v/>
      </c>
    </row>
    <row r="9793" spans="1:1" x14ac:dyDescent="0.25">
      <c r="A9793" t="str">
        <f t="shared" si="154"/>
        <v/>
      </c>
    </row>
    <row r="9794" spans="1:1" x14ac:dyDescent="0.25">
      <c r="A9794" t="str">
        <f t="shared" si="154"/>
        <v/>
      </c>
    </row>
    <row r="9795" spans="1:1" x14ac:dyDescent="0.25">
      <c r="A9795" t="str">
        <f t="shared" si="154"/>
        <v/>
      </c>
    </row>
    <row r="9796" spans="1:1" x14ac:dyDescent="0.25">
      <c r="A9796" t="str">
        <f t="shared" si="154"/>
        <v/>
      </c>
    </row>
    <row r="9797" spans="1:1" x14ac:dyDescent="0.25">
      <c r="A9797" t="str">
        <f t="shared" si="154"/>
        <v/>
      </c>
    </row>
    <row r="9798" spans="1:1" x14ac:dyDescent="0.25">
      <c r="A9798" t="str">
        <f t="shared" si="154"/>
        <v/>
      </c>
    </row>
    <row r="9799" spans="1:1" x14ac:dyDescent="0.25">
      <c r="A9799" t="str">
        <f t="shared" si="154"/>
        <v/>
      </c>
    </row>
    <row r="9800" spans="1:1" x14ac:dyDescent="0.25">
      <c r="A9800" t="str">
        <f t="shared" si="154"/>
        <v/>
      </c>
    </row>
    <row r="9801" spans="1:1" x14ac:dyDescent="0.25">
      <c r="A9801" t="str">
        <f t="shared" si="154"/>
        <v/>
      </c>
    </row>
    <row r="9802" spans="1:1" x14ac:dyDescent="0.25">
      <c r="A9802" t="str">
        <f t="shared" si="154"/>
        <v/>
      </c>
    </row>
    <row r="9803" spans="1:1" x14ac:dyDescent="0.25">
      <c r="A9803" t="str">
        <f t="shared" si="154"/>
        <v/>
      </c>
    </row>
    <row r="9804" spans="1:1" x14ac:dyDescent="0.25">
      <c r="A9804" t="str">
        <f t="shared" si="154"/>
        <v/>
      </c>
    </row>
    <row r="9805" spans="1:1" x14ac:dyDescent="0.25">
      <c r="A9805" t="str">
        <f t="shared" si="154"/>
        <v/>
      </c>
    </row>
    <row r="9806" spans="1:1" x14ac:dyDescent="0.25">
      <c r="A9806" t="str">
        <f t="shared" si="154"/>
        <v/>
      </c>
    </row>
    <row r="9807" spans="1:1" x14ac:dyDescent="0.25">
      <c r="A9807" t="str">
        <f t="shared" si="154"/>
        <v/>
      </c>
    </row>
    <row r="9808" spans="1:1" x14ac:dyDescent="0.25">
      <c r="A9808" t="str">
        <f t="shared" si="154"/>
        <v/>
      </c>
    </row>
    <row r="9809" spans="1:1" x14ac:dyDescent="0.25">
      <c r="A9809" t="str">
        <f t="shared" si="154"/>
        <v/>
      </c>
    </row>
    <row r="9810" spans="1:1" x14ac:dyDescent="0.25">
      <c r="A9810" t="str">
        <f t="shared" si="154"/>
        <v/>
      </c>
    </row>
    <row r="9811" spans="1:1" x14ac:dyDescent="0.25">
      <c r="A9811" t="str">
        <f t="shared" si="154"/>
        <v/>
      </c>
    </row>
    <row r="9812" spans="1:1" x14ac:dyDescent="0.25">
      <c r="A9812" t="str">
        <f t="shared" si="154"/>
        <v/>
      </c>
    </row>
    <row r="9813" spans="1:1" x14ac:dyDescent="0.25">
      <c r="A9813" t="str">
        <f t="shared" si="154"/>
        <v/>
      </c>
    </row>
    <row r="9814" spans="1:1" x14ac:dyDescent="0.25">
      <c r="A9814" t="str">
        <f t="shared" si="154"/>
        <v/>
      </c>
    </row>
    <row r="9815" spans="1:1" x14ac:dyDescent="0.25">
      <c r="A9815" t="str">
        <f t="shared" si="154"/>
        <v/>
      </c>
    </row>
    <row r="9816" spans="1:1" x14ac:dyDescent="0.25">
      <c r="A9816" t="str">
        <f t="shared" si="154"/>
        <v/>
      </c>
    </row>
    <row r="9817" spans="1:1" x14ac:dyDescent="0.25">
      <c r="A9817" t="str">
        <f t="shared" si="154"/>
        <v/>
      </c>
    </row>
    <row r="9818" spans="1:1" x14ac:dyDescent="0.25">
      <c r="A9818" t="str">
        <f t="shared" si="154"/>
        <v/>
      </c>
    </row>
    <row r="9819" spans="1:1" x14ac:dyDescent="0.25">
      <c r="A9819" t="str">
        <f t="shared" si="154"/>
        <v/>
      </c>
    </row>
    <row r="9820" spans="1:1" x14ac:dyDescent="0.25">
      <c r="A9820" t="str">
        <f t="shared" si="154"/>
        <v/>
      </c>
    </row>
    <row r="9821" spans="1:1" x14ac:dyDescent="0.25">
      <c r="A9821" t="str">
        <f t="shared" si="154"/>
        <v/>
      </c>
    </row>
    <row r="9822" spans="1:1" x14ac:dyDescent="0.25">
      <c r="A9822" t="str">
        <f t="shared" si="154"/>
        <v/>
      </c>
    </row>
    <row r="9823" spans="1:1" x14ac:dyDescent="0.25">
      <c r="A9823" t="str">
        <f t="shared" si="154"/>
        <v/>
      </c>
    </row>
    <row r="9824" spans="1:1" x14ac:dyDescent="0.25">
      <c r="A9824" t="str">
        <f t="shared" si="154"/>
        <v/>
      </c>
    </row>
    <row r="9825" spans="1:1" x14ac:dyDescent="0.25">
      <c r="A9825" t="str">
        <f t="shared" si="154"/>
        <v/>
      </c>
    </row>
    <row r="9826" spans="1:1" x14ac:dyDescent="0.25">
      <c r="A9826" t="str">
        <f t="shared" si="154"/>
        <v/>
      </c>
    </row>
    <row r="9827" spans="1:1" x14ac:dyDescent="0.25">
      <c r="A9827" t="str">
        <f t="shared" si="154"/>
        <v/>
      </c>
    </row>
    <row r="9828" spans="1:1" x14ac:dyDescent="0.25">
      <c r="A9828" t="str">
        <f t="shared" si="154"/>
        <v/>
      </c>
    </row>
    <row r="9829" spans="1:1" x14ac:dyDescent="0.25">
      <c r="A9829" t="str">
        <f t="shared" si="154"/>
        <v/>
      </c>
    </row>
    <row r="9830" spans="1:1" x14ac:dyDescent="0.25">
      <c r="A9830" t="str">
        <f t="shared" si="154"/>
        <v/>
      </c>
    </row>
    <row r="9831" spans="1:1" x14ac:dyDescent="0.25">
      <c r="A9831" t="str">
        <f t="shared" si="154"/>
        <v/>
      </c>
    </row>
    <row r="9832" spans="1:1" x14ac:dyDescent="0.25">
      <c r="A9832" t="str">
        <f t="shared" si="154"/>
        <v/>
      </c>
    </row>
    <row r="9833" spans="1:1" x14ac:dyDescent="0.25">
      <c r="A9833" t="str">
        <f t="shared" si="154"/>
        <v/>
      </c>
    </row>
    <row r="9834" spans="1:1" x14ac:dyDescent="0.25">
      <c r="A9834" t="str">
        <f t="shared" si="154"/>
        <v/>
      </c>
    </row>
    <row r="9835" spans="1:1" x14ac:dyDescent="0.25">
      <c r="A9835" t="str">
        <f t="shared" si="154"/>
        <v/>
      </c>
    </row>
    <row r="9836" spans="1:1" x14ac:dyDescent="0.25">
      <c r="A9836" t="str">
        <f t="shared" si="154"/>
        <v/>
      </c>
    </row>
    <row r="9837" spans="1:1" x14ac:dyDescent="0.25">
      <c r="A9837" t="str">
        <f t="shared" si="154"/>
        <v/>
      </c>
    </row>
    <row r="9838" spans="1:1" x14ac:dyDescent="0.25">
      <c r="A9838" t="str">
        <f t="shared" si="154"/>
        <v/>
      </c>
    </row>
    <row r="9839" spans="1:1" x14ac:dyDescent="0.25">
      <c r="A9839" t="str">
        <f t="shared" si="154"/>
        <v/>
      </c>
    </row>
    <row r="9840" spans="1:1" x14ac:dyDescent="0.25">
      <c r="A9840" t="str">
        <f t="shared" si="154"/>
        <v/>
      </c>
    </row>
    <row r="9841" spans="1:1" x14ac:dyDescent="0.25">
      <c r="A9841" t="str">
        <f t="shared" si="154"/>
        <v/>
      </c>
    </row>
    <row r="9842" spans="1:1" x14ac:dyDescent="0.25">
      <c r="A9842" t="str">
        <f t="shared" si="154"/>
        <v/>
      </c>
    </row>
    <row r="9843" spans="1:1" x14ac:dyDescent="0.25">
      <c r="A9843" t="str">
        <f t="shared" si="154"/>
        <v/>
      </c>
    </row>
    <row r="9844" spans="1:1" x14ac:dyDescent="0.25">
      <c r="A9844" t="str">
        <f t="shared" si="154"/>
        <v/>
      </c>
    </row>
    <row r="9845" spans="1:1" x14ac:dyDescent="0.25">
      <c r="A9845" t="str">
        <f t="shared" ref="A9845:A9908" si="155">B9843&amp;D9843</f>
        <v/>
      </c>
    </row>
    <row r="9846" spans="1:1" x14ac:dyDescent="0.25">
      <c r="A9846" t="str">
        <f t="shared" si="155"/>
        <v/>
      </c>
    </row>
    <row r="9847" spans="1:1" x14ac:dyDescent="0.25">
      <c r="A9847" t="str">
        <f t="shared" si="155"/>
        <v/>
      </c>
    </row>
    <row r="9848" spans="1:1" x14ac:dyDescent="0.25">
      <c r="A9848" t="str">
        <f t="shared" si="155"/>
        <v/>
      </c>
    </row>
    <row r="9849" spans="1:1" x14ac:dyDescent="0.25">
      <c r="A9849" t="str">
        <f t="shared" si="155"/>
        <v/>
      </c>
    </row>
    <row r="9850" spans="1:1" x14ac:dyDescent="0.25">
      <c r="A9850" t="str">
        <f t="shared" si="155"/>
        <v/>
      </c>
    </row>
    <row r="9851" spans="1:1" x14ac:dyDescent="0.25">
      <c r="A9851" t="str">
        <f t="shared" si="155"/>
        <v/>
      </c>
    </row>
    <row r="9852" spans="1:1" x14ac:dyDescent="0.25">
      <c r="A9852" t="str">
        <f t="shared" si="155"/>
        <v/>
      </c>
    </row>
    <row r="9853" spans="1:1" x14ac:dyDescent="0.25">
      <c r="A9853" t="str">
        <f t="shared" si="155"/>
        <v/>
      </c>
    </row>
    <row r="9854" spans="1:1" x14ac:dyDescent="0.25">
      <c r="A9854" t="str">
        <f t="shared" si="155"/>
        <v/>
      </c>
    </row>
    <row r="9855" spans="1:1" x14ac:dyDescent="0.25">
      <c r="A9855" t="str">
        <f t="shared" si="155"/>
        <v/>
      </c>
    </row>
    <row r="9856" spans="1:1" x14ac:dyDescent="0.25">
      <c r="A9856" t="str">
        <f t="shared" si="155"/>
        <v/>
      </c>
    </row>
    <row r="9857" spans="1:1" x14ac:dyDescent="0.25">
      <c r="A9857" t="str">
        <f t="shared" si="155"/>
        <v/>
      </c>
    </row>
    <row r="9858" spans="1:1" x14ac:dyDescent="0.25">
      <c r="A9858" t="str">
        <f t="shared" si="155"/>
        <v/>
      </c>
    </row>
    <row r="9859" spans="1:1" x14ac:dyDescent="0.25">
      <c r="A9859" t="str">
        <f t="shared" si="155"/>
        <v/>
      </c>
    </row>
    <row r="9860" spans="1:1" x14ac:dyDescent="0.25">
      <c r="A9860" t="str">
        <f t="shared" si="155"/>
        <v/>
      </c>
    </row>
    <row r="9861" spans="1:1" x14ac:dyDescent="0.25">
      <c r="A9861" t="str">
        <f t="shared" si="155"/>
        <v/>
      </c>
    </row>
    <row r="9862" spans="1:1" x14ac:dyDescent="0.25">
      <c r="A9862" t="str">
        <f t="shared" si="155"/>
        <v/>
      </c>
    </row>
    <row r="9863" spans="1:1" x14ac:dyDescent="0.25">
      <c r="A9863" t="str">
        <f t="shared" si="155"/>
        <v/>
      </c>
    </row>
    <row r="9864" spans="1:1" x14ac:dyDescent="0.25">
      <c r="A9864" t="str">
        <f t="shared" si="155"/>
        <v/>
      </c>
    </row>
    <row r="9865" spans="1:1" x14ac:dyDescent="0.25">
      <c r="A9865" t="str">
        <f t="shared" si="155"/>
        <v/>
      </c>
    </row>
    <row r="9866" spans="1:1" x14ac:dyDescent="0.25">
      <c r="A9866" t="str">
        <f t="shared" si="155"/>
        <v/>
      </c>
    </row>
    <row r="9867" spans="1:1" x14ac:dyDescent="0.25">
      <c r="A9867" t="str">
        <f t="shared" si="155"/>
        <v/>
      </c>
    </row>
    <row r="9868" spans="1:1" x14ac:dyDescent="0.25">
      <c r="A9868" t="str">
        <f t="shared" si="155"/>
        <v/>
      </c>
    </row>
    <row r="9869" spans="1:1" x14ac:dyDescent="0.25">
      <c r="A9869" t="str">
        <f t="shared" si="155"/>
        <v/>
      </c>
    </row>
    <row r="9870" spans="1:1" x14ac:dyDescent="0.25">
      <c r="A9870" t="str">
        <f t="shared" si="155"/>
        <v/>
      </c>
    </row>
    <row r="9871" spans="1:1" x14ac:dyDescent="0.25">
      <c r="A9871" t="str">
        <f t="shared" si="155"/>
        <v/>
      </c>
    </row>
    <row r="9872" spans="1:1" x14ac:dyDescent="0.25">
      <c r="A9872" t="str">
        <f t="shared" si="155"/>
        <v/>
      </c>
    </row>
    <row r="9873" spans="1:1" x14ac:dyDescent="0.25">
      <c r="A9873" t="str">
        <f t="shared" si="155"/>
        <v/>
      </c>
    </row>
    <row r="9874" spans="1:1" x14ac:dyDescent="0.25">
      <c r="A9874" t="str">
        <f t="shared" si="155"/>
        <v/>
      </c>
    </row>
    <row r="9875" spans="1:1" x14ac:dyDescent="0.25">
      <c r="A9875" t="str">
        <f t="shared" si="155"/>
        <v/>
      </c>
    </row>
    <row r="9876" spans="1:1" x14ac:dyDescent="0.25">
      <c r="A9876" t="str">
        <f t="shared" si="155"/>
        <v/>
      </c>
    </row>
    <row r="9877" spans="1:1" x14ac:dyDescent="0.25">
      <c r="A9877" t="str">
        <f t="shared" si="155"/>
        <v/>
      </c>
    </row>
    <row r="9878" spans="1:1" x14ac:dyDescent="0.25">
      <c r="A9878" t="str">
        <f t="shared" si="155"/>
        <v/>
      </c>
    </row>
    <row r="9879" spans="1:1" x14ac:dyDescent="0.25">
      <c r="A9879" t="str">
        <f t="shared" si="155"/>
        <v/>
      </c>
    </row>
    <row r="9880" spans="1:1" x14ac:dyDescent="0.25">
      <c r="A9880" t="str">
        <f t="shared" si="155"/>
        <v/>
      </c>
    </row>
    <row r="9881" spans="1:1" x14ac:dyDescent="0.25">
      <c r="A9881" t="str">
        <f t="shared" si="155"/>
        <v/>
      </c>
    </row>
    <row r="9882" spans="1:1" x14ac:dyDescent="0.25">
      <c r="A9882" t="str">
        <f t="shared" si="155"/>
        <v/>
      </c>
    </row>
    <row r="9883" spans="1:1" x14ac:dyDescent="0.25">
      <c r="A9883" t="str">
        <f t="shared" si="155"/>
        <v/>
      </c>
    </row>
    <row r="9884" spans="1:1" x14ac:dyDescent="0.25">
      <c r="A9884" t="str">
        <f t="shared" si="155"/>
        <v/>
      </c>
    </row>
    <row r="9885" spans="1:1" x14ac:dyDescent="0.25">
      <c r="A9885" t="str">
        <f t="shared" si="155"/>
        <v/>
      </c>
    </row>
    <row r="9886" spans="1:1" x14ac:dyDescent="0.25">
      <c r="A9886" t="str">
        <f t="shared" si="155"/>
        <v/>
      </c>
    </row>
    <row r="9887" spans="1:1" x14ac:dyDescent="0.25">
      <c r="A9887" t="str">
        <f t="shared" si="155"/>
        <v/>
      </c>
    </row>
    <row r="9888" spans="1:1" x14ac:dyDescent="0.25">
      <c r="A9888" t="str">
        <f t="shared" si="155"/>
        <v/>
      </c>
    </row>
    <row r="9889" spans="1:1" x14ac:dyDescent="0.25">
      <c r="A9889" t="str">
        <f t="shared" si="155"/>
        <v/>
      </c>
    </row>
    <row r="9890" spans="1:1" x14ac:dyDescent="0.25">
      <c r="A9890" t="str">
        <f t="shared" si="155"/>
        <v/>
      </c>
    </row>
    <row r="9891" spans="1:1" x14ac:dyDescent="0.25">
      <c r="A9891" t="str">
        <f t="shared" si="155"/>
        <v/>
      </c>
    </row>
    <row r="9892" spans="1:1" x14ac:dyDescent="0.25">
      <c r="A9892" t="str">
        <f t="shared" si="155"/>
        <v/>
      </c>
    </row>
    <row r="9893" spans="1:1" x14ac:dyDescent="0.25">
      <c r="A9893" t="str">
        <f t="shared" si="155"/>
        <v/>
      </c>
    </row>
    <row r="9894" spans="1:1" x14ac:dyDescent="0.25">
      <c r="A9894" t="str">
        <f t="shared" si="155"/>
        <v/>
      </c>
    </row>
    <row r="9895" spans="1:1" x14ac:dyDescent="0.25">
      <c r="A9895" t="str">
        <f t="shared" si="155"/>
        <v/>
      </c>
    </row>
    <row r="9896" spans="1:1" x14ac:dyDescent="0.25">
      <c r="A9896" t="str">
        <f t="shared" si="155"/>
        <v/>
      </c>
    </row>
    <row r="9897" spans="1:1" x14ac:dyDescent="0.25">
      <c r="A9897" t="str">
        <f t="shared" si="155"/>
        <v/>
      </c>
    </row>
    <row r="9898" spans="1:1" x14ac:dyDescent="0.25">
      <c r="A9898" t="str">
        <f t="shared" si="155"/>
        <v/>
      </c>
    </row>
    <row r="9899" spans="1:1" x14ac:dyDescent="0.25">
      <c r="A9899" t="str">
        <f t="shared" si="155"/>
        <v/>
      </c>
    </row>
    <row r="9900" spans="1:1" x14ac:dyDescent="0.25">
      <c r="A9900" t="str">
        <f t="shared" si="155"/>
        <v/>
      </c>
    </row>
    <row r="9901" spans="1:1" x14ac:dyDescent="0.25">
      <c r="A9901" t="str">
        <f t="shared" si="155"/>
        <v/>
      </c>
    </row>
    <row r="9902" spans="1:1" x14ac:dyDescent="0.25">
      <c r="A9902" t="str">
        <f t="shared" si="155"/>
        <v/>
      </c>
    </row>
    <row r="9903" spans="1:1" x14ac:dyDescent="0.25">
      <c r="A9903" t="str">
        <f t="shared" si="155"/>
        <v/>
      </c>
    </row>
    <row r="9904" spans="1:1" x14ac:dyDescent="0.25">
      <c r="A9904" t="str">
        <f t="shared" si="155"/>
        <v/>
      </c>
    </row>
    <row r="9905" spans="1:1" x14ac:dyDescent="0.25">
      <c r="A9905" t="str">
        <f t="shared" si="155"/>
        <v/>
      </c>
    </row>
    <row r="9906" spans="1:1" x14ac:dyDescent="0.25">
      <c r="A9906" t="str">
        <f t="shared" si="155"/>
        <v/>
      </c>
    </row>
    <row r="9907" spans="1:1" x14ac:dyDescent="0.25">
      <c r="A9907" t="str">
        <f t="shared" si="155"/>
        <v/>
      </c>
    </row>
    <row r="9908" spans="1:1" x14ac:dyDescent="0.25">
      <c r="A9908" t="str">
        <f t="shared" si="155"/>
        <v/>
      </c>
    </row>
    <row r="9909" spans="1:1" x14ac:dyDescent="0.25">
      <c r="A9909" t="str">
        <f t="shared" ref="A9909:A9972" si="156">B9907&amp;D9907</f>
        <v/>
      </c>
    </row>
    <row r="9910" spans="1:1" x14ac:dyDescent="0.25">
      <c r="A9910" t="str">
        <f t="shared" si="156"/>
        <v/>
      </c>
    </row>
    <row r="9911" spans="1:1" x14ac:dyDescent="0.25">
      <c r="A9911" t="str">
        <f t="shared" si="156"/>
        <v/>
      </c>
    </row>
    <row r="9912" spans="1:1" x14ac:dyDescent="0.25">
      <c r="A9912" t="str">
        <f t="shared" si="156"/>
        <v/>
      </c>
    </row>
    <row r="9913" spans="1:1" x14ac:dyDescent="0.25">
      <c r="A9913" t="str">
        <f t="shared" si="156"/>
        <v/>
      </c>
    </row>
    <row r="9914" spans="1:1" x14ac:dyDescent="0.25">
      <c r="A9914" t="str">
        <f t="shared" si="156"/>
        <v/>
      </c>
    </row>
    <row r="9915" spans="1:1" x14ac:dyDescent="0.25">
      <c r="A9915" t="str">
        <f t="shared" si="156"/>
        <v/>
      </c>
    </row>
    <row r="9916" spans="1:1" x14ac:dyDescent="0.25">
      <c r="A9916" t="str">
        <f t="shared" si="156"/>
        <v/>
      </c>
    </row>
    <row r="9917" spans="1:1" x14ac:dyDescent="0.25">
      <c r="A9917" t="str">
        <f t="shared" si="156"/>
        <v/>
      </c>
    </row>
    <row r="9918" spans="1:1" x14ac:dyDescent="0.25">
      <c r="A9918" t="str">
        <f t="shared" si="156"/>
        <v/>
      </c>
    </row>
    <row r="9919" spans="1:1" x14ac:dyDescent="0.25">
      <c r="A9919" t="str">
        <f t="shared" si="156"/>
        <v/>
      </c>
    </row>
    <row r="9920" spans="1:1" x14ac:dyDescent="0.25">
      <c r="A9920" t="str">
        <f t="shared" si="156"/>
        <v/>
      </c>
    </row>
    <row r="9921" spans="1:1" x14ac:dyDescent="0.25">
      <c r="A9921" t="str">
        <f t="shared" si="156"/>
        <v/>
      </c>
    </row>
    <row r="9922" spans="1:1" x14ac:dyDescent="0.25">
      <c r="A9922" t="str">
        <f t="shared" si="156"/>
        <v/>
      </c>
    </row>
    <row r="9923" spans="1:1" x14ac:dyDescent="0.25">
      <c r="A9923" t="str">
        <f t="shared" si="156"/>
        <v/>
      </c>
    </row>
    <row r="9924" spans="1:1" x14ac:dyDescent="0.25">
      <c r="A9924" t="str">
        <f t="shared" si="156"/>
        <v/>
      </c>
    </row>
    <row r="9925" spans="1:1" x14ac:dyDescent="0.25">
      <c r="A9925" t="str">
        <f t="shared" si="156"/>
        <v/>
      </c>
    </row>
    <row r="9926" spans="1:1" x14ac:dyDescent="0.25">
      <c r="A9926" t="str">
        <f t="shared" si="156"/>
        <v/>
      </c>
    </row>
    <row r="9927" spans="1:1" x14ac:dyDescent="0.25">
      <c r="A9927" t="str">
        <f t="shared" si="156"/>
        <v/>
      </c>
    </row>
    <row r="9928" spans="1:1" x14ac:dyDescent="0.25">
      <c r="A9928" t="str">
        <f t="shared" si="156"/>
        <v/>
      </c>
    </row>
    <row r="9929" spans="1:1" x14ac:dyDescent="0.25">
      <c r="A9929" t="str">
        <f t="shared" si="156"/>
        <v/>
      </c>
    </row>
    <row r="9930" spans="1:1" x14ac:dyDescent="0.25">
      <c r="A9930" t="str">
        <f t="shared" si="156"/>
        <v/>
      </c>
    </row>
    <row r="9931" spans="1:1" x14ac:dyDescent="0.25">
      <c r="A9931" t="str">
        <f t="shared" si="156"/>
        <v/>
      </c>
    </row>
    <row r="9932" spans="1:1" x14ac:dyDescent="0.25">
      <c r="A9932" t="str">
        <f t="shared" si="156"/>
        <v/>
      </c>
    </row>
    <row r="9933" spans="1:1" x14ac:dyDescent="0.25">
      <c r="A9933" t="str">
        <f t="shared" si="156"/>
        <v/>
      </c>
    </row>
    <row r="9934" spans="1:1" x14ac:dyDescent="0.25">
      <c r="A9934" t="str">
        <f t="shared" si="156"/>
        <v/>
      </c>
    </row>
    <row r="9935" spans="1:1" x14ac:dyDescent="0.25">
      <c r="A9935" t="str">
        <f t="shared" si="156"/>
        <v/>
      </c>
    </row>
    <row r="9936" spans="1:1" x14ac:dyDescent="0.25">
      <c r="A9936" t="str">
        <f t="shared" si="156"/>
        <v/>
      </c>
    </row>
    <row r="9937" spans="1:1" x14ac:dyDescent="0.25">
      <c r="A9937" t="str">
        <f t="shared" si="156"/>
        <v/>
      </c>
    </row>
    <row r="9938" spans="1:1" x14ac:dyDescent="0.25">
      <c r="A9938" t="str">
        <f t="shared" si="156"/>
        <v/>
      </c>
    </row>
    <row r="9939" spans="1:1" x14ac:dyDescent="0.25">
      <c r="A9939" t="str">
        <f t="shared" si="156"/>
        <v/>
      </c>
    </row>
    <row r="9940" spans="1:1" x14ac:dyDescent="0.25">
      <c r="A9940" t="str">
        <f t="shared" si="156"/>
        <v/>
      </c>
    </row>
    <row r="9941" spans="1:1" x14ac:dyDescent="0.25">
      <c r="A9941" t="str">
        <f t="shared" si="156"/>
        <v/>
      </c>
    </row>
    <row r="9942" spans="1:1" x14ac:dyDescent="0.25">
      <c r="A9942" t="str">
        <f t="shared" si="156"/>
        <v/>
      </c>
    </row>
    <row r="9943" spans="1:1" x14ac:dyDescent="0.25">
      <c r="A9943" t="str">
        <f t="shared" si="156"/>
        <v/>
      </c>
    </row>
    <row r="9944" spans="1:1" x14ac:dyDescent="0.25">
      <c r="A9944" t="str">
        <f t="shared" si="156"/>
        <v/>
      </c>
    </row>
    <row r="9945" spans="1:1" x14ac:dyDescent="0.25">
      <c r="A9945" t="str">
        <f t="shared" si="156"/>
        <v/>
      </c>
    </row>
    <row r="9946" spans="1:1" x14ac:dyDescent="0.25">
      <c r="A9946" t="str">
        <f t="shared" si="156"/>
        <v/>
      </c>
    </row>
    <row r="9947" spans="1:1" x14ac:dyDescent="0.25">
      <c r="A9947" t="str">
        <f t="shared" si="156"/>
        <v/>
      </c>
    </row>
    <row r="9948" spans="1:1" x14ac:dyDescent="0.25">
      <c r="A9948" t="str">
        <f t="shared" si="156"/>
        <v/>
      </c>
    </row>
    <row r="9949" spans="1:1" x14ac:dyDescent="0.25">
      <c r="A9949" t="str">
        <f t="shared" si="156"/>
        <v/>
      </c>
    </row>
    <row r="9950" spans="1:1" x14ac:dyDescent="0.25">
      <c r="A9950" t="str">
        <f t="shared" si="156"/>
        <v/>
      </c>
    </row>
    <row r="9951" spans="1:1" x14ac:dyDescent="0.25">
      <c r="A9951" t="str">
        <f t="shared" si="156"/>
        <v/>
      </c>
    </row>
    <row r="9952" spans="1:1" x14ac:dyDescent="0.25">
      <c r="A9952" t="str">
        <f t="shared" si="156"/>
        <v/>
      </c>
    </row>
    <row r="9953" spans="1:1" x14ac:dyDescent="0.25">
      <c r="A9953" t="str">
        <f t="shared" si="156"/>
        <v/>
      </c>
    </row>
    <row r="9954" spans="1:1" x14ac:dyDescent="0.25">
      <c r="A9954" t="str">
        <f t="shared" si="156"/>
        <v/>
      </c>
    </row>
    <row r="9955" spans="1:1" x14ac:dyDescent="0.25">
      <c r="A9955" t="str">
        <f t="shared" si="156"/>
        <v/>
      </c>
    </row>
    <row r="9956" spans="1:1" x14ac:dyDescent="0.25">
      <c r="A9956" t="str">
        <f t="shared" si="156"/>
        <v/>
      </c>
    </row>
    <row r="9957" spans="1:1" x14ac:dyDescent="0.25">
      <c r="A9957" t="str">
        <f t="shared" si="156"/>
        <v/>
      </c>
    </row>
    <row r="9958" spans="1:1" x14ac:dyDescent="0.25">
      <c r="A9958" t="str">
        <f t="shared" si="156"/>
        <v/>
      </c>
    </row>
    <row r="9959" spans="1:1" x14ac:dyDescent="0.25">
      <c r="A9959" t="str">
        <f t="shared" si="156"/>
        <v/>
      </c>
    </row>
    <row r="9960" spans="1:1" x14ac:dyDescent="0.25">
      <c r="A9960" t="str">
        <f t="shared" si="156"/>
        <v/>
      </c>
    </row>
    <row r="9961" spans="1:1" x14ac:dyDescent="0.25">
      <c r="A9961" t="str">
        <f t="shared" si="156"/>
        <v/>
      </c>
    </row>
    <row r="9962" spans="1:1" x14ac:dyDescent="0.25">
      <c r="A9962" t="str">
        <f t="shared" si="156"/>
        <v/>
      </c>
    </row>
    <row r="9963" spans="1:1" x14ac:dyDescent="0.25">
      <c r="A9963" t="str">
        <f t="shared" si="156"/>
        <v/>
      </c>
    </row>
    <row r="9964" spans="1:1" x14ac:dyDescent="0.25">
      <c r="A9964" t="str">
        <f t="shared" si="156"/>
        <v/>
      </c>
    </row>
    <row r="9965" spans="1:1" x14ac:dyDescent="0.25">
      <c r="A9965" t="str">
        <f t="shared" si="156"/>
        <v/>
      </c>
    </row>
    <row r="9966" spans="1:1" x14ac:dyDescent="0.25">
      <c r="A9966" t="str">
        <f t="shared" si="156"/>
        <v/>
      </c>
    </row>
    <row r="9967" spans="1:1" x14ac:dyDescent="0.25">
      <c r="A9967" t="str">
        <f t="shared" si="156"/>
        <v/>
      </c>
    </row>
    <row r="9968" spans="1:1" x14ac:dyDescent="0.25">
      <c r="A9968" t="str">
        <f t="shared" si="156"/>
        <v/>
      </c>
    </row>
    <row r="9969" spans="1:1" x14ac:dyDescent="0.25">
      <c r="A9969" t="str">
        <f t="shared" si="156"/>
        <v/>
      </c>
    </row>
    <row r="9970" spans="1:1" x14ac:dyDescent="0.25">
      <c r="A9970" t="str">
        <f t="shared" si="156"/>
        <v/>
      </c>
    </row>
    <row r="9971" spans="1:1" x14ac:dyDescent="0.25">
      <c r="A9971" t="str">
        <f t="shared" si="156"/>
        <v/>
      </c>
    </row>
    <row r="9972" spans="1:1" x14ac:dyDescent="0.25">
      <c r="A9972" t="str">
        <f t="shared" si="156"/>
        <v/>
      </c>
    </row>
    <row r="9973" spans="1:1" x14ac:dyDescent="0.25">
      <c r="A9973" t="str">
        <f t="shared" ref="A9973:A10036" si="157">B9971&amp;D9971</f>
        <v/>
      </c>
    </row>
    <row r="9974" spans="1:1" x14ac:dyDescent="0.25">
      <c r="A9974" t="str">
        <f t="shared" si="157"/>
        <v/>
      </c>
    </row>
    <row r="9975" spans="1:1" x14ac:dyDescent="0.25">
      <c r="A9975" t="str">
        <f t="shared" si="157"/>
        <v/>
      </c>
    </row>
    <row r="9976" spans="1:1" x14ac:dyDescent="0.25">
      <c r="A9976" t="str">
        <f t="shared" si="157"/>
        <v/>
      </c>
    </row>
    <row r="9977" spans="1:1" x14ac:dyDescent="0.25">
      <c r="A9977" t="str">
        <f t="shared" si="157"/>
        <v/>
      </c>
    </row>
    <row r="9978" spans="1:1" x14ac:dyDescent="0.25">
      <c r="A9978" t="str">
        <f t="shared" si="157"/>
        <v/>
      </c>
    </row>
    <row r="9979" spans="1:1" x14ac:dyDescent="0.25">
      <c r="A9979" t="str">
        <f t="shared" si="157"/>
        <v/>
      </c>
    </row>
    <row r="9980" spans="1:1" x14ac:dyDescent="0.25">
      <c r="A9980" t="str">
        <f t="shared" si="157"/>
        <v/>
      </c>
    </row>
    <row r="9981" spans="1:1" x14ac:dyDescent="0.25">
      <c r="A9981" t="str">
        <f t="shared" si="157"/>
        <v/>
      </c>
    </row>
    <row r="9982" spans="1:1" x14ac:dyDescent="0.25">
      <c r="A9982" t="str">
        <f t="shared" si="157"/>
        <v/>
      </c>
    </row>
    <row r="9983" spans="1:1" x14ac:dyDescent="0.25">
      <c r="A9983" t="str">
        <f t="shared" si="157"/>
        <v/>
      </c>
    </row>
    <row r="9984" spans="1:1" x14ac:dyDescent="0.25">
      <c r="A9984" t="str">
        <f t="shared" si="157"/>
        <v/>
      </c>
    </row>
    <row r="9985" spans="1:1" x14ac:dyDescent="0.25">
      <c r="A9985" t="str">
        <f t="shared" si="157"/>
        <v/>
      </c>
    </row>
    <row r="9986" spans="1:1" x14ac:dyDescent="0.25">
      <c r="A9986" t="str">
        <f t="shared" si="157"/>
        <v/>
      </c>
    </row>
    <row r="9987" spans="1:1" x14ac:dyDescent="0.25">
      <c r="A9987" t="str">
        <f t="shared" si="157"/>
        <v/>
      </c>
    </row>
    <row r="9988" spans="1:1" x14ac:dyDescent="0.25">
      <c r="A9988" t="str">
        <f t="shared" si="157"/>
        <v/>
      </c>
    </row>
    <row r="9989" spans="1:1" x14ac:dyDescent="0.25">
      <c r="A9989" t="str">
        <f t="shared" si="157"/>
        <v/>
      </c>
    </row>
    <row r="9990" spans="1:1" x14ac:dyDescent="0.25">
      <c r="A9990" t="str">
        <f t="shared" si="157"/>
        <v/>
      </c>
    </row>
    <row r="9991" spans="1:1" x14ac:dyDescent="0.25">
      <c r="A9991" t="str">
        <f t="shared" si="157"/>
        <v/>
      </c>
    </row>
    <row r="9992" spans="1:1" x14ac:dyDescent="0.25">
      <c r="A9992" t="str">
        <f t="shared" si="157"/>
        <v/>
      </c>
    </row>
    <row r="9993" spans="1:1" x14ac:dyDescent="0.25">
      <c r="A9993" t="str">
        <f t="shared" si="157"/>
        <v/>
      </c>
    </row>
    <row r="9994" spans="1:1" x14ac:dyDescent="0.25">
      <c r="A9994" t="str">
        <f t="shared" si="157"/>
        <v/>
      </c>
    </row>
    <row r="9995" spans="1:1" x14ac:dyDescent="0.25">
      <c r="A9995" t="str">
        <f t="shared" si="157"/>
        <v/>
      </c>
    </row>
    <row r="9996" spans="1:1" x14ac:dyDescent="0.25">
      <c r="A9996" t="str">
        <f t="shared" si="157"/>
        <v/>
      </c>
    </row>
    <row r="9997" spans="1:1" x14ac:dyDescent="0.25">
      <c r="A9997" t="str">
        <f t="shared" si="157"/>
        <v/>
      </c>
    </row>
    <row r="9998" spans="1:1" x14ac:dyDescent="0.25">
      <c r="A9998" t="str">
        <f t="shared" si="157"/>
        <v/>
      </c>
    </row>
    <row r="9999" spans="1:1" x14ac:dyDescent="0.25">
      <c r="A9999" t="str">
        <f t="shared" si="157"/>
        <v/>
      </c>
    </row>
    <row r="10000" spans="1:1" x14ac:dyDescent="0.25">
      <c r="A10000" t="str">
        <f t="shared" si="157"/>
        <v/>
      </c>
    </row>
    <row r="10001" spans="1:1" x14ac:dyDescent="0.25">
      <c r="A10001" t="str">
        <f t="shared" si="157"/>
        <v/>
      </c>
    </row>
    <row r="10002" spans="1:1" x14ac:dyDescent="0.25">
      <c r="A10002" t="str">
        <f t="shared" si="157"/>
        <v/>
      </c>
    </row>
    <row r="10003" spans="1:1" x14ac:dyDescent="0.25">
      <c r="A10003" t="str">
        <f t="shared" si="157"/>
        <v/>
      </c>
    </row>
    <row r="10004" spans="1:1" x14ac:dyDescent="0.25">
      <c r="A10004" t="str">
        <f t="shared" si="157"/>
        <v/>
      </c>
    </row>
    <row r="10005" spans="1:1" x14ac:dyDescent="0.25">
      <c r="A10005" t="str">
        <f t="shared" si="157"/>
        <v/>
      </c>
    </row>
    <row r="10006" spans="1:1" x14ac:dyDescent="0.25">
      <c r="A10006" t="str">
        <f t="shared" si="157"/>
        <v/>
      </c>
    </row>
    <row r="10007" spans="1:1" x14ac:dyDescent="0.25">
      <c r="A10007" t="str">
        <f t="shared" si="157"/>
        <v/>
      </c>
    </row>
    <row r="10008" spans="1:1" x14ac:dyDescent="0.25">
      <c r="A10008" t="str">
        <f t="shared" si="157"/>
        <v/>
      </c>
    </row>
    <row r="10009" spans="1:1" x14ac:dyDescent="0.25">
      <c r="A10009" t="str">
        <f t="shared" si="157"/>
        <v/>
      </c>
    </row>
    <row r="10010" spans="1:1" x14ac:dyDescent="0.25">
      <c r="A10010" t="str">
        <f t="shared" si="157"/>
        <v/>
      </c>
    </row>
    <row r="10011" spans="1:1" x14ac:dyDescent="0.25">
      <c r="A10011" t="str">
        <f t="shared" si="157"/>
        <v/>
      </c>
    </row>
    <row r="10012" spans="1:1" x14ac:dyDescent="0.25">
      <c r="A10012" t="str">
        <f t="shared" si="157"/>
        <v/>
      </c>
    </row>
    <row r="10013" spans="1:1" x14ac:dyDescent="0.25">
      <c r="A10013" t="str">
        <f t="shared" si="157"/>
        <v/>
      </c>
    </row>
    <row r="10014" spans="1:1" x14ac:dyDescent="0.25">
      <c r="A10014" t="str">
        <f t="shared" si="157"/>
        <v/>
      </c>
    </row>
    <row r="10015" spans="1:1" x14ac:dyDescent="0.25">
      <c r="A10015" t="str">
        <f t="shared" si="157"/>
        <v/>
      </c>
    </row>
    <row r="10016" spans="1:1" x14ac:dyDescent="0.25">
      <c r="A10016" t="str">
        <f t="shared" si="157"/>
        <v/>
      </c>
    </row>
    <row r="10017" spans="1:1" x14ac:dyDescent="0.25">
      <c r="A10017" t="str">
        <f t="shared" si="157"/>
        <v/>
      </c>
    </row>
    <row r="10018" spans="1:1" x14ac:dyDescent="0.25">
      <c r="A10018" t="str">
        <f t="shared" si="157"/>
        <v/>
      </c>
    </row>
    <row r="10019" spans="1:1" x14ac:dyDescent="0.25">
      <c r="A10019" t="str">
        <f t="shared" si="157"/>
        <v/>
      </c>
    </row>
    <row r="10020" spans="1:1" x14ac:dyDescent="0.25">
      <c r="A10020" t="str">
        <f t="shared" si="157"/>
        <v/>
      </c>
    </row>
    <row r="10021" spans="1:1" x14ac:dyDescent="0.25">
      <c r="A10021" t="str">
        <f t="shared" si="157"/>
        <v/>
      </c>
    </row>
    <row r="10022" spans="1:1" x14ac:dyDescent="0.25">
      <c r="A10022" t="str">
        <f t="shared" si="157"/>
        <v/>
      </c>
    </row>
    <row r="10023" spans="1:1" x14ac:dyDescent="0.25">
      <c r="A10023" t="str">
        <f t="shared" si="157"/>
        <v/>
      </c>
    </row>
    <row r="10024" spans="1:1" x14ac:dyDescent="0.25">
      <c r="A10024" t="str">
        <f t="shared" si="157"/>
        <v/>
      </c>
    </row>
    <row r="10025" spans="1:1" x14ac:dyDescent="0.25">
      <c r="A10025" t="str">
        <f t="shared" si="157"/>
        <v/>
      </c>
    </row>
    <row r="10026" spans="1:1" x14ac:dyDescent="0.25">
      <c r="A10026" t="str">
        <f t="shared" si="157"/>
        <v/>
      </c>
    </row>
    <row r="10027" spans="1:1" x14ac:dyDescent="0.25">
      <c r="A10027" t="str">
        <f t="shared" si="157"/>
        <v/>
      </c>
    </row>
    <row r="10028" spans="1:1" x14ac:dyDescent="0.25">
      <c r="A10028" t="str">
        <f t="shared" si="157"/>
        <v/>
      </c>
    </row>
    <row r="10029" spans="1:1" x14ac:dyDescent="0.25">
      <c r="A10029" t="str">
        <f t="shared" si="157"/>
        <v/>
      </c>
    </row>
    <row r="10030" spans="1:1" x14ac:dyDescent="0.25">
      <c r="A10030" t="str">
        <f t="shared" si="157"/>
        <v/>
      </c>
    </row>
    <row r="10031" spans="1:1" x14ac:dyDescent="0.25">
      <c r="A10031" t="str">
        <f t="shared" si="157"/>
        <v/>
      </c>
    </row>
    <row r="10032" spans="1:1" x14ac:dyDescent="0.25">
      <c r="A10032" t="str">
        <f t="shared" si="157"/>
        <v/>
      </c>
    </row>
    <row r="10033" spans="1:1" x14ac:dyDescent="0.25">
      <c r="A10033" t="str">
        <f t="shared" si="157"/>
        <v/>
      </c>
    </row>
    <row r="10034" spans="1:1" x14ac:dyDescent="0.25">
      <c r="A10034" t="str">
        <f t="shared" si="157"/>
        <v/>
      </c>
    </row>
    <row r="10035" spans="1:1" x14ac:dyDescent="0.25">
      <c r="A10035" t="str">
        <f t="shared" si="157"/>
        <v/>
      </c>
    </row>
    <row r="10036" spans="1:1" x14ac:dyDescent="0.25">
      <c r="A10036" t="str">
        <f t="shared" si="157"/>
        <v/>
      </c>
    </row>
    <row r="10037" spans="1:1" x14ac:dyDescent="0.25">
      <c r="A10037" t="str">
        <f t="shared" ref="A10037:A10100" si="158">B10035&amp;D10035</f>
        <v/>
      </c>
    </row>
    <row r="10038" spans="1:1" x14ac:dyDescent="0.25">
      <c r="A10038" t="str">
        <f t="shared" si="158"/>
        <v/>
      </c>
    </row>
    <row r="10039" spans="1:1" x14ac:dyDescent="0.25">
      <c r="A10039" t="str">
        <f t="shared" si="158"/>
        <v/>
      </c>
    </row>
    <row r="10040" spans="1:1" x14ac:dyDescent="0.25">
      <c r="A10040" t="str">
        <f t="shared" si="158"/>
        <v/>
      </c>
    </row>
    <row r="10041" spans="1:1" x14ac:dyDescent="0.25">
      <c r="A10041" t="str">
        <f t="shared" si="158"/>
        <v/>
      </c>
    </row>
    <row r="10042" spans="1:1" x14ac:dyDescent="0.25">
      <c r="A10042" t="str">
        <f t="shared" si="158"/>
        <v/>
      </c>
    </row>
    <row r="10043" spans="1:1" x14ac:dyDescent="0.25">
      <c r="A10043" t="str">
        <f t="shared" si="158"/>
        <v/>
      </c>
    </row>
    <row r="10044" spans="1:1" x14ac:dyDescent="0.25">
      <c r="A10044" t="str">
        <f t="shared" si="158"/>
        <v/>
      </c>
    </row>
    <row r="10045" spans="1:1" x14ac:dyDescent="0.25">
      <c r="A10045" t="str">
        <f t="shared" si="158"/>
        <v/>
      </c>
    </row>
    <row r="10046" spans="1:1" x14ac:dyDescent="0.25">
      <c r="A10046" t="str">
        <f t="shared" si="158"/>
        <v/>
      </c>
    </row>
    <row r="10047" spans="1:1" x14ac:dyDescent="0.25">
      <c r="A10047" t="str">
        <f t="shared" si="158"/>
        <v/>
      </c>
    </row>
    <row r="10048" spans="1:1" x14ac:dyDescent="0.25">
      <c r="A10048" t="str">
        <f t="shared" si="158"/>
        <v/>
      </c>
    </row>
    <row r="10049" spans="1:1" x14ac:dyDescent="0.25">
      <c r="A10049" t="str">
        <f t="shared" si="158"/>
        <v/>
      </c>
    </row>
    <row r="10050" spans="1:1" x14ac:dyDescent="0.25">
      <c r="A10050" t="str">
        <f t="shared" si="158"/>
        <v/>
      </c>
    </row>
    <row r="10051" spans="1:1" x14ac:dyDescent="0.25">
      <c r="A10051" t="str">
        <f t="shared" si="158"/>
        <v/>
      </c>
    </row>
    <row r="10052" spans="1:1" x14ac:dyDescent="0.25">
      <c r="A10052" t="str">
        <f t="shared" si="158"/>
        <v/>
      </c>
    </row>
    <row r="10053" spans="1:1" x14ac:dyDescent="0.25">
      <c r="A10053" t="str">
        <f t="shared" si="158"/>
        <v/>
      </c>
    </row>
    <row r="10054" spans="1:1" x14ac:dyDescent="0.25">
      <c r="A10054" t="str">
        <f t="shared" si="158"/>
        <v/>
      </c>
    </row>
    <row r="10055" spans="1:1" x14ac:dyDescent="0.25">
      <c r="A10055" t="str">
        <f t="shared" si="158"/>
        <v/>
      </c>
    </row>
    <row r="10056" spans="1:1" x14ac:dyDescent="0.25">
      <c r="A10056" t="str">
        <f t="shared" si="158"/>
        <v/>
      </c>
    </row>
    <row r="10057" spans="1:1" x14ac:dyDescent="0.25">
      <c r="A10057" t="str">
        <f t="shared" si="158"/>
        <v/>
      </c>
    </row>
    <row r="10058" spans="1:1" x14ac:dyDescent="0.25">
      <c r="A10058" t="str">
        <f t="shared" si="158"/>
        <v/>
      </c>
    </row>
    <row r="10059" spans="1:1" x14ac:dyDescent="0.25">
      <c r="A10059" t="str">
        <f t="shared" si="158"/>
        <v/>
      </c>
    </row>
    <row r="10060" spans="1:1" x14ac:dyDescent="0.25">
      <c r="A10060" t="str">
        <f t="shared" si="158"/>
        <v/>
      </c>
    </row>
    <row r="10061" spans="1:1" x14ac:dyDescent="0.25">
      <c r="A10061" t="str">
        <f t="shared" si="158"/>
        <v/>
      </c>
    </row>
    <row r="10062" spans="1:1" x14ac:dyDescent="0.25">
      <c r="A10062" t="str">
        <f t="shared" si="158"/>
        <v/>
      </c>
    </row>
    <row r="10063" spans="1:1" x14ac:dyDescent="0.25">
      <c r="A10063" t="str">
        <f t="shared" si="158"/>
        <v/>
      </c>
    </row>
    <row r="10064" spans="1:1" x14ac:dyDescent="0.25">
      <c r="A10064" t="str">
        <f t="shared" si="158"/>
        <v/>
      </c>
    </row>
    <row r="10065" spans="1:1" x14ac:dyDescent="0.25">
      <c r="A10065" t="str">
        <f t="shared" si="158"/>
        <v/>
      </c>
    </row>
    <row r="10066" spans="1:1" x14ac:dyDescent="0.25">
      <c r="A10066" t="str">
        <f t="shared" si="158"/>
        <v/>
      </c>
    </row>
    <row r="10067" spans="1:1" x14ac:dyDescent="0.25">
      <c r="A10067" t="str">
        <f t="shared" si="158"/>
        <v/>
      </c>
    </row>
    <row r="10068" spans="1:1" x14ac:dyDescent="0.25">
      <c r="A10068" t="str">
        <f t="shared" si="158"/>
        <v/>
      </c>
    </row>
    <row r="10069" spans="1:1" x14ac:dyDescent="0.25">
      <c r="A10069" t="str">
        <f t="shared" si="158"/>
        <v/>
      </c>
    </row>
    <row r="10070" spans="1:1" x14ac:dyDescent="0.25">
      <c r="A10070" t="str">
        <f t="shared" si="158"/>
        <v/>
      </c>
    </row>
    <row r="10071" spans="1:1" x14ac:dyDescent="0.25">
      <c r="A10071" t="str">
        <f t="shared" si="158"/>
        <v/>
      </c>
    </row>
    <row r="10072" spans="1:1" x14ac:dyDescent="0.25">
      <c r="A10072" t="str">
        <f t="shared" si="158"/>
        <v/>
      </c>
    </row>
    <row r="10073" spans="1:1" x14ac:dyDescent="0.25">
      <c r="A10073" t="str">
        <f t="shared" si="158"/>
        <v/>
      </c>
    </row>
    <row r="10074" spans="1:1" x14ac:dyDescent="0.25">
      <c r="A10074" t="str">
        <f t="shared" si="158"/>
        <v/>
      </c>
    </row>
    <row r="10075" spans="1:1" x14ac:dyDescent="0.25">
      <c r="A10075" t="str">
        <f t="shared" si="158"/>
        <v/>
      </c>
    </row>
    <row r="10076" spans="1:1" x14ac:dyDescent="0.25">
      <c r="A10076" t="str">
        <f t="shared" si="158"/>
        <v/>
      </c>
    </row>
    <row r="10077" spans="1:1" x14ac:dyDescent="0.25">
      <c r="A10077" t="str">
        <f t="shared" si="158"/>
        <v/>
      </c>
    </row>
    <row r="10078" spans="1:1" x14ac:dyDescent="0.25">
      <c r="A10078" t="str">
        <f t="shared" si="158"/>
        <v/>
      </c>
    </row>
    <row r="10079" spans="1:1" x14ac:dyDescent="0.25">
      <c r="A10079" t="str">
        <f t="shared" si="158"/>
        <v/>
      </c>
    </row>
    <row r="10080" spans="1:1" x14ac:dyDescent="0.25">
      <c r="A10080" t="str">
        <f t="shared" si="158"/>
        <v/>
      </c>
    </row>
    <row r="10081" spans="1:1" x14ac:dyDescent="0.25">
      <c r="A10081" t="str">
        <f t="shared" si="158"/>
        <v/>
      </c>
    </row>
    <row r="10082" spans="1:1" x14ac:dyDescent="0.25">
      <c r="A10082" t="str">
        <f t="shared" si="158"/>
        <v/>
      </c>
    </row>
    <row r="10083" spans="1:1" x14ac:dyDescent="0.25">
      <c r="A10083" t="str">
        <f t="shared" si="158"/>
        <v/>
      </c>
    </row>
    <row r="10084" spans="1:1" x14ac:dyDescent="0.25">
      <c r="A10084" t="str">
        <f t="shared" si="158"/>
        <v/>
      </c>
    </row>
    <row r="10085" spans="1:1" x14ac:dyDescent="0.25">
      <c r="A10085" t="str">
        <f t="shared" si="158"/>
        <v/>
      </c>
    </row>
    <row r="10086" spans="1:1" x14ac:dyDescent="0.25">
      <c r="A10086" t="str">
        <f t="shared" si="158"/>
        <v/>
      </c>
    </row>
    <row r="10087" spans="1:1" x14ac:dyDescent="0.25">
      <c r="A10087" t="str">
        <f t="shared" si="158"/>
        <v/>
      </c>
    </row>
    <row r="10088" spans="1:1" x14ac:dyDescent="0.25">
      <c r="A10088" t="str">
        <f t="shared" si="158"/>
        <v/>
      </c>
    </row>
    <row r="10089" spans="1:1" x14ac:dyDescent="0.25">
      <c r="A10089" t="str">
        <f t="shared" si="158"/>
        <v/>
      </c>
    </row>
    <row r="10090" spans="1:1" x14ac:dyDescent="0.25">
      <c r="A10090" t="str">
        <f t="shared" si="158"/>
        <v/>
      </c>
    </row>
    <row r="10091" spans="1:1" x14ac:dyDescent="0.25">
      <c r="A10091" t="str">
        <f t="shared" si="158"/>
        <v/>
      </c>
    </row>
    <row r="10092" spans="1:1" x14ac:dyDescent="0.25">
      <c r="A10092" t="str">
        <f t="shared" si="158"/>
        <v/>
      </c>
    </row>
    <row r="10093" spans="1:1" x14ac:dyDescent="0.25">
      <c r="A10093" t="str">
        <f t="shared" si="158"/>
        <v/>
      </c>
    </row>
    <row r="10094" spans="1:1" x14ac:dyDescent="0.25">
      <c r="A10094" t="str">
        <f t="shared" si="158"/>
        <v/>
      </c>
    </row>
    <row r="10095" spans="1:1" x14ac:dyDescent="0.25">
      <c r="A10095" t="str">
        <f t="shared" si="158"/>
        <v/>
      </c>
    </row>
    <row r="10096" spans="1:1" x14ac:dyDescent="0.25">
      <c r="A10096" t="str">
        <f t="shared" si="158"/>
        <v/>
      </c>
    </row>
    <row r="10097" spans="1:1" x14ac:dyDescent="0.25">
      <c r="A10097" t="str">
        <f t="shared" si="158"/>
        <v/>
      </c>
    </row>
    <row r="10098" spans="1:1" x14ac:dyDescent="0.25">
      <c r="A10098" t="str">
        <f t="shared" si="158"/>
        <v/>
      </c>
    </row>
    <row r="10099" spans="1:1" x14ac:dyDescent="0.25">
      <c r="A10099" t="str">
        <f t="shared" si="158"/>
        <v/>
      </c>
    </row>
    <row r="10100" spans="1:1" x14ac:dyDescent="0.25">
      <c r="A10100" t="str">
        <f t="shared" si="158"/>
        <v/>
      </c>
    </row>
    <row r="10101" spans="1:1" x14ac:dyDescent="0.25">
      <c r="A10101" t="str">
        <f t="shared" ref="A10101:A10164" si="159">B10099&amp;D10099</f>
        <v/>
      </c>
    </row>
    <row r="10102" spans="1:1" x14ac:dyDescent="0.25">
      <c r="A10102" t="str">
        <f t="shared" si="159"/>
        <v/>
      </c>
    </row>
    <row r="10103" spans="1:1" x14ac:dyDescent="0.25">
      <c r="A10103" t="str">
        <f t="shared" si="159"/>
        <v/>
      </c>
    </row>
    <row r="10104" spans="1:1" x14ac:dyDescent="0.25">
      <c r="A10104" t="str">
        <f t="shared" si="159"/>
        <v/>
      </c>
    </row>
    <row r="10105" spans="1:1" x14ac:dyDescent="0.25">
      <c r="A10105" t="str">
        <f t="shared" si="159"/>
        <v/>
      </c>
    </row>
    <row r="10106" spans="1:1" x14ac:dyDescent="0.25">
      <c r="A10106" t="str">
        <f t="shared" si="159"/>
        <v/>
      </c>
    </row>
    <row r="10107" spans="1:1" x14ac:dyDescent="0.25">
      <c r="A10107" t="str">
        <f t="shared" si="159"/>
        <v/>
      </c>
    </row>
    <row r="10108" spans="1:1" x14ac:dyDescent="0.25">
      <c r="A10108" t="str">
        <f t="shared" si="159"/>
        <v/>
      </c>
    </row>
    <row r="10109" spans="1:1" x14ac:dyDescent="0.25">
      <c r="A10109" t="str">
        <f t="shared" si="159"/>
        <v/>
      </c>
    </row>
    <row r="10110" spans="1:1" x14ac:dyDescent="0.25">
      <c r="A10110" t="str">
        <f t="shared" si="159"/>
        <v/>
      </c>
    </row>
    <row r="10111" spans="1:1" x14ac:dyDescent="0.25">
      <c r="A10111" t="str">
        <f t="shared" si="159"/>
        <v/>
      </c>
    </row>
    <row r="10112" spans="1:1" x14ac:dyDescent="0.25">
      <c r="A10112" t="str">
        <f t="shared" si="159"/>
        <v/>
      </c>
    </row>
    <row r="10113" spans="1:1" x14ac:dyDescent="0.25">
      <c r="A10113" t="str">
        <f t="shared" si="159"/>
        <v/>
      </c>
    </row>
    <row r="10114" spans="1:1" x14ac:dyDescent="0.25">
      <c r="A10114" t="str">
        <f t="shared" si="159"/>
        <v/>
      </c>
    </row>
    <row r="10115" spans="1:1" x14ac:dyDescent="0.25">
      <c r="A10115" t="str">
        <f t="shared" si="159"/>
        <v/>
      </c>
    </row>
    <row r="10116" spans="1:1" x14ac:dyDescent="0.25">
      <c r="A10116" t="str">
        <f t="shared" si="159"/>
        <v/>
      </c>
    </row>
    <row r="10117" spans="1:1" x14ac:dyDescent="0.25">
      <c r="A10117" t="str">
        <f t="shared" si="159"/>
        <v/>
      </c>
    </row>
    <row r="10118" spans="1:1" x14ac:dyDescent="0.25">
      <c r="A10118" t="str">
        <f t="shared" si="159"/>
        <v/>
      </c>
    </row>
    <row r="10119" spans="1:1" x14ac:dyDescent="0.25">
      <c r="A10119" t="str">
        <f t="shared" si="159"/>
        <v/>
      </c>
    </row>
    <row r="10120" spans="1:1" x14ac:dyDescent="0.25">
      <c r="A10120" t="str">
        <f t="shared" si="159"/>
        <v/>
      </c>
    </row>
    <row r="10121" spans="1:1" x14ac:dyDescent="0.25">
      <c r="A10121" t="str">
        <f t="shared" si="159"/>
        <v/>
      </c>
    </row>
    <row r="10122" spans="1:1" x14ac:dyDescent="0.25">
      <c r="A10122" t="str">
        <f t="shared" si="159"/>
        <v/>
      </c>
    </row>
    <row r="10123" spans="1:1" x14ac:dyDescent="0.25">
      <c r="A10123" t="str">
        <f t="shared" si="159"/>
        <v/>
      </c>
    </row>
    <row r="10124" spans="1:1" x14ac:dyDescent="0.25">
      <c r="A10124" t="str">
        <f t="shared" si="159"/>
        <v/>
      </c>
    </row>
    <row r="10125" spans="1:1" x14ac:dyDescent="0.25">
      <c r="A10125" t="str">
        <f t="shared" si="159"/>
        <v/>
      </c>
    </row>
    <row r="10126" spans="1:1" x14ac:dyDescent="0.25">
      <c r="A10126" t="str">
        <f t="shared" si="159"/>
        <v/>
      </c>
    </row>
    <row r="10127" spans="1:1" x14ac:dyDescent="0.25">
      <c r="A10127" t="str">
        <f t="shared" si="159"/>
        <v/>
      </c>
    </row>
    <row r="10128" spans="1:1" x14ac:dyDescent="0.25">
      <c r="A10128" t="str">
        <f t="shared" si="159"/>
        <v/>
      </c>
    </row>
    <row r="10129" spans="1:1" x14ac:dyDescent="0.25">
      <c r="A10129" t="str">
        <f t="shared" si="159"/>
        <v/>
      </c>
    </row>
    <row r="10130" spans="1:1" x14ac:dyDescent="0.25">
      <c r="A10130" t="str">
        <f t="shared" si="159"/>
        <v/>
      </c>
    </row>
    <row r="10131" spans="1:1" x14ac:dyDescent="0.25">
      <c r="A10131" t="str">
        <f t="shared" si="159"/>
        <v/>
      </c>
    </row>
    <row r="10132" spans="1:1" x14ac:dyDescent="0.25">
      <c r="A10132" t="str">
        <f t="shared" si="159"/>
        <v/>
      </c>
    </row>
    <row r="10133" spans="1:1" x14ac:dyDescent="0.25">
      <c r="A10133" t="str">
        <f t="shared" si="159"/>
        <v/>
      </c>
    </row>
    <row r="10134" spans="1:1" x14ac:dyDescent="0.25">
      <c r="A10134" t="str">
        <f t="shared" si="159"/>
        <v/>
      </c>
    </row>
    <row r="10135" spans="1:1" x14ac:dyDescent="0.25">
      <c r="A10135" t="str">
        <f t="shared" si="159"/>
        <v/>
      </c>
    </row>
    <row r="10136" spans="1:1" x14ac:dyDescent="0.25">
      <c r="A10136" t="str">
        <f t="shared" si="159"/>
        <v/>
      </c>
    </row>
    <row r="10137" spans="1:1" x14ac:dyDescent="0.25">
      <c r="A10137" t="str">
        <f t="shared" si="159"/>
        <v/>
      </c>
    </row>
    <row r="10138" spans="1:1" x14ac:dyDescent="0.25">
      <c r="A10138" t="str">
        <f t="shared" si="159"/>
        <v/>
      </c>
    </row>
    <row r="10139" spans="1:1" x14ac:dyDescent="0.25">
      <c r="A10139" t="str">
        <f t="shared" si="159"/>
        <v/>
      </c>
    </row>
    <row r="10140" spans="1:1" x14ac:dyDescent="0.25">
      <c r="A10140" t="str">
        <f t="shared" si="159"/>
        <v/>
      </c>
    </row>
    <row r="10141" spans="1:1" x14ac:dyDescent="0.25">
      <c r="A10141" t="str">
        <f t="shared" si="159"/>
        <v/>
      </c>
    </row>
    <row r="10142" spans="1:1" x14ac:dyDescent="0.25">
      <c r="A10142" t="str">
        <f t="shared" si="159"/>
        <v/>
      </c>
    </row>
    <row r="10143" spans="1:1" x14ac:dyDescent="0.25">
      <c r="A10143" t="str">
        <f t="shared" si="159"/>
        <v/>
      </c>
    </row>
    <row r="10144" spans="1:1" x14ac:dyDescent="0.25">
      <c r="A10144" t="str">
        <f t="shared" si="159"/>
        <v/>
      </c>
    </row>
    <row r="10145" spans="1:1" x14ac:dyDescent="0.25">
      <c r="A10145" t="str">
        <f t="shared" si="159"/>
        <v/>
      </c>
    </row>
    <row r="10146" spans="1:1" x14ac:dyDescent="0.25">
      <c r="A10146" t="str">
        <f t="shared" si="159"/>
        <v/>
      </c>
    </row>
    <row r="10147" spans="1:1" x14ac:dyDescent="0.25">
      <c r="A10147" t="str">
        <f t="shared" si="159"/>
        <v/>
      </c>
    </row>
    <row r="10148" spans="1:1" x14ac:dyDescent="0.25">
      <c r="A10148" t="str">
        <f t="shared" si="159"/>
        <v/>
      </c>
    </row>
    <row r="10149" spans="1:1" x14ac:dyDescent="0.25">
      <c r="A10149" t="str">
        <f t="shared" si="159"/>
        <v/>
      </c>
    </row>
    <row r="10150" spans="1:1" x14ac:dyDescent="0.25">
      <c r="A10150" t="str">
        <f t="shared" si="159"/>
        <v/>
      </c>
    </row>
    <row r="10151" spans="1:1" x14ac:dyDescent="0.25">
      <c r="A10151" t="str">
        <f t="shared" si="159"/>
        <v/>
      </c>
    </row>
    <row r="10152" spans="1:1" x14ac:dyDescent="0.25">
      <c r="A10152" t="str">
        <f t="shared" si="159"/>
        <v/>
      </c>
    </row>
    <row r="10153" spans="1:1" x14ac:dyDescent="0.25">
      <c r="A10153" t="str">
        <f t="shared" si="159"/>
        <v/>
      </c>
    </row>
    <row r="10154" spans="1:1" x14ac:dyDescent="0.25">
      <c r="A10154" t="str">
        <f t="shared" si="159"/>
        <v/>
      </c>
    </row>
    <row r="10155" spans="1:1" x14ac:dyDescent="0.25">
      <c r="A10155" t="str">
        <f t="shared" si="159"/>
        <v/>
      </c>
    </row>
    <row r="10156" spans="1:1" x14ac:dyDescent="0.25">
      <c r="A10156" t="str">
        <f t="shared" si="159"/>
        <v/>
      </c>
    </row>
    <row r="10157" spans="1:1" x14ac:dyDescent="0.25">
      <c r="A10157" t="str">
        <f t="shared" si="159"/>
        <v/>
      </c>
    </row>
    <row r="10158" spans="1:1" x14ac:dyDescent="0.25">
      <c r="A10158" t="str">
        <f t="shared" si="159"/>
        <v/>
      </c>
    </row>
    <row r="10159" spans="1:1" x14ac:dyDescent="0.25">
      <c r="A10159" t="str">
        <f t="shared" si="159"/>
        <v/>
      </c>
    </row>
    <row r="10160" spans="1:1" x14ac:dyDescent="0.25">
      <c r="A10160" t="str">
        <f t="shared" si="159"/>
        <v/>
      </c>
    </row>
    <row r="10161" spans="1:1" x14ac:dyDescent="0.25">
      <c r="A10161" t="str">
        <f t="shared" si="159"/>
        <v/>
      </c>
    </row>
    <row r="10162" spans="1:1" x14ac:dyDescent="0.25">
      <c r="A10162" t="str">
        <f t="shared" si="159"/>
        <v/>
      </c>
    </row>
    <row r="10163" spans="1:1" x14ac:dyDescent="0.25">
      <c r="A10163" t="str">
        <f t="shared" si="159"/>
        <v/>
      </c>
    </row>
    <row r="10164" spans="1:1" x14ac:dyDescent="0.25">
      <c r="A10164" t="str">
        <f t="shared" si="159"/>
        <v/>
      </c>
    </row>
    <row r="10165" spans="1:1" x14ac:dyDescent="0.25">
      <c r="A10165" t="str">
        <f t="shared" ref="A10165:A10228" si="160">B10163&amp;D10163</f>
        <v/>
      </c>
    </row>
    <row r="10166" spans="1:1" x14ac:dyDescent="0.25">
      <c r="A10166" t="str">
        <f t="shared" si="160"/>
        <v/>
      </c>
    </row>
    <row r="10167" spans="1:1" x14ac:dyDescent="0.25">
      <c r="A10167" t="str">
        <f t="shared" si="160"/>
        <v/>
      </c>
    </row>
    <row r="10168" spans="1:1" x14ac:dyDescent="0.25">
      <c r="A10168" t="str">
        <f t="shared" si="160"/>
        <v/>
      </c>
    </row>
    <row r="10169" spans="1:1" x14ac:dyDescent="0.25">
      <c r="A10169" t="str">
        <f t="shared" si="160"/>
        <v/>
      </c>
    </row>
    <row r="10170" spans="1:1" x14ac:dyDescent="0.25">
      <c r="A10170" t="str">
        <f t="shared" si="160"/>
        <v/>
      </c>
    </row>
    <row r="10171" spans="1:1" x14ac:dyDescent="0.25">
      <c r="A10171" t="str">
        <f t="shared" si="160"/>
        <v/>
      </c>
    </row>
    <row r="10172" spans="1:1" x14ac:dyDescent="0.25">
      <c r="A10172" t="str">
        <f t="shared" si="160"/>
        <v/>
      </c>
    </row>
    <row r="10173" spans="1:1" x14ac:dyDescent="0.25">
      <c r="A10173" t="str">
        <f t="shared" si="160"/>
        <v/>
      </c>
    </row>
    <row r="10174" spans="1:1" x14ac:dyDescent="0.25">
      <c r="A10174" t="str">
        <f t="shared" si="160"/>
        <v/>
      </c>
    </row>
    <row r="10175" spans="1:1" x14ac:dyDescent="0.25">
      <c r="A10175" t="str">
        <f t="shared" si="160"/>
        <v/>
      </c>
    </row>
    <row r="10176" spans="1:1" x14ac:dyDescent="0.25">
      <c r="A10176" t="str">
        <f t="shared" si="160"/>
        <v/>
      </c>
    </row>
    <row r="10177" spans="1:1" x14ac:dyDescent="0.25">
      <c r="A10177" t="str">
        <f t="shared" si="160"/>
        <v/>
      </c>
    </row>
    <row r="10178" spans="1:1" x14ac:dyDescent="0.25">
      <c r="A10178" t="str">
        <f t="shared" si="160"/>
        <v/>
      </c>
    </row>
    <row r="10179" spans="1:1" x14ac:dyDescent="0.25">
      <c r="A10179" t="str">
        <f t="shared" si="160"/>
        <v/>
      </c>
    </row>
    <row r="10180" spans="1:1" x14ac:dyDescent="0.25">
      <c r="A10180" t="str">
        <f t="shared" si="160"/>
        <v/>
      </c>
    </row>
    <row r="10181" spans="1:1" x14ac:dyDescent="0.25">
      <c r="A10181" t="str">
        <f t="shared" si="160"/>
        <v/>
      </c>
    </row>
    <row r="10182" spans="1:1" x14ac:dyDescent="0.25">
      <c r="A10182" t="str">
        <f t="shared" si="160"/>
        <v/>
      </c>
    </row>
    <row r="10183" spans="1:1" x14ac:dyDescent="0.25">
      <c r="A10183" t="str">
        <f t="shared" si="160"/>
        <v/>
      </c>
    </row>
    <row r="10184" spans="1:1" x14ac:dyDescent="0.25">
      <c r="A10184" t="str">
        <f t="shared" si="160"/>
        <v/>
      </c>
    </row>
    <row r="10185" spans="1:1" x14ac:dyDescent="0.25">
      <c r="A10185" t="str">
        <f t="shared" si="160"/>
        <v/>
      </c>
    </row>
    <row r="10186" spans="1:1" x14ac:dyDescent="0.25">
      <c r="A10186" t="str">
        <f t="shared" si="160"/>
        <v/>
      </c>
    </row>
    <row r="10187" spans="1:1" x14ac:dyDescent="0.25">
      <c r="A10187" t="str">
        <f t="shared" si="160"/>
        <v/>
      </c>
    </row>
    <row r="10188" spans="1:1" x14ac:dyDescent="0.25">
      <c r="A10188" t="str">
        <f t="shared" si="160"/>
        <v/>
      </c>
    </row>
    <row r="10189" spans="1:1" x14ac:dyDescent="0.25">
      <c r="A10189" t="str">
        <f t="shared" si="160"/>
        <v/>
      </c>
    </row>
    <row r="10190" spans="1:1" x14ac:dyDescent="0.25">
      <c r="A10190" t="str">
        <f t="shared" si="160"/>
        <v/>
      </c>
    </row>
    <row r="10191" spans="1:1" x14ac:dyDescent="0.25">
      <c r="A10191" t="str">
        <f t="shared" si="160"/>
        <v/>
      </c>
    </row>
    <row r="10192" spans="1:1" x14ac:dyDescent="0.25">
      <c r="A10192" t="str">
        <f t="shared" si="160"/>
        <v/>
      </c>
    </row>
    <row r="10193" spans="1:1" x14ac:dyDescent="0.25">
      <c r="A10193" t="str">
        <f t="shared" si="160"/>
        <v/>
      </c>
    </row>
    <row r="10194" spans="1:1" x14ac:dyDescent="0.25">
      <c r="A10194" t="str">
        <f t="shared" si="160"/>
        <v/>
      </c>
    </row>
    <row r="10195" spans="1:1" x14ac:dyDescent="0.25">
      <c r="A10195" t="str">
        <f t="shared" si="160"/>
        <v/>
      </c>
    </row>
    <row r="10196" spans="1:1" x14ac:dyDescent="0.25">
      <c r="A10196" t="str">
        <f t="shared" si="160"/>
        <v/>
      </c>
    </row>
    <row r="10197" spans="1:1" x14ac:dyDescent="0.25">
      <c r="A10197" t="str">
        <f t="shared" si="160"/>
        <v/>
      </c>
    </row>
    <row r="10198" spans="1:1" x14ac:dyDescent="0.25">
      <c r="A10198" t="str">
        <f t="shared" si="160"/>
        <v/>
      </c>
    </row>
    <row r="10199" spans="1:1" x14ac:dyDescent="0.25">
      <c r="A10199" t="str">
        <f t="shared" si="160"/>
        <v/>
      </c>
    </row>
    <row r="10200" spans="1:1" x14ac:dyDescent="0.25">
      <c r="A10200" t="str">
        <f t="shared" si="160"/>
        <v/>
      </c>
    </row>
    <row r="10201" spans="1:1" x14ac:dyDescent="0.25">
      <c r="A10201" t="str">
        <f t="shared" si="160"/>
        <v/>
      </c>
    </row>
    <row r="10202" spans="1:1" x14ac:dyDescent="0.25">
      <c r="A10202" t="str">
        <f t="shared" si="160"/>
        <v/>
      </c>
    </row>
    <row r="10203" spans="1:1" x14ac:dyDescent="0.25">
      <c r="A10203" t="str">
        <f t="shared" si="160"/>
        <v/>
      </c>
    </row>
    <row r="10204" spans="1:1" x14ac:dyDescent="0.25">
      <c r="A10204" t="str">
        <f t="shared" si="160"/>
        <v/>
      </c>
    </row>
    <row r="10205" spans="1:1" x14ac:dyDescent="0.25">
      <c r="A10205" t="str">
        <f t="shared" si="160"/>
        <v/>
      </c>
    </row>
    <row r="10206" spans="1:1" x14ac:dyDescent="0.25">
      <c r="A10206" t="str">
        <f t="shared" si="160"/>
        <v/>
      </c>
    </row>
    <row r="10207" spans="1:1" x14ac:dyDescent="0.25">
      <c r="A10207" t="str">
        <f t="shared" si="160"/>
        <v/>
      </c>
    </row>
    <row r="10208" spans="1:1" x14ac:dyDescent="0.25">
      <c r="A10208" t="str">
        <f t="shared" si="160"/>
        <v/>
      </c>
    </row>
    <row r="10209" spans="1:1" x14ac:dyDescent="0.25">
      <c r="A10209" t="str">
        <f t="shared" si="160"/>
        <v/>
      </c>
    </row>
    <row r="10210" spans="1:1" x14ac:dyDescent="0.25">
      <c r="A10210" t="str">
        <f t="shared" si="160"/>
        <v/>
      </c>
    </row>
    <row r="10211" spans="1:1" x14ac:dyDescent="0.25">
      <c r="A10211" t="str">
        <f t="shared" si="160"/>
        <v/>
      </c>
    </row>
    <row r="10212" spans="1:1" x14ac:dyDescent="0.25">
      <c r="A10212" t="str">
        <f t="shared" si="160"/>
        <v/>
      </c>
    </row>
    <row r="10213" spans="1:1" x14ac:dyDescent="0.25">
      <c r="A10213" t="str">
        <f t="shared" si="160"/>
        <v/>
      </c>
    </row>
    <row r="10214" spans="1:1" x14ac:dyDescent="0.25">
      <c r="A10214" t="str">
        <f t="shared" si="160"/>
        <v/>
      </c>
    </row>
    <row r="10215" spans="1:1" x14ac:dyDescent="0.25">
      <c r="A10215" t="str">
        <f t="shared" si="160"/>
        <v/>
      </c>
    </row>
    <row r="10216" spans="1:1" x14ac:dyDescent="0.25">
      <c r="A10216" t="str">
        <f t="shared" si="160"/>
        <v/>
      </c>
    </row>
    <row r="10217" spans="1:1" x14ac:dyDescent="0.25">
      <c r="A10217" t="str">
        <f t="shared" si="160"/>
        <v/>
      </c>
    </row>
    <row r="10218" spans="1:1" x14ac:dyDescent="0.25">
      <c r="A10218" t="str">
        <f t="shared" si="160"/>
        <v/>
      </c>
    </row>
    <row r="10219" spans="1:1" x14ac:dyDescent="0.25">
      <c r="A10219" t="str">
        <f t="shared" si="160"/>
        <v/>
      </c>
    </row>
    <row r="10220" spans="1:1" x14ac:dyDescent="0.25">
      <c r="A10220" t="str">
        <f t="shared" si="160"/>
        <v/>
      </c>
    </row>
    <row r="10221" spans="1:1" x14ac:dyDescent="0.25">
      <c r="A10221" t="str">
        <f t="shared" si="160"/>
        <v/>
      </c>
    </row>
    <row r="10222" spans="1:1" x14ac:dyDescent="0.25">
      <c r="A10222" t="str">
        <f t="shared" si="160"/>
        <v/>
      </c>
    </row>
    <row r="10223" spans="1:1" x14ac:dyDescent="0.25">
      <c r="A10223" t="str">
        <f t="shared" si="160"/>
        <v/>
      </c>
    </row>
    <row r="10224" spans="1:1" x14ac:dyDescent="0.25">
      <c r="A10224" t="str">
        <f t="shared" si="160"/>
        <v/>
      </c>
    </row>
    <row r="10225" spans="1:1" x14ac:dyDescent="0.25">
      <c r="A10225" t="str">
        <f t="shared" si="160"/>
        <v/>
      </c>
    </row>
    <row r="10226" spans="1:1" x14ac:dyDescent="0.25">
      <c r="A10226" t="str">
        <f t="shared" si="160"/>
        <v/>
      </c>
    </row>
    <row r="10227" spans="1:1" x14ac:dyDescent="0.25">
      <c r="A10227" t="str">
        <f t="shared" si="160"/>
        <v/>
      </c>
    </row>
    <row r="10228" spans="1:1" x14ac:dyDescent="0.25">
      <c r="A10228" t="str">
        <f t="shared" si="160"/>
        <v/>
      </c>
    </row>
    <row r="10229" spans="1:1" x14ac:dyDescent="0.25">
      <c r="A10229" t="str">
        <f t="shared" ref="A10229:A10292" si="161">B10227&amp;D10227</f>
        <v/>
      </c>
    </row>
    <row r="10230" spans="1:1" x14ac:dyDescent="0.25">
      <c r="A10230" t="str">
        <f t="shared" si="161"/>
        <v/>
      </c>
    </row>
    <row r="10231" spans="1:1" x14ac:dyDescent="0.25">
      <c r="A10231" t="str">
        <f t="shared" si="161"/>
        <v/>
      </c>
    </row>
    <row r="10232" spans="1:1" x14ac:dyDescent="0.25">
      <c r="A10232" t="str">
        <f t="shared" si="161"/>
        <v/>
      </c>
    </row>
    <row r="10233" spans="1:1" x14ac:dyDescent="0.25">
      <c r="A10233" t="str">
        <f t="shared" si="161"/>
        <v/>
      </c>
    </row>
    <row r="10234" spans="1:1" x14ac:dyDescent="0.25">
      <c r="A10234" t="str">
        <f t="shared" si="161"/>
        <v/>
      </c>
    </row>
    <row r="10235" spans="1:1" x14ac:dyDescent="0.25">
      <c r="A10235" t="str">
        <f t="shared" si="161"/>
        <v/>
      </c>
    </row>
    <row r="10236" spans="1:1" x14ac:dyDescent="0.25">
      <c r="A10236" t="str">
        <f t="shared" si="161"/>
        <v/>
      </c>
    </row>
    <row r="10237" spans="1:1" x14ac:dyDescent="0.25">
      <c r="A10237" t="str">
        <f t="shared" si="161"/>
        <v/>
      </c>
    </row>
    <row r="10238" spans="1:1" x14ac:dyDescent="0.25">
      <c r="A10238" t="str">
        <f t="shared" si="161"/>
        <v/>
      </c>
    </row>
    <row r="10239" spans="1:1" x14ac:dyDescent="0.25">
      <c r="A10239" t="str">
        <f t="shared" si="161"/>
        <v/>
      </c>
    </row>
    <row r="10240" spans="1:1" x14ac:dyDescent="0.25">
      <c r="A10240" t="str">
        <f t="shared" si="161"/>
        <v/>
      </c>
    </row>
    <row r="10241" spans="1:1" x14ac:dyDescent="0.25">
      <c r="A10241" t="str">
        <f t="shared" si="161"/>
        <v/>
      </c>
    </row>
    <row r="10242" spans="1:1" x14ac:dyDescent="0.25">
      <c r="A10242" t="str">
        <f t="shared" si="161"/>
        <v/>
      </c>
    </row>
    <row r="10243" spans="1:1" x14ac:dyDescent="0.25">
      <c r="A10243" t="str">
        <f t="shared" si="161"/>
        <v/>
      </c>
    </row>
    <row r="10244" spans="1:1" x14ac:dyDescent="0.25">
      <c r="A10244" t="str">
        <f t="shared" si="161"/>
        <v/>
      </c>
    </row>
    <row r="10245" spans="1:1" x14ac:dyDescent="0.25">
      <c r="A10245" t="str">
        <f t="shared" si="161"/>
        <v/>
      </c>
    </row>
    <row r="10246" spans="1:1" x14ac:dyDescent="0.25">
      <c r="A10246" t="str">
        <f t="shared" si="161"/>
        <v/>
      </c>
    </row>
    <row r="10247" spans="1:1" x14ac:dyDescent="0.25">
      <c r="A10247" t="str">
        <f t="shared" si="161"/>
        <v/>
      </c>
    </row>
    <row r="10248" spans="1:1" x14ac:dyDescent="0.25">
      <c r="A10248" t="str">
        <f t="shared" si="161"/>
        <v/>
      </c>
    </row>
    <row r="10249" spans="1:1" x14ac:dyDescent="0.25">
      <c r="A10249" t="str">
        <f t="shared" si="161"/>
        <v/>
      </c>
    </row>
    <row r="10250" spans="1:1" x14ac:dyDescent="0.25">
      <c r="A10250" t="str">
        <f t="shared" si="161"/>
        <v/>
      </c>
    </row>
    <row r="10251" spans="1:1" x14ac:dyDescent="0.25">
      <c r="A10251" t="str">
        <f t="shared" si="161"/>
        <v/>
      </c>
    </row>
    <row r="10252" spans="1:1" x14ac:dyDescent="0.25">
      <c r="A10252" t="str">
        <f t="shared" si="161"/>
        <v/>
      </c>
    </row>
    <row r="10253" spans="1:1" x14ac:dyDescent="0.25">
      <c r="A10253" t="str">
        <f t="shared" si="161"/>
        <v/>
      </c>
    </row>
    <row r="10254" spans="1:1" x14ac:dyDescent="0.25">
      <c r="A10254" t="str">
        <f t="shared" si="161"/>
        <v/>
      </c>
    </row>
    <row r="10255" spans="1:1" x14ac:dyDescent="0.25">
      <c r="A10255" t="str">
        <f t="shared" si="161"/>
        <v/>
      </c>
    </row>
    <row r="10256" spans="1:1" x14ac:dyDescent="0.25">
      <c r="A10256" t="str">
        <f t="shared" si="161"/>
        <v/>
      </c>
    </row>
    <row r="10257" spans="1:1" x14ac:dyDescent="0.25">
      <c r="A10257" t="str">
        <f t="shared" si="161"/>
        <v/>
      </c>
    </row>
    <row r="10258" spans="1:1" x14ac:dyDescent="0.25">
      <c r="A10258" t="str">
        <f t="shared" si="161"/>
        <v/>
      </c>
    </row>
    <row r="10259" spans="1:1" x14ac:dyDescent="0.25">
      <c r="A10259" t="str">
        <f t="shared" si="161"/>
        <v/>
      </c>
    </row>
    <row r="10260" spans="1:1" x14ac:dyDescent="0.25">
      <c r="A10260" t="str">
        <f t="shared" si="161"/>
        <v/>
      </c>
    </row>
    <row r="10261" spans="1:1" x14ac:dyDescent="0.25">
      <c r="A10261" t="str">
        <f t="shared" si="161"/>
        <v/>
      </c>
    </row>
    <row r="10262" spans="1:1" x14ac:dyDescent="0.25">
      <c r="A10262" t="str">
        <f t="shared" si="161"/>
        <v/>
      </c>
    </row>
    <row r="10263" spans="1:1" x14ac:dyDescent="0.25">
      <c r="A10263" t="str">
        <f t="shared" si="161"/>
        <v/>
      </c>
    </row>
    <row r="10264" spans="1:1" x14ac:dyDescent="0.25">
      <c r="A10264" t="str">
        <f t="shared" si="161"/>
        <v/>
      </c>
    </row>
    <row r="10265" spans="1:1" x14ac:dyDescent="0.25">
      <c r="A10265" t="str">
        <f t="shared" si="161"/>
        <v/>
      </c>
    </row>
    <row r="10266" spans="1:1" x14ac:dyDescent="0.25">
      <c r="A10266" t="str">
        <f t="shared" si="161"/>
        <v/>
      </c>
    </row>
    <row r="10267" spans="1:1" x14ac:dyDescent="0.25">
      <c r="A10267" t="str">
        <f t="shared" si="161"/>
        <v/>
      </c>
    </row>
    <row r="10268" spans="1:1" x14ac:dyDescent="0.25">
      <c r="A10268" t="str">
        <f t="shared" si="161"/>
        <v/>
      </c>
    </row>
    <row r="10269" spans="1:1" x14ac:dyDescent="0.25">
      <c r="A10269" t="str">
        <f t="shared" si="161"/>
        <v/>
      </c>
    </row>
    <row r="10270" spans="1:1" x14ac:dyDescent="0.25">
      <c r="A10270" t="str">
        <f t="shared" si="161"/>
        <v/>
      </c>
    </row>
    <row r="10271" spans="1:1" x14ac:dyDescent="0.25">
      <c r="A10271" t="str">
        <f t="shared" si="161"/>
        <v/>
      </c>
    </row>
    <row r="10272" spans="1:1" x14ac:dyDescent="0.25">
      <c r="A10272" t="str">
        <f t="shared" si="161"/>
        <v/>
      </c>
    </row>
    <row r="10273" spans="1:1" x14ac:dyDescent="0.25">
      <c r="A10273" t="str">
        <f t="shared" si="161"/>
        <v/>
      </c>
    </row>
    <row r="10274" spans="1:1" x14ac:dyDescent="0.25">
      <c r="A10274" t="str">
        <f t="shared" si="161"/>
        <v/>
      </c>
    </row>
    <row r="10275" spans="1:1" x14ac:dyDescent="0.25">
      <c r="A10275" t="str">
        <f t="shared" si="161"/>
        <v/>
      </c>
    </row>
    <row r="10276" spans="1:1" x14ac:dyDescent="0.25">
      <c r="A10276" t="str">
        <f t="shared" si="161"/>
        <v/>
      </c>
    </row>
    <row r="10277" spans="1:1" x14ac:dyDescent="0.25">
      <c r="A10277" t="str">
        <f t="shared" si="161"/>
        <v/>
      </c>
    </row>
    <row r="10278" spans="1:1" x14ac:dyDescent="0.25">
      <c r="A10278" t="str">
        <f t="shared" si="161"/>
        <v/>
      </c>
    </row>
    <row r="10279" spans="1:1" x14ac:dyDescent="0.25">
      <c r="A10279" t="str">
        <f t="shared" si="161"/>
        <v/>
      </c>
    </row>
    <row r="10280" spans="1:1" x14ac:dyDescent="0.25">
      <c r="A10280" t="str">
        <f t="shared" si="161"/>
        <v/>
      </c>
    </row>
    <row r="10281" spans="1:1" x14ac:dyDescent="0.25">
      <c r="A10281" t="str">
        <f t="shared" si="161"/>
        <v/>
      </c>
    </row>
    <row r="10282" spans="1:1" x14ac:dyDescent="0.25">
      <c r="A10282" t="str">
        <f t="shared" si="161"/>
        <v/>
      </c>
    </row>
    <row r="10283" spans="1:1" x14ac:dyDescent="0.25">
      <c r="A10283" t="str">
        <f t="shared" si="161"/>
        <v/>
      </c>
    </row>
    <row r="10284" spans="1:1" x14ac:dyDescent="0.25">
      <c r="A10284" t="str">
        <f t="shared" si="161"/>
        <v/>
      </c>
    </row>
    <row r="10285" spans="1:1" x14ac:dyDescent="0.25">
      <c r="A10285" t="str">
        <f t="shared" si="161"/>
        <v/>
      </c>
    </row>
    <row r="10286" spans="1:1" x14ac:dyDescent="0.25">
      <c r="A10286" t="str">
        <f t="shared" si="161"/>
        <v/>
      </c>
    </row>
    <row r="10287" spans="1:1" x14ac:dyDescent="0.25">
      <c r="A10287" t="str">
        <f t="shared" si="161"/>
        <v/>
      </c>
    </row>
    <row r="10288" spans="1:1" x14ac:dyDescent="0.25">
      <c r="A10288" t="str">
        <f t="shared" si="161"/>
        <v/>
      </c>
    </row>
    <row r="10289" spans="1:1" x14ac:dyDescent="0.25">
      <c r="A10289" t="str">
        <f t="shared" si="161"/>
        <v/>
      </c>
    </row>
    <row r="10290" spans="1:1" x14ac:dyDescent="0.25">
      <c r="A10290" t="str">
        <f t="shared" si="161"/>
        <v/>
      </c>
    </row>
    <row r="10291" spans="1:1" x14ac:dyDescent="0.25">
      <c r="A10291" t="str">
        <f t="shared" si="161"/>
        <v/>
      </c>
    </row>
    <row r="10292" spans="1:1" x14ac:dyDescent="0.25">
      <c r="A10292" t="str">
        <f t="shared" si="161"/>
        <v/>
      </c>
    </row>
    <row r="10293" spans="1:1" x14ac:dyDescent="0.25">
      <c r="A10293" t="str">
        <f t="shared" ref="A10293:A10356" si="162">B10291&amp;D10291</f>
        <v/>
      </c>
    </row>
    <row r="10294" spans="1:1" x14ac:dyDescent="0.25">
      <c r="A10294" t="str">
        <f t="shared" si="162"/>
        <v/>
      </c>
    </row>
    <row r="10295" spans="1:1" x14ac:dyDescent="0.25">
      <c r="A10295" t="str">
        <f t="shared" si="162"/>
        <v/>
      </c>
    </row>
    <row r="10296" spans="1:1" x14ac:dyDescent="0.25">
      <c r="A10296" t="str">
        <f t="shared" si="162"/>
        <v/>
      </c>
    </row>
    <row r="10297" spans="1:1" x14ac:dyDescent="0.25">
      <c r="A10297" t="str">
        <f t="shared" si="162"/>
        <v/>
      </c>
    </row>
    <row r="10298" spans="1:1" x14ac:dyDescent="0.25">
      <c r="A10298" t="str">
        <f t="shared" si="162"/>
        <v/>
      </c>
    </row>
    <row r="10299" spans="1:1" x14ac:dyDescent="0.25">
      <c r="A10299" t="str">
        <f t="shared" si="162"/>
        <v/>
      </c>
    </row>
    <row r="10300" spans="1:1" x14ac:dyDescent="0.25">
      <c r="A10300" t="str">
        <f t="shared" si="162"/>
        <v/>
      </c>
    </row>
    <row r="10301" spans="1:1" x14ac:dyDescent="0.25">
      <c r="A10301" t="str">
        <f t="shared" si="162"/>
        <v/>
      </c>
    </row>
    <row r="10302" spans="1:1" x14ac:dyDescent="0.25">
      <c r="A10302" t="str">
        <f t="shared" si="162"/>
        <v/>
      </c>
    </row>
    <row r="10303" spans="1:1" x14ac:dyDescent="0.25">
      <c r="A10303" t="str">
        <f t="shared" si="162"/>
        <v/>
      </c>
    </row>
    <row r="10304" spans="1:1" x14ac:dyDescent="0.25">
      <c r="A10304" t="str">
        <f t="shared" si="162"/>
        <v/>
      </c>
    </row>
    <row r="10305" spans="1:1" x14ac:dyDescent="0.25">
      <c r="A10305" t="str">
        <f t="shared" si="162"/>
        <v/>
      </c>
    </row>
    <row r="10306" spans="1:1" x14ac:dyDescent="0.25">
      <c r="A10306" t="str">
        <f t="shared" si="162"/>
        <v/>
      </c>
    </row>
    <row r="10307" spans="1:1" x14ac:dyDescent="0.25">
      <c r="A10307" t="str">
        <f t="shared" si="162"/>
        <v/>
      </c>
    </row>
    <row r="10308" spans="1:1" x14ac:dyDescent="0.25">
      <c r="A10308" t="str">
        <f t="shared" si="162"/>
        <v/>
      </c>
    </row>
    <row r="10309" spans="1:1" x14ac:dyDescent="0.25">
      <c r="A10309" t="str">
        <f t="shared" si="162"/>
        <v/>
      </c>
    </row>
    <row r="10310" spans="1:1" x14ac:dyDescent="0.25">
      <c r="A10310" t="str">
        <f t="shared" si="162"/>
        <v/>
      </c>
    </row>
    <row r="10311" spans="1:1" x14ac:dyDescent="0.25">
      <c r="A10311" t="str">
        <f t="shared" si="162"/>
        <v/>
      </c>
    </row>
    <row r="10312" spans="1:1" x14ac:dyDescent="0.25">
      <c r="A10312" t="str">
        <f t="shared" si="162"/>
        <v/>
      </c>
    </row>
    <row r="10313" spans="1:1" x14ac:dyDescent="0.25">
      <c r="A10313" t="str">
        <f t="shared" si="162"/>
        <v/>
      </c>
    </row>
    <row r="10314" spans="1:1" x14ac:dyDescent="0.25">
      <c r="A10314" t="str">
        <f t="shared" si="162"/>
        <v/>
      </c>
    </row>
    <row r="10315" spans="1:1" x14ac:dyDescent="0.25">
      <c r="A10315" t="str">
        <f t="shared" si="162"/>
        <v/>
      </c>
    </row>
    <row r="10316" spans="1:1" x14ac:dyDescent="0.25">
      <c r="A10316" t="str">
        <f t="shared" si="162"/>
        <v/>
      </c>
    </row>
    <row r="10317" spans="1:1" x14ac:dyDescent="0.25">
      <c r="A10317" t="str">
        <f t="shared" si="162"/>
        <v/>
      </c>
    </row>
    <row r="10318" spans="1:1" x14ac:dyDescent="0.25">
      <c r="A10318" t="str">
        <f t="shared" si="162"/>
        <v/>
      </c>
    </row>
    <row r="10319" spans="1:1" x14ac:dyDescent="0.25">
      <c r="A10319" t="str">
        <f t="shared" si="162"/>
        <v/>
      </c>
    </row>
    <row r="10320" spans="1:1" x14ac:dyDescent="0.25">
      <c r="A10320" t="str">
        <f t="shared" si="162"/>
        <v/>
      </c>
    </row>
    <row r="10321" spans="1:1" x14ac:dyDescent="0.25">
      <c r="A10321" t="str">
        <f t="shared" si="162"/>
        <v/>
      </c>
    </row>
    <row r="10322" spans="1:1" x14ac:dyDescent="0.25">
      <c r="A10322" t="str">
        <f t="shared" si="162"/>
        <v/>
      </c>
    </row>
    <row r="10323" spans="1:1" x14ac:dyDescent="0.25">
      <c r="A10323" t="str">
        <f t="shared" si="162"/>
        <v/>
      </c>
    </row>
    <row r="10324" spans="1:1" x14ac:dyDescent="0.25">
      <c r="A10324" t="str">
        <f t="shared" si="162"/>
        <v/>
      </c>
    </row>
    <row r="10325" spans="1:1" x14ac:dyDescent="0.25">
      <c r="A10325" t="str">
        <f t="shared" si="162"/>
        <v/>
      </c>
    </row>
    <row r="10326" spans="1:1" x14ac:dyDescent="0.25">
      <c r="A10326" t="str">
        <f t="shared" si="162"/>
        <v/>
      </c>
    </row>
    <row r="10327" spans="1:1" x14ac:dyDescent="0.25">
      <c r="A10327" t="str">
        <f t="shared" si="162"/>
        <v/>
      </c>
    </row>
    <row r="10328" spans="1:1" x14ac:dyDescent="0.25">
      <c r="A10328" t="str">
        <f t="shared" si="162"/>
        <v/>
      </c>
    </row>
    <row r="10329" spans="1:1" x14ac:dyDescent="0.25">
      <c r="A10329" t="str">
        <f t="shared" si="162"/>
        <v/>
      </c>
    </row>
    <row r="10330" spans="1:1" x14ac:dyDescent="0.25">
      <c r="A10330" t="str">
        <f t="shared" si="162"/>
        <v/>
      </c>
    </row>
    <row r="10331" spans="1:1" x14ac:dyDescent="0.25">
      <c r="A10331" t="str">
        <f t="shared" si="162"/>
        <v/>
      </c>
    </row>
    <row r="10332" spans="1:1" x14ac:dyDescent="0.25">
      <c r="A10332" t="str">
        <f t="shared" si="162"/>
        <v/>
      </c>
    </row>
    <row r="10333" spans="1:1" x14ac:dyDescent="0.25">
      <c r="A10333" t="str">
        <f t="shared" si="162"/>
        <v/>
      </c>
    </row>
    <row r="10334" spans="1:1" x14ac:dyDescent="0.25">
      <c r="A10334" t="str">
        <f t="shared" si="162"/>
        <v/>
      </c>
    </row>
    <row r="10335" spans="1:1" x14ac:dyDescent="0.25">
      <c r="A10335" t="str">
        <f t="shared" si="162"/>
        <v/>
      </c>
    </row>
    <row r="10336" spans="1:1" x14ac:dyDescent="0.25">
      <c r="A10336" t="str">
        <f t="shared" si="162"/>
        <v/>
      </c>
    </row>
    <row r="10337" spans="1:1" x14ac:dyDescent="0.25">
      <c r="A10337" t="str">
        <f t="shared" si="162"/>
        <v/>
      </c>
    </row>
    <row r="10338" spans="1:1" x14ac:dyDescent="0.25">
      <c r="A10338" t="str">
        <f t="shared" si="162"/>
        <v/>
      </c>
    </row>
    <row r="10339" spans="1:1" x14ac:dyDescent="0.25">
      <c r="A10339" t="str">
        <f t="shared" si="162"/>
        <v/>
      </c>
    </row>
    <row r="10340" spans="1:1" x14ac:dyDescent="0.25">
      <c r="A10340" t="str">
        <f t="shared" si="162"/>
        <v/>
      </c>
    </row>
    <row r="10341" spans="1:1" x14ac:dyDescent="0.25">
      <c r="A10341" t="str">
        <f t="shared" si="162"/>
        <v/>
      </c>
    </row>
    <row r="10342" spans="1:1" x14ac:dyDescent="0.25">
      <c r="A10342" t="str">
        <f t="shared" si="162"/>
        <v/>
      </c>
    </row>
    <row r="10343" spans="1:1" x14ac:dyDescent="0.25">
      <c r="A10343" t="str">
        <f t="shared" si="162"/>
        <v/>
      </c>
    </row>
    <row r="10344" spans="1:1" x14ac:dyDescent="0.25">
      <c r="A10344" t="str">
        <f t="shared" si="162"/>
        <v/>
      </c>
    </row>
    <row r="10345" spans="1:1" x14ac:dyDescent="0.25">
      <c r="A10345" t="str">
        <f t="shared" si="162"/>
        <v/>
      </c>
    </row>
    <row r="10346" spans="1:1" x14ac:dyDescent="0.25">
      <c r="A10346" t="str">
        <f t="shared" si="162"/>
        <v/>
      </c>
    </row>
    <row r="10347" spans="1:1" x14ac:dyDescent="0.25">
      <c r="A10347" t="str">
        <f t="shared" si="162"/>
        <v/>
      </c>
    </row>
    <row r="10348" spans="1:1" x14ac:dyDescent="0.25">
      <c r="A10348" t="str">
        <f t="shared" si="162"/>
        <v/>
      </c>
    </row>
    <row r="10349" spans="1:1" x14ac:dyDescent="0.25">
      <c r="A10349" t="str">
        <f t="shared" si="162"/>
        <v/>
      </c>
    </row>
    <row r="10350" spans="1:1" x14ac:dyDescent="0.25">
      <c r="A10350" t="str">
        <f t="shared" si="162"/>
        <v/>
      </c>
    </row>
    <row r="10351" spans="1:1" x14ac:dyDescent="0.25">
      <c r="A10351" t="str">
        <f t="shared" si="162"/>
        <v/>
      </c>
    </row>
    <row r="10352" spans="1:1" x14ac:dyDescent="0.25">
      <c r="A10352" t="str">
        <f t="shared" si="162"/>
        <v/>
      </c>
    </row>
    <row r="10353" spans="1:1" x14ac:dyDescent="0.25">
      <c r="A10353" t="str">
        <f t="shared" si="162"/>
        <v/>
      </c>
    </row>
    <row r="10354" spans="1:1" x14ac:dyDescent="0.25">
      <c r="A10354" t="str">
        <f t="shared" si="162"/>
        <v/>
      </c>
    </row>
    <row r="10355" spans="1:1" x14ac:dyDescent="0.25">
      <c r="A10355" t="str">
        <f t="shared" si="162"/>
        <v/>
      </c>
    </row>
    <row r="10356" spans="1:1" x14ac:dyDescent="0.25">
      <c r="A10356" t="str">
        <f t="shared" si="162"/>
        <v/>
      </c>
    </row>
    <row r="10357" spans="1:1" x14ac:dyDescent="0.25">
      <c r="A10357" t="str">
        <f t="shared" ref="A10357:A10420" si="163">B10355&amp;D10355</f>
        <v/>
      </c>
    </row>
    <row r="10358" spans="1:1" x14ac:dyDescent="0.25">
      <c r="A10358" t="str">
        <f t="shared" si="163"/>
        <v/>
      </c>
    </row>
    <row r="10359" spans="1:1" x14ac:dyDescent="0.25">
      <c r="A10359" t="str">
        <f t="shared" si="163"/>
        <v/>
      </c>
    </row>
    <row r="10360" spans="1:1" x14ac:dyDescent="0.25">
      <c r="A10360" t="str">
        <f t="shared" si="163"/>
        <v/>
      </c>
    </row>
    <row r="10361" spans="1:1" x14ac:dyDescent="0.25">
      <c r="A10361" t="str">
        <f t="shared" si="163"/>
        <v/>
      </c>
    </row>
    <row r="10362" spans="1:1" x14ac:dyDescent="0.25">
      <c r="A10362" t="str">
        <f t="shared" si="163"/>
        <v/>
      </c>
    </row>
    <row r="10363" spans="1:1" x14ac:dyDescent="0.25">
      <c r="A10363" t="str">
        <f t="shared" si="163"/>
        <v/>
      </c>
    </row>
    <row r="10364" spans="1:1" x14ac:dyDescent="0.25">
      <c r="A10364" t="str">
        <f t="shared" si="163"/>
        <v/>
      </c>
    </row>
    <row r="10365" spans="1:1" x14ac:dyDescent="0.25">
      <c r="A10365" t="str">
        <f t="shared" si="163"/>
        <v/>
      </c>
    </row>
    <row r="10366" spans="1:1" x14ac:dyDescent="0.25">
      <c r="A10366" t="str">
        <f t="shared" si="163"/>
        <v/>
      </c>
    </row>
    <row r="10367" spans="1:1" x14ac:dyDescent="0.25">
      <c r="A10367" t="str">
        <f t="shared" si="163"/>
        <v/>
      </c>
    </row>
    <row r="10368" spans="1:1" x14ac:dyDescent="0.25">
      <c r="A10368" t="str">
        <f t="shared" si="163"/>
        <v/>
      </c>
    </row>
    <row r="10369" spans="1:1" x14ac:dyDescent="0.25">
      <c r="A10369" t="str">
        <f t="shared" si="163"/>
        <v/>
      </c>
    </row>
    <row r="10370" spans="1:1" x14ac:dyDescent="0.25">
      <c r="A10370" t="str">
        <f t="shared" si="163"/>
        <v/>
      </c>
    </row>
    <row r="10371" spans="1:1" x14ac:dyDescent="0.25">
      <c r="A10371" t="str">
        <f t="shared" si="163"/>
        <v/>
      </c>
    </row>
    <row r="10372" spans="1:1" x14ac:dyDescent="0.25">
      <c r="A10372" t="str">
        <f t="shared" si="163"/>
        <v/>
      </c>
    </row>
    <row r="10373" spans="1:1" x14ac:dyDescent="0.25">
      <c r="A10373" t="str">
        <f t="shared" si="163"/>
        <v/>
      </c>
    </row>
    <row r="10374" spans="1:1" x14ac:dyDescent="0.25">
      <c r="A10374" t="str">
        <f t="shared" si="163"/>
        <v/>
      </c>
    </row>
    <row r="10375" spans="1:1" x14ac:dyDescent="0.25">
      <c r="A10375" t="str">
        <f t="shared" si="163"/>
        <v/>
      </c>
    </row>
    <row r="10376" spans="1:1" x14ac:dyDescent="0.25">
      <c r="A10376" t="str">
        <f t="shared" si="163"/>
        <v/>
      </c>
    </row>
    <row r="10377" spans="1:1" x14ac:dyDescent="0.25">
      <c r="A10377" t="str">
        <f t="shared" si="163"/>
        <v/>
      </c>
    </row>
    <row r="10378" spans="1:1" x14ac:dyDescent="0.25">
      <c r="A10378" t="str">
        <f t="shared" si="163"/>
        <v/>
      </c>
    </row>
    <row r="10379" spans="1:1" x14ac:dyDescent="0.25">
      <c r="A10379" t="str">
        <f t="shared" si="163"/>
        <v/>
      </c>
    </row>
    <row r="10380" spans="1:1" x14ac:dyDescent="0.25">
      <c r="A10380" t="str">
        <f t="shared" si="163"/>
        <v/>
      </c>
    </row>
    <row r="10381" spans="1:1" x14ac:dyDescent="0.25">
      <c r="A10381" t="str">
        <f t="shared" si="163"/>
        <v/>
      </c>
    </row>
    <row r="10382" spans="1:1" x14ac:dyDescent="0.25">
      <c r="A10382" t="str">
        <f t="shared" si="163"/>
        <v/>
      </c>
    </row>
    <row r="10383" spans="1:1" x14ac:dyDescent="0.25">
      <c r="A10383" t="str">
        <f t="shared" si="163"/>
        <v/>
      </c>
    </row>
    <row r="10384" spans="1:1" x14ac:dyDescent="0.25">
      <c r="A10384" t="str">
        <f t="shared" si="163"/>
        <v/>
      </c>
    </row>
    <row r="10385" spans="1:1" x14ac:dyDescent="0.25">
      <c r="A10385" t="str">
        <f t="shared" si="163"/>
        <v/>
      </c>
    </row>
    <row r="10386" spans="1:1" x14ac:dyDescent="0.25">
      <c r="A10386" t="str">
        <f t="shared" si="163"/>
        <v/>
      </c>
    </row>
    <row r="10387" spans="1:1" x14ac:dyDescent="0.25">
      <c r="A10387" t="str">
        <f t="shared" si="163"/>
        <v/>
      </c>
    </row>
    <row r="10388" spans="1:1" x14ac:dyDescent="0.25">
      <c r="A10388" t="str">
        <f t="shared" si="163"/>
        <v/>
      </c>
    </row>
    <row r="10389" spans="1:1" x14ac:dyDescent="0.25">
      <c r="A10389" t="str">
        <f t="shared" si="163"/>
        <v/>
      </c>
    </row>
    <row r="10390" spans="1:1" x14ac:dyDescent="0.25">
      <c r="A10390" t="str">
        <f t="shared" si="163"/>
        <v/>
      </c>
    </row>
    <row r="10391" spans="1:1" x14ac:dyDescent="0.25">
      <c r="A10391" t="str">
        <f t="shared" si="163"/>
        <v/>
      </c>
    </row>
    <row r="10392" spans="1:1" x14ac:dyDescent="0.25">
      <c r="A10392" t="str">
        <f t="shared" si="163"/>
        <v/>
      </c>
    </row>
    <row r="10393" spans="1:1" x14ac:dyDescent="0.25">
      <c r="A10393" t="str">
        <f t="shared" si="163"/>
        <v/>
      </c>
    </row>
    <row r="10394" spans="1:1" x14ac:dyDescent="0.25">
      <c r="A10394" t="str">
        <f t="shared" si="163"/>
        <v/>
      </c>
    </row>
    <row r="10395" spans="1:1" x14ac:dyDescent="0.25">
      <c r="A10395" t="str">
        <f t="shared" si="163"/>
        <v/>
      </c>
    </row>
    <row r="10396" spans="1:1" x14ac:dyDescent="0.25">
      <c r="A10396" t="str">
        <f t="shared" si="163"/>
        <v/>
      </c>
    </row>
    <row r="10397" spans="1:1" x14ac:dyDescent="0.25">
      <c r="A10397" t="str">
        <f t="shared" si="163"/>
        <v/>
      </c>
    </row>
    <row r="10398" spans="1:1" x14ac:dyDescent="0.25">
      <c r="A10398" t="str">
        <f t="shared" si="163"/>
        <v/>
      </c>
    </row>
    <row r="10399" spans="1:1" x14ac:dyDescent="0.25">
      <c r="A10399" t="str">
        <f t="shared" si="163"/>
        <v/>
      </c>
    </row>
    <row r="10400" spans="1:1" x14ac:dyDescent="0.25">
      <c r="A10400" t="str">
        <f t="shared" si="163"/>
        <v/>
      </c>
    </row>
    <row r="10401" spans="1:1" x14ac:dyDescent="0.25">
      <c r="A10401" t="str">
        <f t="shared" si="163"/>
        <v/>
      </c>
    </row>
    <row r="10402" spans="1:1" x14ac:dyDescent="0.25">
      <c r="A10402" t="str">
        <f t="shared" si="163"/>
        <v/>
      </c>
    </row>
    <row r="10403" spans="1:1" x14ac:dyDescent="0.25">
      <c r="A10403" t="str">
        <f t="shared" si="163"/>
        <v/>
      </c>
    </row>
    <row r="10404" spans="1:1" x14ac:dyDescent="0.25">
      <c r="A10404" t="str">
        <f t="shared" si="163"/>
        <v/>
      </c>
    </row>
    <row r="10405" spans="1:1" x14ac:dyDescent="0.25">
      <c r="A10405" t="str">
        <f t="shared" si="163"/>
        <v/>
      </c>
    </row>
    <row r="10406" spans="1:1" x14ac:dyDescent="0.25">
      <c r="A10406" t="str">
        <f t="shared" si="163"/>
        <v/>
      </c>
    </row>
    <row r="10407" spans="1:1" x14ac:dyDescent="0.25">
      <c r="A10407" t="str">
        <f t="shared" si="163"/>
        <v/>
      </c>
    </row>
    <row r="10408" spans="1:1" x14ac:dyDescent="0.25">
      <c r="A10408" t="str">
        <f t="shared" si="163"/>
        <v/>
      </c>
    </row>
    <row r="10409" spans="1:1" x14ac:dyDescent="0.25">
      <c r="A10409" t="str">
        <f t="shared" si="163"/>
        <v/>
      </c>
    </row>
    <row r="10410" spans="1:1" x14ac:dyDescent="0.25">
      <c r="A10410" t="str">
        <f t="shared" si="163"/>
        <v/>
      </c>
    </row>
    <row r="10411" spans="1:1" x14ac:dyDescent="0.25">
      <c r="A10411" t="str">
        <f t="shared" si="163"/>
        <v/>
      </c>
    </row>
    <row r="10412" spans="1:1" x14ac:dyDescent="0.25">
      <c r="A10412" t="str">
        <f t="shared" si="163"/>
        <v/>
      </c>
    </row>
    <row r="10413" spans="1:1" x14ac:dyDescent="0.25">
      <c r="A10413" t="str">
        <f t="shared" si="163"/>
        <v/>
      </c>
    </row>
    <row r="10414" spans="1:1" x14ac:dyDescent="0.25">
      <c r="A10414" t="str">
        <f t="shared" si="163"/>
        <v/>
      </c>
    </row>
    <row r="10415" spans="1:1" x14ac:dyDescent="0.25">
      <c r="A10415" t="str">
        <f t="shared" si="163"/>
        <v/>
      </c>
    </row>
    <row r="10416" spans="1:1" x14ac:dyDescent="0.25">
      <c r="A10416" t="str">
        <f t="shared" si="163"/>
        <v/>
      </c>
    </row>
    <row r="10417" spans="1:1" x14ac:dyDescent="0.25">
      <c r="A10417" t="str">
        <f t="shared" si="163"/>
        <v/>
      </c>
    </row>
    <row r="10418" spans="1:1" x14ac:dyDescent="0.25">
      <c r="A10418" t="str">
        <f t="shared" si="163"/>
        <v/>
      </c>
    </row>
    <row r="10419" spans="1:1" x14ac:dyDescent="0.25">
      <c r="A10419" t="str">
        <f t="shared" si="163"/>
        <v/>
      </c>
    </row>
    <row r="10420" spans="1:1" x14ac:dyDescent="0.25">
      <c r="A10420" t="str">
        <f t="shared" si="163"/>
        <v/>
      </c>
    </row>
    <row r="10421" spans="1:1" x14ac:dyDescent="0.25">
      <c r="A10421" t="str">
        <f t="shared" ref="A10421:A10484" si="164">B10419&amp;D10419</f>
        <v/>
      </c>
    </row>
    <row r="10422" spans="1:1" x14ac:dyDescent="0.25">
      <c r="A10422" t="str">
        <f t="shared" si="164"/>
        <v/>
      </c>
    </row>
    <row r="10423" spans="1:1" x14ac:dyDescent="0.25">
      <c r="A10423" t="str">
        <f t="shared" si="164"/>
        <v/>
      </c>
    </row>
    <row r="10424" spans="1:1" x14ac:dyDescent="0.25">
      <c r="A10424" t="str">
        <f t="shared" si="164"/>
        <v/>
      </c>
    </row>
    <row r="10425" spans="1:1" x14ac:dyDescent="0.25">
      <c r="A10425" t="str">
        <f t="shared" si="164"/>
        <v/>
      </c>
    </row>
    <row r="10426" spans="1:1" x14ac:dyDescent="0.25">
      <c r="A10426" t="str">
        <f t="shared" si="164"/>
        <v/>
      </c>
    </row>
    <row r="10427" spans="1:1" x14ac:dyDescent="0.25">
      <c r="A10427" t="str">
        <f t="shared" si="164"/>
        <v/>
      </c>
    </row>
    <row r="10428" spans="1:1" x14ac:dyDescent="0.25">
      <c r="A10428" t="str">
        <f t="shared" si="164"/>
        <v/>
      </c>
    </row>
    <row r="10429" spans="1:1" x14ac:dyDescent="0.25">
      <c r="A10429" t="str">
        <f t="shared" si="164"/>
        <v/>
      </c>
    </row>
    <row r="10430" spans="1:1" x14ac:dyDescent="0.25">
      <c r="A10430" t="str">
        <f t="shared" si="164"/>
        <v/>
      </c>
    </row>
    <row r="10431" spans="1:1" x14ac:dyDescent="0.25">
      <c r="A10431" t="str">
        <f t="shared" si="164"/>
        <v/>
      </c>
    </row>
    <row r="10432" spans="1:1" x14ac:dyDescent="0.25">
      <c r="A10432" t="str">
        <f t="shared" si="164"/>
        <v/>
      </c>
    </row>
    <row r="10433" spans="1:1" x14ac:dyDescent="0.25">
      <c r="A10433" t="str">
        <f t="shared" si="164"/>
        <v/>
      </c>
    </row>
    <row r="10434" spans="1:1" x14ac:dyDescent="0.25">
      <c r="A10434" t="str">
        <f t="shared" si="164"/>
        <v/>
      </c>
    </row>
    <row r="10435" spans="1:1" x14ac:dyDescent="0.25">
      <c r="A10435" t="str">
        <f t="shared" si="164"/>
        <v/>
      </c>
    </row>
    <row r="10436" spans="1:1" x14ac:dyDescent="0.25">
      <c r="A10436" t="str">
        <f t="shared" si="164"/>
        <v/>
      </c>
    </row>
    <row r="10437" spans="1:1" x14ac:dyDescent="0.25">
      <c r="A10437" t="str">
        <f t="shared" si="164"/>
        <v/>
      </c>
    </row>
    <row r="10438" spans="1:1" x14ac:dyDescent="0.25">
      <c r="A10438" t="str">
        <f t="shared" si="164"/>
        <v/>
      </c>
    </row>
    <row r="10439" spans="1:1" x14ac:dyDescent="0.25">
      <c r="A10439" t="str">
        <f t="shared" si="164"/>
        <v/>
      </c>
    </row>
    <row r="10440" spans="1:1" x14ac:dyDescent="0.25">
      <c r="A10440" t="str">
        <f t="shared" si="164"/>
        <v/>
      </c>
    </row>
    <row r="10441" spans="1:1" x14ac:dyDescent="0.25">
      <c r="A10441" t="str">
        <f t="shared" si="164"/>
        <v/>
      </c>
    </row>
    <row r="10442" spans="1:1" x14ac:dyDescent="0.25">
      <c r="A10442" t="str">
        <f t="shared" si="164"/>
        <v/>
      </c>
    </row>
    <row r="10443" spans="1:1" x14ac:dyDescent="0.25">
      <c r="A10443" t="str">
        <f t="shared" si="164"/>
        <v/>
      </c>
    </row>
    <row r="10444" spans="1:1" x14ac:dyDescent="0.25">
      <c r="A10444" t="str">
        <f t="shared" si="164"/>
        <v/>
      </c>
    </row>
    <row r="10445" spans="1:1" x14ac:dyDescent="0.25">
      <c r="A10445" t="str">
        <f t="shared" si="164"/>
        <v/>
      </c>
    </row>
    <row r="10446" spans="1:1" x14ac:dyDescent="0.25">
      <c r="A10446" t="str">
        <f t="shared" si="164"/>
        <v/>
      </c>
    </row>
    <row r="10447" spans="1:1" x14ac:dyDescent="0.25">
      <c r="A10447" t="str">
        <f t="shared" si="164"/>
        <v/>
      </c>
    </row>
    <row r="10448" spans="1:1" x14ac:dyDescent="0.25">
      <c r="A10448" t="str">
        <f t="shared" si="164"/>
        <v/>
      </c>
    </row>
    <row r="10449" spans="1:1" x14ac:dyDescent="0.25">
      <c r="A10449" t="str">
        <f t="shared" si="164"/>
        <v/>
      </c>
    </row>
    <row r="10450" spans="1:1" x14ac:dyDescent="0.25">
      <c r="A10450" t="str">
        <f t="shared" si="164"/>
        <v/>
      </c>
    </row>
    <row r="10451" spans="1:1" x14ac:dyDescent="0.25">
      <c r="A10451" t="str">
        <f t="shared" si="164"/>
        <v/>
      </c>
    </row>
    <row r="10452" spans="1:1" x14ac:dyDescent="0.25">
      <c r="A10452" t="str">
        <f t="shared" si="164"/>
        <v/>
      </c>
    </row>
    <row r="10453" spans="1:1" x14ac:dyDescent="0.25">
      <c r="A10453" t="str">
        <f t="shared" si="164"/>
        <v/>
      </c>
    </row>
    <row r="10454" spans="1:1" x14ac:dyDescent="0.25">
      <c r="A10454" t="str">
        <f t="shared" si="164"/>
        <v/>
      </c>
    </row>
    <row r="10455" spans="1:1" x14ac:dyDescent="0.25">
      <c r="A10455" t="str">
        <f t="shared" si="164"/>
        <v/>
      </c>
    </row>
    <row r="10456" spans="1:1" x14ac:dyDescent="0.25">
      <c r="A10456" t="str">
        <f t="shared" si="164"/>
        <v/>
      </c>
    </row>
    <row r="10457" spans="1:1" x14ac:dyDescent="0.25">
      <c r="A10457" t="str">
        <f t="shared" si="164"/>
        <v/>
      </c>
    </row>
    <row r="10458" spans="1:1" x14ac:dyDescent="0.25">
      <c r="A10458" t="str">
        <f t="shared" si="164"/>
        <v/>
      </c>
    </row>
    <row r="10459" spans="1:1" x14ac:dyDescent="0.25">
      <c r="A10459" t="str">
        <f t="shared" si="164"/>
        <v/>
      </c>
    </row>
    <row r="10460" spans="1:1" x14ac:dyDescent="0.25">
      <c r="A10460" t="str">
        <f t="shared" si="164"/>
        <v/>
      </c>
    </row>
    <row r="10461" spans="1:1" x14ac:dyDescent="0.25">
      <c r="A10461" t="str">
        <f t="shared" si="164"/>
        <v/>
      </c>
    </row>
    <row r="10462" spans="1:1" x14ac:dyDescent="0.25">
      <c r="A10462" t="str">
        <f t="shared" si="164"/>
        <v/>
      </c>
    </row>
    <row r="10463" spans="1:1" x14ac:dyDescent="0.25">
      <c r="A10463" t="str">
        <f t="shared" si="164"/>
        <v/>
      </c>
    </row>
    <row r="10464" spans="1:1" x14ac:dyDescent="0.25">
      <c r="A10464" t="str">
        <f t="shared" si="164"/>
        <v/>
      </c>
    </row>
    <row r="10465" spans="1:1" x14ac:dyDescent="0.25">
      <c r="A10465" t="str">
        <f t="shared" si="164"/>
        <v/>
      </c>
    </row>
    <row r="10466" spans="1:1" x14ac:dyDescent="0.25">
      <c r="A10466" t="str">
        <f t="shared" si="164"/>
        <v/>
      </c>
    </row>
    <row r="10467" spans="1:1" x14ac:dyDescent="0.25">
      <c r="A10467" t="str">
        <f t="shared" si="164"/>
        <v/>
      </c>
    </row>
    <row r="10468" spans="1:1" x14ac:dyDescent="0.25">
      <c r="A10468" t="str">
        <f t="shared" si="164"/>
        <v/>
      </c>
    </row>
    <row r="10469" spans="1:1" x14ac:dyDescent="0.25">
      <c r="A10469" t="str">
        <f t="shared" si="164"/>
        <v/>
      </c>
    </row>
    <row r="10470" spans="1:1" x14ac:dyDescent="0.25">
      <c r="A10470" t="str">
        <f t="shared" si="164"/>
        <v/>
      </c>
    </row>
    <row r="10471" spans="1:1" x14ac:dyDescent="0.25">
      <c r="A10471" t="str">
        <f t="shared" si="164"/>
        <v/>
      </c>
    </row>
    <row r="10472" spans="1:1" x14ac:dyDescent="0.25">
      <c r="A10472" t="str">
        <f t="shared" si="164"/>
        <v/>
      </c>
    </row>
    <row r="10473" spans="1:1" x14ac:dyDescent="0.25">
      <c r="A10473" t="str">
        <f t="shared" si="164"/>
        <v/>
      </c>
    </row>
    <row r="10474" spans="1:1" x14ac:dyDescent="0.25">
      <c r="A10474" t="str">
        <f t="shared" si="164"/>
        <v/>
      </c>
    </row>
    <row r="10475" spans="1:1" x14ac:dyDescent="0.25">
      <c r="A10475" t="str">
        <f t="shared" si="164"/>
        <v/>
      </c>
    </row>
    <row r="10476" spans="1:1" x14ac:dyDescent="0.25">
      <c r="A10476" t="str">
        <f t="shared" si="164"/>
        <v/>
      </c>
    </row>
    <row r="10477" spans="1:1" x14ac:dyDescent="0.25">
      <c r="A10477" t="str">
        <f t="shared" si="164"/>
        <v/>
      </c>
    </row>
    <row r="10478" spans="1:1" x14ac:dyDescent="0.25">
      <c r="A10478" t="str">
        <f t="shared" si="164"/>
        <v/>
      </c>
    </row>
    <row r="10479" spans="1:1" x14ac:dyDescent="0.25">
      <c r="A10479" t="str">
        <f t="shared" si="164"/>
        <v/>
      </c>
    </row>
    <row r="10480" spans="1:1" x14ac:dyDescent="0.25">
      <c r="A10480" t="str">
        <f t="shared" si="164"/>
        <v/>
      </c>
    </row>
    <row r="10481" spans="1:1" x14ac:dyDescent="0.25">
      <c r="A10481" t="str">
        <f t="shared" si="164"/>
        <v/>
      </c>
    </row>
    <row r="10482" spans="1:1" x14ac:dyDescent="0.25">
      <c r="A10482" t="str">
        <f t="shared" si="164"/>
        <v/>
      </c>
    </row>
    <row r="10483" spans="1:1" x14ac:dyDescent="0.25">
      <c r="A10483" t="str">
        <f t="shared" si="164"/>
        <v/>
      </c>
    </row>
    <row r="10484" spans="1:1" x14ac:dyDescent="0.25">
      <c r="A10484" t="str">
        <f t="shared" si="164"/>
        <v/>
      </c>
    </row>
    <row r="10485" spans="1:1" x14ac:dyDescent="0.25">
      <c r="A10485" t="str">
        <f t="shared" ref="A10485:A10548" si="165">B10483&amp;D10483</f>
        <v/>
      </c>
    </row>
    <row r="10486" spans="1:1" x14ac:dyDescent="0.25">
      <c r="A10486" t="str">
        <f t="shared" si="165"/>
        <v/>
      </c>
    </row>
    <row r="10487" spans="1:1" x14ac:dyDescent="0.25">
      <c r="A10487" t="str">
        <f t="shared" si="165"/>
        <v/>
      </c>
    </row>
    <row r="10488" spans="1:1" x14ac:dyDescent="0.25">
      <c r="A10488" t="str">
        <f t="shared" si="165"/>
        <v/>
      </c>
    </row>
    <row r="10489" spans="1:1" x14ac:dyDescent="0.25">
      <c r="A10489" t="str">
        <f t="shared" si="165"/>
        <v/>
      </c>
    </row>
    <row r="10490" spans="1:1" x14ac:dyDescent="0.25">
      <c r="A10490" t="str">
        <f t="shared" si="165"/>
        <v/>
      </c>
    </row>
    <row r="10491" spans="1:1" x14ac:dyDescent="0.25">
      <c r="A10491" t="str">
        <f t="shared" si="165"/>
        <v/>
      </c>
    </row>
    <row r="10492" spans="1:1" x14ac:dyDescent="0.25">
      <c r="A10492" t="str">
        <f t="shared" si="165"/>
        <v/>
      </c>
    </row>
    <row r="10493" spans="1:1" x14ac:dyDescent="0.25">
      <c r="A10493" t="str">
        <f t="shared" si="165"/>
        <v/>
      </c>
    </row>
    <row r="10494" spans="1:1" x14ac:dyDescent="0.25">
      <c r="A10494" t="str">
        <f t="shared" si="165"/>
        <v/>
      </c>
    </row>
    <row r="10495" spans="1:1" x14ac:dyDescent="0.25">
      <c r="A10495" t="str">
        <f t="shared" si="165"/>
        <v/>
      </c>
    </row>
    <row r="10496" spans="1:1" x14ac:dyDescent="0.25">
      <c r="A10496" t="str">
        <f t="shared" si="165"/>
        <v/>
      </c>
    </row>
    <row r="10497" spans="1:1" x14ac:dyDescent="0.25">
      <c r="A10497" t="str">
        <f t="shared" si="165"/>
        <v/>
      </c>
    </row>
    <row r="10498" spans="1:1" x14ac:dyDescent="0.25">
      <c r="A10498" t="str">
        <f t="shared" si="165"/>
        <v/>
      </c>
    </row>
    <row r="10499" spans="1:1" x14ac:dyDescent="0.25">
      <c r="A10499" t="str">
        <f t="shared" si="165"/>
        <v/>
      </c>
    </row>
    <row r="10500" spans="1:1" x14ac:dyDescent="0.25">
      <c r="A10500" t="str">
        <f t="shared" si="165"/>
        <v/>
      </c>
    </row>
    <row r="10501" spans="1:1" x14ac:dyDescent="0.25">
      <c r="A10501" t="str">
        <f t="shared" si="165"/>
        <v/>
      </c>
    </row>
    <row r="10502" spans="1:1" x14ac:dyDescent="0.25">
      <c r="A10502" t="str">
        <f t="shared" si="165"/>
        <v/>
      </c>
    </row>
    <row r="10503" spans="1:1" x14ac:dyDescent="0.25">
      <c r="A10503" t="str">
        <f t="shared" si="165"/>
        <v/>
      </c>
    </row>
    <row r="10504" spans="1:1" x14ac:dyDescent="0.25">
      <c r="A10504" t="str">
        <f t="shared" si="165"/>
        <v/>
      </c>
    </row>
    <row r="10505" spans="1:1" x14ac:dyDescent="0.25">
      <c r="A10505" t="str">
        <f t="shared" si="165"/>
        <v/>
      </c>
    </row>
    <row r="10506" spans="1:1" x14ac:dyDescent="0.25">
      <c r="A10506" t="str">
        <f t="shared" si="165"/>
        <v/>
      </c>
    </row>
    <row r="10507" spans="1:1" x14ac:dyDescent="0.25">
      <c r="A10507" t="str">
        <f t="shared" si="165"/>
        <v/>
      </c>
    </row>
    <row r="10508" spans="1:1" x14ac:dyDescent="0.25">
      <c r="A10508" t="str">
        <f t="shared" si="165"/>
        <v/>
      </c>
    </row>
    <row r="10509" spans="1:1" x14ac:dyDescent="0.25">
      <c r="A10509" t="str">
        <f t="shared" si="165"/>
        <v/>
      </c>
    </row>
    <row r="10510" spans="1:1" x14ac:dyDescent="0.25">
      <c r="A10510" t="str">
        <f t="shared" si="165"/>
        <v/>
      </c>
    </row>
    <row r="10511" spans="1:1" x14ac:dyDescent="0.25">
      <c r="A10511" t="str">
        <f t="shared" si="165"/>
        <v/>
      </c>
    </row>
    <row r="10512" spans="1:1" x14ac:dyDescent="0.25">
      <c r="A10512" t="str">
        <f t="shared" si="165"/>
        <v/>
      </c>
    </row>
    <row r="10513" spans="1:1" x14ac:dyDescent="0.25">
      <c r="A10513" t="str">
        <f t="shared" si="165"/>
        <v/>
      </c>
    </row>
    <row r="10514" spans="1:1" x14ac:dyDescent="0.25">
      <c r="A10514" t="str">
        <f t="shared" si="165"/>
        <v/>
      </c>
    </row>
    <row r="10515" spans="1:1" x14ac:dyDescent="0.25">
      <c r="A10515" t="str">
        <f t="shared" si="165"/>
        <v/>
      </c>
    </row>
    <row r="10516" spans="1:1" x14ac:dyDescent="0.25">
      <c r="A10516" t="str">
        <f t="shared" si="165"/>
        <v/>
      </c>
    </row>
    <row r="10517" spans="1:1" x14ac:dyDescent="0.25">
      <c r="A10517" t="str">
        <f t="shared" si="165"/>
        <v/>
      </c>
    </row>
    <row r="10518" spans="1:1" x14ac:dyDescent="0.25">
      <c r="A10518" t="str">
        <f t="shared" si="165"/>
        <v/>
      </c>
    </row>
    <row r="10519" spans="1:1" x14ac:dyDescent="0.25">
      <c r="A10519" t="str">
        <f t="shared" si="165"/>
        <v/>
      </c>
    </row>
    <row r="10520" spans="1:1" x14ac:dyDescent="0.25">
      <c r="A10520" t="str">
        <f t="shared" si="165"/>
        <v/>
      </c>
    </row>
    <row r="10521" spans="1:1" x14ac:dyDescent="0.25">
      <c r="A10521" t="str">
        <f t="shared" si="165"/>
        <v/>
      </c>
    </row>
    <row r="10522" spans="1:1" x14ac:dyDescent="0.25">
      <c r="A10522" t="str">
        <f t="shared" si="165"/>
        <v/>
      </c>
    </row>
    <row r="10523" spans="1:1" x14ac:dyDescent="0.25">
      <c r="A10523" t="str">
        <f t="shared" si="165"/>
        <v/>
      </c>
    </row>
    <row r="10524" spans="1:1" x14ac:dyDescent="0.25">
      <c r="A10524" t="str">
        <f t="shared" si="165"/>
        <v/>
      </c>
    </row>
    <row r="10525" spans="1:1" x14ac:dyDescent="0.25">
      <c r="A10525" t="str">
        <f t="shared" si="165"/>
        <v/>
      </c>
    </row>
    <row r="10526" spans="1:1" x14ac:dyDescent="0.25">
      <c r="A10526" t="str">
        <f t="shared" si="165"/>
        <v/>
      </c>
    </row>
    <row r="10527" spans="1:1" x14ac:dyDescent="0.25">
      <c r="A10527" t="str">
        <f t="shared" si="165"/>
        <v/>
      </c>
    </row>
    <row r="10528" spans="1:1" x14ac:dyDescent="0.25">
      <c r="A10528" t="str">
        <f t="shared" si="165"/>
        <v/>
      </c>
    </row>
    <row r="10529" spans="1:1" x14ac:dyDescent="0.25">
      <c r="A10529" t="str">
        <f t="shared" si="165"/>
        <v/>
      </c>
    </row>
    <row r="10530" spans="1:1" x14ac:dyDescent="0.25">
      <c r="A10530" t="str">
        <f t="shared" si="165"/>
        <v/>
      </c>
    </row>
    <row r="10531" spans="1:1" x14ac:dyDescent="0.25">
      <c r="A10531" t="str">
        <f t="shared" si="165"/>
        <v/>
      </c>
    </row>
    <row r="10532" spans="1:1" x14ac:dyDescent="0.25">
      <c r="A10532" t="str">
        <f t="shared" si="165"/>
        <v/>
      </c>
    </row>
    <row r="10533" spans="1:1" x14ac:dyDescent="0.25">
      <c r="A10533" t="str">
        <f t="shared" si="165"/>
        <v/>
      </c>
    </row>
    <row r="10534" spans="1:1" x14ac:dyDescent="0.25">
      <c r="A10534" t="str">
        <f t="shared" si="165"/>
        <v/>
      </c>
    </row>
    <row r="10535" spans="1:1" x14ac:dyDescent="0.25">
      <c r="A10535" t="str">
        <f t="shared" si="165"/>
        <v/>
      </c>
    </row>
    <row r="10536" spans="1:1" x14ac:dyDescent="0.25">
      <c r="A10536" t="str">
        <f t="shared" si="165"/>
        <v/>
      </c>
    </row>
    <row r="10537" spans="1:1" x14ac:dyDescent="0.25">
      <c r="A10537" t="str">
        <f t="shared" si="165"/>
        <v/>
      </c>
    </row>
    <row r="10538" spans="1:1" x14ac:dyDescent="0.25">
      <c r="A10538" t="str">
        <f t="shared" si="165"/>
        <v/>
      </c>
    </row>
    <row r="10539" spans="1:1" x14ac:dyDescent="0.25">
      <c r="A10539" t="str">
        <f t="shared" si="165"/>
        <v/>
      </c>
    </row>
    <row r="10540" spans="1:1" x14ac:dyDescent="0.25">
      <c r="A10540" t="str">
        <f t="shared" si="165"/>
        <v/>
      </c>
    </row>
    <row r="10541" spans="1:1" x14ac:dyDescent="0.25">
      <c r="A10541" t="str">
        <f t="shared" si="165"/>
        <v/>
      </c>
    </row>
    <row r="10542" spans="1:1" x14ac:dyDescent="0.25">
      <c r="A10542" t="str">
        <f t="shared" si="165"/>
        <v/>
      </c>
    </row>
    <row r="10543" spans="1:1" x14ac:dyDescent="0.25">
      <c r="A10543" t="str">
        <f t="shared" si="165"/>
        <v/>
      </c>
    </row>
    <row r="10544" spans="1:1" x14ac:dyDescent="0.25">
      <c r="A10544" t="str">
        <f t="shared" si="165"/>
        <v/>
      </c>
    </row>
    <row r="10545" spans="1:1" x14ac:dyDescent="0.25">
      <c r="A10545" t="str">
        <f t="shared" si="165"/>
        <v/>
      </c>
    </row>
    <row r="10546" spans="1:1" x14ac:dyDescent="0.25">
      <c r="A10546" t="str">
        <f t="shared" si="165"/>
        <v/>
      </c>
    </row>
    <row r="10547" spans="1:1" x14ac:dyDescent="0.25">
      <c r="A10547" t="str">
        <f t="shared" si="165"/>
        <v/>
      </c>
    </row>
    <row r="10548" spans="1:1" x14ac:dyDescent="0.25">
      <c r="A10548" t="str">
        <f t="shared" si="165"/>
        <v/>
      </c>
    </row>
    <row r="10549" spans="1:1" x14ac:dyDescent="0.25">
      <c r="A10549" t="str">
        <f t="shared" ref="A10549:A10612" si="166">B10547&amp;D10547</f>
        <v/>
      </c>
    </row>
    <row r="10550" spans="1:1" x14ac:dyDescent="0.25">
      <c r="A10550" t="str">
        <f t="shared" si="166"/>
        <v/>
      </c>
    </row>
    <row r="10551" spans="1:1" x14ac:dyDescent="0.25">
      <c r="A10551" t="str">
        <f t="shared" si="166"/>
        <v/>
      </c>
    </row>
    <row r="10552" spans="1:1" x14ac:dyDescent="0.25">
      <c r="A10552" t="str">
        <f t="shared" si="166"/>
        <v/>
      </c>
    </row>
    <row r="10553" spans="1:1" x14ac:dyDescent="0.25">
      <c r="A10553" t="str">
        <f t="shared" si="166"/>
        <v/>
      </c>
    </row>
    <row r="10554" spans="1:1" x14ac:dyDescent="0.25">
      <c r="A10554" t="str">
        <f t="shared" si="166"/>
        <v/>
      </c>
    </row>
    <row r="10555" spans="1:1" x14ac:dyDescent="0.25">
      <c r="A10555" t="str">
        <f t="shared" si="166"/>
        <v/>
      </c>
    </row>
    <row r="10556" spans="1:1" x14ac:dyDescent="0.25">
      <c r="A10556" t="str">
        <f t="shared" si="166"/>
        <v/>
      </c>
    </row>
    <row r="10557" spans="1:1" x14ac:dyDescent="0.25">
      <c r="A10557" t="str">
        <f t="shared" si="166"/>
        <v/>
      </c>
    </row>
    <row r="10558" spans="1:1" x14ac:dyDescent="0.25">
      <c r="A10558" t="str">
        <f t="shared" si="166"/>
        <v/>
      </c>
    </row>
    <row r="10559" spans="1:1" x14ac:dyDescent="0.25">
      <c r="A10559" t="str">
        <f t="shared" si="166"/>
        <v/>
      </c>
    </row>
    <row r="10560" spans="1:1" x14ac:dyDescent="0.25">
      <c r="A10560" t="str">
        <f t="shared" si="166"/>
        <v/>
      </c>
    </row>
    <row r="10561" spans="1:1" x14ac:dyDescent="0.25">
      <c r="A10561" t="str">
        <f t="shared" si="166"/>
        <v/>
      </c>
    </row>
    <row r="10562" spans="1:1" x14ac:dyDescent="0.25">
      <c r="A10562" t="str">
        <f t="shared" si="166"/>
        <v/>
      </c>
    </row>
    <row r="10563" spans="1:1" x14ac:dyDescent="0.25">
      <c r="A10563" t="str">
        <f t="shared" si="166"/>
        <v/>
      </c>
    </row>
    <row r="10564" spans="1:1" x14ac:dyDescent="0.25">
      <c r="A10564" t="str">
        <f t="shared" si="166"/>
        <v/>
      </c>
    </row>
    <row r="10565" spans="1:1" x14ac:dyDescent="0.25">
      <c r="A10565" t="str">
        <f t="shared" si="166"/>
        <v/>
      </c>
    </row>
    <row r="10566" spans="1:1" x14ac:dyDescent="0.25">
      <c r="A10566" t="str">
        <f t="shared" si="166"/>
        <v/>
      </c>
    </row>
    <row r="10567" spans="1:1" x14ac:dyDescent="0.25">
      <c r="A10567" t="str">
        <f t="shared" si="166"/>
        <v/>
      </c>
    </row>
    <row r="10568" spans="1:1" x14ac:dyDescent="0.25">
      <c r="A10568" t="str">
        <f t="shared" si="166"/>
        <v/>
      </c>
    </row>
    <row r="10569" spans="1:1" x14ac:dyDescent="0.25">
      <c r="A10569" t="str">
        <f t="shared" si="166"/>
        <v/>
      </c>
    </row>
    <row r="10570" spans="1:1" x14ac:dyDescent="0.25">
      <c r="A10570" t="str">
        <f t="shared" si="166"/>
        <v/>
      </c>
    </row>
    <row r="10571" spans="1:1" x14ac:dyDescent="0.25">
      <c r="A10571" t="str">
        <f t="shared" si="166"/>
        <v/>
      </c>
    </row>
    <row r="10572" spans="1:1" x14ac:dyDescent="0.25">
      <c r="A10572" t="str">
        <f t="shared" si="166"/>
        <v/>
      </c>
    </row>
    <row r="10573" spans="1:1" x14ac:dyDescent="0.25">
      <c r="A10573" t="str">
        <f t="shared" si="166"/>
        <v/>
      </c>
    </row>
    <row r="10574" spans="1:1" x14ac:dyDescent="0.25">
      <c r="A10574" t="str">
        <f t="shared" si="166"/>
        <v/>
      </c>
    </row>
    <row r="10575" spans="1:1" x14ac:dyDescent="0.25">
      <c r="A10575" t="str">
        <f t="shared" si="166"/>
        <v/>
      </c>
    </row>
    <row r="10576" spans="1:1" x14ac:dyDescent="0.25">
      <c r="A10576" t="str">
        <f t="shared" si="166"/>
        <v/>
      </c>
    </row>
    <row r="10577" spans="1:1" x14ac:dyDescent="0.25">
      <c r="A10577" t="str">
        <f t="shared" si="166"/>
        <v/>
      </c>
    </row>
    <row r="10578" spans="1:1" x14ac:dyDescent="0.25">
      <c r="A10578" t="str">
        <f t="shared" si="166"/>
        <v/>
      </c>
    </row>
    <row r="10579" spans="1:1" x14ac:dyDescent="0.25">
      <c r="A10579" t="str">
        <f t="shared" si="166"/>
        <v/>
      </c>
    </row>
    <row r="10580" spans="1:1" x14ac:dyDescent="0.25">
      <c r="A10580" t="str">
        <f t="shared" si="166"/>
        <v/>
      </c>
    </row>
    <row r="10581" spans="1:1" x14ac:dyDescent="0.25">
      <c r="A10581" t="str">
        <f t="shared" si="166"/>
        <v/>
      </c>
    </row>
    <row r="10582" spans="1:1" x14ac:dyDescent="0.25">
      <c r="A10582" t="str">
        <f t="shared" si="166"/>
        <v/>
      </c>
    </row>
    <row r="10583" spans="1:1" x14ac:dyDescent="0.25">
      <c r="A10583" t="str">
        <f t="shared" si="166"/>
        <v/>
      </c>
    </row>
    <row r="10584" spans="1:1" x14ac:dyDescent="0.25">
      <c r="A10584" t="str">
        <f t="shared" si="166"/>
        <v/>
      </c>
    </row>
    <row r="10585" spans="1:1" x14ac:dyDescent="0.25">
      <c r="A10585" t="str">
        <f t="shared" si="166"/>
        <v/>
      </c>
    </row>
    <row r="10586" spans="1:1" x14ac:dyDescent="0.25">
      <c r="A10586" t="str">
        <f t="shared" si="166"/>
        <v/>
      </c>
    </row>
    <row r="10587" spans="1:1" x14ac:dyDescent="0.25">
      <c r="A10587" t="str">
        <f t="shared" si="166"/>
        <v/>
      </c>
    </row>
    <row r="10588" spans="1:1" x14ac:dyDescent="0.25">
      <c r="A10588" t="str">
        <f t="shared" si="166"/>
        <v/>
      </c>
    </row>
    <row r="10589" spans="1:1" x14ac:dyDescent="0.25">
      <c r="A10589" t="str">
        <f t="shared" si="166"/>
        <v/>
      </c>
    </row>
    <row r="10590" spans="1:1" x14ac:dyDescent="0.25">
      <c r="A10590" t="str">
        <f t="shared" si="166"/>
        <v/>
      </c>
    </row>
    <row r="10591" spans="1:1" x14ac:dyDescent="0.25">
      <c r="A10591" t="str">
        <f t="shared" si="166"/>
        <v/>
      </c>
    </row>
    <row r="10592" spans="1:1" x14ac:dyDescent="0.25">
      <c r="A10592" t="str">
        <f t="shared" si="166"/>
        <v/>
      </c>
    </row>
    <row r="10593" spans="1:1" x14ac:dyDescent="0.25">
      <c r="A10593" t="str">
        <f t="shared" si="166"/>
        <v/>
      </c>
    </row>
    <row r="10594" spans="1:1" x14ac:dyDescent="0.25">
      <c r="A10594" t="str">
        <f t="shared" si="166"/>
        <v/>
      </c>
    </row>
    <row r="10595" spans="1:1" x14ac:dyDescent="0.25">
      <c r="A10595" t="str">
        <f t="shared" si="166"/>
        <v/>
      </c>
    </row>
    <row r="10596" spans="1:1" x14ac:dyDescent="0.25">
      <c r="A10596" t="str">
        <f t="shared" si="166"/>
        <v/>
      </c>
    </row>
    <row r="10597" spans="1:1" x14ac:dyDescent="0.25">
      <c r="A10597" t="str">
        <f t="shared" si="166"/>
        <v/>
      </c>
    </row>
    <row r="10598" spans="1:1" x14ac:dyDescent="0.25">
      <c r="A10598" t="str">
        <f t="shared" si="166"/>
        <v/>
      </c>
    </row>
    <row r="10599" spans="1:1" x14ac:dyDescent="0.25">
      <c r="A10599" t="str">
        <f t="shared" si="166"/>
        <v/>
      </c>
    </row>
    <row r="10600" spans="1:1" x14ac:dyDescent="0.25">
      <c r="A10600" t="str">
        <f t="shared" si="166"/>
        <v/>
      </c>
    </row>
    <row r="10601" spans="1:1" x14ac:dyDescent="0.25">
      <c r="A10601" t="str">
        <f t="shared" si="166"/>
        <v/>
      </c>
    </row>
    <row r="10602" spans="1:1" x14ac:dyDescent="0.25">
      <c r="A10602" t="str">
        <f t="shared" si="166"/>
        <v/>
      </c>
    </row>
    <row r="10603" spans="1:1" x14ac:dyDescent="0.25">
      <c r="A10603" t="str">
        <f t="shared" si="166"/>
        <v/>
      </c>
    </row>
    <row r="10604" spans="1:1" x14ac:dyDescent="0.25">
      <c r="A10604" t="str">
        <f t="shared" si="166"/>
        <v/>
      </c>
    </row>
    <row r="10605" spans="1:1" x14ac:dyDescent="0.25">
      <c r="A10605" t="str">
        <f t="shared" si="166"/>
        <v/>
      </c>
    </row>
    <row r="10606" spans="1:1" x14ac:dyDescent="0.25">
      <c r="A10606" t="str">
        <f t="shared" si="166"/>
        <v/>
      </c>
    </row>
    <row r="10607" spans="1:1" x14ac:dyDescent="0.25">
      <c r="A10607" t="str">
        <f t="shared" si="166"/>
        <v/>
      </c>
    </row>
    <row r="10608" spans="1:1" x14ac:dyDescent="0.25">
      <c r="A10608" t="str">
        <f t="shared" si="166"/>
        <v/>
      </c>
    </row>
    <row r="10609" spans="1:1" x14ac:dyDescent="0.25">
      <c r="A10609" t="str">
        <f t="shared" si="166"/>
        <v/>
      </c>
    </row>
    <row r="10610" spans="1:1" x14ac:dyDescent="0.25">
      <c r="A10610" t="str">
        <f t="shared" si="166"/>
        <v/>
      </c>
    </row>
    <row r="10611" spans="1:1" x14ac:dyDescent="0.25">
      <c r="A10611" t="str">
        <f t="shared" si="166"/>
        <v/>
      </c>
    </row>
    <row r="10612" spans="1:1" x14ac:dyDescent="0.25">
      <c r="A10612" t="str">
        <f t="shared" si="166"/>
        <v/>
      </c>
    </row>
    <row r="10613" spans="1:1" x14ac:dyDescent="0.25">
      <c r="A10613" t="str">
        <f t="shared" ref="A10613:A10676" si="167">B10611&amp;D10611</f>
        <v/>
      </c>
    </row>
    <row r="10614" spans="1:1" x14ac:dyDescent="0.25">
      <c r="A10614" t="str">
        <f t="shared" si="167"/>
        <v/>
      </c>
    </row>
    <row r="10615" spans="1:1" x14ac:dyDescent="0.25">
      <c r="A10615" t="str">
        <f t="shared" si="167"/>
        <v/>
      </c>
    </row>
    <row r="10616" spans="1:1" x14ac:dyDescent="0.25">
      <c r="A10616" t="str">
        <f t="shared" si="167"/>
        <v/>
      </c>
    </row>
    <row r="10617" spans="1:1" x14ac:dyDescent="0.25">
      <c r="A10617" t="str">
        <f t="shared" si="167"/>
        <v/>
      </c>
    </row>
    <row r="10618" spans="1:1" x14ac:dyDescent="0.25">
      <c r="A10618" t="str">
        <f t="shared" si="167"/>
        <v/>
      </c>
    </row>
    <row r="10619" spans="1:1" x14ac:dyDescent="0.25">
      <c r="A10619" t="str">
        <f t="shared" si="167"/>
        <v/>
      </c>
    </row>
    <row r="10620" spans="1:1" x14ac:dyDescent="0.25">
      <c r="A10620" t="str">
        <f t="shared" si="167"/>
        <v/>
      </c>
    </row>
    <row r="10621" spans="1:1" x14ac:dyDescent="0.25">
      <c r="A10621" t="str">
        <f t="shared" si="167"/>
        <v/>
      </c>
    </row>
    <row r="10622" spans="1:1" x14ac:dyDescent="0.25">
      <c r="A10622" t="str">
        <f t="shared" si="167"/>
        <v/>
      </c>
    </row>
    <row r="10623" spans="1:1" x14ac:dyDescent="0.25">
      <c r="A10623" t="str">
        <f t="shared" si="167"/>
        <v/>
      </c>
    </row>
    <row r="10624" spans="1:1" x14ac:dyDescent="0.25">
      <c r="A10624" t="str">
        <f t="shared" si="167"/>
        <v/>
      </c>
    </row>
    <row r="10625" spans="1:1" x14ac:dyDescent="0.25">
      <c r="A10625" t="str">
        <f t="shared" si="167"/>
        <v/>
      </c>
    </row>
    <row r="10626" spans="1:1" x14ac:dyDescent="0.25">
      <c r="A10626" t="str">
        <f t="shared" si="167"/>
        <v/>
      </c>
    </row>
    <row r="10627" spans="1:1" x14ac:dyDescent="0.25">
      <c r="A10627" t="str">
        <f t="shared" si="167"/>
        <v/>
      </c>
    </row>
    <row r="10628" spans="1:1" x14ac:dyDescent="0.25">
      <c r="A10628" t="str">
        <f t="shared" si="167"/>
        <v/>
      </c>
    </row>
    <row r="10629" spans="1:1" x14ac:dyDescent="0.25">
      <c r="A10629" t="str">
        <f t="shared" si="167"/>
        <v/>
      </c>
    </row>
    <row r="10630" spans="1:1" x14ac:dyDescent="0.25">
      <c r="A10630" t="str">
        <f t="shared" si="167"/>
        <v/>
      </c>
    </row>
    <row r="10631" spans="1:1" x14ac:dyDescent="0.25">
      <c r="A10631" t="str">
        <f t="shared" si="167"/>
        <v/>
      </c>
    </row>
    <row r="10632" spans="1:1" x14ac:dyDescent="0.25">
      <c r="A10632" t="str">
        <f t="shared" si="167"/>
        <v/>
      </c>
    </row>
    <row r="10633" spans="1:1" x14ac:dyDescent="0.25">
      <c r="A10633" t="str">
        <f t="shared" si="167"/>
        <v/>
      </c>
    </row>
    <row r="10634" spans="1:1" x14ac:dyDescent="0.25">
      <c r="A10634" t="str">
        <f t="shared" si="167"/>
        <v/>
      </c>
    </row>
    <row r="10635" spans="1:1" x14ac:dyDescent="0.25">
      <c r="A10635" t="str">
        <f t="shared" si="167"/>
        <v/>
      </c>
    </row>
    <row r="10636" spans="1:1" x14ac:dyDescent="0.25">
      <c r="A10636" t="str">
        <f t="shared" si="167"/>
        <v/>
      </c>
    </row>
    <row r="10637" spans="1:1" x14ac:dyDescent="0.25">
      <c r="A10637" t="str">
        <f t="shared" si="167"/>
        <v/>
      </c>
    </row>
    <row r="10638" spans="1:1" x14ac:dyDescent="0.25">
      <c r="A10638" t="str">
        <f t="shared" si="167"/>
        <v/>
      </c>
    </row>
    <row r="10639" spans="1:1" x14ac:dyDescent="0.25">
      <c r="A10639" t="str">
        <f t="shared" si="167"/>
        <v/>
      </c>
    </row>
    <row r="10640" spans="1:1" x14ac:dyDescent="0.25">
      <c r="A10640" t="str">
        <f t="shared" si="167"/>
        <v/>
      </c>
    </row>
    <row r="10641" spans="1:1" x14ac:dyDescent="0.25">
      <c r="A10641" t="str">
        <f t="shared" si="167"/>
        <v/>
      </c>
    </row>
    <row r="10642" spans="1:1" x14ac:dyDescent="0.25">
      <c r="A10642" t="str">
        <f t="shared" si="167"/>
        <v/>
      </c>
    </row>
    <row r="10643" spans="1:1" x14ac:dyDescent="0.25">
      <c r="A10643" t="str">
        <f t="shared" si="167"/>
        <v/>
      </c>
    </row>
    <row r="10644" spans="1:1" x14ac:dyDescent="0.25">
      <c r="A10644" t="str">
        <f t="shared" si="167"/>
        <v/>
      </c>
    </row>
    <row r="10645" spans="1:1" x14ac:dyDescent="0.25">
      <c r="A10645" t="str">
        <f t="shared" si="167"/>
        <v/>
      </c>
    </row>
    <row r="10646" spans="1:1" x14ac:dyDescent="0.25">
      <c r="A10646" t="str">
        <f t="shared" si="167"/>
        <v/>
      </c>
    </row>
    <row r="10647" spans="1:1" x14ac:dyDescent="0.25">
      <c r="A10647" t="str">
        <f t="shared" si="167"/>
        <v/>
      </c>
    </row>
    <row r="10648" spans="1:1" x14ac:dyDescent="0.25">
      <c r="A10648" t="str">
        <f t="shared" si="167"/>
        <v/>
      </c>
    </row>
    <row r="10649" spans="1:1" x14ac:dyDescent="0.25">
      <c r="A10649" t="str">
        <f t="shared" si="167"/>
        <v/>
      </c>
    </row>
    <row r="10650" spans="1:1" x14ac:dyDescent="0.25">
      <c r="A10650" t="str">
        <f t="shared" si="167"/>
        <v/>
      </c>
    </row>
    <row r="10651" spans="1:1" x14ac:dyDescent="0.25">
      <c r="A10651" t="str">
        <f t="shared" si="167"/>
        <v/>
      </c>
    </row>
    <row r="10652" spans="1:1" x14ac:dyDescent="0.25">
      <c r="A10652" t="str">
        <f t="shared" si="167"/>
        <v/>
      </c>
    </row>
    <row r="10653" spans="1:1" x14ac:dyDescent="0.25">
      <c r="A10653" t="str">
        <f t="shared" si="167"/>
        <v/>
      </c>
    </row>
    <row r="10654" spans="1:1" x14ac:dyDescent="0.25">
      <c r="A10654" t="str">
        <f t="shared" si="167"/>
        <v/>
      </c>
    </row>
    <row r="10655" spans="1:1" x14ac:dyDescent="0.25">
      <c r="A10655" t="str">
        <f t="shared" si="167"/>
        <v/>
      </c>
    </row>
    <row r="10656" spans="1:1" x14ac:dyDescent="0.25">
      <c r="A10656" t="str">
        <f t="shared" si="167"/>
        <v/>
      </c>
    </row>
    <row r="10657" spans="1:1" x14ac:dyDescent="0.25">
      <c r="A10657" t="str">
        <f t="shared" si="167"/>
        <v/>
      </c>
    </row>
    <row r="10658" spans="1:1" x14ac:dyDescent="0.25">
      <c r="A10658" t="str">
        <f t="shared" si="167"/>
        <v/>
      </c>
    </row>
    <row r="10659" spans="1:1" x14ac:dyDescent="0.25">
      <c r="A10659" t="str">
        <f t="shared" si="167"/>
        <v/>
      </c>
    </row>
    <row r="10660" spans="1:1" x14ac:dyDescent="0.25">
      <c r="A10660" t="str">
        <f t="shared" si="167"/>
        <v/>
      </c>
    </row>
    <row r="10661" spans="1:1" x14ac:dyDescent="0.25">
      <c r="A10661" t="str">
        <f t="shared" si="167"/>
        <v/>
      </c>
    </row>
    <row r="10662" spans="1:1" x14ac:dyDescent="0.25">
      <c r="A10662" t="str">
        <f t="shared" si="167"/>
        <v/>
      </c>
    </row>
    <row r="10663" spans="1:1" x14ac:dyDescent="0.25">
      <c r="A10663" t="str">
        <f t="shared" si="167"/>
        <v/>
      </c>
    </row>
    <row r="10664" spans="1:1" x14ac:dyDescent="0.25">
      <c r="A10664" t="str">
        <f t="shared" si="167"/>
        <v/>
      </c>
    </row>
    <row r="10665" spans="1:1" x14ac:dyDescent="0.25">
      <c r="A10665" t="str">
        <f t="shared" si="167"/>
        <v/>
      </c>
    </row>
    <row r="10666" spans="1:1" x14ac:dyDescent="0.25">
      <c r="A10666" t="str">
        <f t="shared" si="167"/>
        <v/>
      </c>
    </row>
    <row r="10667" spans="1:1" x14ac:dyDescent="0.25">
      <c r="A10667" t="str">
        <f t="shared" si="167"/>
        <v/>
      </c>
    </row>
    <row r="10668" spans="1:1" x14ac:dyDescent="0.25">
      <c r="A10668" t="str">
        <f t="shared" si="167"/>
        <v/>
      </c>
    </row>
    <row r="10669" spans="1:1" x14ac:dyDescent="0.25">
      <c r="A10669" t="str">
        <f t="shared" si="167"/>
        <v/>
      </c>
    </row>
    <row r="10670" spans="1:1" x14ac:dyDescent="0.25">
      <c r="A10670" t="str">
        <f t="shared" si="167"/>
        <v/>
      </c>
    </row>
    <row r="10671" spans="1:1" x14ac:dyDescent="0.25">
      <c r="A10671" t="str">
        <f t="shared" si="167"/>
        <v/>
      </c>
    </row>
    <row r="10672" spans="1:1" x14ac:dyDescent="0.25">
      <c r="A10672" t="str">
        <f t="shared" si="167"/>
        <v/>
      </c>
    </row>
    <row r="10673" spans="1:1" x14ac:dyDescent="0.25">
      <c r="A10673" t="str">
        <f t="shared" si="167"/>
        <v/>
      </c>
    </row>
    <row r="10674" spans="1:1" x14ac:dyDescent="0.25">
      <c r="A10674" t="str">
        <f t="shared" si="167"/>
        <v/>
      </c>
    </row>
    <row r="10675" spans="1:1" x14ac:dyDescent="0.25">
      <c r="A10675" t="str">
        <f t="shared" si="167"/>
        <v/>
      </c>
    </row>
    <row r="10676" spans="1:1" x14ac:dyDescent="0.25">
      <c r="A10676" t="str">
        <f t="shared" si="167"/>
        <v/>
      </c>
    </row>
    <row r="10677" spans="1:1" x14ac:dyDescent="0.25">
      <c r="A10677" t="str">
        <f t="shared" ref="A10677:A10740" si="168">B10675&amp;D10675</f>
        <v/>
      </c>
    </row>
    <row r="10678" spans="1:1" x14ac:dyDescent="0.25">
      <c r="A10678" t="str">
        <f t="shared" si="168"/>
        <v/>
      </c>
    </row>
    <row r="10679" spans="1:1" x14ac:dyDescent="0.25">
      <c r="A10679" t="str">
        <f t="shared" si="168"/>
        <v/>
      </c>
    </row>
    <row r="10680" spans="1:1" x14ac:dyDescent="0.25">
      <c r="A10680" t="str">
        <f t="shared" si="168"/>
        <v/>
      </c>
    </row>
    <row r="10681" spans="1:1" x14ac:dyDescent="0.25">
      <c r="A10681" t="str">
        <f t="shared" si="168"/>
        <v/>
      </c>
    </row>
    <row r="10682" spans="1:1" x14ac:dyDescent="0.25">
      <c r="A10682" t="str">
        <f t="shared" si="168"/>
        <v/>
      </c>
    </row>
    <row r="10683" spans="1:1" x14ac:dyDescent="0.25">
      <c r="A10683" t="str">
        <f t="shared" si="168"/>
        <v/>
      </c>
    </row>
    <row r="10684" spans="1:1" x14ac:dyDescent="0.25">
      <c r="A10684" t="str">
        <f t="shared" si="168"/>
        <v/>
      </c>
    </row>
    <row r="10685" spans="1:1" x14ac:dyDescent="0.25">
      <c r="A10685" t="str">
        <f t="shared" si="168"/>
        <v/>
      </c>
    </row>
    <row r="10686" spans="1:1" x14ac:dyDescent="0.25">
      <c r="A10686" t="str">
        <f t="shared" si="168"/>
        <v/>
      </c>
    </row>
    <row r="10687" spans="1:1" x14ac:dyDescent="0.25">
      <c r="A10687" t="str">
        <f t="shared" si="168"/>
        <v/>
      </c>
    </row>
    <row r="10688" spans="1:1" x14ac:dyDescent="0.25">
      <c r="A10688" t="str">
        <f t="shared" si="168"/>
        <v/>
      </c>
    </row>
    <row r="10689" spans="1:1" x14ac:dyDescent="0.25">
      <c r="A10689" t="str">
        <f t="shared" si="168"/>
        <v/>
      </c>
    </row>
    <row r="10690" spans="1:1" x14ac:dyDescent="0.25">
      <c r="A10690" t="str">
        <f t="shared" si="168"/>
        <v/>
      </c>
    </row>
    <row r="10691" spans="1:1" x14ac:dyDescent="0.25">
      <c r="A10691" t="str">
        <f t="shared" si="168"/>
        <v/>
      </c>
    </row>
    <row r="10692" spans="1:1" x14ac:dyDescent="0.25">
      <c r="A10692" t="str">
        <f t="shared" si="168"/>
        <v/>
      </c>
    </row>
    <row r="10693" spans="1:1" x14ac:dyDescent="0.25">
      <c r="A10693" t="str">
        <f t="shared" si="168"/>
        <v/>
      </c>
    </row>
    <row r="10694" spans="1:1" x14ac:dyDescent="0.25">
      <c r="A10694" t="str">
        <f t="shared" si="168"/>
        <v/>
      </c>
    </row>
    <row r="10695" spans="1:1" x14ac:dyDescent="0.25">
      <c r="A10695" t="str">
        <f t="shared" si="168"/>
        <v/>
      </c>
    </row>
    <row r="10696" spans="1:1" x14ac:dyDescent="0.25">
      <c r="A10696" t="str">
        <f t="shared" si="168"/>
        <v/>
      </c>
    </row>
    <row r="10697" spans="1:1" x14ac:dyDescent="0.25">
      <c r="A10697" t="str">
        <f t="shared" si="168"/>
        <v/>
      </c>
    </row>
    <row r="10698" spans="1:1" x14ac:dyDescent="0.25">
      <c r="A10698" t="str">
        <f t="shared" si="168"/>
        <v/>
      </c>
    </row>
    <row r="10699" spans="1:1" x14ac:dyDescent="0.25">
      <c r="A10699" t="str">
        <f t="shared" si="168"/>
        <v/>
      </c>
    </row>
    <row r="10700" spans="1:1" x14ac:dyDescent="0.25">
      <c r="A10700" t="str">
        <f t="shared" si="168"/>
        <v/>
      </c>
    </row>
    <row r="10701" spans="1:1" x14ac:dyDescent="0.25">
      <c r="A10701" t="str">
        <f t="shared" si="168"/>
        <v/>
      </c>
    </row>
    <row r="10702" spans="1:1" x14ac:dyDescent="0.25">
      <c r="A10702" t="str">
        <f t="shared" si="168"/>
        <v/>
      </c>
    </row>
    <row r="10703" spans="1:1" x14ac:dyDescent="0.25">
      <c r="A10703" t="str">
        <f t="shared" si="168"/>
        <v/>
      </c>
    </row>
    <row r="10704" spans="1:1" x14ac:dyDescent="0.25">
      <c r="A10704" t="str">
        <f t="shared" si="168"/>
        <v/>
      </c>
    </row>
    <row r="10705" spans="1:1" x14ac:dyDescent="0.25">
      <c r="A10705" t="str">
        <f t="shared" si="168"/>
        <v/>
      </c>
    </row>
    <row r="10706" spans="1:1" x14ac:dyDescent="0.25">
      <c r="A10706" t="str">
        <f t="shared" si="168"/>
        <v/>
      </c>
    </row>
    <row r="10707" spans="1:1" x14ac:dyDescent="0.25">
      <c r="A10707" t="str">
        <f t="shared" si="168"/>
        <v/>
      </c>
    </row>
    <row r="10708" spans="1:1" x14ac:dyDescent="0.25">
      <c r="A10708" t="str">
        <f t="shared" si="168"/>
        <v/>
      </c>
    </row>
    <row r="10709" spans="1:1" x14ac:dyDescent="0.25">
      <c r="A10709" t="str">
        <f t="shared" si="168"/>
        <v/>
      </c>
    </row>
    <row r="10710" spans="1:1" x14ac:dyDescent="0.25">
      <c r="A10710" t="str">
        <f t="shared" si="168"/>
        <v/>
      </c>
    </row>
    <row r="10711" spans="1:1" x14ac:dyDescent="0.25">
      <c r="A10711" t="str">
        <f t="shared" si="168"/>
        <v/>
      </c>
    </row>
    <row r="10712" spans="1:1" x14ac:dyDescent="0.25">
      <c r="A10712" t="str">
        <f t="shared" si="168"/>
        <v/>
      </c>
    </row>
    <row r="10713" spans="1:1" x14ac:dyDescent="0.25">
      <c r="A10713" t="str">
        <f t="shared" si="168"/>
        <v/>
      </c>
    </row>
    <row r="10714" spans="1:1" x14ac:dyDescent="0.25">
      <c r="A10714" t="str">
        <f t="shared" si="168"/>
        <v/>
      </c>
    </row>
    <row r="10715" spans="1:1" x14ac:dyDescent="0.25">
      <c r="A10715" t="str">
        <f t="shared" si="168"/>
        <v/>
      </c>
    </row>
    <row r="10716" spans="1:1" x14ac:dyDescent="0.25">
      <c r="A10716" t="str">
        <f t="shared" si="168"/>
        <v/>
      </c>
    </row>
    <row r="10717" spans="1:1" x14ac:dyDescent="0.25">
      <c r="A10717" t="str">
        <f t="shared" si="168"/>
        <v/>
      </c>
    </row>
    <row r="10718" spans="1:1" x14ac:dyDescent="0.25">
      <c r="A10718" t="str">
        <f t="shared" si="168"/>
        <v/>
      </c>
    </row>
    <row r="10719" spans="1:1" x14ac:dyDescent="0.25">
      <c r="A10719" t="str">
        <f t="shared" si="168"/>
        <v/>
      </c>
    </row>
    <row r="10720" spans="1:1" x14ac:dyDescent="0.25">
      <c r="A10720" t="str">
        <f t="shared" si="168"/>
        <v/>
      </c>
    </row>
    <row r="10721" spans="1:1" x14ac:dyDescent="0.25">
      <c r="A10721" t="str">
        <f t="shared" si="168"/>
        <v/>
      </c>
    </row>
    <row r="10722" spans="1:1" x14ac:dyDescent="0.25">
      <c r="A10722" t="str">
        <f t="shared" si="168"/>
        <v/>
      </c>
    </row>
    <row r="10723" spans="1:1" x14ac:dyDescent="0.25">
      <c r="A10723" t="str">
        <f t="shared" si="168"/>
        <v/>
      </c>
    </row>
    <row r="10724" spans="1:1" x14ac:dyDescent="0.25">
      <c r="A10724" t="str">
        <f t="shared" si="168"/>
        <v/>
      </c>
    </row>
    <row r="10725" spans="1:1" x14ac:dyDescent="0.25">
      <c r="A10725" t="str">
        <f t="shared" si="168"/>
        <v/>
      </c>
    </row>
    <row r="10726" spans="1:1" x14ac:dyDescent="0.25">
      <c r="A10726" t="str">
        <f t="shared" si="168"/>
        <v/>
      </c>
    </row>
    <row r="10727" spans="1:1" x14ac:dyDescent="0.25">
      <c r="A10727" t="str">
        <f t="shared" si="168"/>
        <v/>
      </c>
    </row>
    <row r="10728" spans="1:1" x14ac:dyDescent="0.25">
      <c r="A10728" t="str">
        <f t="shared" si="168"/>
        <v/>
      </c>
    </row>
    <row r="10729" spans="1:1" x14ac:dyDescent="0.25">
      <c r="A10729" t="str">
        <f t="shared" si="168"/>
        <v/>
      </c>
    </row>
    <row r="10730" spans="1:1" x14ac:dyDescent="0.25">
      <c r="A10730" t="str">
        <f t="shared" si="168"/>
        <v/>
      </c>
    </row>
    <row r="10731" spans="1:1" x14ac:dyDescent="0.25">
      <c r="A10731" t="str">
        <f t="shared" si="168"/>
        <v/>
      </c>
    </row>
    <row r="10732" spans="1:1" x14ac:dyDescent="0.25">
      <c r="A10732" t="str">
        <f t="shared" si="168"/>
        <v/>
      </c>
    </row>
    <row r="10733" spans="1:1" x14ac:dyDescent="0.25">
      <c r="A10733" t="str">
        <f t="shared" si="168"/>
        <v/>
      </c>
    </row>
    <row r="10734" spans="1:1" x14ac:dyDescent="0.25">
      <c r="A10734" t="str">
        <f t="shared" si="168"/>
        <v/>
      </c>
    </row>
    <row r="10735" spans="1:1" x14ac:dyDescent="0.25">
      <c r="A10735" t="str">
        <f t="shared" si="168"/>
        <v/>
      </c>
    </row>
    <row r="10736" spans="1:1" x14ac:dyDescent="0.25">
      <c r="A10736" t="str">
        <f t="shared" si="168"/>
        <v/>
      </c>
    </row>
    <row r="10737" spans="1:1" x14ac:dyDescent="0.25">
      <c r="A10737" t="str">
        <f t="shared" si="168"/>
        <v/>
      </c>
    </row>
    <row r="10738" spans="1:1" x14ac:dyDescent="0.25">
      <c r="A10738" t="str">
        <f t="shared" si="168"/>
        <v/>
      </c>
    </row>
    <row r="10739" spans="1:1" x14ac:dyDescent="0.25">
      <c r="A10739" t="str">
        <f t="shared" si="168"/>
        <v/>
      </c>
    </row>
    <row r="10740" spans="1:1" x14ac:dyDescent="0.25">
      <c r="A10740" t="str">
        <f t="shared" si="168"/>
        <v/>
      </c>
    </row>
    <row r="10741" spans="1:1" x14ac:dyDescent="0.25">
      <c r="A10741" t="str">
        <f t="shared" ref="A10741:A10804" si="169">B10739&amp;D10739</f>
        <v/>
      </c>
    </row>
    <row r="10742" spans="1:1" x14ac:dyDescent="0.25">
      <c r="A10742" t="str">
        <f t="shared" si="169"/>
        <v/>
      </c>
    </row>
    <row r="10743" spans="1:1" x14ac:dyDescent="0.25">
      <c r="A10743" t="str">
        <f t="shared" si="169"/>
        <v/>
      </c>
    </row>
    <row r="10744" spans="1:1" x14ac:dyDescent="0.25">
      <c r="A10744" t="str">
        <f t="shared" si="169"/>
        <v/>
      </c>
    </row>
    <row r="10745" spans="1:1" x14ac:dyDescent="0.25">
      <c r="A10745" t="str">
        <f t="shared" si="169"/>
        <v/>
      </c>
    </row>
    <row r="10746" spans="1:1" x14ac:dyDescent="0.25">
      <c r="A10746" t="str">
        <f t="shared" si="169"/>
        <v/>
      </c>
    </row>
    <row r="10747" spans="1:1" x14ac:dyDescent="0.25">
      <c r="A10747" t="str">
        <f t="shared" si="169"/>
        <v/>
      </c>
    </row>
    <row r="10748" spans="1:1" x14ac:dyDescent="0.25">
      <c r="A10748" t="str">
        <f t="shared" si="169"/>
        <v/>
      </c>
    </row>
    <row r="10749" spans="1:1" x14ac:dyDescent="0.25">
      <c r="A10749" t="str">
        <f t="shared" si="169"/>
        <v/>
      </c>
    </row>
    <row r="10750" spans="1:1" x14ac:dyDescent="0.25">
      <c r="A10750" t="str">
        <f t="shared" si="169"/>
        <v/>
      </c>
    </row>
    <row r="10751" spans="1:1" x14ac:dyDescent="0.25">
      <c r="A10751" t="str">
        <f t="shared" si="169"/>
        <v/>
      </c>
    </row>
    <row r="10752" spans="1:1" x14ac:dyDescent="0.25">
      <c r="A10752" t="str">
        <f t="shared" si="169"/>
        <v/>
      </c>
    </row>
    <row r="10753" spans="1:1" x14ac:dyDescent="0.25">
      <c r="A10753" t="str">
        <f t="shared" si="169"/>
        <v/>
      </c>
    </row>
    <row r="10754" spans="1:1" x14ac:dyDescent="0.25">
      <c r="A10754" t="str">
        <f t="shared" si="169"/>
        <v/>
      </c>
    </row>
    <row r="10755" spans="1:1" x14ac:dyDescent="0.25">
      <c r="A10755" t="str">
        <f t="shared" si="169"/>
        <v/>
      </c>
    </row>
    <row r="10756" spans="1:1" x14ac:dyDescent="0.25">
      <c r="A10756" t="str">
        <f t="shared" si="169"/>
        <v/>
      </c>
    </row>
    <row r="10757" spans="1:1" x14ac:dyDescent="0.25">
      <c r="A10757" t="str">
        <f t="shared" si="169"/>
        <v/>
      </c>
    </row>
    <row r="10758" spans="1:1" x14ac:dyDescent="0.25">
      <c r="A10758" t="str">
        <f t="shared" si="169"/>
        <v/>
      </c>
    </row>
    <row r="10759" spans="1:1" x14ac:dyDescent="0.25">
      <c r="A10759" t="str">
        <f t="shared" si="169"/>
        <v/>
      </c>
    </row>
    <row r="10760" spans="1:1" x14ac:dyDescent="0.25">
      <c r="A10760" t="str">
        <f t="shared" si="169"/>
        <v/>
      </c>
    </row>
    <row r="10761" spans="1:1" x14ac:dyDescent="0.25">
      <c r="A10761" t="str">
        <f t="shared" si="169"/>
        <v/>
      </c>
    </row>
    <row r="10762" spans="1:1" x14ac:dyDescent="0.25">
      <c r="A10762" t="str">
        <f t="shared" si="169"/>
        <v/>
      </c>
    </row>
    <row r="10763" spans="1:1" x14ac:dyDescent="0.25">
      <c r="A10763" t="str">
        <f t="shared" si="169"/>
        <v/>
      </c>
    </row>
    <row r="10764" spans="1:1" x14ac:dyDescent="0.25">
      <c r="A10764" t="str">
        <f t="shared" si="169"/>
        <v/>
      </c>
    </row>
    <row r="10765" spans="1:1" x14ac:dyDescent="0.25">
      <c r="A10765" t="str">
        <f t="shared" si="169"/>
        <v/>
      </c>
    </row>
    <row r="10766" spans="1:1" x14ac:dyDescent="0.25">
      <c r="A10766" t="str">
        <f t="shared" si="169"/>
        <v/>
      </c>
    </row>
    <row r="10767" spans="1:1" x14ac:dyDescent="0.25">
      <c r="A10767" t="str">
        <f t="shared" si="169"/>
        <v/>
      </c>
    </row>
    <row r="10768" spans="1:1" x14ac:dyDescent="0.25">
      <c r="A10768" t="str">
        <f t="shared" si="169"/>
        <v/>
      </c>
    </row>
    <row r="10769" spans="1:1" x14ac:dyDescent="0.25">
      <c r="A10769" t="str">
        <f t="shared" si="169"/>
        <v/>
      </c>
    </row>
    <row r="10770" spans="1:1" x14ac:dyDescent="0.25">
      <c r="A10770" t="str">
        <f t="shared" si="169"/>
        <v/>
      </c>
    </row>
    <row r="10771" spans="1:1" x14ac:dyDescent="0.25">
      <c r="A10771" t="str">
        <f t="shared" si="169"/>
        <v/>
      </c>
    </row>
    <row r="10772" spans="1:1" x14ac:dyDescent="0.25">
      <c r="A10772" t="str">
        <f t="shared" si="169"/>
        <v/>
      </c>
    </row>
    <row r="10773" spans="1:1" x14ac:dyDescent="0.25">
      <c r="A10773" t="str">
        <f t="shared" si="169"/>
        <v/>
      </c>
    </row>
    <row r="10774" spans="1:1" x14ac:dyDescent="0.25">
      <c r="A10774" t="str">
        <f t="shared" si="169"/>
        <v/>
      </c>
    </row>
    <row r="10775" spans="1:1" x14ac:dyDescent="0.25">
      <c r="A10775" t="str">
        <f t="shared" si="169"/>
        <v/>
      </c>
    </row>
    <row r="10776" spans="1:1" x14ac:dyDescent="0.25">
      <c r="A10776" t="str">
        <f t="shared" si="169"/>
        <v/>
      </c>
    </row>
    <row r="10777" spans="1:1" x14ac:dyDescent="0.25">
      <c r="A10777" t="str">
        <f t="shared" si="169"/>
        <v/>
      </c>
    </row>
    <row r="10778" spans="1:1" x14ac:dyDescent="0.25">
      <c r="A10778" t="str">
        <f t="shared" si="169"/>
        <v/>
      </c>
    </row>
    <row r="10779" spans="1:1" x14ac:dyDescent="0.25">
      <c r="A10779" t="str">
        <f t="shared" si="169"/>
        <v/>
      </c>
    </row>
    <row r="10780" spans="1:1" x14ac:dyDescent="0.25">
      <c r="A10780" t="str">
        <f t="shared" si="169"/>
        <v/>
      </c>
    </row>
    <row r="10781" spans="1:1" x14ac:dyDescent="0.25">
      <c r="A10781" t="str">
        <f t="shared" si="169"/>
        <v/>
      </c>
    </row>
    <row r="10782" spans="1:1" x14ac:dyDescent="0.25">
      <c r="A10782" t="str">
        <f t="shared" si="169"/>
        <v/>
      </c>
    </row>
    <row r="10783" spans="1:1" x14ac:dyDescent="0.25">
      <c r="A10783" t="str">
        <f t="shared" si="169"/>
        <v/>
      </c>
    </row>
    <row r="10784" spans="1:1" x14ac:dyDescent="0.25">
      <c r="A10784" t="str">
        <f t="shared" si="169"/>
        <v/>
      </c>
    </row>
    <row r="10785" spans="1:1" x14ac:dyDescent="0.25">
      <c r="A10785" t="str">
        <f t="shared" si="169"/>
        <v/>
      </c>
    </row>
    <row r="10786" spans="1:1" x14ac:dyDescent="0.25">
      <c r="A10786" t="str">
        <f t="shared" si="169"/>
        <v/>
      </c>
    </row>
    <row r="10787" spans="1:1" x14ac:dyDescent="0.25">
      <c r="A10787" t="str">
        <f t="shared" si="169"/>
        <v/>
      </c>
    </row>
    <row r="10788" spans="1:1" x14ac:dyDescent="0.25">
      <c r="A10788" t="str">
        <f t="shared" si="169"/>
        <v/>
      </c>
    </row>
    <row r="10789" spans="1:1" x14ac:dyDescent="0.25">
      <c r="A10789" t="str">
        <f t="shared" si="169"/>
        <v/>
      </c>
    </row>
    <row r="10790" spans="1:1" x14ac:dyDescent="0.25">
      <c r="A10790" t="str">
        <f t="shared" si="169"/>
        <v/>
      </c>
    </row>
    <row r="10791" spans="1:1" x14ac:dyDescent="0.25">
      <c r="A10791" t="str">
        <f t="shared" si="169"/>
        <v/>
      </c>
    </row>
    <row r="10792" spans="1:1" x14ac:dyDescent="0.25">
      <c r="A10792" t="str">
        <f t="shared" si="169"/>
        <v/>
      </c>
    </row>
    <row r="10793" spans="1:1" x14ac:dyDescent="0.25">
      <c r="A10793" t="str">
        <f t="shared" si="169"/>
        <v/>
      </c>
    </row>
    <row r="10794" spans="1:1" x14ac:dyDescent="0.25">
      <c r="A10794" t="str">
        <f t="shared" si="169"/>
        <v/>
      </c>
    </row>
    <row r="10795" spans="1:1" x14ac:dyDescent="0.25">
      <c r="A10795" t="str">
        <f t="shared" si="169"/>
        <v/>
      </c>
    </row>
    <row r="10796" spans="1:1" x14ac:dyDescent="0.25">
      <c r="A10796" t="str">
        <f t="shared" si="169"/>
        <v/>
      </c>
    </row>
    <row r="10797" spans="1:1" x14ac:dyDescent="0.25">
      <c r="A10797" t="str">
        <f t="shared" si="169"/>
        <v/>
      </c>
    </row>
    <row r="10798" spans="1:1" x14ac:dyDescent="0.25">
      <c r="A10798" t="str">
        <f t="shared" si="169"/>
        <v/>
      </c>
    </row>
    <row r="10799" spans="1:1" x14ac:dyDescent="0.25">
      <c r="A10799" t="str">
        <f t="shared" si="169"/>
        <v/>
      </c>
    </row>
    <row r="10800" spans="1:1" x14ac:dyDescent="0.25">
      <c r="A10800" t="str">
        <f t="shared" si="169"/>
        <v/>
      </c>
    </row>
    <row r="10801" spans="1:1" x14ac:dyDescent="0.25">
      <c r="A10801" t="str">
        <f t="shared" si="169"/>
        <v/>
      </c>
    </row>
    <row r="10802" spans="1:1" x14ac:dyDescent="0.25">
      <c r="A10802" t="str">
        <f t="shared" si="169"/>
        <v/>
      </c>
    </row>
    <row r="10803" spans="1:1" x14ac:dyDescent="0.25">
      <c r="A10803" t="str">
        <f t="shared" si="169"/>
        <v/>
      </c>
    </row>
    <row r="10804" spans="1:1" x14ac:dyDescent="0.25">
      <c r="A10804" t="str">
        <f t="shared" si="169"/>
        <v/>
      </c>
    </row>
    <row r="10805" spans="1:1" x14ac:dyDescent="0.25">
      <c r="A10805" t="str">
        <f t="shared" ref="A10805:A10868" si="170">B10803&amp;D10803</f>
        <v/>
      </c>
    </row>
    <row r="10806" spans="1:1" x14ac:dyDescent="0.25">
      <c r="A10806" t="str">
        <f t="shared" si="170"/>
        <v/>
      </c>
    </row>
    <row r="10807" spans="1:1" x14ac:dyDescent="0.25">
      <c r="A10807" t="str">
        <f t="shared" si="170"/>
        <v/>
      </c>
    </row>
    <row r="10808" spans="1:1" x14ac:dyDescent="0.25">
      <c r="A10808" t="str">
        <f t="shared" si="170"/>
        <v/>
      </c>
    </row>
    <row r="10809" spans="1:1" x14ac:dyDescent="0.25">
      <c r="A10809" t="str">
        <f t="shared" si="170"/>
        <v/>
      </c>
    </row>
    <row r="10810" spans="1:1" x14ac:dyDescent="0.25">
      <c r="A10810" t="str">
        <f t="shared" si="170"/>
        <v/>
      </c>
    </row>
    <row r="10811" spans="1:1" x14ac:dyDescent="0.25">
      <c r="A10811" t="str">
        <f t="shared" si="170"/>
        <v/>
      </c>
    </row>
    <row r="10812" spans="1:1" x14ac:dyDescent="0.25">
      <c r="A10812" t="str">
        <f t="shared" si="170"/>
        <v/>
      </c>
    </row>
    <row r="10813" spans="1:1" x14ac:dyDescent="0.25">
      <c r="A10813" t="str">
        <f t="shared" si="170"/>
        <v/>
      </c>
    </row>
    <row r="10814" spans="1:1" x14ac:dyDescent="0.25">
      <c r="A10814" t="str">
        <f t="shared" si="170"/>
        <v/>
      </c>
    </row>
    <row r="10815" spans="1:1" x14ac:dyDescent="0.25">
      <c r="A10815" t="str">
        <f t="shared" si="170"/>
        <v/>
      </c>
    </row>
    <row r="10816" spans="1:1" x14ac:dyDescent="0.25">
      <c r="A10816" t="str">
        <f t="shared" si="170"/>
        <v/>
      </c>
    </row>
    <row r="10817" spans="1:1" x14ac:dyDescent="0.25">
      <c r="A10817" t="str">
        <f t="shared" si="170"/>
        <v/>
      </c>
    </row>
    <row r="10818" spans="1:1" x14ac:dyDescent="0.25">
      <c r="A10818" t="str">
        <f t="shared" si="170"/>
        <v/>
      </c>
    </row>
    <row r="10819" spans="1:1" x14ac:dyDescent="0.25">
      <c r="A10819" t="str">
        <f t="shared" si="170"/>
        <v/>
      </c>
    </row>
    <row r="10820" spans="1:1" x14ac:dyDescent="0.25">
      <c r="A10820" t="str">
        <f t="shared" si="170"/>
        <v/>
      </c>
    </row>
    <row r="10821" spans="1:1" x14ac:dyDescent="0.25">
      <c r="A10821" t="str">
        <f t="shared" si="170"/>
        <v/>
      </c>
    </row>
    <row r="10822" spans="1:1" x14ac:dyDescent="0.25">
      <c r="A10822" t="str">
        <f t="shared" si="170"/>
        <v/>
      </c>
    </row>
    <row r="10823" spans="1:1" x14ac:dyDescent="0.25">
      <c r="A10823" t="str">
        <f t="shared" si="170"/>
        <v/>
      </c>
    </row>
    <row r="10824" spans="1:1" x14ac:dyDescent="0.25">
      <c r="A10824" t="str">
        <f t="shared" si="170"/>
        <v/>
      </c>
    </row>
    <row r="10825" spans="1:1" x14ac:dyDescent="0.25">
      <c r="A10825" t="str">
        <f t="shared" si="170"/>
        <v/>
      </c>
    </row>
    <row r="10826" spans="1:1" x14ac:dyDescent="0.25">
      <c r="A10826" t="str">
        <f t="shared" si="170"/>
        <v/>
      </c>
    </row>
    <row r="10827" spans="1:1" x14ac:dyDescent="0.25">
      <c r="A10827" t="str">
        <f t="shared" si="170"/>
        <v/>
      </c>
    </row>
    <row r="10828" spans="1:1" x14ac:dyDescent="0.25">
      <c r="A10828" t="str">
        <f t="shared" si="170"/>
        <v/>
      </c>
    </row>
    <row r="10829" spans="1:1" x14ac:dyDescent="0.25">
      <c r="A10829" t="str">
        <f t="shared" si="170"/>
        <v/>
      </c>
    </row>
    <row r="10830" spans="1:1" x14ac:dyDescent="0.25">
      <c r="A10830" t="str">
        <f t="shared" si="170"/>
        <v/>
      </c>
    </row>
    <row r="10831" spans="1:1" x14ac:dyDescent="0.25">
      <c r="A10831" t="str">
        <f t="shared" si="170"/>
        <v/>
      </c>
    </row>
    <row r="10832" spans="1:1" x14ac:dyDescent="0.25">
      <c r="A10832" t="str">
        <f t="shared" si="170"/>
        <v/>
      </c>
    </row>
    <row r="10833" spans="1:1" x14ac:dyDescent="0.25">
      <c r="A10833" t="str">
        <f t="shared" si="170"/>
        <v/>
      </c>
    </row>
    <row r="10834" spans="1:1" x14ac:dyDescent="0.25">
      <c r="A10834" t="str">
        <f t="shared" si="170"/>
        <v/>
      </c>
    </row>
    <row r="10835" spans="1:1" x14ac:dyDescent="0.25">
      <c r="A10835" t="str">
        <f t="shared" si="170"/>
        <v/>
      </c>
    </row>
    <row r="10836" spans="1:1" x14ac:dyDescent="0.25">
      <c r="A10836" t="str">
        <f t="shared" si="170"/>
        <v/>
      </c>
    </row>
    <row r="10837" spans="1:1" x14ac:dyDescent="0.25">
      <c r="A10837" t="str">
        <f t="shared" si="170"/>
        <v/>
      </c>
    </row>
    <row r="10838" spans="1:1" x14ac:dyDescent="0.25">
      <c r="A10838" t="str">
        <f t="shared" si="170"/>
        <v/>
      </c>
    </row>
    <row r="10839" spans="1:1" x14ac:dyDescent="0.25">
      <c r="A10839" t="str">
        <f t="shared" si="170"/>
        <v/>
      </c>
    </row>
    <row r="10840" spans="1:1" x14ac:dyDescent="0.25">
      <c r="A10840" t="str">
        <f t="shared" si="170"/>
        <v/>
      </c>
    </row>
    <row r="10841" spans="1:1" x14ac:dyDescent="0.25">
      <c r="A10841" t="str">
        <f t="shared" si="170"/>
        <v/>
      </c>
    </row>
    <row r="10842" spans="1:1" x14ac:dyDescent="0.25">
      <c r="A10842" t="str">
        <f t="shared" si="170"/>
        <v/>
      </c>
    </row>
    <row r="10843" spans="1:1" x14ac:dyDescent="0.25">
      <c r="A10843" t="str">
        <f t="shared" si="170"/>
        <v/>
      </c>
    </row>
    <row r="10844" spans="1:1" x14ac:dyDescent="0.25">
      <c r="A10844" t="str">
        <f t="shared" si="170"/>
        <v/>
      </c>
    </row>
    <row r="10845" spans="1:1" x14ac:dyDescent="0.25">
      <c r="A10845" t="str">
        <f t="shared" si="170"/>
        <v/>
      </c>
    </row>
    <row r="10846" spans="1:1" x14ac:dyDescent="0.25">
      <c r="A10846" t="str">
        <f t="shared" si="170"/>
        <v/>
      </c>
    </row>
    <row r="10847" spans="1:1" x14ac:dyDescent="0.25">
      <c r="A10847" t="str">
        <f t="shared" si="170"/>
        <v/>
      </c>
    </row>
    <row r="10848" spans="1:1" x14ac:dyDescent="0.25">
      <c r="A10848" t="str">
        <f t="shared" si="170"/>
        <v/>
      </c>
    </row>
    <row r="10849" spans="1:1" x14ac:dyDescent="0.25">
      <c r="A10849" t="str">
        <f t="shared" si="170"/>
        <v/>
      </c>
    </row>
    <row r="10850" spans="1:1" x14ac:dyDescent="0.25">
      <c r="A10850" t="str">
        <f t="shared" si="170"/>
        <v/>
      </c>
    </row>
    <row r="10851" spans="1:1" x14ac:dyDescent="0.25">
      <c r="A10851" t="str">
        <f t="shared" si="170"/>
        <v/>
      </c>
    </row>
    <row r="10852" spans="1:1" x14ac:dyDescent="0.25">
      <c r="A10852" t="str">
        <f t="shared" si="170"/>
        <v/>
      </c>
    </row>
    <row r="10853" spans="1:1" x14ac:dyDescent="0.25">
      <c r="A10853" t="str">
        <f t="shared" si="170"/>
        <v/>
      </c>
    </row>
    <row r="10854" spans="1:1" x14ac:dyDescent="0.25">
      <c r="A10854" t="str">
        <f t="shared" si="170"/>
        <v/>
      </c>
    </row>
    <row r="10855" spans="1:1" x14ac:dyDescent="0.25">
      <c r="A10855" t="str">
        <f t="shared" si="170"/>
        <v/>
      </c>
    </row>
    <row r="10856" spans="1:1" x14ac:dyDescent="0.25">
      <c r="A10856" t="str">
        <f t="shared" si="170"/>
        <v/>
      </c>
    </row>
    <row r="10857" spans="1:1" x14ac:dyDescent="0.25">
      <c r="A10857" t="str">
        <f t="shared" si="170"/>
        <v/>
      </c>
    </row>
    <row r="10858" spans="1:1" x14ac:dyDescent="0.25">
      <c r="A10858" t="str">
        <f t="shared" si="170"/>
        <v/>
      </c>
    </row>
    <row r="10859" spans="1:1" x14ac:dyDescent="0.25">
      <c r="A10859" t="str">
        <f t="shared" si="170"/>
        <v/>
      </c>
    </row>
    <row r="10860" spans="1:1" x14ac:dyDescent="0.25">
      <c r="A10860" t="str">
        <f t="shared" si="170"/>
        <v/>
      </c>
    </row>
    <row r="10861" spans="1:1" x14ac:dyDescent="0.25">
      <c r="A10861" t="str">
        <f t="shared" si="170"/>
        <v/>
      </c>
    </row>
    <row r="10862" spans="1:1" x14ac:dyDescent="0.25">
      <c r="A10862" t="str">
        <f t="shared" si="170"/>
        <v/>
      </c>
    </row>
    <row r="10863" spans="1:1" x14ac:dyDescent="0.25">
      <c r="A10863" t="str">
        <f t="shared" si="170"/>
        <v/>
      </c>
    </row>
    <row r="10864" spans="1:1" x14ac:dyDescent="0.25">
      <c r="A10864" t="str">
        <f t="shared" si="170"/>
        <v/>
      </c>
    </row>
    <row r="10865" spans="1:1" x14ac:dyDescent="0.25">
      <c r="A10865" t="str">
        <f t="shared" si="170"/>
        <v/>
      </c>
    </row>
    <row r="10866" spans="1:1" x14ac:dyDescent="0.25">
      <c r="A10866" t="str">
        <f t="shared" si="170"/>
        <v/>
      </c>
    </row>
    <row r="10867" spans="1:1" x14ac:dyDescent="0.25">
      <c r="A10867" t="str">
        <f t="shared" si="170"/>
        <v/>
      </c>
    </row>
    <row r="10868" spans="1:1" x14ac:dyDescent="0.25">
      <c r="A10868" t="str">
        <f t="shared" si="170"/>
        <v/>
      </c>
    </row>
    <row r="10869" spans="1:1" x14ac:dyDescent="0.25">
      <c r="A10869" t="str">
        <f t="shared" ref="A10869:A10932" si="171">B10867&amp;D10867</f>
        <v/>
      </c>
    </row>
    <row r="10870" spans="1:1" x14ac:dyDescent="0.25">
      <c r="A10870" t="str">
        <f t="shared" si="171"/>
        <v/>
      </c>
    </row>
    <row r="10871" spans="1:1" x14ac:dyDescent="0.25">
      <c r="A10871" t="str">
        <f t="shared" si="171"/>
        <v/>
      </c>
    </row>
    <row r="10872" spans="1:1" x14ac:dyDescent="0.25">
      <c r="A10872" t="str">
        <f t="shared" si="171"/>
        <v/>
      </c>
    </row>
    <row r="10873" spans="1:1" x14ac:dyDescent="0.25">
      <c r="A10873" t="str">
        <f t="shared" si="171"/>
        <v/>
      </c>
    </row>
    <row r="10874" spans="1:1" x14ac:dyDescent="0.25">
      <c r="A10874" t="str">
        <f t="shared" si="171"/>
        <v/>
      </c>
    </row>
    <row r="10875" spans="1:1" x14ac:dyDescent="0.25">
      <c r="A10875" t="str">
        <f t="shared" si="171"/>
        <v/>
      </c>
    </row>
    <row r="10876" spans="1:1" x14ac:dyDescent="0.25">
      <c r="A10876" t="str">
        <f t="shared" si="171"/>
        <v/>
      </c>
    </row>
    <row r="10877" spans="1:1" x14ac:dyDescent="0.25">
      <c r="A10877" t="str">
        <f t="shared" si="171"/>
        <v/>
      </c>
    </row>
    <row r="10878" spans="1:1" x14ac:dyDescent="0.25">
      <c r="A10878" t="str">
        <f t="shared" si="171"/>
        <v/>
      </c>
    </row>
    <row r="10879" spans="1:1" x14ac:dyDescent="0.25">
      <c r="A10879" t="str">
        <f t="shared" si="171"/>
        <v/>
      </c>
    </row>
    <row r="10880" spans="1:1" x14ac:dyDescent="0.25">
      <c r="A10880" t="str">
        <f t="shared" si="171"/>
        <v/>
      </c>
    </row>
    <row r="10881" spans="1:1" x14ac:dyDescent="0.25">
      <c r="A10881" t="str">
        <f t="shared" si="171"/>
        <v/>
      </c>
    </row>
    <row r="10882" spans="1:1" x14ac:dyDescent="0.25">
      <c r="A10882" t="str">
        <f t="shared" si="171"/>
        <v/>
      </c>
    </row>
    <row r="10883" spans="1:1" x14ac:dyDescent="0.25">
      <c r="A10883" t="str">
        <f t="shared" si="171"/>
        <v/>
      </c>
    </row>
    <row r="10884" spans="1:1" x14ac:dyDescent="0.25">
      <c r="A10884" t="str">
        <f t="shared" si="171"/>
        <v/>
      </c>
    </row>
    <row r="10885" spans="1:1" x14ac:dyDescent="0.25">
      <c r="A10885" t="str">
        <f t="shared" si="171"/>
        <v/>
      </c>
    </row>
    <row r="10886" spans="1:1" x14ac:dyDescent="0.25">
      <c r="A10886" t="str">
        <f t="shared" si="171"/>
        <v/>
      </c>
    </row>
    <row r="10887" spans="1:1" x14ac:dyDescent="0.25">
      <c r="A10887" t="str">
        <f t="shared" si="171"/>
        <v/>
      </c>
    </row>
    <row r="10888" spans="1:1" x14ac:dyDescent="0.25">
      <c r="A10888" t="str">
        <f t="shared" si="171"/>
        <v/>
      </c>
    </row>
    <row r="10889" spans="1:1" x14ac:dyDescent="0.25">
      <c r="A10889" t="str">
        <f t="shared" si="171"/>
        <v/>
      </c>
    </row>
    <row r="10890" spans="1:1" x14ac:dyDescent="0.25">
      <c r="A10890" t="str">
        <f t="shared" si="171"/>
        <v/>
      </c>
    </row>
    <row r="10891" spans="1:1" x14ac:dyDescent="0.25">
      <c r="A10891" t="str">
        <f t="shared" si="171"/>
        <v/>
      </c>
    </row>
    <row r="10892" spans="1:1" x14ac:dyDescent="0.25">
      <c r="A10892" t="str">
        <f t="shared" si="171"/>
        <v/>
      </c>
    </row>
    <row r="10893" spans="1:1" x14ac:dyDescent="0.25">
      <c r="A10893" t="str">
        <f t="shared" si="171"/>
        <v/>
      </c>
    </row>
    <row r="10894" spans="1:1" x14ac:dyDescent="0.25">
      <c r="A10894" t="str">
        <f t="shared" si="171"/>
        <v/>
      </c>
    </row>
    <row r="10895" spans="1:1" x14ac:dyDescent="0.25">
      <c r="A10895" t="str">
        <f t="shared" si="171"/>
        <v/>
      </c>
    </row>
    <row r="10896" spans="1:1" x14ac:dyDescent="0.25">
      <c r="A10896" t="str">
        <f t="shared" si="171"/>
        <v/>
      </c>
    </row>
    <row r="10897" spans="1:1" x14ac:dyDescent="0.25">
      <c r="A10897" t="str">
        <f t="shared" si="171"/>
        <v/>
      </c>
    </row>
    <row r="10898" spans="1:1" x14ac:dyDescent="0.25">
      <c r="A10898" t="str">
        <f t="shared" si="171"/>
        <v/>
      </c>
    </row>
    <row r="10899" spans="1:1" x14ac:dyDescent="0.25">
      <c r="A10899" t="str">
        <f t="shared" si="171"/>
        <v/>
      </c>
    </row>
    <row r="10900" spans="1:1" x14ac:dyDescent="0.25">
      <c r="A10900" t="str">
        <f t="shared" si="171"/>
        <v/>
      </c>
    </row>
    <row r="10901" spans="1:1" x14ac:dyDescent="0.25">
      <c r="A10901" t="str">
        <f t="shared" si="171"/>
        <v/>
      </c>
    </row>
    <row r="10902" spans="1:1" x14ac:dyDescent="0.25">
      <c r="A10902" t="str">
        <f t="shared" si="171"/>
        <v/>
      </c>
    </row>
    <row r="10903" spans="1:1" x14ac:dyDescent="0.25">
      <c r="A10903" t="str">
        <f t="shared" si="171"/>
        <v/>
      </c>
    </row>
    <row r="10904" spans="1:1" x14ac:dyDescent="0.25">
      <c r="A10904" t="str">
        <f t="shared" si="171"/>
        <v/>
      </c>
    </row>
    <row r="10905" spans="1:1" x14ac:dyDescent="0.25">
      <c r="A10905" t="str">
        <f t="shared" si="171"/>
        <v/>
      </c>
    </row>
    <row r="10906" spans="1:1" x14ac:dyDescent="0.25">
      <c r="A10906" t="str">
        <f t="shared" si="171"/>
        <v/>
      </c>
    </row>
    <row r="10907" spans="1:1" x14ac:dyDescent="0.25">
      <c r="A10907" t="str">
        <f t="shared" si="171"/>
        <v/>
      </c>
    </row>
    <row r="10908" spans="1:1" x14ac:dyDescent="0.25">
      <c r="A10908" t="str">
        <f t="shared" si="171"/>
        <v/>
      </c>
    </row>
    <row r="10909" spans="1:1" x14ac:dyDescent="0.25">
      <c r="A10909" t="str">
        <f t="shared" si="171"/>
        <v/>
      </c>
    </row>
    <row r="10910" spans="1:1" x14ac:dyDescent="0.25">
      <c r="A10910" t="str">
        <f t="shared" si="171"/>
        <v/>
      </c>
    </row>
    <row r="10911" spans="1:1" x14ac:dyDescent="0.25">
      <c r="A10911" t="str">
        <f t="shared" si="171"/>
        <v/>
      </c>
    </row>
    <row r="10912" spans="1:1" x14ac:dyDescent="0.25">
      <c r="A10912" t="str">
        <f t="shared" si="171"/>
        <v/>
      </c>
    </row>
    <row r="10913" spans="1:1" x14ac:dyDescent="0.25">
      <c r="A10913" t="str">
        <f t="shared" si="171"/>
        <v/>
      </c>
    </row>
    <row r="10914" spans="1:1" x14ac:dyDescent="0.25">
      <c r="A10914" t="str">
        <f t="shared" si="171"/>
        <v/>
      </c>
    </row>
    <row r="10915" spans="1:1" x14ac:dyDescent="0.25">
      <c r="A10915" t="str">
        <f t="shared" si="171"/>
        <v/>
      </c>
    </row>
    <row r="10916" spans="1:1" x14ac:dyDescent="0.25">
      <c r="A10916" t="str">
        <f t="shared" si="171"/>
        <v/>
      </c>
    </row>
    <row r="10917" spans="1:1" x14ac:dyDescent="0.25">
      <c r="A10917" t="str">
        <f t="shared" si="171"/>
        <v/>
      </c>
    </row>
    <row r="10918" spans="1:1" x14ac:dyDescent="0.25">
      <c r="A10918" t="str">
        <f t="shared" si="171"/>
        <v/>
      </c>
    </row>
    <row r="10919" spans="1:1" x14ac:dyDescent="0.25">
      <c r="A10919" t="str">
        <f t="shared" si="171"/>
        <v/>
      </c>
    </row>
    <row r="10920" spans="1:1" x14ac:dyDescent="0.25">
      <c r="A10920" t="str">
        <f t="shared" si="171"/>
        <v/>
      </c>
    </row>
    <row r="10921" spans="1:1" x14ac:dyDescent="0.25">
      <c r="A10921" t="str">
        <f t="shared" si="171"/>
        <v/>
      </c>
    </row>
    <row r="10922" spans="1:1" x14ac:dyDescent="0.25">
      <c r="A10922" t="str">
        <f t="shared" si="171"/>
        <v/>
      </c>
    </row>
    <row r="10923" spans="1:1" x14ac:dyDescent="0.25">
      <c r="A10923" t="str">
        <f t="shared" si="171"/>
        <v/>
      </c>
    </row>
    <row r="10924" spans="1:1" x14ac:dyDescent="0.25">
      <c r="A10924" t="str">
        <f t="shared" si="171"/>
        <v/>
      </c>
    </row>
    <row r="10925" spans="1:1" x14ac:dyDescent="0.25">
      <c r="A10925" t="str">
        <f t="shared" si="171"/>
        <v/>
      </c>
    </row>
    <row r="10926" spans="1:1" x14ac:dyDescent="0.25">
      <c r="A10926" t="str">
        <f t="shared" si="171"/>
        <v/>
      </c>
    </row>
    <row r="10927" spans="1:1" x14ac:dyDescent="0.25">
      <c r="A10927" t="str">
        <f t="shared" si="171"/>
        <v/>
      </c>
    </row>
    <row r="10928" spans="1:1" x14ac:dyDescent="0.25">
      <c r="A10928" t="str">
        <f t="shared" si="171"/>
        <v/>
      </c>
    </row>
    <row r="10929" spans="1:1" x14ac:dyDescent="0.25">
      <c r="A10929" t="str">
        <f t="shared" si="171"/>
        <v/>
      </c>
    </row>
    <row r="10930" spans="1:1" x14ac:dyDescent="0.25">
      <c r="A10930" t="str">
        <f t="shared" si="171"/>
        <v/>
      </c>
    </row>
    <row r="10931" spans="1:1" x14ac:dyDescent="0.25">
      <c r="A10931" t="str">
        <f t="shared" si="171"/>
        <v/>
      </c>
    </row>
    <row r="10932" spans="1:1" x14ac:dyDescent="0.25">
      <c r="A10932" t="str">
        <f t="shared" si="171"/>
        <v/>
      </c>
    </row>
    <row r="10933" spans="1:1" x14ac:dyDescent="0.25">
      <c r="A10933" t="str">
        <f t="shared" ref="A10933:A10996" si="172">B10931&amp;D10931</f>
        <v/>
      </c>
    </row>
    <row r="10934" spans="1:1" x14ac:dyDescent="0.25">
      <c r="A10934" t="str">
        <f t="shared" si="172"/>
        <v/>
      </c>
    </row>
    <row r="10935" spans="1:1" x14ac:dyDescent="0.25">
      <c r="A10935" t="str">
        <f t="shared" si="172"/>
        <v/>
      </c>
    </row>
    <row r="10936" spans="1:1" x14ac:dyDescent="0.25">
      <c r="A10936" t="str">
        <f t="shared" si="172"/>
        <v/>
      </c>
    </row>
    <row r="10937" spans="1:1" x14ac:dyDescent="0.25">
      <c r="A10937" t="str">
        <f t="shared" si="172"/>
        <v/>
      </c>
    </row>
    <row r="10938" spans="1:1" x14ac:dyDescent="0.25">
      <c r="A10938" t="str">
        <f t="shared" si="172"/>
        <v/>
      </c>
    </row>
    <row r="10939" spans="1:1" x14ac:dyDescent="0.25">
      <c r="A10939" t="str">
        <f t="shared" si="172"/>
        <v/>
      </c>
    </row>
    <row r="10940" spans="1:1" x14ac:dyDescent="0.25">
      <c r="A10940" t="str">
        <f t="shared" si="172"/>
        <v/>
      </c>
    </row>
    <row r="10941" spans="1:1" x14ac:dyDescent="0.25">
      <c r="A10941" t="str">
        <f t="shared" si="172"/>
        <v/>
      </c>
    </row>
    <row r="10942" spans="1:1" x14ac:dyDescent="0.25">
      <c r="A10942" t="str">
        <f t="shared" si="172"/>
        <v/>
      </c>
    </row>
    <row r="10943" spans="1:1" x14ac:dyDescent="0.25">
      <c r="A10943" t="str">
        <f t="shared" si="172"/>
        <v/>
      </c>
    </row>
    <row r="10944" spans="1:1" x14ac:dyDescent="0.25">
      <c r="A10944" t="str">
        <f t="shared" si="172"/>
        <v/>
      </c>
    </row>
    <row r="10945" spans="1:1" x14ac:dyDescent="0.25">
      <c r="A10945" t="str">
        <f t="shared" si="172"/>
        <v/>
      </c>
    </row>
    <row r="10946" spans="1:1" x14ac:dyDescent="0.25">
      <c r="A10946" t="str">
        <f t="shared" si="172"/>
        <v/>
      </c>
    </row>
    <row r="10947" spans="1:1" x14ac:dyDescent="0.25">
      <c r="A10947" t="str">
        <f t="shared" si="172"/>
        <v/>
      </c>
    </row>
    <row r="10948" spans="1:1" x14ac:dyDescent="0.25">
      <c r="A10948" t="str">
        <f t="shared" si="172"/>
        <v/>
      </c>
    </row>
    <row r="10949" spans="1:1" x14ac:dyDescent="0.25">
      <c r="A10949" t="str">
        <f t="shared" si="172"/>
        <v/>
      </c>
    </row>
    <row r="10950" spans="1:1" x14ac:dyDescent="0.25">
      <c r="A10950" t="str">
        <f t="shared" si="172"/>
        <v/>
      </c>
    </row>
    <row r="10951" spans="1:1" x14ac:dyDescent="0.25">
      <c r="A10951" t="str">
        <f t="shared" si="172"/>
        <v/>
      </c>
    </row>
    <row r="10952" spans="1:1" x14ac:dyDescent="0.25">
      <c r="A10952" t="str">
        <f t="shared" si="172"/>
        <v/>
      </c>
    </row>
    <row r="10953" spans="1:1" x14ac:dyDescent="0.25">
      <c r="A10953" t="str">
        <f t="shared" si="172"/>
        <v/>
      </c>
    </row>
    <row r="10954" spans="1:1" x14ac:dyDescent="0.25">
      <c r="A10954" t="str">
        <f t="shared" si="172"/>
        <v/>
      </c>
    </row>
    <row r="10955" spans="1:1" x14ac:dyDescent="0.25">
      <c r="A10955" t="str">
        <f t="shared" si="172"/>
        <v/>
      </c>
    </row>
    <row r="10956" spans="1:1" x14ac:dyDescent="0.25">
      <c r="A10956" t="str">
        <f t="shared" si="172"/>
        <v/>
      </c>
    </row>
    <row r="10957" spans="1:1" x14ac:dyDescent="0.25">
      <c r="A10957" t="str">
        <f t="shared" si="172"/>
        <v/>
      </c>
    </row>
    <row r="10958" spans="1:1" x14ac:dyDescent="0.25">
      <c r="A10958" t="str">
        <f t="shared" si="172"/>
        <v/>
      </c>
    </row>
    <row r="10959" spans="1:1" x14ac:dyDescent="0.25">
      <c r="A10959" t="str">
        <f t="shared" si="172"/>
        <v/>
      </c>
    </row>
    <row r="10960" spans="1:1" x14ac:dyDescent="0.25">
      <c r="A10960" t="str">
        <f t="shared" si="172"/>
        <v/>
      </c>
    </row>
    <row r="10961" spans="1:1" x14ac:dyDescent="0.25">
      <c r="A10961" t="str">
        <f t="shared" si="172"/>
        <v/>
      </c>
    </row>
    <row r="10962" spans="1:1" x14ac:dyDescent="0.25">
      <c r="A10962" t="str">
        <f t="shared" si="172"/>
        <v/>
      </c>
    </row>
    <row r="10963" spans="1:1" x14ac:dyDescent="0.25">
      <c r="A10963" t="str">
        <f t="shared" si="172"/>
        <v/>
      </c>
    </row>
    <row r="10964" spans="1:1" x14ac:dyDescent="0.25">
      <c r="A10964" t="str">
        <f t="shared" si="172"/>
        <v/>
      </c>
    </row>
    <row r="10965" spans="1:1" x14ac:dyDescent="0.25">
      <c r="A10965" t="str">
        <f t="shared" si="172"/>
        <v/>
      </c>
    </row>
    <row r="10966" spans="1:1" x14ac:dyDescent="0.25">
      <c r="A10966" t="str">
        <f t="shared" si="172"/>
        <v/>
      </c>
    </row>
    <row r="10967" spans="1:1" x14ac:dyDescent="0.25">
      <c r="A10967" t="str">
        <f t="shared" si="172"/>
        <v/>
      </c>
    </row>
    <row r="10968" spans="1:1" x14ac:dyDescent="0.25">
      <c r="A10968" t="str">
        <f t="shared" si="172"/>
        <v/>
      </c>
    </row>
    <row r="10969" spans="1:1" x14ac:dyDescent="0.25">
      <c r="A10969" t="str">
        <f t="shared" si="172"/>
        <v/>
      </c>
    </row>
    <row r="10970" spans="1:1" x14ac:dyDescent="0.25">
      <c r="A10970" t="str">
        <f t="shared" si="172"/>
        <v/>
      </c>
    </row>
    <row r="10971" spans="1:1" x14ac:dyDescent="0.25">
      <c r="A10971" t="str">
        <f t="shared" si="172"/>
        <v/>
      </c>
    </row>
    <row r="10972" spans="1:1" x14ac:dyDescent="0.25">
      <c r="A10972" t="str">
        <f t="shared" si="172"/>
        <v/>
      </c>
    </row>
    <row r="10973" spans="1:1" x14ac:dyDescent="0.25">
      <c r="A10973" t="str">
        <f t="shared" si="172"/>
        <v/>
      </c>
    </row>
    <row r="10974" spans="1:1" x14ac:dyDescent="0.25">
      <c r="A10974" t="str">
        <f t="shared" si="172"/>
        <v/>
      </c>
    </row>
    <row r="10975" spans="1:1" x14ac:dyDescent="0.25">
      <c r="A10975" t="str">
        <f t="shared" si="172"/>
        <v/>
      </c>
    </row>
    <row r="10976" spans="1:1" x14ac:dyDescent="0.25">
      <c r="A10976" t="str">
        <f t="shared" si="172"/>
        <v/>
      </c>
    </row>
    <row r="10977" spans="1:1" x14ac:dyDescent="0.25">
      <c r="A10977" t="str">
        <f t="shared" si="172"/>
        <v/>
      </c>
    </row>
    <row r="10978" spans="1:1" x14ac:dyDescent="0.25">
      <c r="A10978" t="str">
        <f t="shared" si="172"/>
        <v/>
      </c>
    </row>
    <row r="10979" spans="1:1" x14ac:dyDescent="0.25">
      <c r="A10979" t="str">
        <f t="shared" si="172"/>
        <v/>
      </c>
    </row>
    <row r="10980" spans="1:1" x14ac:dyDescent="0.25">
      <c r="A10980" t="str">
        <f t="shared" si="172"/>
        <v/>
      </c>
    </row>
    <row r="10981" spans="1:1" x14ac:dyDescent="0.25">
      <c r="A10981" t="str">
        <f t="shared" si="172"/>
        <v/>
      </c>
    </row>
    <row r="10982" spans="1:1" x14ac:dyDescent="0.25">
      <c r="A10982" t="str">
        <f t="shared" si="172"/>
        <v/>
      </c>
    </row>
    <row r="10983" spans="1:1" x14ac:dyDescent="0.25">
      <c r="A10983" t="str">
        <f t="shared" si="172"/>
        <v/>
      </c>
    </row>
    <row r="10984" spans="1:1" x14ac:dyDescent="0.25">
      <c r="A10984" t="str">
        <f t="shared" si="172"/>
        <v/>
      </c>
    </row>
    <row r="10985" spans="1:1" x14ac:dyDescent="0.25">
      <c r="A10985" t="str">
        <f t="shared" si="172"/>
        <v/>
      </c>
    </row>
    <row r="10986" spans="1:1" x14ac:dyDescent="0.25">
      <c r="A10986" t="str">
        <f t="shared" si="172"/>
        <v/>
      </c>
    </row>
    <row r="10987" spans="1:1" x14ac:dyDescent="0.25">
      <c r="A10987" t="str">
        <f t="shared" si="172"/>
        <v/>
      </c>
    </row>
    <row r="10988" spans="1:1" x14ac:dyDescent="0.25">
      <c r="A10988" t="str">
        <f t="shared" si="172"/>
        <v/>
      </c>
    </row>
    <row r="10989" spans="1:1" x14ac:dyDescent="0.25">
      <c r="A10989" t="str">
        <f t="shared" si="172"/>
        <v/>
      </c>
    </row>
    <row r="10990" spans="1:1" x14ac:dyDescent="0.25">
      <c r="A10990" t="str">
        <f t="shared" si="172"/>
        <v/>
      </c>
    </row>
    <row r="10991" spans="1:1" x14ac:dyDescent="0.25">
      <c r="A10991" t="str">
        <f t="shared" si="172"/>
        <v/>
      </c>
    </row>
    <row r="10992" spans="1:1" x14ac:dyDescent="0.25">
      <c r="A10992" t="str">
        <f t="shared" si="172"/>
        <v/>
      </c>
    </row>
    <row r="10993" spans="1:1" x14ac:dyDescent="0.25">
      <c r="A10993" t="str">
        <f t="shared" si="172"/>
        <v/>
      </c>
    </row>
    <row r="10994" spans="1:1" x14ac:dyDescent="0.25">
      <c r="A10994" t="str">
        <f t="shared" si="172"/>
        <v/>
      </c>
    </row>
    <row r="10995" spans="1:1" x14ac:dyDescent="0.25">
      <c r="A10995" t="str">
        <f t="shared" si="172"/>
        <v/>
      </c>
    </row>
    <row r="10996" spans="1:1" x14ac:dyDescent="0.25">
      <c r="A10996" t="str">
        <f t="shared" si="172"/>
        <v/>
      </c>
    </row>
    <row r="10997" spans="1:1" x14ac:dyDescent="0.25">
      <c r="A10997" t="str">
        <f t="shared" ref="A10997:A11060" si="173">B10995&amp;D10995</f>
        <v/>
      </c>
    </row>
    <row r="10998" spans="1:1" x14ac:dyDescent="0.25">
      <c r="A10998" t="str">
        <f t="shared" si="173"/>
        <v/>
      </c>
    </row>
    <row r="10999" spans="1:1" x14ac:dyDescent="0.25">
      <c r="A10999" t="str">
        <f t="shared" si="173"/>
        <v/>
      </c>
    </row>
    <row r="11000" spans="1:1" x14ac:dyDescent="0.25">
      <c r="A11000" t="str">
        <f t="shared" si="173"/>
        <v/>
      </c>
    </row>
    <row r="11001" spans="1:1" x14ac:dyDescent="0.25">
      <c r="A11001" t="str">
        <f t="shared" si="173"/>
        <v/>
      </c>
    </row>
    <row r="11002" spans="1:1" x14ac:dyDescent="0.25">
      <c r="A11002" t="str">
        <f t="shared" si="173"/>
        <v/>
      </c>
    </row>
    <row r="11003" spans="1:1" x14ac:dyDescent="0.25">
      <c r="A11003" t="str">
        <f t="shared" si="173"/>
        <v/>
      </c>
    </row>
    <row r="11004" spans="1:1" x14ac:dyDescent="0.25">
      <c r="A11004" t="str">
        <f t="shared" si="173"/>
        <v/>
      </c>
    </row>
    <row r="11005" spans="1:1" x14ac:dyDescent="0.25">
      <c r="A11005" t="str">
        <f t="shared" si="173"/>
        <v/>
      </c>
    </row>
    <row r="11006" spans="1:1" x14ac:dyDescent="0.25">
      <c r="A11006" t="str">
        <f t="shared" si="173"/>
        <v/>
      </c>
    </row>
    <row r="11007" spans="1:1" x14ac:dyDescent="0.25">
      <c r="A11007" t="str">
        <f t="shared" si="173"/>
        <v/>
      </c>
    </row>
    <row r="11008" spans="1:1" x14ac:dyDescent="0.25">
      <c r="A11008" t="str">
        <f t="shared" si="173"/>
        <v/>
      </c>
    </row>
    <row r="11009" spans="1:1" x14ac:dyDescent="0.25">
      <c r="A11009" t="str">
        <f t="shared" si="173"/>
        <v/>
      </c>
    </row>
    <row r="11010" spans="1:1" x14ac:dyDescent="0.25">
      <c r="A11010" t="str">
        <f t="shared" si="173"/>
        <v/>
      </c>
    </row>
    <row r="11011" spans="1:1" x14ac:dyDescent="0.25">
      <c r="A11011" t="str">
        <f t="shared" si="173"/>
        <v/>
      </c>
    </row>
    <row r="11012" spans="1:1" x14ac:dyDescent="0.25">
      <c r="A11012" t="str">
        <f t="shared" si="173"/>
        <v/>
      </c>
    </row>
    <row r="11013" spans="1:1" x14ac:dyDescent="0.25">
      <c r="A11013" t="str">
        <f t="shared" si="173"/>
        <v/>
      </c>
    </row>
    <row r="11014" spans="1:1" x14ac:dyDescent="0.25">
      <c r="A11014" t="str">
        <f t="shared" si="173"/>
        <v/>
      </c>
    </row>
    <row r="11015" spans="1:1" x14ac:dyDescent="0.25">
      <c r="A11015" t="str">
        <f t="shared" si="173"/>
        <v/>
      </c>
    </row>
    <row r="11016" spans="1:1" x14ac:dyDescent="0.25">
      <c r="A11016" t="str">
        <f t="shared" si="173"/>
        <v/>
      </c>
    </row>
    <row r="11017" spans="1:1" x14ac:dyDescent="0.25">
      <c r="A11017" t="str">
        <f t="shared" si="173"/>
        <v/>
      </c>
    </row>
    <row r="11018" spans="1:1" x14ac:dyDescent="0.25">
      <c r="A11018" t="str">
        <f t="shared" si="173"/>
        <v/>
      </c>
    </row>
    <row r="11019" spans="1:1" x14ac:dyDescent="0.25">
      <c r="A11019" t="str">
        <f t="shared" si="173"/>
        <v/>
      </c>
    </row>
    <row r="11020" spans="1:1" x14ac:dyDescent="0.25">
      <c r="A11020" t="str">
        <f t="shared" si="173"/>
        <v/>
      </c>
    </row>
    <row r="11021" spans="1:1" x14ac:dyDescent="0.25">
      <c r="A11021" t="str">
        <f t="shared" si="173"/>
        <v/>
      </c>
    </row>
    <row r="11022" spans="1:1" x14ac:dyDescent="0.25">
      <c r="A11022" t="str">
        <f t="shared" si="173"/>
        <v/>
      </c>
    </row>
    <row r="11023" spans="1:1" x14ac:dyDescent="0.25">
      <c r="A11023" t="str">
        <f t="shared" si="173"/>
        <v/>
      </c>
    </row>
    <row r="11024" spans="1:1" x14ac:dyDescent="0.25">
      <c r="A11024" t="str">
        <f t="shared" si="173"/>
        <v/>
      </c>
    </row>
    <row r="11025" spans="1:1" x14ac:dyDescent="0.25">
      <c r="A11025" t="str">
        <f t="shared" si="173"/>
        <v/>
      </c>
    </row>
    <row r="11026" spans="1:1" x14ac:dyDescent="0.25">
      <c r="A11026" t="str">
        <f t="shared" si="173"/>
        <v/>
      </c>
    </row>
    <row r="11027" spans="1:1" x14ac:dyDescent="0.25">
      <c r="A11027" t="str">
        <f t="shared" si="173"/>
        <v/>
      </c>
    </row>
    <row r="11028" spans="1:1" x14ac:dyDescent="0.25">
      <c r="A11028" t="str">
        <f t="shared" si="173"/>
        <v/>
      </c>
    </row>
    <row r="11029" spans="1:1" x14ac:dyDescent="0.25">
      <c r="A11029" t="str">
        <f t="shared" si="173"/>
        <v/>
      </c>
    </row>
    <row r="11030" spans="1:1" x14ac:dyDescent="0.25">
      <c r="A11030" t="str">
        <f t="shared" si="173"/>
        <v/>
      </c>
    </row>
    <row r="11031" spans="1:1" x14ac:dyDescent="0.25">
      <c r="A11031" t="str">
        <f t="shared" si="173"/>
        <v/>
      </c>
    </row>
    <row r="11032" spans="1:1" x14ac:dyDescent="0.25">
      <c r="A11032" t="str">
        <f t="shared" si="173"/>
        <v/>
      </c>
    </row>
    <row r="11033" spans="1:1" x14ac:dyDescent="0.25">
      <c r="A11033" t="str">
        <f t="shared" si="173"/>
        <v/>
      </c>
    </row>
    <row r="11034" spans="1:1" x14ac:dyDescent="0.25">
      <c r="A11034" t="str">
        <f t="shared" si="173"/>
        <v/>
      </c>
    </row>
    <row r="11035" spans="1:1" x14ac:dyDescent="0.25">
      <c r="A11035" t="str">
        <f t="shared" si="173"/>
        <v/>
      </c>
    </row>
    <row r="11036" spans="1:1" x14ac:dyDescent="0.25">
      <c r="A11036" t="str">
        <f t="shared" si="173"/>
        <v/>
      </c>
    </row>
    <row r="11037" spans="1:1" x14ac:dyDescent="0.25">
      <c r="A11037" t="str">
        <f t="shared" si="173"/>
        <v/>
      </c>
    </row>
    <row r="11038" spans="1:1" x14ac:dyDescent="0.25">
      <c r="A11038" t="str">
        <f t="shared" si="173"/>
        <v/>
      </c>
    </row>
    <row r="11039" spans="1:1" x14ac:dyDescent="0.25">
      <c r="A11039" t="str">
        <f t="shared" si="173"/>
        <v/>
      </c>
    </row>
    <row r="11040" spans="1:1" x14ac:dyDescent="0.25">
      <c r="A11040" t="str">
        <f t="shared" si="173"/>
        <v/>
      </c>
    </row>
    <row r="11041" spans="1:1" x14ac:dyDescent="0.25">
      <c r="A11041" t="str">
        <f t="shared" si="173"/>
        <v/>
      </c>
    </row>
    <row r="11042" spans="1:1" x14ac:dyDescent="0.25">
      <c r="A11042" t="str">
        <f t="shared" si="173"/>
        <v/>
      </c>
    </row>
    <row r="11043" spans="1:1" x14ac:dyDescent="0.25">
      <c r="A11043" t="str">
        <f t="shared" si="173"/>
        <v/>
      </c>
    </row>
    <row r="11044" spans="1:1" x14ac:dyDescent="0.25">
      <c r="A11044" t="str">
        <f t="shared" si="173"/>
        <v/>
      </c>
    </row>
    <row r="11045" spans="1:1" x14ac:dyDescent="0.25">
      <c r="A11045" t="str">
        <f t="shared" si="173"/>
        <v/>
      </c>
    </row>
    <row r="11046" spans="1:1" x14ac:dyDescent="0.25">
      <c r="A11046" t="str">
        <f t="shared" si="173"/>
        <v/>
      </c>
    </row>
    <row r="11047" spans="1:1" x14ac:dyDescent="0.25">
      <c r="A11047" t="str">
        <f t="shared" si="173"/>
        <v/>
      </c>
    </row>
    <row r="11048" spans="1:1" x14ac:dyDescent="0.25">
      <c r="A11048" t="str">
        <f t="shared" si="173"/>
        <v/>
      </c>
    </row>
    <row r="11049" spans="1:1" x14ac:dyDescent="0.25">
      <c r="A11049" t="str">
        <f t="shared" si="173"/>
        <v/>
      </c>
    </row>
    <row r="11050" spans="1:1" x14ac:dyDescent="0.25">
      <c r="A11050" t="str">
        <f t="shared" si="173"/>
        <v/>
      </c>
    </row>
    <row r="11051" spans="1:1" x14ac:dyDescent="0.25">
      <c r="A11051" t="str">
        <f t="shared" si="173"/>
        <v/>
      </c>
    </row>
    <row r="11052" spans="1:1" x14ac:dyDescent="0.25">
      <c r="A11052" t="str">
        <f t="shared" si="173"/>
        <v/>
      </c>
    </row>
    <row r="11053" spans="1:1" x14ac:dyDescent="0.25">
      <c r="A11053" t="str">
        <f t="shared" si="173"/>
        <v/>
      </c>
    </row>
    <row r="11054" spans="1:1" x14ac:dyDescent="0.25">
      <c r="A11054" t="str">
        <f t="shared" si="173"/>
        <v/>
      </c>
    </row>
    <row r="11055" spans="1:1" x14ac:dyDescent="0.25">
      <c r="A11055" t="str">
        <f t="shared" si="173"/>
        <v/>
      </c>
    </row>
    <row r="11056" spans="1:1" x14ac:dyDescent="0.25">
      <c r="A11056" t="str">
        <f t="shared" si="173"/>
        <v/>
      </c>
    </row>
    <row r="11057" spans="1:1" x14ac:dyDescent="0.25">
      <c r="A11057" t="str">
        <f t="shared" si="173"/>
        <v/>
      </c>
    </row>
    <row r="11058" spans="1:1" x14ac:dyDescent="0.25">
      <c r="A11058" t="str">
        <f t="shared" si="173"/>
        <v/>
      </c>
    </row>
    <row r="11059" spans="1:1" x14ac:dyDescent="0.25">
      <c r="A11059" t="str">
        <f t="shared" si="173"/>
        <v/>
      </c>
    </row>
    <row r="11060" spans="1:1" x14ac:dyDescent="0.25">
      <c r="A11060" t="str">
        <f t="shared" si="173"/>
        <v/>
      </c>
    </row>
    <row r="11061" spans="1:1" x14ac:dyDescent="0.25">
      <c r="A11061" t="str">
        <f t="shared" ref="A11061:A11124" si="174">B11059&amp;D11059</f>
        <v/>
      </c>
    </row>
    <row r="11062" spans="1:1" x14ac:dyDescent="0.25">
      <c r="A11062" t="str">
        <f t="shared" si="174"/>
        <v/>
      </c>
    </row>
    <row r="11063" spans="1:1" x14ac:dyDescent="0.25">
      <c r="A11063" t="str">
        <f t="shared" si="174"/>
        <v/>
      </c>
    </row>
    <row r="11064" spans="1:1" x14ac:dyDescent="0.25">
      <c r="A11064" t="str">
        <f t="shared" si="174"/>
        <v/>
      </c>
    </row>
    <row r="11065" spans="1:1" x14ac:dyDescent="0.25">
      <c r="A11065" t="str">
        <f t="shared" si="174"/>
        <v/>
      </c>
    </row>
    <row r="11066" spans="1:1" x14ac:dyDescent="0.25">
      <c r="A11066" t="str">
        <f t="shared" si="174"/>
        <v/>
      </c>
    </row>
    <row r="11067" spans="1:1" x14ac:dyDescent="0.25">
      <c r="A11067" t="str">
        <f t="shared" si="174"/>
        <v/>
      </c>
    </row>
    <row r="11068" spans="1:1" x14ac:dyDescent="0.25">
      <c r="A11068" t="str">
        <f t="shared" si="174"/>
        <v/>
      </c>
    </row>
    <row r="11069" spans="1:1" x14ac:dyDescent="0.25">
      <c r="A11069" t="str">
        <f t="shared" si="174"/>
        <v/>
      </c>
    </row>
    <row r="11070" spans="1:1" x14ac:dyDescent="0.25">
      <c r="A11070" t="str">
        <f t="shared" si="174"/>
        <v/>
      </c>
    </row>
    <row r="11071" spans="1:1" x14ac:dyDescent="0.25">
      <c r="A11071" t="str">
        <f t="shared" si="174"/>
        <v/>
      </c>
    </row>
    <row r="11072" spans="1:1" x14ac:dyDescent="0.25">
      <c r="A11072" t="str">
        <f t="shared" si="174"/>
        <v/>
      </c>
    </row>
    <row r="11073" spans="1:1" x14ac:dyDescent="0.25">
      <c r="A11073" t="str">
        <f t="shared" si="174"/>
        <v/>
      </c>
    </row>
    <row r="11074" spans="1:1" x14ac:dyDescent="0.25">
      <c r="A11074" t="str">
        <f t="shared" si="174"/>
        <v/>
      </c>
    </row>
    <row r="11075" spans="1:1" x14ac:dyDescent="0.25">
      <c r="A11075" t="str">
        <f t="shared" si="174"/>
        <v/>
      </c>
    </row>
    <row r="11076" spans="1:1" x14ac:dyDescent="0.25">
      <c r="A11076" t="str">
        <f t="shared" si="174"/>
        <v/>
      </c>
    </row>
    <row r="11077" spans="1:1" x14ac:dyDescent="0.25">
      <c r="A11077" t="str">
        <f t="shared" si="174"/>
        <v/>
      </c>
    </row>
    <row r="11078" spans="1:1" x14ac:dyDescent="0.25">
      <c r="A11078" t="str">
        <f t="shared" si="174"/>
        <v/>
      </c>
    </row>
    <row r="11079" spans="1:1" x14ac:dyDescent="0.25">
      <c r="A11079" t="str">
        <f t="shared" si="174"/>
        <v/>
      </c>
    </row>
    <row r="11080" spans="1:1" x14ac:dyDescent="0.25">
      <c r="A11080" t="str">
        <f t="shared" si="174"/>
        <v/>
      </c>
    </row>
    <row r="11081" spans="1:1" x14ac:dyDescent="0.25">
      <c r="A11081" t="str">
        <f t="shared" si="174"/>
        <v/>
      </c>
    </row>
    <row r="11082" spans="1:1" x14ac:dyDescent="0.25">
      <c r="A11082" t="str">
        <f t="shared" si="174"/>
        <v/>
      </c>
    </row>
    <row r="11083" spans="1:1" x14ac:dyDescent="0.25">
      <c r="A11083" t="str">
        <f t="shared" si="174"/>
        <v/>
      </c>
    </row>
    <row r="11084" spans="1:1" x14ac:dyDescent="0.25">
      <c r="A11084" t="str">
        <f t="shared" si="174"/>
        <v/>
      </c>
    </row>
    <row r="11085" spans="1:1" x14ac:dyDescent="0.25">
      <c r="A11085" t="str">
        <f t="shared" si="174"/>
        <v/>
      </c>
    </row>
    <row r="11086" spans="1:1" x14ac:dyDescent="0.25">
      <c r="A11086" t="str">
        <f t="shared" si="174"/>
        <v/>
      </c>
    </row>
    <row r="11087" spans="1:1" x14ac:dyDescent="0.25">
      <c r="A11087" t="str">
        <f t="shared" si="174"/>
        <v/>
      </c>
    </row>
    <row r="11088" spans="1:1" x14ac:dyDescent="0.25">
      <c r="A11088" t="str">
        <f t="shared" si="174"/>
        <v/>
      </c>
    </row>
    <row r="11089" spans="1:1" x14ac:dyDescent="0.25">
      <c r="A11089" t="str">
        <f t="shared" si="174"/>
        <v/>
      </c>
    </row>
    <row r="11090" spans="1:1" x14ac:dyDescent="0.25">
      <c r="A11090" t="str">
        <f t="shared" si="174"/>
        <v/>
      </c>
    </row>
    <row r="11091" spans="1:1" x14ac:dyDescent="0.25">
      <c r="A11091" t="str">
        <f t="shared" si="174"/>
        <v/>
      </c>
    </row>
    <row r="11092" spans="1:1" x14ac:dyDescent="0.25">
      <c r="A11092" t="str">
        <f t="shared" si="174"/>
        <v/>
      </c>
    </row>
    <row r="11093" spans="1:1" x14ac:dyDescent="0.25">
      <c r="A11093" t="str">
        <f t="shared" si="174"/>
        <v/>
      </c>
    </row>
    <row r="11094" spans="1:1" x14ac:dyDescent="0.25">
      <c r="A11094" t="str">
        <f t="shared" si="174"/>
        <v/>
      </c>
    </row>
    <row r="11095" spans="1:1" x14ac:dyDescent="0.25">
      <c r="A11095" t="str">
        <f t="shared" si="174"/>
        <v/>
      </c>
    </row>
    <row r="11096" spans="1:1" x14ac:dyDescent="0.25">
      <c r="A11096" t="str">
        <f t="shared" si="174"/>
        <v/>
      </c>
    </row>
    <row r="11097" spans="1:1" x14ac:dyDescent="0.25">
      <c r="A11097" t="str">
        <f t="shared" si="174"/>
        <v/>
      </c>
    </row>
    <row r="11098" spans="1:1" x14ac:dyDescent="0.25">
      <c r="A11098" t="str">
        <f t="shared" si="174"/>
        <v/>
      </c>
    </row>
    <row r="11099" spans="1:1" x14ac:dyDescent="0.25">
      <c r="A11099" t="str">
        <f t="shared" si="174"/>
        <v/>
      </c>
    </row>
    <row r="11100" spans="1:1" x14ac:dyDescent="0.25">
      <c r="A11100" t="str">
        <f t="shared" si="174"/>
        <v/>
      </c>
    </row>
    <row r="11101" spans="1:1" x14ac:dyDescent="0.25">
      <c r="A11101" t="str">
        <f t="shared" si="174"/>
        <v/>
      </c>
    </row>
    <row r="11102" spans="1:1" x14ac:dyDescent="0.25">
      <c r="A11102" t="str">
        <f t="shared" si="174"/>
        <v/>
      </c>
    </row>
    <row r="11103" spans="1:1" x14ac:dyDescent="0.25">
      <c r="A11103" t="str">
        <f t="shared" si="174"/>
        <v/>
      </c>
    </row>
    <row r="11104" spans="1:1" x14ac:dyDescent="0.25">
      <c r="A11104" t="str">
        <f t="shared" si="174"/>
        <v/>
      </c>
    </row>
    <row r="11105" spans="1:1" x14ac:dyDescent="0.25">
      <c r="A11105" t="str">
        <f t="shared" si="174"/>
        <v/>
      </c>
    </row>
    <row r="11106" spans="1:1" x14ac:dyDescent="0.25">
      <c r="A11106" t="str">
        <f t="shared" si="174"/>
        <v/>
      </c>
    </row>
    <row r="11107" spans="1:1" x14ac:dyDescent="0.25">
      <c r="A11107" t="str">
        <f t="shared" si="174"/>
        <v/>
      </c>
    </row>
    <row r="11108" spans="1:1" x14ac:dyDescent="0.25">
      <c r="A11108" t="str">
        <f t="shared" si="174"/>
        <v/>
      </c>
    </row>
    <row r="11109" spans="1:1" x14ac:dyDescent="0.25">
      <c r="A11109" t="str">
        <f t="shared" si="174"/>
        <v/>
      </c>
    </row>
    <row r="11110" spans="1:1" x14ac:dyDescent="0.25">
      <c r="A11110" t="str">
        <f t="shared" si="174"/>
        <v/>
      </c>
    </row>
    <row r="11111" spans="1:1" x14ac:dyDescent="0.25">
      <c r="A11111" t="str">
        <f t="shared" si="174"/>
        <v/>
      </c>
    </row>
    <row r="11112" spans="1:1" x14ac:dyDescent="0.25">
      <c r="A11112" t="str">
        <f t="shared" si="174"/>
        <v/>
      </c>
    </row>
    <row r="11113" spans="1:1" x14ac:dyDescent="0.25">
      <c r="A11113" t="str">
        <f t="shared" si="174"/>
        <v/>
      </c>
    </row>
    <row r="11114" spans="1:1" x14ac:dyDescent="0.25">
      <c r="A11114" t="str">
        <f t="shared" si="174"/>
        <v/>
      </c>
    </row>
    <row r="11115" spans="1:1" x14ac:dyDescent="0.25">
      <c r="A11115" t="str">
        <f t="shared" si="174"/>
        <v/>
      </c>
    </row>
    <row r="11116" spans="1:1" x14ac:dyDescent="0.25">
      <c r="A11116" t="str">
        <f t="shared" si="174"/>
        <v/>
      </c>
    </row>
    <row r="11117" spans="1:1" x14ac:dyDescent="0.25">
      <c r="A11117" t="str">
        <f t="shared" si="174"/>
        <v/>
      </c>
    </row>
    <row r="11118" spans="1:1" x14ac:dyDescent="0.25">
      <c r="A11118" t="str">
        <f t="shared" si="174"/>
        <v/>
      </c>
    </row>
    <row r="11119" spans="1:1" x14ac:dyDescent="0.25">
      <c r="A11119" t="str">
        <f t="shared" si="174"/>
        <v/>
      </c>
    </row>
    <row r="11120" spans="1:1" x14ac:dyDescent="0.25">
      <c r="A11120" t="str">
        <f t="shared" si="174"/>
        <v/>
      </c>
    </row>
    <row r="11121" spans="1:1" x14ac:dyDescent="0.25">
      <c r="A11121" t="str">
        <f t="shared" si="174"/>
        <v/>
      </c>
    </row>
    <row r="11122" spans="1:1" x14ac:dyDescent="0.25">
      <c r="A11122" t="str">
        <f t="shared" si="174"/>
        <v/>
      </c>
    </row>
    <row r="11123" spans="1:1" x14ac:dyDescent="0.25">
      <c r="A11123" t="str">
        <f t="shared" si="174"/>
        <v/>
      </c>
    </row>
    <row r="11124" spans="1:1" x14ac:dyDescent="0.25">
      <c r="A11124" t="str">
        <f t="shared" si="174"/>
        <v/>
      </c>
    </row>
    <row r="11125" spans="1:1" x14ac:dyDescent="0.25">
      <c r="A11125" t="str">
        <f t="shared" ref="A11125:A11188" si="175">B11123&amp;D11123</f>
        <v/>
      </c>
    </row>
    <row r="11126" spans="1:1" x14ac:dyDescent="0.25">
      <c r="A11126" t="str">
        <f t="shared" si="175"/>
        <v/>
      </c>
    </row>
    <row r="11127" spans="1:1" x14ac:dyDescent="0.25">
      <c r="A11127" t="str">
        <f t="shared" si="175"/>
        <v/>
      </c>
    </row>
    <row r="11128" spans="1:1" x14ac:dyDescent="0.25">
      <c r="A11128" t="str">
        <f t="shared" si="175"/>
        <v/>
      </c>
    </row>
    <row r="11129" spans="1:1" x14ac:dyDescent="0.25">
      <c r="A11129" t="str">
        <f t="shared" si="175"/>
        <v/>
      </c>
    </row>
    <row r="11130" spans="1:1" x14ac:dyDescent="0.25">
      <c r="A11130" t="str">
        <f t="shared" si="175"/>
        <v/>
      </c>
    </row>
    <row r="11131" spans="1:1" x14ac:dyDescent="0.25">
      <c r="A11131" t="str">
        <f t="shared" si="175"/>
        <v/>
      </c>
    </row>
    <row r="11132" spans="1:1" x14ac:dyDescent="0.25">
      <c r="A11132" t="str">
        <f t="shared" si="175"/>
        <v/>
      </c>
    </row>
    <row r="11133" spans="1:1" x14ac:dyDescent="0.25">
      <c r="A11133" t="str">
        <f t="shared" si="175"/>
        <v/>
      </c>
    </row>
    <row r="11134" spans="1:1" x14ac:dyDescent="0.25">
      <c r="A11134" t="str">
        <f t="shared" si="175"/>
        <v/>
      </c>
    </row>
    <row r="11135" spans="1:1" x14ac:dyDescent="0.25">
      <c r="A11135" t="str">
        <f t="shared" si="175"/>
        <v/>
      </c>
    </row>
    <row r="11136" spans="1:1" x14ac:dyDescent="0.25">
      <c r="A11136" t="str">
        <f t="shared" si="175"/>
        <v/>
      </c>
    </row>
    <row r="11137" spans="1:1" x14ac:dyDescent="0.25">
      <c r="A11137" t="str">
        <f t="shared" si="175"/>
        <v/>
      </c>
    </row>
    <row r="11138" spans="1:1" x14ac:dyDescent="0.25">
      <c r="A11138" t="str">
        <f t="shared" si="175"/>
        <v/>
      </c>
    </row>
    <row r="11139" spans="1:1" x14ac:dyDescent="0.25">
      <c r="A11139" t="str">
        <f t="shared" si="175"/>
        <v/>
      </c>
    </row>
    <row r="11140" spans="1:1" x14ac:dyDescent="0.25">
      <c r="A11140" t="str">
        <f t="shared" si="175"/>
        <v/>
      </c>
    </row>
    <row r="11141" spans="1:1" x14ac:dyDescent="0.25">
      <c r="A11141" t="str">
        <f t="shared" si="175"/>
        <v/>
      </c>
    </row>
    <row r="11142" spans="1:1" x14ac:dyDescent="0.25">
      <c r="A11142" t="str">
        <f t="shared" si="175"/>
        <v/>
      </c>
    </row>
    <row r="11143" spans="1:1" x14ac:dyDescent="0.25">
      <c r="A11143" t="str">
        <f t="shared" si="175"/>
        <v/>
      </c>
    </row>
    <row r="11144" spans="1:1" x14ac:dyDescent="0.25">
      <c r="A11144" t="str">
        <f t="shared" si="175"/>
        <v/>
      </c>
    </row>
    <row r="11145" spans="1:1" x14ac:dyDescent="0.25">
      <c r="A11145" t="str">
        <f t="shared" si="175"/>
        <v/>
      </c>
    </row>
    <row r="11146" spans="1:1" x14ac:dyDescent="0.25">
      <c r="A11146" t="str">
        <f t="shared" si="175"/>
        <v/>
      </c>
    </row>
    <row r="11147" spans="1:1" x14ac:dyDescent="0.25">
      <c r="A11147" t="str">
        <f t="shared" si="175"/>
        <v/>
      </c>
    </row>
    <row r="11148" spans="1:1" x14ac:dyDescent="0.25">
      <c r="A11148" t="str">
        <f t="shared" si="175"/>
        <v/>
      </c>
    </row>
    <row r="11149" spans="1:1" x14ac:dyDescent="0.25">
      <c r="A11149" t="str">
        <f t="shared" si="175"/>
        <v/>
      </c>
    </row>
    <row r="11150" spans="1:1" x14ac:dyDescent="0.25">
      <c r="A11150" t="str">
        <f t="shared" si="175"/>
        <v/>
      </c>
    </row>
    <row r="11151" spans="1:1" x14ac:dyDescent="0.25">
      <c r="A11151" t="str">
        <f t="shared" si="175"/>
        <v/>
      </c>
    </row>
    <row r="11152" spans="1:1" x14ac:dyDescent="0.25">
      <c r="A11152" t="str">
        <f t="shared" si="175"/>
        <v/>
      </c>
    </row>
    <row r="11153" spans="1:1" x14ac:dyDescent="0.25">
      <c r="A11153" t="str">
        <f t="shared" si="175"/>
        <v/>
      </c>
    </row>
    <row r="11154" spans="1:1" x14ac:dyDescent="0.25">
      <c r="A11154" t="str">
        <f t="shared" si="175"/>
        <v/>
      </c>
    </row>
    <row r="11155" spans="1:1" x14ac:dyDescent="0.25">
      <c r="A11155" t="str">
        <f t="shared" si="175"/>
        <v/>
      </c>
    </row>
    <row r="11156" spans="1:1" x14ac:dyDescent="0.25">
      <c r="A11156" t="str">
        <f t="shared" si="175"/>
        <v/>
      </c>
    </row>
    <row r="11157" spans="1:1" x14ac:dyDescent="0.25">
      <c r="A11157" t="str">
        <f t="shared" si="175"/>
        <v/>
      </c>
    </row>
    <row r="11158" spans="1:1" x14ac:dyDescent="0.25">
      <c r="A11158" t="str">
        <f t="shared" si="175"/>
        <v/>
      </c>
    </row>
    <row r="11159" spans="1:1" x14ac:dyDescent="0.25">
      <c r="A11159" t="str">
        <f t="shared" si="175"/>
        <v/>
      </c>
    </row>
    <row r="11160" spans="1:1" x14ac:dyDescent="0.25">
      <c r="A11160" t="str">
        <f t="shared" si="175"/>
        <v/>
      </c>
    </row>
    <row r="11161" spans="1:1" x14ac:dyDescent="0.25">
      <c r="A11161" t="str">
        <f t="shared" si="175"/>
        <v/>
      </c>
    </row>
    <row r="11162" spans="1:1" x14ac:dyDescent="0.25">
      <c r="A11162" t="str">
        <f t="shared" si="175"/>
        <v/>
      </c>
    </row>
    <row r="11163" spans="1:1" x14ac:dyDescent="0.25">
      <c r="A11163" t="str">
        <f t="shared" si="175"/>
        <v/>
      </c>
    </row>
    <row r="11164" spans="1:1" x14ac:dyDescent="0.25">
      <c r="A11164" t="str">
        <f t="shared" si="175"/>
        <v/>
      </c>
    </row>
    <row r="11165" spans="1:1" x14ac:dyDescent="0.25">
      <c r="A11165" t="str">
        <f t="shared" si="175"/>
        <v/>
      </c>
    </row>
    <row r="11166" spans="1:1" x14ac:dyDescent="0.25">
      <c r="A11166" t="str">
        <f t="shared" si="175"/>
        <v/>
      </c>
    </row>
    <row r="11167" spans="1:1" x14ac:dyDescent="0.25">
      <c r="A11167" t="str">
        <f t="shared" si="175"/>
        <v/>
      </c>
    </row>
    <row r="11168" spans="1:1" x14ac:dyDescent="0.25">
      <c r="A11168" t="str">
        <f t="shared" si="175"/>
        <v/>
      </c>
    </row>
    <row r="11169" spans="1:1" x14ac:dyDescent="0.25">
      <c r="A11169" t="str">
        <f t="shared" si="175"/>
        <v/>
      </c>
    </row>
    <row r="11170" spans="1:1" x14ac:dyDescent="0.25">
      <c r="A11170" t="str">
        <f t="shared" si="175"/>
        <v/>
      </c>
    </row>
    <row r="11171" spans="1:1" x14ac:dyDescent="0.25">
      <c r="A11171" t="str">
        <f t="shared" si="175"/>
        <v/>
      </c>
    </row>
    <row r="11172" spans="1:1" x14ac:dyDescent="0.25">
      <c r="A11172" t="str">
        <f t="shared" si="175"/>
        <v/>
      </c>
    </row>
    <row r="11173" spans="1:1" x14ac:dyDescent="0.25">
      <c r="A11173" t="str">
        <f t="shared" si="175"/>
        <v/>
      </c>
    </row>
    <row r="11174" spans="1:1" x14ac:dyDescent="0.25">
      <c r="A11174" t="str">
        <f t="shared" si="175"/>
        <v/>
      </c>
    </row>
    <row r="11175" spans="1:1" x14ac:dyDescent="0.25">
      <c r="A11175" t="str">
        <f t="shared" si="175"/>
        <v/>
      </c>
    </row>
    <row r="11176" spans="1:1" x14ac:dyDescent="0.25">
      <c r="A11176" t="str">
        <f t="shared" si="175"/>
        <v/>
      </c>
    </row>
    <row r="11177" spans="1:1" x14ac:dyDescent="0.25">
      <c r="A11177" t="str">
        <f t="shared" si="175"/>
        <v/>
      </c>
    </row>
    <row r="11178" spans="1:1" x14ac:dyDescent="0.25">
      <c r="A11178" t="str">
        <f t="shared" si="175"/>
        <v/>
      </c>
    </row>
    <row r="11179" spans="1:1" x14ac:dyDescent="0.25">
      <c r="A11179" t="str">
        <f t="shared" si="175"/>
        <v/>
      </c>
    </row>
    <row r="11180" spans="1:1" x14ac:dyDescent="0.25">
      <c r="A11180" t="str">
        <f t="shared" si="175"/>
        <v/>
      </c>
    </row>
    <row r="11181" spans="1:1" x14ac:dyDescent="0.25">
      <c r="A11181" t="str">
        <f t="shared" si="175"/>
        <v/>
      </c>
    </row>
    <row r="11182" spans="1:1" x14ac:dyDescent="0.25">
      <c r="A11182" t="str">
        <f t="shared" si="175"/>
        <v/>
      </c>
    </row>
    <row r="11183" spans="1:1" x14ac:dyDescent="0.25">
      <c r="A11183" t="str">
        <f t="shared" si="175"/>
        <v/>
      </c>
    </row>
    <row r="11184" spans="1:1" x14ac:dyDescent="0.25">
      <c r="A11184" t="str">
        <f t="shared" si="175"/>
        <v/>
      </c>
    </row>
    <row r="11185" spans="1:1" x14ac:dyDescent="0.25">
      <c r="A11185" t="str">
        <f t="shared" si="175"/>
        <v/>
      </c>
    </row>
    <row r="11186" spans="1:1" x14ac:dyDescent="0.25">
      <c r="A11186" t="str">
        <f t="shared" si="175"/>
        <v/>
      </c>
    </row>
    <row r="11187" spans="1:1" x14ac:dyDescent="0.25">
      <c r="A11187" t="str">
        <f t="shared" si="175"/>
        <v/>
      </c>
    </row>
    <row r="11188" spans="1:1" x14ac:dyDescent="0.25">
      <c r="A11188" t="str">
        <f t="shared" si="175"/>
        <v/>
      </c>
    </row>
    <row r="11189" spans="1:1" x14ac:dyDescent="0.25">
      <c r="A11189" t="str">
        <f t="shared" ref="A11189:A11252" si="176">B11187&amp;D11187</f>
        <v/>
      </c>
    </row>
    <row r="11190" spans="1:1" x14ac:dyDescent="0.25">
      <c r="A11190" t="str">
        <f t="shared" si="176"/>
        <v/>
      </c>
    </row>
    <row r="11191" spans="1:1" x14ac:dyDescent="0.25">
      <c r="A11191" t="str">
        <f t="shared" si="176"/>
        <v/>
      </c>
    </row>
    <row r="11192" spans="1:1" x14ac:dyDescent="0.25">
      <c r="A11192" t="str">
        <f t="shared" si="176"/>
        <v/>
      </c>
    </row>
    <row r="11193" spans="1:1" x14ac:dyDescent="0.25">
      <c r="A11193" t="str">
        <f t="shared" si="176"/>
        <v/>
      </c>
    </row>
    <row r="11194" spans="1:1" x14ac:dyDescent="0.25">
      <c r="A11194" t="str">
        <f t="shared" si="176"/>
        <v/>
      </c>
    </row>
    <row r="11195" spans="1:1" x14ac:dyDescent="0.25">
      <c r="A11195" t="str">
        <f t="shared" si="176"/>
        <v/>
      </c>
    </row>
    <row r="11196" spans="1:1" x14ac:dyDescent="0.25">
      <c r="A11196" t="str">
        <f t="shared" si="176"/>
        <v/>
      </c>
    </row>
    <row r="11197" spans="1:1" x14ac:dyDescent="0.25">
      <c r="A11197" t="str">
        <f t="shared" si="176"/>
        <v/>
      </c>
    </row>
    <row r="11198" spans="1:1" x14ac:dyDescent="0.25">
      <c r="A11198" t="str">
        <f t="shared" si="176"/>
        <v/>
      </c>
    </row>
    <row r="11199" spans="1:1" x14ac:dyDescent="0.25">
      <c r="A11199" t="str">
        <f t="shared" si="176"/>
        <v/>
      </c>
    </row>
    <row r="11200" spans="1:1" x14ac:dyDescent="0.25">
      <c r="A11200" t="str">
        <f t="shared" si="176"/>
        <v/>
      </c>
    </row>
    <row r="11201" spans="1:1" x14ac:dyDescent="0.25">
      <c r="A11201" t="str">
        <f t="shared" si="176"/>
        <v/>
      </c>
    </row>
    <row r="11202" spans="1:1" x14ac:dyDescent="0.25">
      <c r="A11202" t="str">
        <f t="shared" si="176"/>
        <v/>
      </c>
    </row>
    <row r="11203" spans="1:1" x14ac:dyDescent="0.25">
      <c r="A11203" t="str">
        <f t="shared" si="176"/>
        <v/>
      </c>
    </row>
    <row r="11204" spans="1:1" x14ac:dyDescent="0.25">
      <c r="A11204" t="str">
        <f t="shared" si="176"/>
        <v/>
      </c>
    </row>
    <row r="11205" spans="1:1" x14ac:dyDescent="0.25">
      <c r="A11205" t="str">
        <f t="shared" si="176"/>
        <v/>
      </c>
    </row>
    <row r="11206" spans="1:1" x14ac:dyDescent="0.25">
      <c r="A11206" t="str">
        <f t="shared" si="176"/>
        <v/>
      </c>
    </row>
    <row r="11207" spans="1:1" x14ac:dyDescent="0.25">
      <c r="A11207" t="str">
        <f t="shared" si="176"/>
        <v/>
      </c>
    </row>
    <row r="11208" spans="1:1" x14ac:dyDescent="0.25">
      <c r="A11208" t="str">
        <f t="shared" si="176"/>
        <v/>
      </c>
    </row>
    <row r="11209" spans="1:1" x14ac:dyDescent="0.25">
      <c r="A11209" t="str">
        <f t="shared" si="176"/>
        <v/>
      </c>
    </row>
    <row r="11210" spans="1:1" x14ac:dyDescent="0.25">
      <c r="A11210" t="str">
        <f t="shared" si="176"/>
        <v/>
      </c>
    </row>
    <row r="11211" spans="1:1" x14ac:dyDescent="0.25">
      <c r="A11211" t="str">
        <f t="shared" si="176"/>
        <v/>
      </c>
    </row>
    <row r="11212" spans="1:1" x14ac:dyDescent="0.25">
      <c r="A11212" t="str">
        <f t="shared" si="176"/>
        <v/>
      </c>
    </row>
    <row r="11213" spans="1:1" x14ac:dyDescent="0.25">
      <c r="A11213" t="str">
        <f t="shared" si="176"/>
        <v/>
      </c>
    </row>
    <row r="11214" spans="1:1" x14ac:dyDescent="0.25">
      <c r="A11214" t="str">
        <f t="shared" si="176"/>
        <v/>
      </c>
    </row>
    <row r="11215" spans="1:1" x14ac:dyDescent="0.25">
      <c r="A11215" t="str">
        <f t="shared" si="176"/>
        <v/>
      </c>
    </row>
    <row r="11216" spans="1:1" x14ac:dyDescent="0.25">
      <c r="A11216" t="str">
        <f t="shared" si="176"/>
        <v/>
      </c>
    </row>
    <row r="11217" spans="1:1" x14ac:dyDescent="0.25">
      <c r="A11217" t="str">
        <f t="shared" si="176"/>
        <v/>
      </c>
    </row>
    <row r="11218" spans="1:1" x14ac:dyDescent="0.25">
      <c r="A11218" t="str">
        <f t="shared" si="176"/>
        <v/>
      </c>
    </row>
    <row r="11219" spans="1:1" x14ac:dyDescent="0.25">
      <c r="A11219" t="str">
        <f t="shared" si="176"/>
        <v/>
      </c>
    </row>
    <row r="11220" spans="1:1" x14ac:dyDescent="0.25">
      <c r="A11220" t="str">
        <f t="shared" si="176"/>
        <v/>
      </c>
    </row>
    <row r="11221" spans="1:1" x14ac:dyDescent="0.25">
      <c r="A11221" t="str">
        <f t="shared" si="176"/>
        <v/>
      </c>
    </row>
    <row r="11222" spans="1:1" x14ac:dyDescent="0.25">
      <c r="A11222" t="str">
        <f t="shared" si="176"/>
        <v/>
      </c>
    </row>
    <row r="11223" spans="1:1" x14ac:dyDescent="0.25">
      <c r="A11223" t="str">
        <f t="shared" si="176"/>
        <v/>
      </c>
    </row>
    <row r="11224" spans="1:1" x14ac:dyDescent="0.25">
      <c r="A11224" t="str">
        <f t="shared" si="176"/>
        <v/>
      </c>
    </row>
    <row r="11225" spans="1:1" x14ac:dyDescent="0.25">
      <c r="A11225" t="str">
        <f t="shared" si="176"/>
        <v/>
      </c>
    </row>
    <row r="11226" spans="1:1" x14ac:dyDescent="0.25">
      <c r="A11226" t="str">
        <f t="shared" si="176"/>
        <v/>
      </c>
    </row>
    <row r="11227" spans="1:1" x14ac:dyDescent="0.25">
      <c r="A11227" t="str">
        <f t="shared" si="176"/>
        <v/>
      </c>
    </row>
    <row r="11228" spans="1:1" x14ac:dyDescent="0.25">
      <c r="A11228" t="str">
        <f t="shared" si="176"/>
        <v/>
      </c>
    </row>
    <row r="11229" spans="1:1" x14ac:dyDescent="0.25">
      <c r="A11229" t="str">
        <f t="shared" si="176"/>
        <v/>
      </c>
    </row>
    <row r="11230" spans="1:1" x14ac:dyDescent="0.25">
      <c r="A11230" t="str">
        <f t="shared" si="176"/>
        <v/>
      </c>
    </row>
    <row r="11231" spans="1:1" x14ac:dyDescent="0.25">
      <c r="A11231" t="str">
        <f t="shared" si="176"/>
        <v/>
      </c>
    </row>
    <row r="11232" spans="1:1" x14ac:dyDescent="0.25">
      <c r="A11232" t="str">
        <f t="shared" si="176"/>
        <v/>
      </c>
    </row>
    <row r="11233" spans="1:1" x14ac:dyDescent="0.25">
      <c r="A11233" t="str">
        <f t="shared" si="176"/>
        <v/>
      </c>
    </row>
    <row r="11234" spans="1:1" x14ac:dyDescent="0.25">
      <c r="A11234" t="str">
        <f t="shared" si="176"/>
        <v/>
      </c>
    </row>
    <row r="11235" spans="1:1" x14ac:dyDescent="0.25">
      <c r="A11235" t="str">
        <f t="shared" si="176"/>
        <v/>
      </c>
    </row>
    <row r="11236" spans="1:1" x14ac:dyDescent="0.25">
      <c r="A11236" t="str">
        <f t="shared" si="176"/>
        <v/>
      </c>
    </row>
    <row r="11237" spans="1:1" x14ac:dyDescent="0.25">
      <c r="A11237" t="str">
        <f t="shared" si="176"/>
        <v/>
      </c>
    </row>
    <row r="11238" spans="1:1" x14ac:dyDescent="0.25">
      <c r="A11238" t="str">
        <f t="shared" si="176"/>
        <v/>
      </c>
    </row>
    <row r="11239" spans="1:1" x14ac:dyDescent="0.25">
      <c r="A11239" t="str">
        <f t="shared" si="176"/>
        <v/>
      </c>
    </row>
    <row r="11240" spans="1:1" x14ac:dyDescent="0.25">
      <c r="A11240" t="str">
        <f t="shared" si="176"/>
        <v/>
      </c>
    </row>
    <row r="11241" spans="1:1" x14ac:dyDescent="0.25">
      <c r="A11241" t="str">
        <f t="shared" si="176"/>
        <v/>
      </c>
    </row>
    <row r="11242" spans="1:1" x14ac:dyDescent="0.25">
      <c r="A11242" t="str">
        <f t="shared" si="176"/>
        <v/>
      </c>
    </row>
    <row r="11243" spans="1:1" x14ac:dyDescent="0.25">
      <c r="A11243" t="str">
        <f t="shared" si="176"/>
        <v/>
      </c>
    </row>
    <row r="11244" spans="1:1" x14ac:dyDescent="0.25">
      <c r="A11244" t="str">
        <f t="shared" si="176"/>
        <v/>
      </c>
    </row>
    <row r="11245" spans="1:1" x14ac:dyDescent="0.25">
      <c r="A11245" t="str">
        <f t="shared" si="176"/>
        <v/>
      </c>
    </row>
    <row r="11246" spans="1:1" x14ac:dyDescent="0.25">
      <c r="A11246" t="str">
        <f t="shared" si="176"/>
        <v/>
      </c>
    </row>
    <row r="11247" spans="1:1" x14ac:dyDescent="0.25">
      <c r="A11247" t="str">
        <f t="shared" si="176"/>
        <v/>
      </c>
    </row>
    <row r="11248" spans="1:1" x14ac:dyDescent="0.25">
      <c r="A11248" t="str">
        <f t="shared" si="176"/>
        <v/>
      </c>
    </row>
    <row r="11249" spans="1:1" x14ac:dyDescent="0.25">
      <c r="A11249" t="str">
        <f t="shared" si="176"/>
        <v/>
      </c>
    </row>
    <row r="11250" spans="1:1" x14ac:dyDescent="0.25">
      <c r="A11250" t="str">
        <f t="shared" si="176"/>
        <v/>
      </c>
    </row>
    <row r="11251" spans="1:1" x14ac:dyDescent="0.25">
      <c r="A11251" t="str">
        <f t="shared" si="176"/>
        <v/>
      </c>
    </row>
    <row r="11252" spans="1:1" x14ac:dyDescent="0.25">
      <c r="A11252" t="str">
        <f t="shared" si="176"/>
        <v/>
      </c>
    </row>
    <row r="11253" spans="1:1" x14ac:dyDescent="0.25">
      <c r="A11253" t="str">
        <f t="shared" ref="A11253:A11316" si="177">B11251&amp;D11251</f>
        <v/>
      </c>
    </row>
    <row r="11254" spans="1:1" x14ac:dyDescent="0.25">
      <c r="A11254" t="str">
        <f t="shared" si="177"/>
        <v/>
      </c>
    </row>
    <row r="11255" spans="1:1" x14ac:dyDescent="0.25">
      <c r="A11255" t="str">
        <f t="shared" si="177"/>
        <v/>
      </c>
    </row>
    <row r="11256" spans="1:1" x14ac:dyDescent="0.25">
      <c r="A11256" t="str">
        <f t="shared" si="177"/>
        <v/>
      </c>
    </row>
    <row r="11257" spans="1:1" x14ac:dyDescent="0.25">
      <c r="A11257" t="str">
        <f t="shared" si="177"/>
        <v/>
      </c>
    </row>
    <row r="11258" spans="1:1" x14ac:dyDescent="0.25">
      <c r="A11258" t="str">
        <f t="shared" si="177"/>
        <v/>
      </c>
    </row>
    <row r="11259" spans="1:1" x14ac:dyDescent="0.25">
      <c r="A11259" t="str">
        <f t="shared" si="177"/>
        <v/>
      </c>
    </row>
    <row r="11260" spans="1:1" x14ac:dyDescent="0.25">
      <c r="A11260" t="str">
        <f t="shared" si="177"/>
        <v/>
      </c>
    </row>
    <row r="11261" spans="1:1" x14ac:dyDescent="0.25">
      <c r="A11261" t="str">
        <f t="shared" si="177"/>
        <v/>
      </c>
    </row>
    <row r="11262" spans="1:1" x14ac:dyDescent="0.25">
      <c r="A11262" t="str">
        <f t="shared" si="177"/>
        <v/>
      </c>
    </row>
    <row r="11263" spans="1:1" x14ac:dyDescent="0.25">
      <c r="A11263" t="str">
        <f t="shared" si="177"/>
        <v/>
      </c>
    </row>
    <row r="11264" spans="1:1" x14ac:dyDescent="0.25">
      <c r="A11264" t="str">
        <f t="shared" si="177"/>
        <v/>
      </c>
    </row>
    <row r="11265" spans="1:1" x14ac:dyDescent="0.25">
      <c r="A11265" t="str">
        <f t="shared" si="177"/>
        <v/>
      </c>
    </row>
    <row r="11266" spans="1:1" x14ac:dyDescent="0.25">
      <c r="A11266" t="str">
        <f t="shared" si="177"/>
        <v/>
      </c>
    </row>
    <row r="11267" spans="1:1" x14ac:dyDescent="0.25">
      <c r="A11267" t="str">
        <f t="shared" si="177"/>
        <v/>
      </c>
    </row>
    <row r="11268" spans="1:1" x14ac:dyDescent="0.25">
      <c r="A11268" t="str">
        <f t="shared" si="177"/>
        <v/>
      </c>
    </row>
    <row r="11269" spans="1:1" x14ac:dyDescent="0.25">
      <c r="A11269" t="str">
        <f t="shared" si="177"/>
        <v/>
      </c>
    </row>
    <row r="11270" spans="1:1" x14ac:dyDescent="0.25">
      <c r="A11270" t="str">
        <f t="shared" si="177"/>
        <v/>
      </c>
    </row>
    <row r="11271" spans="1:1" x14ac:dyDescent="0.25">
      <c r="A11271" t="str">
        <f t="shared" si="177"/>
        <v/>
      </c>
    </row>
    <row r="11272" spans="1:1" x14ac:dyDescent="0.25">
      <c r="A11272" t="str">
        <f t="shared" si="177"/>
        <v/>
      </c>
    </row>
    <row r="11273" spans="1:1" x14ac:dyDescent="0.25">
      <c r="A11273" t="str">
        <f t="shared" si="177"/>
        <v/>
      </c>
    </row>
    <row r="11274" spans="1:1" x14ac:dyDescent="0.25">
      <c r="A11274" t="str">
        <f t="shared" si="177"/>
        <v/>
      </c>
    </row>
    <row r="11275" spans="1:1" x14ac:dyDescent="0.25">
      <c r="A11275" t="str">
        <f t="shared" si="177"/>
        <v/>
      </c>
    </row>
    <row r="11276" spans="1:1" x14ac:dyDescent="0.25">
      <c r="A11276" t="str">
        <f t="shared" si="177"/>
        <v/>
      </c>
    </row>
    <row r="11277" spans="1:1" x14ac:dyDescent="0.25">
      <c r="A11277" t="str">
        <f t="shared" si="177"/>
        <v/>
      </c>
    </row>
    <row r="11278" spans="1:1" x14ac:dyDescent="0.25">
      <c r="A11278" t="str">
        <f t="shared" si="177"/>
        <v/>
      </c>
    </row>
    <row r="11279" spans="1:1" x14ac:dyDescent="0.25">
      <c r="A11279" t="str">
        <f t="shared" si="177"/>
        <v/>
      </c>
    </row>
    <row r="11280" spans="1:1" x14ac:dyDescent="0.25">
      <c r="A11280" t="str">
        <f t="shared" si="177"/>
        <v/>
      </c>
    </row>
    <row r="11281" spans="1:1" x14ac:dyDescent="0.25">
      <c r="A11281" t="str">
        <f t="shared" si="177"/>
        <v/>
      </c>
    </row>
    <row r="11282" spans="1:1" x14ac:dyDescent="0.25">
      <c r="A11282" t="str">
        <f t="shared" si="177"/>
        <v/>
      </c>
    </row>
    <row r="11283" spans="1:1" x14ac:dyDescent="0.25">
      <c r="A11283" t="str">
        <f t="shared" si="177"/>
        <v/>
      </c>
    </row>
    <row r="11284" spans="1:1" x14ac:dyDescent="0.25">
      <c r="A11284" t="str">
        <f t="shared" si="177"/>
        <v/>
      </c>
    </row>
    <row r="11285" spans="1:1" x14ac:dyDescent="0.25">
      <c r="A11285" t="str">
        <f t="shared" si="177"/>
        <v/>
      </c>
    </row>
    <row r="11286" spans="1:1" x14ac:dyDescent="0.25">
      <c r="A11286" t="str">
        <f t="shared" si="177"/>
        <v/>
      </c>
    </row>
    <row r="11287" spans="1:1" x14ac:dyDescent="0.25">
      <c r="A11287" t="str">
        <f t="shared" si="177"/>
        <v/>
      </c>
    </row>
    <row r="11288" spans="1:1" x14ac:dyDescent="0.25">
      <c r="A11288" t="str">
        <f t="shared" si="177"/>
        <v/>
      </c>
    </row>
    <row r="11289" spans="1:1" x14ac:dyDescent="0.25">
      <c r="A11289" t="str">
        <f t="shared" si="177"/>
        <v/>
      </c>
    </row>
    <row r="11290" spans="1:1" x14ac:dyDescent="0.25">
      <c r="A11290" t="str">
        <f t="shared" si="177"/>
        <v/>
      </c>
    </row>
    <row r="11291" spans="1:1" x14ac:dyDescent="0.25">
      <c r="A11291" t="str">
        <f t="shared" si="177"/>
        <v/>
      </c>
    </row>
    <row r="11292" spans="1:1" x14ac:dyDescent="0.25">
      <c r="A11292" t="str">
        <f t="shared" si="177"/>
        <v/>
      </c>
    </row>
    <row r="11293" spans="1:1" x14ac:dyDescent="0.25">
      <c r="A11293" t="str">
        <f t="shared" si="177"/>
        <v/>
      </c>
    </row>
    <row r="11294" spans="1:1" x14ac:dyDescent="0.25">
      <c r="A11294" t="str">
        <f t="shared" si="177"/>
        <v/>
      </c>
    </row>
    <row r="11295" spans="1:1" x14ac:dyDescent="0.25">
      <c r="A11295" t="str">
        <f t="shared" si="177"/>
        <v/>
      </c>
    </row>
    <row r="11296" spans="1:1" x14ac:dyDescent="0.25">
      <c r="A11296" t="str">
        <f t="shared" si="177"/>
        <v/>
      </c>
    </row>
    <row r="11297" spans="1:1" x14ac:dyDescent="0.25">
      <c r="A11297" t="str">
        <f t="shared" si="177"/>
        <v/>
      </c>
    </row>
    <row r="11298" spans="1:1" x14ac:dyDescent="0.25">
      <c r="A11298" t="str">
        <f t="shared" si="177"/>
        <v/>
      </c>
    </row>
    <row r="11299" spans="1:1" x14ac:dyDescent="0.25">
      <c r="A11299" t="str">
        <f t="shared" si="177"/>
        <v/>
      </c>
    </row>
    <row r="11300" spans="1:1" x14ac:dyDescent="0.25">
      <c r="A11300" t="str">
        <f t="shared" si="177"/>
        <v/>
      </c>
    </row>
    <row r="11301" spans="1:1" x14ac:dyDescent="0.25">
      <c r="A11301" t="str">
        <f t="shared" si="177"/>
        <v/>
      </c>
    </row>
    <row r="11302" spans="1:1" x14ac:dyDescent="0.25">
      <c r="A11302" t="str">
        <f t="shared" si="177"/>
        <v/>
      </c>
    </row>
    <row r="11303" spans="1:1" x14ac:dyDescent="0.25">
      <c r="A11303" t="str">
        <f t="shared" si="177"/>
        <v/>
      </c>
    </row>
    <row r="11304" spans="1:1" x14ac:dyDescent="0.25">
      <c r="A11304" t="str">
        <f t="shared" si="177"/>
        <v/>
      </c>
    </row>
    <row r="11305" spans="1:1" x14ac:dyDescent="0.25">
      <c r="A11305" t="str">
        <f t="shared" si="177"/>
        <v/>
      </c>
    </row>
    <row r="11306" spans="1:1" x14ac:dyDescent="0.25">
      <c r="A11306" t="str">
        <f t="shared" si="177"/>
        <v/>
      </c>
    </row>
    <row r="11307" spans="1:1" x14ac:dyDescent="0.25">
      <c r="A11307" t="str">
        <f t="shared" si="177"/>
        <v/>
      </c>
    </row>
    <row r="11308" spans="1:1" x14ac:dyDescent="0.25">
      <c r="A11308" t="str">
        <f t="shared" si="177"/>
        <v/>
      </c>
    </row>
    <row r="11309" spans="1:1" x14ac:dyDescent="0.25">
      <c r="A11309" t="str">
        <f t="shared" si="177"/>
        <v/>
      </c>
    </row>
    <row r="11310" spans="1:1" x14ac:dyDescent="0.25">
      <c r="A11310" t="str">
        <f t="shared" si="177"/>
        <v/>
      </c>
    </row>
    <row r="11311" spans="1:1" x14ac:dyDescent="0.25">
      <c r="A11311" t="str">
        <f t="shared" si="177"/>
        <v/>
      </c>
    </row>
    <row r="11312" spans="1:1" x14ac:dyDescent="0.25">
      <c r="A11312" t="str">
        <f t="shared" si="177"/>
        <v/>
      </c>
    </row>
    <row r="11313" spans="1:1" x14ac:dyDescent="0.25">
      <c r="A11313" t="str">
        <f t="shared" si="177"/>
        <v/>
      </c>
    </row>
    <row r="11314" spans="1:1" x14ac:dyDescent="0.25">
      <c r="A11314" t="str">
        <f t="shared" si="177"/>
        <v/>
      </c>
    </row>
    <row r="11315" spans="1:1" x14ac:dyDescent="0.25">
      <c r="A11315" t="str">
        <f t="shared" si="177"/>
        <v/>
      </c>
    </row>
    <row r="11316" spans="1:1" x14ac:dyDescent="0.25">
      <c r="A11316" t="str">
        <f t="shared" si="177"/>
        <v/>
      </c>
    </row>
    <row r="11317" spans="1:1" x14ac:dyDescent="0.25">
      <c r="A11317" t="str">
        <f t="shared" ref="A11317:A11380" si="178">B11315&amp;D11315</f>
        <v/>
      </c>
    </row>
    <row r="11318" spans="1:1" x14ac:dyDescent="0.25">
      <c r="A11318" t="str">
        <f t="shared" si="178"/>
        <v/>
      </c>
    </row>
    <row r="11319" spans="1:1" x14ac:dyDescent="0.25">
      <c r="A11319" t="str">
        <f t="shared" si="178"/>
        <v/>
      </c>
    </row>
    <row r="11320" spans="1:1" x14ac:dyDescent="0.25">
      <c r="A11320" t="str">
        <f t="shared" si="178"/>
        <v/>
      </c>
    </row>
    <row r="11321" spans="1:1" x14ac:dyDescent="0.25">
      <c r="A11321" t="str">
        <f t="shared" si="178"/>
        <v/>
      </c>
    </row>
    <row r="11322" spans="1:1" x14ac:dyDescent="0.25">
      <c r="A11322" t="str">
        <f t="shared" si="178"/>
        <v/>
      </c>
    </row>
    <row r="11323" spans="1:1" x14ac:dyDescent="0.25">
      <c r="A11323" t="str">
        <f t="shared" si="178"/>
        <v/>
      </c>
    </row>
    <row r="11324" spans="1:1" x14ac:dyDescent="0.25">
      <c r="A11324" t="str">
        <f t="shared" si="178"/>
        <v/>
      </c>
    </row>
    <row r="11325" spans="1:1" x14ac:dyDescent="0.25">
      <c r="A11325" t="str">
        <f t="shared" si="178"/>
        <v/>
      </c>
    </row>
    <row r="11326" spans="1:1" x14ac:dyDescent="0.25">
      <c r="A11326" t="str">
        <f t="shared" si="178"/>
        <v/>
      </c>
    </row>
    <row r="11327" spans="1:1" x14ac:dyDescent="0.25">
      <c r="A11327" t="str">
        <f t="shared" si="178"/>
        <v/>
      </c>
    </row>
    <row r="11328" spans="1:1" x14ac:dyDescent="0.25">
      <c r="A11328" t="str">
        <f t="shared" si="178"/>
        <v/>
      </c>
    </row>
    <row r="11329" spans="1:1" x14ac:dyDescent="0.25">
      <c r="A11329" t="str">
        <f t="shared" si="178"/>
        <v/>
      </c>
    </row>
    <row r="11330" spans="1:1" x14ac:dyDescent="0.25">
      <c r="A11330" t="str">
        <f t="shared" si="178"/>
        <v/>
      </c>
    </row>
    <row r="11331" spans="1:1" x14ac:dyDescent="0.25">
      <c r="A11331" t="str">
        <f t="shared" si="178"/>
        <v/>
      </c>
    </row>
    <row r="11332" spans="1:1" x14ac:dyDescent="0.25">
      <c r="A11332" t="str">
        <f t="shared" si="178"/>
        <v/>
      </c>
    </row>
    <row r="11333" spans="1:1" x14ac:dyDescent="0.25">
      <c r="A11333" t="str">
        <f t="shared" si="178"/>
        <v/>
      </c>
    </row>
    <row r="11334" spans="1:1" x14ac:dyDescent="0.25">
      <c r="A11334" t="str">
        <f t="shared" si="178"/>
        <v/>
      </c>
    </row>
    <row r="11335" spans="1:1" x14ac:dyDescent="0.25">
      <c r="A11335" t="str">
        <f t="shared" si="178"/>
        <v/>
      </c>
    </row>
    <row r="11336" spans="1:1" x14ac:dyDescent="0.25">
      <c r="A11336" t="str">
        <f t="shared" si="178"/>
        <v/>
      </c>
    </row>
    <row r="11337" spans="1:1" x14ac:dyDescent="0.25">
      <c r="A11337" t="str">
        <f t="shared" si="178"/>
        <v/>
      </c>
    </row>
    <row r="11338" spans="1:1" x14ac:dyDescent="0.25">
      <c r="A11338" t="str">
        <f t="shared" si="178"/>
        <v/>
      </c>
    </row>
    <row r="11339" spans="1:1" x14ac:dyDescent="0.25">
      <c r="A11339" t="str">
        <f t="shared" si="178"/>
        <v/>
      </c>
    </row>
    <row r="11340" spans="1:1" x14ac:dyDescent="0.25">
      <c r="A11340" t="str">
        <f t="shared" si="178"/>
        <v/>
      </c>
    </row>
    <row r="11341" spans="1:1" x14ac:dyDescent="0.25">
      <c r="A11341" t="str">
        <f t="shared" si="178"/>
        <v/>
      </c>
    </row>
    <row r="11342" spans="1:1" x14ac:dyDescent="0.25">
      <c r="A11342" t="str">
        <f t="shared" si="178"/>
        <v/>
      </c>
    </row>
    <row r="11343" spans="1:1" x14ac:dyDescent="0.25">
      <c r="A11343" t="str">
        <f t="shared" si="178"/>
        <v/>
      </c>
    </row>
    <row r="11344" spans="1:1" x14ac:dyDescent="0.25">
      <c r="A11344" t="str">
        <f t="shared" si="178"/>
        <v/>
      </c>
    </row>
    <row r="11345" spans="1:1" x14ac:dyDescent="0.25">
      <c r="A11345" t="str">
        <f t="shared" si="178"/>
        <v/>
      </c>
    </row>
    <row r="11346" spans="1:1" x14ac:dyDescent="0.25">
      <c r="A11346" t="str">
        <f t="shared" si="178"/>
        <v/>
      </c>
    </row>
    <row r="11347" spans="1:1" x14ac:dyDescent="0.25">
      <c r="A11347" t="str">
        <f t="shared" si="178"/>
        <v/>
      </c>
    </row>
    <row r="11348" spans="1:1" x14ac:dyDescent="0.25">
      <c r="A11348" t="str">
        <f t="shared" si="178"/>
        <v/>
      </c>
    </row>
    <row r="11349" spans="1:1" x14ac:dyDescent="0.25">
      <c r="A11349" t="str">
        <f t="shared" si="178"/>
        <v/>
      </c>
    </row>
    <row r="11350" spans="1:1" x14ac:dyDescent="0.25">
      <c r="A11350" t="str">
        <f t="shared" si="178"/>
        <v/>
      </c>
    </row>
    <row r="11351" spans="1:1" x14ac:dyDescent="0.25">
      <c r="A11351" t="str">
        <f t="shared" si="178"/>
        <v/>
      </c>
    </row>
    <row r="11352" spans="1:1" x14ac:dyDescent="0.25">
      <c r="A11352" t="str">
        <f t="shared" si="178"/>
        <v/>
      </c>
    </row>
    <row r="11353" spans="1:1" x14ac:dyDescent="0.25">
      <c r="A11353" t="str">
        <f t="shared" si="178"/>
        <v/>
      </c>
    </row>
    <row r="11354" spans="1:1" x14ac:dyDescent="0.25">
      <c r="A11354" t="str">
        <f t="shared" si="178"/>
        <v/>
      </c>
    </row>
    <row r="11355" spans="1:1" x14ac:dyDescent="0.25">
      <c r="A11355" t="str">
        <f t="shared" si="178"/>
        <v/>
      </c>
    </row>
    <row r="11356" spans="1:1" x14ac:dyDescent="0.25">
      <c r="A11356" t="str">
        <f t="shared" si="178"/>
        <v/>
      </c>
    </row>
    <row r="11357" spans="1:1" x14ac:dyDescent="0.25">
      <c r="A11357" t="str">
        <f t="shared" si="178"/>
        <v/>
      </c>
    </row>
    <row r="11358" spans="1:1" x14ac:dyDescent="0.25">
      <c r="A11358" t="str">
        <f t="shared" si="178"/>
        <v/>
      </c>
    </row>
    <row r="11359" spans="1:1" x14ac:dyDescent="0.25">
      <c r="A11359" t="str">
        <f t="shared" si="178"/>
        <v/>
      </c>
    </row>
    <row r="11360" spans="1:1" x14ac:dyDescent="0.25">
      <c r="A11360" t="str">
        <f t="shared" si="178"/>
        <v/>
      </c>
    </row>
    <row r="11361" spans="1:1" x14ac:dyDescent="0.25">
      <c r="A11361" t="str">
        <f t="shared" si="178"/>
        <v/>
      </c>
    </row>
    <row r="11362" spans="1:1" x14ac:dyDescent="0.25">
      <c r="A11362" t="str">
        <f t="shared" si="178"/>
        <v/>
      </c>
    </row>
    <row r="11363" spans="1:1" x14ac:dyDescent="0.25">
      <c r="A11363" t="str">
        <f t="shared" si="178"/>
        <v/>
      </c>
    </row>
    <row r="11364" spans="1:1" x14ac:dyDescent="0.25">
      <c r="A11364" t="str">
        <f t="shared" si="178"/>
        <v/>
      </c>
    </row>
    <row r="11365" spans="1:1" x14ac:dyDescent="0.25">
      <c r="A11365" t="str">
        <f t="shared" si="178"/>
        <v/>
      </c>
    </row>
    <row r="11366" spans="1:1" x14ac:dyDescent="0.25">
      <c r="A11366" t="str">
        <f t="shared" si="178"/>
        <v/>
      </c>
    </row>
    <row r="11367" spans="1:1" x14ac:dyDescent="0.25">
      <c r="A11367" t="str">
        <f t="shared" si="178"/>
        <v/>
      </c>
    </row>
    <row r="11368" spans="1:1" x14ac:dyDescent="0.25">
      <c r="A11368" t="str">
        <f t="shared" si="178"/>
        <v/>
      </c>
    </row>
    <row r="11369" spans="1:1" x14ac:dyDescent="0.25">
      <c r="A11369" t="str">
        <f t="shared" si="178"/>
        <v/>
      </c>
    </row>
    <row r="11370" spans="1:1" x14ac:dyDescent="0.25">
      <c r="A11370" t="str">
        <f t="shared" si="178"/>
        <v/>
      </c>
    </row>
    <row r="11371" spans="1:1" x14ac:dyDescent="0.25">
      <c r="A11371" t="str">
        <f t="shared" si="178"/>
        <v/>
      </c>
    </row>
    <row r="11372" spans="1:1" x14ac:dyDescent="0.25">
      <c r="A11372" t="str">
        <f t="shared" si="178"/>
        <v/>
      </c>
    </row>
    <row r="11373" spans="1:1" x14ac:dyDescent="0.25">
      <c r="A11373" t="str">
        <f t="shared" si="178"/>
        <v/>
      </c>
    </row>
    <row r="11374" spans="1:1" x14ac:dyDescent="0.25">
      <c r="A11374" t="str">
        <f t="shared" si="178"/>
        <v/>
      </c>
    </row>
    <row r="11375" spans="1:1" x14ac:dyDescent="0.25">
      <c r="A11375" t="str">
        <f t="shared" si="178"/>
        <v/>
      </c>
    </row>
    <row r="11376" spans="1:1" x14ac:dyDescent="0.25">
      <c r="A11376" t="str">
        <f t="shared" si="178"/>
        <v/>
      </c>
    </row>
    <row r="11377" spans="1:1" x14ac:dyDescent="0.25">
      <c r="A11377" t="str">
        <f t="shared" si="178"/>
        <v/>
      </c>
    </row>
    <row r="11378" spans="1:1" x14ac:dyDescent="0.25">
      <c r="A11378" t="str">
        <f t="shared" si="178"/>
        <v/>
      </c>
    </row>
    <row r="11379" spans="1:1" x14ac:dyDescent="0.25">
      <c r="A11379" t="str">
        <f t="shared" si="178"/>
        <v/>
      </c>
    </row>
    <row r="11380" spans="1:1" x14ac:dyDescent="0.25">
      <c r="A11380" t="str">
        <f t="shared" si="178"/>
        <v/>
      </c>
    </row>
    <row r="11381" spans="1:1" x14ac:dyDescent="0.25">
      <c r="A11381" t="str">
        <f t="shared" ref="A11381:A11444" si="179">B11379&amp;D11379</f>
        <v/>
      </c>
    </row>
    <row r="11382" spans="1:1" x14ac:dyDescent="0.25">
      <c r="A11382" t="str">
        <f t="shared" si="179"/>
        <v/>
      </c>
    </row>
    <row r="11383" spans="1:1" x14ac:dyDescent="0.25">
      <c r="A11383" t="str">
        <f t="shared" si="179"/>
        <v/>
      </c>
    </row>
    <row r="11384" spans="1:1" x14ac:dyDescent="0.25">
      <c r="A11384" t="str">
        <f t="shared" si="179"/>
        <v/>
      </c>
    </row>
    <row r="11385" spans="1:1" x14ac:dyDescent="0.25">
      <c r="A11385" t="str">
        <f t="shared" si="179"/>
        <v/>
      </c>
    </row>
    <row r="11386" spans="1:1" x14ac:dyDescent="0.25">
      <c r="A11386" t="str">
        <f t="shared" si="179"/>
        <v/>
      </c>
    </row>
    <row r="11387" spans="1:1" x14ac:dyDescent="0.25">
      <c r="A11387" t="str">
        <f t="shared" si="179"/>
        <v/>
      </c>
    </row>
    <row r="11388" spans="1:1" x14ac:dyDescent="0.25">
      <c r="A11388" t="str">
        <f t="shared" si="179"/>
        <v/>
      </c>
    </row>
    <row r="11389" spans="1:1" x14ac:dyDescent="0.25">
      <c r="A11389" t="str">
        <f t="shared" si="179"/>
        <v/>
      </c>
    </row>
    <row r="11390" spans="1:1" x14ac:dyDescent="0.25">
      <c r="A11390" t="str">
        <f t="shared" si="179"/>
        <v/>
      </c>
    </row>
    <row r="11391" spans="1:1" x14ac:dyDescent="0.25">
      <c r="A11391" t="str">
        <f t="shared" si="179"/>
        <v/>
      </c>
    </row>
    <row r="11392" spans="1:1" x14ac:dyDescent="0.25">
      <c r="A11392" t="str">
        <f t="shared" si="179"/>
        <v/>
      </c>
    </row>
    <row r="11393" spans="1:1" x14ac:dyDescent="0.25">
      <c r="A11393" t="str">
        <f t="shared" si="179"/>
        <v/>
      </c>
    </row>
    <row r="11394" spans="1:1" x14ac:dyDescent="0.25">
      <c r="A11394" t="str">
        <f t="shared" si="179"/>
        <v/>
      </c>
    </row>
    <row r="11395" spans="1:1" x14ac:dyDescent="0.25">
      <c r="A11395" t="str">
        <f t="shared" si="179"/>
        <v/>
      </c>
    </row>
    <row r="11396" spans="1:1" x14ac:dyDescent="0.25">
      <c r="A11396" t="str">
        <f t="shared" si="179"/>
        <v/>
      </c>
    </row>
    <row r="11397" spans="1:1" x14ac:dyDescent="0.25">
      <c r="A11397" t="str">
        <f t="shared" si="179"/>
        <v/>
      </c>
    </row>
    <row r="11398" spans="1:1" x14ac:dyDescent="0.25">
      <c r="A11398" t="str">
        <f t="shared" si="179"/>
        <v/>
      </c>
    </row>
    <row r="11399" spans="1:1" x14ac:dyDescent="0.25">
      <c r="A11399" t="str">
        <f t="shared" si="179"/>
        <v/>
      </c>
    </row>
    <row r="11400" spans="1:1" x14ac:dyDescent="0.25">
      <c r="A11400" t="str">
        <f t="shared" si="179"/>
        <v/>
      </c>
    </row>
    <row r="11401" spans="1:1" x14ac:dyDescent="0.25">
      <c r="A11401" t="str">
        <f t="shared" si="179"/>
        <v/>
      </c>
    </row>
    <row r="11402" spans="1:1" x14ac:dyDescent="0.25">
      <c r="A11402" t="str">
        <f t="shared" si="179"/>
        <v/>
      </c>
    </row>
    <row r="11403" spans="1:1" x14ac:dyDescent="0.25">
      <c r="A11403" t="str">
        <f t="shared" si="179"/>
        <v/>
      </c>
    </row>
    <row r="11404" spans="1:1" x14ac:dyDescent="0.25">
      <c r="A11404" t="str">
        <f t="shared" si="179"/>
        <v/>
      </c>
    </row>
    <row r="11405" spans="1:1" x14ac:dyDescent="0.25">
      <c r="A11405" t="str">
        <f t="shared" si="179"/>
        <v/>
      </c>
    </row>
    <row r="11406" spans="1:1" x14ac:dyDescent="0.25">
      <c r="A11406" t="str">
        <f t="shared" si="179"/>
        <v/>
      </c>
    </row>
    <row r="11407" spans="1:1" x14ac:dyDescent="0.25">
      <c r="A11407" t="str">
        <f t="shared" si="179"/>
        <v/>
      </c>
    </row>
    <row r="11408" spans="1:1" x14ac:dyDescent="0.25">
      <c r="A11408" t="str">
        <f t="shared" si="179"/>
        <v/>
      </c>
    </row>
    <row r="11409" spans="1:1" x14ac:dyDescent="0.25">
      <c r="A11409" t="str">
        <f t="shared" si="179"/>
        <v/>
      </c>
    </row>
    <row r="11410" spans="1:1" x14ac:dyDescent="0.25">
      <c r="A11410" t="str">
        <f t="shared" si="179"/>
        <v/>
      </c>
    </row>
    <row r="11411" spans="1:1" x14ac:dyDescent="0.25">
      <c r="A11411" t="str">
        <f t="shared" si="179"/>
        <v/>
      </c>
    </row>
    <row r="11412" spans="1:1" x14ac:dyDescent="0.25">
      <c r="A11412" t="str">
        <f t="shared" si="179"/>
        <v/>
      </c>
    </row>
    <row r="11413" spans="1:1" x14ac:dyDescent="0.25">
      <c r="A11413" t="str">
        <f t="shared" si="179"/>
        <v/>
      </c>
    </row>
    <row r="11414" spans="1:1" x14ac:dyDescent="0.25">
      <c r="A11414" t="str">
        <f t="shared" si="179"/>
        <v/>
      </c>
    </row>
    <row r="11415" spans="1:1" x14ac:dyDescent="0.25">
      <c r="A11415" t="str">
        <f t="shared" si="179"/>
        <v/>
      </c>
    </row>
    <row r="11416" spans="1:1" x14ac:dyDescent="0.25">
      <c r="A11416" t="str">
        <f t="shared" si="179"/>
        <v/>
      </c>
    </row>
    <row r="11417" spans="1:1" x14ac:dyDescent="0.25">
      <c r="A11417" t="str">
        <f t="shared" si="179"/>
        <v/>
      </c>
    </row>
    <row r="11418" spans="1:1" x14ac:dyDescent="0.25">
      <c r="A11418" t="str">
        <f t="shared" si="179"/>
        <v/>
      </c>
    </row>
    <row r="11419" spans="1:1" x14ac:dyDescent="0.25">
      <c r="A11419" t="str">
        <f t="shared" si="179"/>
        <v/>
      </c>
    </row>
    <row r="11420" spans="1:1" x14ac:dyDescent="0.25">
      <c r="A11420" t="str">
        <f t="shared" si="179"/>
        <v/>
      </c>
    </row>
    <row r="11421" spans="1:1" x14ac:dyDescent="0.25">
      <c r="A11421" t="str">
        <f t="shared" si="179"/>
        <v/>
      </c>
    </row>
    <row r="11422" spans="1:1" x14ac:dyDescent="0.25">
      <c r="A11422" t="str">
        <f t="shared" si="179"/>
        <v/>
      </c>
    </row>
    <row r="11423" spans="1:1" x14ac:dyDescent="0.25">
      <c r="A11423" t="str">
        <f t="shared" si="179"/>
        <v/>
      </c>
    </row>
    <row r="11424" spans="1:1" x14ac:dyDescent="0.25">
      <c r="A11424" t="str">
        <f t="shared" si="179"/>
        <v/>
      </c>
    </row>
    <row r="11425" spans="1:1" x14ac:dyDescent="0.25">
      <c r="A11425" t="str">
        <f t="shared" si="179"/>
        <v/>
      </c>
    </row>
    <row r="11426" spans="1:1" x14ac:dyDescent="0.25">
      <c r="A11426" t="str">
        <f t="shared" si="179"/>
        <v/>
      </c>
    </row>
    <row r="11427" spans="1:1" x14ac:dyDescent="0.25">
      <c r="A11427" t="str">
        <f t="shared" si="179"/>
        <v/>
      </c>
    </row>
    <row r="11428" spans="1:1" x14ac:dyDescent="0.25">
      <c r="A11428" t="str">
        <f t="shared" si="179"/>
        <v/>
      </c>
    </row>
    <row r="11429" spans="1:1" x14ac:dyDescent="0.25">
      <c r="A11429" t="str">
        <f t="shared" si="179"/>
        <v/>
      </c>
    </row>
    <row r="11430" spans="1:1" x14ac:dyDescent="0.25">
      <c r="A11430" t="str">
        <f t="shared" si="179"/>
        <v/>
      </c>
    </row>
    <row r="11431" spans="1:1" x14ac:dyDescent="0.25">
      <c r="A11431" t="str">
        <f t="shared" si="179"/>
        <v/>
      </c>
    </row>
    <row r="11432" spans="1:1" x14ac:dyDescent="0.25">
      <c r="A11432" t="str">
        <f t="shared" si="179"/>
        <v/>
      </c>
    </row>
    <row r="11433" spans="1:1" x14ac:dyDescent="0.25">
      <c r="A11433" t="str">
        <f t="shared" si="179"/>
        <v/>
      </c>
    </row>
    <row r="11434" spans="1:1" x14ac:dyDescent="0.25">
      <c r="A11434" t="str">
        <f t="shared" si="179"/>
        <v/>
      </c>
    </row>
    <row r="11435" spans="1:1" x14ac:dyDescent="0.25">
      <c r="A11435" t="str">
        <f t="shared" si="179"/>
        <v/>
      </c>
    </row>
    <row r="11436" spans="1:1" x14ac:dyDescent="0.25">
      <c r="A11436" t="str">
        <f t="shared" si="179"/>
        <v/>
      </c>
    </row>
    <row r="11437" spans="1:1" x14ac:dyDescent="0.25">
      <c r="A11437" t="str">
        <f t="shared" si="179"/>
        <v/>
      </c>
    </row>
    <row r="11438" spans="1:1" x14ac:dyDescent="0.25">
      <c r="A11438" t="str">
        <f t="shared" si="179"/>
        <v/>
      </c>
    </row>
    <row r="11439" spans="1:1" x14ac:dyDescent="0.25">
      <c r="A11439" t="str">
        <f t="shared" si="179"/>
        <v/>
      </c>
    </row>
    <row r="11440" spans="1:1" x14ac:dyDescent="0.25">
      <c r="A11440" t="str">
        <f t="shared" si="179"/>
        <v/>
      </c>
    </row>
    <row r="11441" spans="1:1" x14ac:dyDescent="0.25">
      <c r="A11441" t="str">
        <f t="shared" si="179"/>
        <v/>
      </c>
    </row>
    <row r="11442" spans="1:1" x14ac:dyDescent="0.25">
      <c r="A11442" t="str">
        <f t="shared" si="179"/>
        <v/>
      </c>
    </row>
    <row r="11443" spans="1:1" x14ac:dyDescent="0.25">
      <c r="A11443" t="str">
        <f t="shared" si="179"/>
        <v/>
      </c>
    </row>
    <row r="11444" spans="1:1" x14ac:dyDescent="0.25">
      <c r="A11444" t="str">
        <f t="shared" si="179"/>
        <v/>
      </c>
    </row>
    <row r="11445" spans="1:1" x14ac:dyDescent="0.25">
      <c r="A11445" t="str">
        <f t="shared" ref="A11445:A11508" si="180">B11443&amp;D11443</f>
        <v/>
      </c>
    </row>
    <row r="11446" spans="1:1" x14ac:dyDescent="0.25">
      <c r="A11446" t="str">
        <f t="shared" si="180"/>
        <v/>
      </c>
    </row>
    <row r="11447" spans="1:1" x14ac:dyDescent="0.25">
      <c r="A11447" t="str">
        <f t="shared" si="180"/>
        <v/>
      </c>
    </row>
    <row r="11448" spans="1:1" x14ac:dyDescent="0.25">
      <c r="A11448" t="str">
        <f t="shared" si="180"/>
        <v/>
      </c>
    </row>
    <row r="11449" spans="1:1" x14ac:dyDescent="0.25">
      <c r="A11449" t="str">
        <f t="shared" si="180"/>
        <v/>
      </c>
    </row>
    <row r="11450" spans="1:1" x14ac:dyDescent="0.25">
      <c r="A11450" t="str">
        <f t="shared" si="180"/>
        <v/>
      </c>
    </row>
    <row r="11451" spans="1:1" x14ac:dyDescent="0.25">
      <c r="A11451" t="str">
        <f t="shared" si="180"/>
        <v/>
      </c>
    </row>
    <row r="11452" spans="1:1" x14ac:dyDescent="0.25">
      <c r="A11452" t="str">
        <f t="shared" si="180"/>
        <v/>
      </c>
    </row>
    <row r="11453" spans="1:1" x14ac:dyDescent="0.25">
      <c r="A11453" t="str">
        <f t="shared" si="180"/>
        <v/>
      </c>
    </row>
    <row r="11454" spans="1:1" x14ac:dyDescent="0.25">
      <c r="A11454" t="str">
        <f t="shared" si="180"/>
        <v/>
      </c>
    </row>
    <row r="11455" spans="1:1" x14ac:dyDescent="0.25">
      <c r="A11455" t="str">
        <f t="shared" si="180"/>
        <v/>
      </c>
    </row>
    <row r="11456" spans="1:1" x14ac:dyDescent="0.25">
      <c r="A11456" t="str">
        <f t="shared" si="180"/>
        <v/>
      </c>
    </row>
    <row r="11457" spans="1:1" x14ac:dyDescent="0.25">
      <c r="A11457" t="str">
        <f t="shared" si="180"/>
        <v/>
      </c>
    </row>
    <row r="11458" spans="1:1" x14ac:dyDescent="0.25">
      <c r="A11458" t="str">
        <f t="shared" si="180"/>
        <v/>
      </c>
    </row>
    <row r="11459" spans="1:1" x14ac:dyDescent="0.25">
      <c r="A11459" t="str">
        <f t="shared" si="180"/>
        <v/>
      </c>
    </row>
    <row r="11460" spans="1:1" x14ac:dyDescent="0.25">
      <c r="A11460" t="str">
        <f t="shared" si="180"/>
        <v/>
      </c>
    </row>
    <row r="11461" spans="1:1" x14ac:dyDescent="0.25">
      <c r="A11461" t="str">
        <f t="shared" si="180"/>
        <v/>
      </c>
    </row>
    <row r="11462" spans="1:1" x14ac:dyDescent="0.25">
      <c r="A11462" t="str">
        <f t="shared" si="180"/>
        <v/>
      </c>
    </row>
    <row r="11463" spans="1:1" x14ac:dyDescent="0.25">
      <c r="A11463" t="str">
        <f t="shared" si="180"/>
        <v/>
      </c>
    </row>
    <row r="11464" spans="1:1" x14ac:dyDescent="0.25">
      <c r="A11464" t="str">
        <f t="shared" si="180"/>
        <v/>
      </c>
    </row>
    <row r="11465" spans="1:1" x14ac:dyDescent="0.25">
      <c r="A11465" t="str">
        <f t="shared" si="180"/>
        <v/>
      </c>
    </row>
    <row r="11466" spans="1:1" x14ac:dyDescent="0.25">
      <c r="A11466" t="str">
        <f t="shared" si="180"/>
        <v/>
      </c>
    </row>
    <row r="11467" spans="1:1" x14ac:dyDescent="0.25">
      <c r="A11467" t="str">
        <f t="shared" si="180"/>
        <v/>
      </c>
    </row>
    <row r="11468" spans="1:1" x14ac:dyDescent="0.25">
      <c r="A11468" t="str">
        <f t="shared" si="180"/>
        <v/>
      </c>
    </row>
    <row r="11469" spans="1:1" x14ac:dyDescent="0.25">
      <c r="A11469" t="str">
        <f t="shared" si="180"/>
        <v/>
      </c>
    </row>
    <row r="11470" spans="1:1" x14ac:dyDescent="0.25">
      <c r="A11470" t="str">
        <f t="shared" si="180"/>
        <v/>
      </c>
    </row>
    <row r="11471" spans="1:1" x14ac:dyDescent="0.25">
      <c r="A11471" t="str">
        <f t="shared" si="180"/>
        <v/>
      </c>
    </row>
    <row r="11472" spans="1:1" x14ac:dyDescent="0.25">
      <c r="A11472" t="str">
        <f t="shared" si="180"/>
        <v/>
      </c>
    </row>
    <row r="11473" spans="1:1" x14ac:dyDescent="0.25">
      <c r="A11473" t="str">
        <f t="shared" si="180"/>
        <v/>
      </c>
    </row>
    <row r="11474" spans="1:1" x14ac:dyDescent="0.25">
      <c r="A11474" t="str">
        <f t="shared" si="180"/>
        <v/>
      </c>
    </row>
    <row r="11475" spans="1:1" x14ac:dyDescent="0.25">
      <c r="A11475" t="str">
        <f t="shared" si="180"/>
        <v/>
      </c>
    </row>
    <row r="11476" spans="1:1" x14ac:dyDescent="0.25">
      <c r="A11476" t="str">
        <f t="shared" si="180"/>
        <v/>
      </c>
    </row>
    <row r="11477" spans="1:1" x14ac:dyDescent="0.25">
      <c r="A11477" t="str">
        <f t="shared" si="180"/>
        <v/>
      </c>
    </row>
    <row r="11478" spans="1:1" x14ac:dyDescent="0.25">
      <c r="A11478" t="str">
        <f t="shared" si="180"/>
        <v/>
      </c>
    </row>
    <row r="11479" spans="1:1" x14ac:dyDescent="0.25">
      <c r="A11479" t="str">
        <f t="shared" si="180"/>
        <v/>
      </c>
    </row>
    <row r="11480" spans="1:1" x14ac:dyDescent="0.25">
      <c r="A11480" t="str">
        <f t="shared" si="180"/>
        <v/>
      </c>
    </row>
    <row r="11481" spans="1:1" x14ac:dyDescent="0.25">
      <c r="A11481" t="str">
        <f t="shared" si="180"/>
        <v/>
      </c>
    </row>
    <row r="11482" spans="1:1" x14ac:dyDescent="0.25">
      <c r="A11482" t="str">
        <f t="shared" si="180"/>
        <v/>
      </c>
    </row>
    <row r="11483" spans="1:1" x14ac:dyDescent="0.25">
      <c r="A11483" t="str">
        <f t="shared" si="180"/>
        <v/>
      </c>
    </row>
    <row r="11484" spans="1:1" x14ac:dyDescent="0.25">
      <c r="A11484" t="str">
        <f t="shared" si="180"/>
        <v/>
      </c>
    </row>
    <row r="11485" spans="1:1" x14ac:dyDescent="0.25">
      <c r="A11485" t="str">
        <f t="shared" si="180"/>
        <v/>
      </c>
    </row>
    <row r="11486" spans="1:1" x14ac:dyDescent="0.25">
      <c r="A11486" t="str">
        <f t="shared" si="180"/>
        <v/>
      </c>
    </row>
    <row r="11487" spans="1:1" x14ac:dyDescent="0.25">
      <c r="A11487" t="str">
        <f t="shared" si="180"/>
        <v/>
      </c>
    </row>
    <row r="11488" spans="1:1" x14ac:dyDescent="0.25">
      <c r="A11488" t="str">
        <f t="shared" si="180"/>
        <v/>
      </c>
    </row>
    <row r="11489" spans="1:1" x14ac:dyDescent="0.25">
      <c r="A11489" t="str">
        <f t="shared" si="180"/>
        <v/>
      </c>
    </row>
    <row r="11490" spans="1:1" x14ac:dyDescent="0.25">
      <c r="A11490" t="str">
        <f t="shared" si="180"/>
        <v/>
      </c>
    </row>
    <row r="11491" spans="1:1" x14ac:dyDescent="0.25">
      <c r="A11491" t="str">
        <f t="shared" si="180"/>
        <v/>
      </c>
    </row>
    <row r="11492" spans="1:1" x14ac:dyDescent="0.25">
      <c r="A11492" t="str">
        <f t="shared" si="180"/>
        <v/>
      </c>
    </row>
    <row r="11493" spans="1:1" x14ac:dyDescent="0.25">
      <c r="A11493" t="str">
        <f t="shared" si="180"/>
        <v/>
      </c>
    </row>
    <row r="11494" spans="1:1" x14ac:dyDescent="0.25">
      <c r="A11494" t="str">
        <f t="shared" si="180"/>
        <v/>
      </c>
    </row>
    <row r="11495" spans="1:1" x14ac:dyDescent="0.25">
      <c r="A11495" t="str">
        <f t="shared" si="180"/>
        <v/>
      </c>
    </row>
    <row r="11496" spans="1:1" x14ac:dyDescent="0.25">
      <c r="A11496" t="str">
        <f t="shared" si="180"/>
        <v/>
      </c>
    </row>
    <row r="11497" spans="1:1" x14ac:dyDescent="0.25">
      <c r="A11497" t="str">
        <f t="shared" si="180"/>
        <v/>
      </c>
    </row>
    <row r="11498" spans="1:1" x14ac:dyDescent="0.25">
      <c r="A11498" t="str">
        <f t="shared" si="180"/>
        <v/>
      </c>
    </row>
    <row r="11499" spans="1:1" x14ac:dyDescent="0.25">
      <c r="A11499" t="str">
        <f t="shared" si="180"/>
        <v/>
      </c>
    </row>
    <row r="11500" spans="1:1" x14ac:dyDescent="0.25">
      <c r="A11500" t="str">
        <f t="shared" si="180"/>
        <v/>
      </c>
    </row>
    <row r="11501" spans="1:1" x14ac:dyDescent="0.25">
      <c r="A11501" t="str">
        <f t="shared" si="180"/>
        <v/>
      </c>
    </row>
    <row r="11502" spans="1:1" x14ac:dyDescent="0.25">
      <c r="A11502" t="str">
        <f t="shared" si="180"/>
        <v/>
      </c>
    </row>
    <row r="11503" spans="1:1" x14ac:dyDescent="0.25">
      <c r="A11503" t="str">
        <f t="shared" si="180"/>
        <v/>
      </c>
    </row>
    <row r="11504" spans="1:1" x14ac:dyDescent="0.25">
      <c r="A11504" t="str">
        <f t="shared" si="180"/>
        <v/>
      </c>
    </row>
    <row r="11505" spans="1:1" x14ac:dyDescent="0.25">
      <c r="A11505" t="str">
        <f t="shared" si="180"/>
        <v/>
      </c>
    </row>
    <row r="11506" spans="1:1" x14ac:dyDescent="0.25">
      <c r="A11506" t="str">
        <f t="shared" si="180"/>
        <v/>
      </c>
    </row>
    <row r="11507" spans="1:1" x14ac:dyDescent="0.25">
      <c r="A11507" t="str">
        <f t="shared" si="180"/>
        <v/>
      </c>
    </row>
    <row r="11508" spans="1:1" x14ac:dyDescent="0.25">
      <c r="A11508" t="str">
        <f t="shared" si="180"/>
        <v/>
      </c>
    </row>
    <row r="11509" spans="1:1" x14ac:dyDescent="0.25">
      <c r="A11509" t="str">
        <f t="shared" ref="A11509:A11572" si="181">B11507&amp;D11507</f>
        <v/>
      </c>
    </row>
    <row r="11510" spans="1:1" x14ac:dyDescent="0.25">
      <c r="A11510" t="str">
        <f t="shared" si="181"/>
        <v/>
      </c>
    </row>
    <row r="11511" spans="1:1" x14ac:dyDescent="0.25">
      <c r="A11511" t="str">
        <f t="shared" si="181"/>
        <v/>
      </c>
    </row>
    <row r="11512" spans="1:1" x14ac:dyDescent="0.25">
      <c r="A11512" t="str">
        <f t="shared" si="181"/>
        <v/>
      </c>
    </row>
    <row r="11513" spans="1:1" x14ac:dyDescent="0.25">
      <c r="A11513" t="str">
        <f t="shared" si="181"/>
        <v/>
      </c>
    </row>
    <row r="11514" spans="1:1" x14ac:dyDescent="0.25">
      <c r="A11514" t="str">
        <f t="shared" si="181"/>
        <v/>
      </c>
    </row>
    <row r="11515" spans="1:1" x14ac:dyDescent="0.25">
      <c r="A11515" t="str">
        <f t="shared" si="181"/>
        <v/>
      </c>
    </row>
    <row r="11516" spans="1:1" x14ac:dyDescent="0.25">
      <c r="A11516" t="str">
        <f t="shared" si="181"/>
        <v/>
      </c>
    </row>
    <row r="11517" spans="1:1" x14ac:dyDescent="0.25">
      <c r="A11517" t="str">
        <f t="shared" si="181"/>
        <v/>
      </c>
    </row>
    <row r="11518" spans="1:1" x14ac:dyDescent="0.25">
      <c r="A11518" t="str">
        <f t="shared" si="181"/>
        <v/>
      </c>
    </row>
    <row r="11519" spans="1:1" x14ac:dyDescent="0.25">
      <c r="A11519" t="str">
        <f t="shared" si="181"/>
        <v/>
      </c>
    </row>
    <row r="11520" spans="1:1" x14ac:dyDescent="0.25">
      <c r="A11520" t="str">
        <f t="shared" si="181"/>
        <v/>
      </c>
    </row>
    <row r="11521" spans="1:1" x14ac:dyDescent="0.25">
      <c r="A11521" t="str">
        <f t="shared" si="181"/>
        <v/>
      </c>
    </row>
    <row r="11522" spans="1:1" x14ac:dyDescent="0.25">
      <c r="A11522" t="str">
        <f t="shared" si="181"/>
        <v/>
      </c>
    </row>
    <row r="11523" spans="1:1" x14ac:dyDescent="0.25">
      <c r="A11523" t="str">
        <f t="shared" si="181"/>
        <v/>
      </c>
    </row>
    <row r="11524" spans="1:1" x14ac:dyDescent="0.25">
      <c r="A11524" t="str">
        <f t="shared" si="181"/>
        <v/>
      </c>
    </row>
    <row r="11525" spans="1:1" x14ac:dyDescent="0.25">
      <c r="A11525" t="str">
        <f t="shared" si="181"/>
        <v/>
      </c>
    </row>
    <row r="11526" spans="1:1" x14ac:dyDescent="0.25">
      <c r="A11526" t="str">
        <f t="shared" si="181"/>
        <v/>
      </c>
    </row>
    <row r="11527" spans="1:1" x14ac:dyDescent="0.25">
      <c r="A11527" t="str">
        <f t="shared" si="181"/>
        <v/>
      </c>
    </row>
    <row r="11528" spans="1:1" x14ac:dyDescent="0.25">
      <c r="A11528" t="str">
        <f t="shared" si="181"/>
        <v/>
      </c>
    </row>
    <row r="11529" spans="1:1" x14ac:dyDescent="0.25">
      <c r="A11529" t="str">
        <f t="shared" si="181"/>
        <v/>
      </c>
    </row>
    <row r="11530" spans="1:1" x14ac:dyDescent="0.25">
      <c r="A11530" t="str">
        <f t="shared" si="181"/>
        <v/>
      </c>
    </row>
    <row r="11531" spans="1:1" x14ac:dyDescent="0.25">
      <c r="A11531" t="str">
        <f t="shared" si="181"/>
        <v/>
      </c>
    </row>
    <row r="11532" spans="1:1" x14ac:dyDescent="0.25">
      <c r="A11532" t="str">
        <f t="shared" si="181"/>
        <v/>
      </c>
    </row>
    <row r="11533" spans="1:1" x14ac:dyDescent="0.25">
      <c r="A11533" t="str">
        <f t="shared" si="181"/>
        <v/>
      </c>
    </row>
    <row r="11534" spans="1:1" x14ac:dyDescent="0.25">
      <c r="A11534" t="str">
        <f t="shared" si="181"/>
        <v/>
      </c>
    </row>
    <row r="11535" spans="1:1" x14ac:dyDescent="0.25">
      <c r="A11535" t="str">
        <f t="shared" si="181"/>
        <v/>
      </c>
    </row>
    <row r="11536" spans="1:1" x14ac:dyDescent="0.25">
      <c r="A11536" t="str">
        <f t="shared" si="181"/>
        <v/>
      </c>
    </row>
    <row r="11537" spans="1:1" x14ac:dyDescent="0.25">
      <c r="A11537" t="str">
        <f t="shared" si="181"/>
        <v/>
      </c>
    </row>
    <row r="11538" spans="1:1" x14ac:dyDescent="0.25">
      <c r="A11538" t="str">
        <f t="shared" si="181"/>
        <v/>
      </c>
    </row>
    <row r="11539" spans="1:1" x14ac:dyDescent="0.25">
      <c r="A11539" t="str">
        <f t="shared" si="181"/>
        <v/>
      </c>
    </row>
    <row r="11540" spans="1:1" x14ac:dyDescent="0.25">
      <c r="A11540" t="str">
        <f t="shared" si="181"/>
        <v/>
      </c>
    </row>
    <row r="11541" spans="1:1" x14ac:dyDescent="0.25">
      <c r="A11541" t="str">
        <f t="shared" si="181"/>
        <v/>
      </c>
    </row>
    <row r="11542" spans="1:1" x14ac:dyDescent="0.25">
      <c r="A11542" t="str">
        <f t="shared" si="181"/>
        <v/>
      </c>
    </row>
    <row r="11543" spans="1:1" x14ac:dyDescent="0.25">
      <c r="A11543" t="str">
        <f t="shared" si="181"/>
        <v/>
      </c>
    </row>
    <row r="11544" spans="1:1" x14ac:dyDescent="0.25">
      <c r="A11544" t="str">
        <f t="shared" si="181"/>
        <v/>
      </c>
    </row>
    <row r="11545" spans="1:1" x14ac:dyDescent="0.25">
      <c r="A11545" t="str">
        <f t="shared" si="181"/>
        <v/>
      </c>
    </row>
    <row r="11546" spans="1:1" x14ac:dyDescent="0.25">
      <c r="A11546" t="str">
        <f t="shared" si="181"/>
        <v/>
      </c>
    </row>
    <row r="11547" spans="1:1" x14ac:dyDescent="0.25">
      <c r="A11547" t="str">
        <f t="shared" si="181"/>
        <v/>
      </c>
    </row>
    <row r="11548" spans="1:1" x14ac:dyDescent="0.25">
      <c r="A11548" t="str">
        <f t="shared" si="181"/>
        <v/>
      </c>
    </row>
    <row r="11549" spans="1:1" x14ac:dyDescent="0.25">
      <c r="A11549" t="str">
        <f t="shared" si="181"/>
        <v/>
      </c>
    </row>
    <row r="11550" spans="1:1" x14ac:dyDescent="0.25">
      <c r="A11550" t="str">
        <f t="shared" si="181"/>
        <v/>
      </c>
    </row>
    <row r="11551" spans="1:1" x14ac:dyDescent="0.25">
      <c r="A11551" t="str">
        <f t="shared" si="181"/>
        <v/>
      </c>
    </row>
    <row r="11552" spans="1:1" x14ac:dyDescent="0.25">
      <c r="A11552" t="str">
        <f t="shared" si="181"/>
        <v/>
      </c>
    </row>
    <row r="11553" spans="1:1" x14ac:dyDescent="0.25">
      <c r="A11553" t="str">
        <f t="shared" si="181"/>
        <v/>
      </c>
    </row>
    <row r="11554" spans="1:1" x14ac:dyDescent="0.25">
      <c r="A11554" t="str">
        <f t="shared" si="181"/>
        <v/>
      </c>
    </row>
    <row r="11555" spans="1:1" x14ac:dyDescent="0.25">
      <c r="A11555" t="str">
        <f t="shared" si="181"/>
        <v/>
      </c>
    </row>
    <row r="11556" spans="1:1" x14ac:dyDescent="0.25">
      <c r="A11556" t="str">
        <f t="shared" si="181"/>
        <v/>
      </c>
    </row>
    <row r="11557" spans="1:1" x14ac:dyDescent="0.25">
      <c r="A11557" t="str">
        <f t="shared" si="181"/>
        <v/>
      </c>
    </row>
    <row r="11558" spans="1:1" x14ac:dyDescent="0.25">
      <c r="A11558" t="str">
        <f t="shared" si="181"/>
        <v/>
      </c>
    </row>
    <row r="11559" spans="1:1" x14ac:dyDescent="0.25">
      <c r="A11559" t="str">
        <f t="shared" si="181"/>
        <v/>
      </c>
    </row>
    <row r="11560" spans="1:1" x14ac:dyDescent="0.25">
      <c r="A11560" t="str">
        <f t="shared" si="181"/>
        <v/>
      </c>
    </row>
    <row r="11561" spans="1:1" x14ac:dyDescent="0.25">
      <c r="A11561" t="str">
        <f t="shared" si="181"/>
        <v/>
      </c>
    </row>
    <row r="11562" spans="1:1" x14ac:dyDescent="0.25">
      <c r="A11562" t="str">
        <f t="shared" si="181"/>
        <v/>
      </c>
    </row>
    <row r="11563" spans="1:1" x14ac:dyDescent="0.25">
      <c r="A11563" t="str">
        <f t="shared" si="181"/>
        <v/>
      </c>
    </row>
    <row r="11564" spans="1:1" x14ac:dyDescent="0.25">
      <c r="A11564" t="str">
        <f t="shared" si="181"/>
        <v/>
      </c>
    </row>
    <row r="11565" spans="1:1" x14ac:dyDescent="0.25">
      <c r="A11565" t="str">
        <f t="shared" si="181"/>
        <v/>
      </c>
    </row>
    <row r="11566" spans="1:1" x14ac:dyDescent="0.25">
      <c r="A11566" t="str">
        <f t="shared" si="181"/>
        <v/>
      </c>
    </row>
    <row r="11567" spans="1:1" x14ac:dyDescent="0.25">
      <c r="A11567" t="str">
        <f t="shared" si="181"/>
        <v/>
      </c>
    </row>
    <row r="11568" spans="1:1" x14ac:dyDescent="0.25">
      <c r="A11568" t="str">
        <f t="shared" si="181"/>
        <v/>
      </c>
    </row>
    <row r="11569" spans="1:1" x14ac:dyDescent="0.25">
      <c r="A11569" t="str">
        <f t="shared" si="181"/>
        <v/>
      </c>
    </row>
    <row r="11570" spans="1:1" x14ac:dyDescent="0.25">
      <c r="A11570" t="str">
        <f t="shared" si="181"/>
        <v/>
      </c>
    </row>
    <row r="11571" spans="1:1" x14ac:dyDescent="0.25">
      <c r="A11571" t="str">
        <f t="shared" si="181"/>
        <v/>
      </c>
    </row>
    <row r="11572" spans="1:1" x14ac:dyDescent="0.25">
      <c r="A11572" t="str">
        <f t="shared" si="181"/>
        <v/>
      </c>
    </row>
    <row r="11573" spans="1:1" x14ac:dyDescent="0.25">
      <c r="A11573" t="str">
        <f t="shared" ref="A11573:A11636" si="182">B11571&amp;D11571</f>
        <v/>
      </c>
    </row>
    <row r="11574" spans="1:1" x14ac:dyDescent="0.25">
      <c r="A11574" t="str">
        <f t="shared" si="182"/>
        <v/>
      </c>
    </row>
    <row r="11575" spans="1:1" x14ac:dyDescent="0.25">
      <c r="A11575" t="str">
        <f t="shared" si="182"/>
        <v/>
      </c>
    </row>
    <row r="11576" spans="1:1" x14ac:dyDescent="0.25">
      <c r="A11576" t="str">
        <f t="shared" si="182"/>
        <v/>
      </c>
    </row>
    <row r="11577" spans="1:1" x14ac:dyDescent="0.25">
      <c r="A11577" t="str">
        <f t="shared" si="182"/>
        <v/>
      </c>
    </row>
    <row r="11578" spans="1:1" x14ac:dyDescent="0.25">
      <c r="A11578" t="str">
        <f t="shared" si="182"/>
        <v/>
      </c>
    </row>
    <row r="11579" spans="1:1" x14ac:dyDescent="0.25">
      <c r="A11579" t="str">
        <f t="shared" si="182"/>
        <v/>
      </c>
    </row>
    <row r="11580" spans="1:1" x14ac:dyDescent="0.25">
      <c r="A11580" t="str">
        <f t="shared" si="182"/>
        <v/>
      </c>
    </row>
    <row r="11581" spans="1:1" x14ac:dyDescent="0.25">
      <c r="A11581" t="str">
        <f t="shared" si="182"/>
        <v/>
      </c>
    </row>
    <row r="11582" spans="1:1" x14ac:dyDescent="0.25">
      <c r="A11582" t="str">
        <f t="shared" si="182"/>
        <v/>
      </c>
    </row>
    <row r="11583" spans="1:1" x14ac:dyDescent="0.25">
      <c r="A11583" t="str">
        <f t="shared" si="182"/>
        <v/>
      </c>
    </row>
    <row r="11584" spans="1:1" x14ac:dyDescent="0.25">
      <c r="A11584" t="str">
        <f t="shared" si="182"/>
        <v/>
      </c>
    </row>
    <row r="11585" spans="1:1" x14ac:dyDescent="0.25">
      <c r="A11585" t="str">
        <f t="shared" si="182"/>
        <v/>
      </c>
    </row>
    <row r="11586" spans="1:1" x14ac:dyDescent="0.25">
      <c r="A11586" t="str">
        <f t="shared" si="182"/>
        <v/>
      </c>
    </row>
    <row r="11587" spans="1:1" x14ac:dyDescent="0.25">
      <c r="A11587" t="str">
        <f t="shared" si="182"/>
        <v/>
      </c>
    </row>
    <row r="11588" spans="1:1" x14ac:dyDescent="0.25">
      <c r="A11588" t="str">
        <f t="shared" si="182"/>
        <v/>
      </c>
    </row>
    <row r="11589" spans="1:1" x14ac:dyDescent="0.25">
      <c r="A11589" t="str">
        <f t="shared" si="182"/>
        <v/>
      </c>
    </row>
    <row r="11590" spans="1:1" x14ac:dyDescent="0.25">
      <c r="A11590" t="str">
        <f t="shared" si="182"/>
        <v/>
      </c>
    </row>
    <row r="11591" spans="1:1" x14ac:dyDescent="0.25">
      <c r="A11591" t="str">
        <f t="shared" si="182"/>
        <v/>
      </c>
    </row>
    <row r="11592" spans="1:1" x14ac:dyDescent="0.25">
      <c r="A11592" t="str">
        <f t="shared" si="182"/>
        <v/>
      </c>
    </row>
    <row r="11593" spans="1:1" x14ac:dyDescent="0.25">
      <c r="A11593" t="str">
        <f t="shared" si="182"/>
        <v/>
      </c>
    </row>
    <row r="11594" spans="1:1" x14ac:dyDescent="0.25">
      <c r="A11594" t="str">
        <f t="shared" si="182"/>
        <v/>
      </c>
    </row>
    <row r="11595" spans="1:1" x14ac:dyDescent="0.25">
      <c r="A11595" t="str">
        <f t="shared" si="182"/>
        <v/>
      </c>
    </row>
    <row r="11596" spans="1:1" x14ac:dyDescent="0.25">
      <c r="A11596" t="str">
        <f t="shared" si="182"/>
        <v/>
      </c>
    </row>
    <row r="11597" spans="1:1" x14ac:dyDescent="0.25">
      <c r="A11597" t="str">
        <f t="shared" si="182"/>
        <v/>
      </c>
    </row>
    <row r="11598" spans="1:1" x14ac:dyDescent="0.25">
      <c r="A11598" t="str">
        <f t="shared" si="182"/>
        <v/>
      </c>
    </row>
    <row r="11599" spans="1:1" x14ac:dyDescent="0.25">
      <c r="A11599" t="str">
        <f t="shared" si="182"/>
        <v/>
      </c>
    </row>
    <row r="11600" spans="1:1" x14ac:dyDescent="0.25">
      <c r="A11600" t="str">
        <f t="shared" si="182"/>
        <v/>
      </c>
    </row>
    <row r="11601" spans="1:1" x14ac:dyDescent="0.25">
      <c r="A11601" t="str">
        <f t="shared" si="182"/>
        <v/>
      </c>
    </row>
    <row r="11602" spans="1:1" x14ac:dyDescent="0.25">
      <c r="A11602" t="str">
        <f t="shared" si="182"/>
        <v/>
      </c>
    </row>
    <row r="11603" spans="1:1" x14ac:dyDescent="0.25">
      <c r="A11603" t="str">
        <f t="shared" si="182"/>
        <v/>
      </c>
    </row>
    <row r="11604" spans="1:1" x14ac:dyDescent="0.25">
      <c r="A11604" t="str">
        <f t="shared" si="182"/>
        <v/>
      </c>
    </row>
    <row r="11605" spans="1:1" x14ac:dyDescent="0.25">
      <c r="A11605" t="str">
        <f t="shared" si="182"/>
        <v/>
      </c>
    </row>
    <row r="11606" spans="1:1" x14ac:dyDescent="0.25">
      <c r="A11606" t="str">
        <f t="shared" si="182"/>
        <v/>
      </c>
    </row>
    <row r="11607" spans="1:1" x14ac:dyDescent="0.25">
      <c r="A11607" t="str">
        <f t="shared" si="182"/>
        <v/>
      </c>
    </row>
    <row r="11608" spans="1:1" x14ac:dyDescent="0.25">
      <c r="A11608" t="str">
        <f t="shared" si="182"/>
        <v/>
      </c>
    </row>
    <row r="11609" spans="1:1" x14ac:dyDescent="0.25">
      <c r="A11609" t="str">
        <f t="shared" si="182"/>
        <v/>
      </c>
    </row>
    <row r="11610" spans="1:1" x14ac:dyDescent="0.25">
      <c r="A11610" t="str">
        <f t="shared" si="182"/>
        <v/>
      </c>
    </row>
    <row r="11611" spans="1:1" x14ac:dyDescent="0.25">
      <c r="A11611" t="str">
        <f t="shared" si="182"/>
        <v/>
      </c>
    </row>
    <row r="11612" spans="1:1" x14ac:dyDescent="0.25">
      <c r="A11612" t="str">
        <f t="shared" si="182"/>
        <v/>
      </c>
    </row>
    <row r="11613" spans="1:1" x14ac:dyDescent="0.25">
      <c r="A11613" t="str">
        <f t="shared" si="182"/>
        <v/>
      </c>
    </row>
    <row r="11614" spans="1:1" x14ac:dyDescent="0.25">
      <c r="A11614" t="str">
        <f t="shared" si="182"/>
        <v/>
      </c>
    </row>
    <row r="11615" spans="1:1" x14ac:dyDescent="0.25">
      <c r="A11615" t="str">
        <f t="shared" si="182"/>
        <v/>
      </c>
    </row>
    <row r="11616" spans="1:1" x14ac:dyDescent="0.25">
      <c r="A11616" t="str">
        <f t="shared" si="182"/>
        <v/>
      </c>
    </row>
    <row r="11617" spans="1:1" x14ac:dyDescent="0.25">
      <c r="A11617" t="str">
        <f t="shared" si="182"/>
        <v/>
      </c>
    </row>
    <row r="11618" spans="1:1" x14ac:dyDescent="0.25">
      <c r="A11618" t="str">
        <f t="shared" si="182"/>
        <v/>
      </c>
    </row>
    <row r="11619" spans="1:1" x14ac:dyDescent="0.25">
      <c r="A11619" t="str">
        <f t="shared" si="182"/>
        <v/>
      </c>
    </row>
    <row r="11620" spans="1:1" x14ac:dyDescent="0.25">
      <c r="A11620" t="str">
        <f t="shared" si="182"/>
        <v/>
      </c>
    </row>
    <row r="11621" spans="1:1" x14ac:dyDescent="0.25">
      <c r="A11621" t="str">
        <f t="shared" si="182"/>
        <v/>
      </c>
    </row>
    <row r="11622" spans="1:1" x14ac:dyDescent="0.25">
      <c r="A11622" t="str">
        <f t="shared" si="182"/>
        <v/>
      </c>
    </row>
    <row r="11623" spans="1:1" x14ac:dyDescent="0.25">
      <c r="A11623" t="str">
        <f t="shared" si="182"/>
        <v/>
      </c>
    </row>
    <row r="11624" spans="1:1" x14ac:dyDescent="0.25">
      <c r="A11624" t="str">
        <f t="shared" si="182"/>
        <v/>
      </c>
    </row>
    <row r="11625" spans="1:1" x14ac:dyDescent="0.25">
      <c r="A11625" t="str">
        <f t="shared" si="182"/>
        <v/>
      </c>
    </row>
    <row r="11626" spans="1:1" x14ac:dyDescent="0.25">
      <c r="A11626" t="str">
        <f t="shared" si="182"/>
        <v/>
      </c>
    </row>
    <row r="11627" spans="1:1" x14ac:dyDescent="0.25">
      <c r="A11627" t="str">
        <f t="shared" si="182"/>
        <v/>
      </c>
    </row>
    <row r="11628" spans="1:1" x14ac:dyDescent="0.25">
      <c r="A11628" t="str">
        <f t="shared" si="182"/>
        <v/>
      </c>
    </row>
    <row r="11629" spans="1:1" x14ac:dyDescent="0.25">
      <c r="A11629" t="str">
        <f t="shared" si="182"/>
        <v/>
      </c>
    </row>
    <row r="11630" spans="1:1" x14ac:dyDescent="0.25">
      <c r="A11630" t="str">
        <f t="shared" si="182"/>
        <v/>
      </c>
    </row>
    <row r="11631" spans="1:1" x14ac:dyDescent="0.25">
      <c r="A11631" t="str">
        <f t="shared" si="182"/>
        <v/>
      </c>
    </row>
    <row r="11632" spans="1:1" x14ac:dyDescent="0.25">
      <c r="A11632" t="str">
        <f t="shared" si="182"/>
        <v/>
      </c>
    </row>
    <row r="11633" spans="1:1" x14ac:dyDescent="0.25">
      <c r="A11633" t="str">
        <f t="shared" si="182"/>
        <v/>
      </c>
    </row>
    <row r="11634" spans="1:1" x14ac:dyDescent="0.25">
      <c r="A11634" t="str">
        <f t="shared" si="182"/>
        <v/>
      </c>
    </row>
    <row r="11635" spans="1:1" x14ac:dyDescent="0.25">
      <c r="A11635" t="str">
        <f t="shared" si="182"/>
        <v/>
      </c>
    </row>
    <row r="11636" spans="1:1" x14ac:dyDescent="0.25">
      <c r="A11636" t="str">
        <f t="shared" si="182"/>
        <v/>
      </c>
    </row>
    <row r="11637" spans="1:1" x14ac:dyDescent="0.25">
      <c r="A11637" t="str">
        <f t="shared" ref="A11637:A11700" si="183">B11635&amp;D11635</f>
        <v/>
      </c>
    </row>
    <row r="11638" spans="1:1" x14ac:dyDescent="0.25">
      <c r="A11638" t="str">
        <f t="shared" si="183"/>
        <v/>
      </c>
    </row>
    <row r="11639" spans="1:1" x14ac:dyDescent="0.25">
      <c r="A11639" t="str">
        <f t="shared" si="183"/>
        <v/>
      </c>
    </row>
    <row r="11640" spans="1:1" x14ac:dyDescent="0.25">
      <c r="A11640" t="str">
        <f t="shared" si="183"/>
        <v/>
      </c>
    </row>
    <row r="11641" spans="1:1" x14ac:dyDescent="0.25">
      <c r="A11641" t="str">
        <f t="shared" si="183"/>
        <v/>
      </c>
    </row>
    <row r="11642" spans="1:1" x14ac:dyDescent="0.25">
      <c r="A11642" t="str">
        <f t="shared" si="183"/>
        <v/>
      </c>
    </row>
    <row r="11643" spans="1:1" x14ac:dyDescent="0.25">
      <c r="A11643" t="str">
        <f t="shared" si="183"/>
        <v/>
      </c>
    </row>
    <row r="11644" spans="1:1" x14ac:dyDescent="0.25">
      <c r="A11644" t="str">
        <f t="shared" si="183"/>
        <v/>
      </c>
    </row>
    <row r="11645" spans="1:1" x14ac:dyDescent="0.25">
      <c r="A11645" t="str">
        <f t="shared" si="183"/>
        <v/>
      </c>
    </row>
    <row r="11646" spans="1:1" x14ac:dyDescent="0.25">
      <c r="A11646" t="str">
        <f t="shared" si="183"/>
        <v/>
      </c>
    </row>
    <row r="11647" spans="1:1" x14ac:dyDescent="0.25">
      <c r="A11647" t="str">
        <f t="shared" si="183"/>
        <v/>
      </c>
    </row>
    <row r="11648" spans="1:1" x14ac:dyDescent="0.25">
      <c r="A11648" t="str">
        <f t="shared" si="183"/>
        <v/>
      </c>
    </row>
    <row r="11649" spans="1:1" x14ac:dyDescent="0.25">
      <c r="A11649" t="str">
        <f t="shared" si="183"/>
        <v/>
      </c>
    </row>
    <row r="11650" spans="1:1" x14ac:dyDescent="0.25">
      <c r="A11650" t="str">
        <f t="shared" si="183"/>
        <v/>
      </c>
    </row>
    <row r="11651" spans="1:1" x14ac:dyDescent="0.25">
      <c r="A11651" t="str">
        <f t="shared" si="183"/>
        <v/>
      </c>
    </row>
    <row r="11652" spans="1:1" x14ac:dyDescent="0.25">
      <c r="A11652" t="str">
        <f t="shared" si="183"/>
        <v/>
      </c>
    </row>
    <row r="11653" spans="1:1" x14ac:dyDescent="0.25">
      <c r="A11653" t="str">
        <f t="shared" si="183"/>
        <v/>
      </c>
    </row>
    <row r="11654" spans="1:1" x14ac:dyDescent="0.25">
      <c r="A11654" t="str">
        <f t="shared" si="183"/>
        <v/>
      </c>
    </row>
    <row r="11655" spans="1:1" x14ac:dyDescent="0.25">
      <c r="A11655" t="str">
        <f t="shared" si="183"/>
        <v/>
      </c>
    </row>
    <row r="11656" spans="1:1" x14ac:dyDescent="0.25">
      <c r="A11656" t="str">
        <f t="shared" si="183"/>
        <v/>
      </c>
    </row>
    <row r="11657" spans="1:1" x14ac:dyDescent="0.25">
      <c r="A11657" t="str">
        <f t="shared" si="183"/>
        <v/>
      </c>
    </row>
    <row r="11658" spans="1:1" x14ac:dyDescent="0.25">
      <c r="A11658" t="str">
        <f t="shared" si="183"/>
        <v/>
      </c>
    </row>
    <row r="11659" spans="1:1" x14ac:dyDescent="0.25">
      <c r="A11659" t="str">
        <f t="shared" si="183"/>
        <v/>
      </c>
    </row>
    <row r="11660" spans="1:1" x14ac:dyDescent="0.25">
      <c r="A11660" t="str">
        <f t="shared" si="183"/>
        <v/>
      </c>
    </row>
    <row r="11661" spans="1:1" x14ac:dyDescent="0.25">
      <c r="A11661" t="str">
        <f t="shared" si="183"/>
        <v/>
      </c>
    </row>
    <row r="11662" spans="1:1" x14ac:dyDescent="0.25">
      <c r="A11662" t="str">
        <f t="shared" si="183"/>
        <v/>
      </c>
    </row>
    <row r="11663" spans="1:1" x14ac:dyDescent="0.25">
      <c r="A11663" t="str">
        <f t="shared" si="183"/>
        <v/>
      </c>
    </row>
    <row r="11664" spans="1:1" x14ac:dyDescent="0.25">
      <c r="A11664" t="str">
        <f t="shared" si="183"/>
        <v/>
      </c>
    </row>
    <row r="11665" spans="1:1" x14ac:dyDescent="0.25">
      <c r="A11665" t="str">
        <f t="shared" si="183"/>
        <v/>
      </c>
    </row>
    <row r="11666" spans="1:1" x14ac:dyDescent="0.25">
      <c r="A11666" t="str">
        <f t="shared" si="183"/>
        <v/>
      </c>
    </row>
    <row r="11667" spans="1:1" x14ac:dyDescent="0.25">
      <c r="A11667" t="str">
        <f t="shared" si="183"/>
        <v/>
      </c>
    </row>
    <row r="11668" spans="1:1" x14ac:dyDescent="0.25">
      <c r="A11668" t="str">
        <f t="shared" si="183"/>
        <v/>
      </c>
    </row>
    <row r="11669" spans="1:1" x14ac:dyDescent="0.25">
      <c r="A11669" t="str">
        <f t="shared" si="183"/>
        <v/>
      </c>
    </row>
    <row r="11670" spans="1:1" x14ac:dyDescent="0.25">
      <c r="A11670" t="str">
        <f t="shared" si="183"/>
        <v/>
      </c>
    </row>
    <row r="11671" spans="1:1" x14ac:dyDescent="0.25">
      <c r="A11671" t="str">
        <f t="shared" si="183"/>
        <v/>
      </c>
    </row>
    <row r="11672" spans="1:1" x14ac:dyDescent="0.25">
      <c r="A11672" t="str">
        <f t="shared" si="183"/>
        <v/>
      </c>
    </row>
    <row r="11673" spans="1:1" x14ac:dyDescent="0.25">
      <c r="A11673" t="str">
        <f t="shared" si="183"/>
        <v/>
      </c>
    </row>
    <row r="11674" spans="1:1" x14ac:dyDescent="0.25">
      <c r="A11674" t="str">
        <f t="shared" si="183"/>
        <v/>
      </c>
    </row>
    <row r="11675" spans="1:1" x14ac:dyDescent="0.25">
      <c r="A11675" t="str">
        <f t="shared" si="183"/>
        <v/>
      </c>
    </row>
    <row r="11676" spans="1:1" x14ac:dyDescent="0.25">
      <c r="A11676" t="str">
        <f t="shared" si="183"/>
        <v/>
      </c>
    </row>
    <row r="11677" spans="1:1" x14ac:dyDescent="0.25">
      <c r="A11677" t="str">
        <f t="shared" si="183"/>
        <v/>
      </c>
    </row>
    <row r="11678" spans="1:1" x14ac:dyDescent="0.25">
      <c r="A11678" t="str">
        <f t="shared" si="183"/>
        <v/>
      </c>
    </row>
    <row r="11679" spans="1:1" x14ac:dyDescent="0.25">
      <c r="A11679" t="str">
        <f t="shared" si="183"/>
        <v/>
      </c>
    </row>
    <row r="11680" spans="1:1" x14ac:dyDescent="0.25">
      <c r="A11680" t="str">
        <f t="shared" si="183"/>
        <v/>
      </c>
    </row>
    <row r="11681" spans="1:1" x14ac:dyDescent="0.25">
      <c r="A11681" t="str">
        <f t="shared" si="183"/>
        <v/>
      </c>
    </row>
    <row r="11682" spans="1:1" x14ac:dyDescent="0.25">
      <c r="A11682" t="str">
        <f t="shared" si="183"/>
        <v/>
      </c>
    </row>
    <row r="11683" spans="1:1" x14ac:dyDescent="0.25">
      <c r="A11683" t="str">
        <f t="shared" si="183"/>
        <v/>
      </c>
    </row>
    <row r="11684" spans="1:1" x14ac:dyDescent="0.25">
      <c r="A11684" t="str">
        <f t="shared" si="183"/>
        <v/>
      </c>
    </row>
    <row r="11685" spans="1:1" x14ac:dyDescent="0.25">
      <c r="A11685" t="str">
        <f t="shared" si="183"/>
        <v/>
      </c>
    </row>
    <row r="11686" spans="1:1" x14ac:dyDescent="0.25">
      <c r="A11686" t="str">
        <f t="shared" si="183"/>
        <v/>
      </c>
    </row>
    <row r="11687" spans="1:1" x14ac:dyDescent="0.25">
      <c r="A11687" t="str">
        <f t="shared" si="183"/>
        <v/>
      </c>
    </row>
    <row r="11688" spans="1:1" x14ac:dyDescent="0.25">
      <c r="A11688" t="str">
        <f t="shared" si="183"/>
        <v/>
      </c>
    </row>
    <row r="11689" spans="1:1" x14ac:dyDescent="0.25">
      <c r="A11689" t="str">
        <f t="shared" si="183"/>
        <v/>
      </c>
    </row>
    <row r="11690" spans="1:1" x14ac:dyDescent="0.25">
      <c r="A11690" t="str">
        <f t="shared" si="183"/>
        <v/>
      </c>
    </row>
    <row r="11691" spans="1:1" x14ac:dyDescent="0.25">
      <c r="A11691" t="str">
        <f t="shared" si="183"/>
        <v/>
      </c>
    </row>
    <row r="11692" spans="1:1" x14ac:dyDescent="0.25">
      <c r="A11692" t="str">
        <f t="shared" si="183"/>
        <v/>
      </c>
    </row>
    <row r="11693" spans="1:1" x14ac:dyDescent="0.25">
      <c r="A11693" t="str">
        <f t="shared" si="183"/>
        <v/>
      </c>
    </row>
    <row r="11694" spans="1:1" x14ac:dyDescent="0.25">
      <c r="A11694" t="str">
        <f t="shared" si="183"/>
        <v/>
      </c>
    </row>
    <row r="11695" spans="1:1" x14ac:dyDescent="0.25">
      <c r="A11695" t="str">
        <f t="shared" si="183"/>
        <v/>
      </c>
    </row>
    <row r="11696" spans="1:1" x14ac:dyDescent="0.25">
      <c r="A11696" t="str">
        <f t="shared" si="183"/>
        <v/>
      </c>
    </row>
    <row r="11697" spans="1:1" x14ac:dyDescent="0.25">
      <c r="A11697" t="str">
        <f t="shared" si="183"/>
        <v/>
      </c>
    </row>
    <row r="11698" spans="1:1" x14ac:dyDescent="0.25">
      <c r="A11698" t="str">
        <f t="shared" si="183"/>
        <v/>
      </c>
    </row>
    <row r="11699" spans="1:1" x14ac:dyDescent="0.25">
      <c r="A11699" t="str">
        <f t="shared" si="183"/>
        <v/>
      </c>
    </row>
    <row r="11700" spans="1:1" x14ac:dyDescent="0.25">
      <c r="A11700" t="str">
        <f t="shared" si="183"/>
        <v/>
      </c>
    </row>
    <row r="11701" spans="1:1" x14ac:dyDescent="0.25">
      <c r="A11701" t="str">
        <f t="shared" ref="A11701:A11764" si="184">B11699&amp;D11699</f>
        <v/>
      </c>
    </row>
    <row r="11702" spans="1:1" x14ac:dyDescent="0.25">
      <c r="A11702" t="str">
        <f t="shared" si="184"/>
        <v/>
      </c>
    </row>
    <row r="11703" spans="1:1" x14ac:dyDescent="0.25">
      <c r="A11703" t="str">
        <f t="shared" si="184"/>
        <v/>
      </c>
    </row>
    <row r="11704" spans="1:1" x14ac:dyDescent="0.25">
      <c r="A11704" t="str">
        <f t="shared" si="184"/>
        <v/>
      </c>
    </row>
    <row r="11705" spans="1:1" x14ac:dyDescent="0.25">
      <c r="A11705" t="str">
        <f t="shared" si="184"/>
        <v/>
      </c>
    </row>
    <row r="11706" spans="1:1" x14ac:dyDescent="0.25">
      <c r="A11706" t="str">
        <f t="shared" si="184"/>
        <v/>
      </c>
    </row>
    <row r="11707" spans="1:1" x14ac:dyDescent="0.25">
      <c r="A11707" t="str">
        <f t="shared" si="184"/>
        <v/>
      </c>
    </row>
    <row r="11708" spans="1:1" x14ac:dyDescent="0.25">
      <c r="A11708" t="str">
        <f t="shared" si="184"/>
        <v/>
      </c>
    </row>
    <row r="11709" spans="1:1" x14ac:dyDescent="0.25">
      <c r="A11709" t="str">
        <f t="shared" si="184"/>
        <v/>
      </c>
    </row>
    <row r="11710" spans="1:1" x14ac:dyDescent="0.25">
      <c r="A11710" t="str">
        <f t="shared" si="184"/>
        <v/>
      </c>
    </row>
    <row r="11711" spans="1:1" x14ac:dyDescent="0.25">
      <c r="A11711" t="str">
        <f t="shared" si="184"/>
        <v/>
      </c>
    </row>
    <row r="11712" spans="1:1" x14ac:dyDescent="0.25">
      <c r="A11712" t="str">
        <f t="shared" si="184"/>
        <v/>
      </c>
    </row>
    <row r="11713" spans="1:1" x14ac:dyDescent="0.25">
      <c r="A11713" t="str">
        <f t="shared" si="184"/>
        <v/>
      </c>
    </row>
    <row r="11714" spans="1:1" x14ac:dyDescent="0.25">
      <c r="A11714" t="str">
        <f t="shared" si="184"/>
        <v/>
      </c>
    </row>
    <row r="11715" spans="1:1" x14ac:dyDescent="0.25">
      <c r="A11715" t="str">
        <f t="shared" si="184"/>
        <v/>
      </c>
    </row>
    <row r="11716" spans="1:1" x14ac:dyDescent="0.25">
      <c r="A11716" t="str">
        <f t="shared" si="184"/>
        <v/>
      </c>
    </row>
    <row r="11717" spans="1:1" x14ac:dyDescent="0.25">
      <c r="A11717" t="str">
        <f t="shared" si="184"/>
        <v/>
      </c>
    </row>
    <row r="11718" spans="1:1" x14ac:dyDescent="0.25">
      <c r="A11718" t="str">
        <f t="shared" si="184"/>
        <v/>
      </c>
    </row>
    <row r="11719" spans="1:1" x14ac:dyDescent="0.25">
      <c r="A11719" t="str">
        <f t="shared" si="184"/>
        <v/>
      </c>
    </row>
    <row r="11720" spans="1:1" x14ac:dyDescent="0.25">
      <c r="A11720" t="str">
        <f t="shared" si="184"/>
        <v/>
      </c>
    </row>
    <row r="11721" spans="1:1" x14ac:dyDescent="0.25">
      <c r="A11721" t="str">
        <f t="shared" si="184"/>
        <v/>
      </c>
    </row>
    <row r="11722" spans="1:1" x14ac:dyDescent="0.25">
      <c r="A11722" t="str">
        <f t="shared" si="184"/>
        <v/>
      </c>
    </row>
    <row r="11723" spans="1:1" x14ac:dyDescent="0.25">
      <c r="A11723" t="str">
        <f t="shared" si="184"/>
        <v/>
      </c>
    </row>
    <row r="11724" spans="1:1" x14ac:dyDescent="0.25">
      <c r="A11724" t="str">
        <f t="shared" si="184"/>
        <v/>
      </c>
    </row>
    <row r="11725" spans="1:1" x14ac:dyDescent="0.25">
      <c r="A11725" t="str">
        <f t="shared" si="184"/>
        <v/>
      </c>
    </row>
    <row r="11726" spans="1:1" x14ac:dyDescent="0.25">
      <c r="A11726" t="str">
        <f t="shared" si="184"/>
        <v/>
      </c>
    </row>
    <row r="11727" spans="1:1" x14ac:dyDescent="0.25">
      <c r="A11727" t="str">
        <f t="shared" si="184"/>
        <v/>
      </c>
    </row>
    <row r="11728" spans="1:1" x14ac:dyDescent="0.25">
      <c r="A11728" t="str">
        <f t="shared" si="184"/>
        <v/>
      </c>
    </row>
    <row r="11729" spans="1:1" x14ac:dyDescent="0.25">
      <c r="A11729" t="str">
        <f t="shared" si="184"/>
        <v/>
      </c>
    </row>
    <row r="11730" spans="1:1" x14ac:dyDescent="0.25">
      <c r="A11730" t="str">
        <f t="shared" si="184"/>
        <v/>
      </c>
    </row>
    <row r="11731" spans="1:1" x14ac:dyDescent="0.25">
      <c r="A11731" t="str">
        <f t="shared" si="184"/>
        <v/>
      </c>
    </row>
    <row r="11732" spans="1:1" x14ac:dyDescent="0.25">
      <c r="A11732" t="str">
        <f t="shared" si="184"/>
        <v/>
      </c>
    </row>
    <row r="11733" spans="1:1" x14ac:dyDescent="0.25">
      <c r="A11733" t="str">
        <f t="shared" si="184"/>
        <v/>
      </c>
    </row>
    <row r="11734" spans="1:1" x14ac:dyDescent="0.25">
      <c r="A11734" t="str">
        <f t="shared" si="184"/>
        <v/>
      </c>
    </row>
    <row r="11735" spans="1:1" x14ac:dyDescent="0.25">
      <c r="A11735" t="str">
        <f t="shared" si="184"/>
        <v/>
      </c>
    </row>
    <row r="11736" spans="1:1" x14ac:dyDescent="0.25">
      <c r="A11736" t="str">
        <f t="shared" si="184"/>
        <v/>
      </c>
    </row>
    <row r="11737" spans="1:1" x14ac:dyDescent="0.25">
      <c r="A11737" t="str">
        <f t="shared" si="184"/>
        <v/>
      </c>
    </row>
    <row r="11738" spans="1:1" x14ac:dyDescent="0.25">
      <c r="A11738" t="str">
        <f t="shared" si="184"/>
        <v/>
      </c>
    </row>
    <row r="11739" spans="1:1" x14ac:dyDescent="0.25">
      <c r="A11739" t="str">
        <f t="shared" si="184"/>
        <v/>
      </c>
    </row>
    <row r="11740" spans="1:1" x14ac:dyDescent="0.25">
      <c r="A11740" t="str">
        <f t="shared" si="184"/>
        <v/>
      </c>
    </row>
    <row r="11741" spans="1:1" x14ac:dyDescent="0.25">
      <c r="A11741" t="str">
        <f t="shared" si="184"/>
        <v/>
      </c>
    </row>
    <row r="11742" spans="1:1" x14ac:dyDescent="0.25">
      <c r="A11742" t="str">
        <f t="shared" si="184"/>
        <v/>
      </c>
    </row>
    <row r="11743" spans="1:1" x14ac:dyDescent="0.25">
      <c r="A11743" t="str">
        <f t="shared" si="184"/>
        <v/>
      </c>
    </row>
    <row r="11744" spans="1:1" x14ac:dyDescent="0.25">
      <c r="A11744" t="str">
        <f t="shared" si="184"/>
        <v/>
      </c>
    </row>
    <row r="11745" spans="1:1" x14ac:dyDescent="0.25">
      <c r="A11745" t="str">
        <f t="shared" si="184"/>
        <v/>
      </c>
    </row>
    <row r="11746" spans="1:1" x14ac:dyDescent="0.25">
      <c r="A11746" t="str">
        <f t="shared" si="184"/>
        <v/>
      </c>
    </row>
    <row r="11747" spans="1:1" x14ac:dyDescent="0.25">
      <c r="A11747" t="str">
        <f t="shared" si="184"/>
        <v/>
      </c>
    </row>
    <row r="11748" spans="1:1" x14ac:dyDescent="0.25">
      <c r="A11748" t="str">
        <f t="shared" si="184"/>
        <v/>
      </c>
    </row>
    <row r="11749" spans="1:1" x14ac:dyDescent="0.25">
      <c r="A11749" t="str">
        <f t="shared" si="184"/>
        <v/>
      </c>
    </row>
    <row r="11750" spans="1:1" x14ac:dyDescent="0.25">
      <c r="A11750" t="str">
        <f t="shared" si="184"/>
        <v/>
      </c>
    </row>
    <row r="11751" spans="1:1" x14ac:dyDescent="0.25">
      <c r="A11751" t="str">
        <f t="shared" si="184"/>
        <v/>
      </c>
    </row>
    <row r="11752" spans="1:1" x14ac:dyDescent="0.25">
      <c r="A11752" t="str">
        <f t="shared" si="184"/>
        <v/>
      </c>
    </row>
    <row r="11753" spans="1:1" x14ac:dyDescent="0.25">
      <c r="A11753" t="str">
        <f t="shared" si="184"/>
        <v/>
      </c>
    </row>
    <row r="11754" spans="1:1" x14ac:dyDescent="0.25">
      <c r="A11754" t="str">
        <f t="shared" si="184"/>
        <v/>
      </c>
    </row>
    <row r="11755" spans="1:1" x14ac:dyDescent="0.25">
      <c r="A11755" t="str">
        <f t="shared" si="184"/>
        <v/>
      </c>
    </row>
    <row r="11756" spans="1:1" x14ac:dyDescent="0.25">
      <c r="A11756" t="str">
        <f t="shared" si="184"/>
        <v/>
      </c>
    </row>
    <row r="11757" spans="1:1" x14ac:dyDescent="0.25">
      <c r="A11757" t="str">
        <f t="shared" si="184"/>
        <v/>
      </c>
    </row>
    <row r="11758" spans="1:1" x14ac:dyDescent="0.25">
      <c r="A11758" t="str">
        <f t="shared" si="184"/>
        <v/>
      </c>
    </row>
    <row r="11759" spans="1:1" x14ac:dyDescent="0.25">
      <c r="A11759" t="str">
        <f t="shared" si="184"/>
        <v/>
      </c>
    </row>
    <row r="11760" spans="1:1" x14ac:dyDescent="0.25">
      <c r="A11760" t="str">
        <f t="shared" si="184"/>
        <v/>
      </c>
    </row>
    <row r="11761" spans="1:1" x14ac:dyDescent="0.25">
      <c r="A11761" t="str">
        <f t="shared" si="184"/>
        <v/>
      </c>
    </row>
    <row r="11762" spans="1:1" x14ac:dyDescent="0.25">
      <c r="A11762" t="str">
        <f t="shared" si="184"/>
        <v/>
      </c>
    </row>
    <row r="11763" spans="1:1" x14ac:dyDescent="0.25">
      <c r="A11763" t="str">
        <f t="shared" si="184"/>
        <v/>
      </c>
    </row>
    <row r="11764" spans="1:1" x14ac:dyDescent="0.25">
      <c r="A11764" t="str">
        <f t="shared" si="184"/>
        <v/>
      </c>
    </row>
    <row r="11765" spans="1:1" x14ac:dyDescent="0.25">
      <c r="A11765" t="str">
        <f t="shared" ref="A11765:A11828" si="185">B11763&amp;D11763</f>
        <v/>
      </c>
    </row>
    <row r="11766" spans="1:1" x14ac:dyDescent="0.25">
      <c r="A11766" t="str">
        <f t="shared" si="185"/>
        <v/>
      </c>
    </row>
    <row r="11767" spans="1:1" x14ac:dyDescent="0.25">
      <c r="A11767" t="str">
        <f t="shared" si="185"/>
        <v/>
      </c>
    </row>
    <row r="11768" spans="1:1" x14ac:dyDescent="0.25">
      <c r="A11768" t="str">
        <f t="shared" si="185"/>
        <v/>
      </c>
    </row>
    <row r="11769" spans="1:1" x14ac:dyDescent="0.25">
      <c r="A11769" t="str">
        <f t="shared" si="185"/>
        <v/>
      </c>
    </row>
    <row r="11770" spans="1:1" x14ac:dyDescent="0.25">
      <c r="A11770" t="str">
        <f t="shared" si="185"/>
        <v/>
      </c>
    </row>
    <row r="11771" spans="1:1" x14ac:dyDescent="0.25">
      <c r="A11771" t="str">
        <f t="shared" si="185"/>
        <v/>
      </c>
    </row>
    <row r="11772" spans="1:1" x14ac:dyDescent="0.25">
      <c r="A11772" t="str">
        <f t="shared" si="185"/>
        <v/>
      </c>
    </row>
    <row r="11773" spans="1:1" x14ac:dyDescent="0.25">
      <c r="A11773" t="str">
        <f t="shared" si="185"/>
        <v/>
      </c>
    </row>
    <row r="11774" spans="1:1" x14ac:dyDescent="0.25">
      <c r="A11774" t="str">
        <f t="shared" si="185"/>
        <v/>
      </c>
    </row>
    <row r="11775" spans="1:1" x14ac:dyDescent="0.25">
      <c r="A11775" t="str">
        <f t="shared" si="185"/>
        <v/>
      </c>
    </row>
    <row r="11776" spans="1:1" x14ac:dyDescent="0.25">
      <c r="A11776" t="str">
        <f t="shared" si="185"/>
        <v/>
      </c>
    </row>
    <row r="11777" spans="1:1" x14ac:dyDescent="0.25">
      <c r="A11777" t="str">
        <f t="shared" si="185"/>
        <v/>
      </c>
    </row>
    <row r="11778" spans="1:1" x14ac:dyDescent="0.25">
      <c r="A11778" t="str">
        <f t="shared" si="185"/>
        <v/>
      </c>
    </row>
    <row r="11779" spans="1:1" x14ac:dyDescent="0.25">
      <c r="A11779" t="str">
        <f t="shared" si="185"/>
        <v/>
      </c>
    </row>
    <row r="11780" spans="1:1" x14ac:dyDescent="0.25">
      <c r="A11780" t="str">
        <f t="shared" si="185"/>
        <v/>
      </c>
    </row>
    <row r="11781" spans="1:1" x14ac:dyDescent="0.25">
      <c r="A11781" t="str">
        <f t="shared" si="185"/>
        <v/>
      </c>
    </row>
    <row r="11782" spans="1:1" x14ac:dyDescent="0.25">
      <c r="A11782" t="str">
        <f t="shared" si="185"/>
        <v/>
      </c>
    </row>
    <row r="11783" spans="1:1" x14ac:dyDescent="0.25">
      <c r="A11783" t="str">
        <f t="shared" si="185"/>
        <v/>
      </c>
    </row>
    <row r="11784" spans="1:1" x14ac:dyDescent="0.25">
      <c r="A11784" t="str">
        <f t="shared" si="185"/>
        <v/>
      </c>
    </row>
    <row r="11785" spans="1:1" x14ac:dyDescent="0.25">
      <c r="A11785" t="str">
        <f t="shared" si="185"/>
        <v/>
      </c>
    </row>
    <row r="11786" spans="1:1" x14ac:dyDescent="0.25">
      <c r="A11786" t="str">
        <f t="shared" si="185"/>
        <v/>
      </c>
    </row>
    <row r="11787" spans="1:1" x14ac:dyDescent="0.25">
      <c r="A11787" t="str">
        <f t="shared" si="185"/>
        <v/>
      </c>
    </row>
    <row r="11788" spans="1:1" x14ac:dyDescent="0.25">
      <c r="A11788" t="str">
        <f t="shared" si="185"/>
        <v/>
      </c>
    </row>
    <row r="11789" spans="1:1" x14ac:dyDescent="0.25">
      <c r="A11789" t="str">
        <f t="shared" si="185"/>
        <v/>
      </c>
    </row>
    <row r="11790" spans="1:1" x14ac:dyDescent="0.25">
      <c r="A11790" t="str">
        <f t="shared" si="185"/>
        <v/>
      </c>
    </row>
    <row r="11791" spans="1:1" x14ac:dyDescent="0.25">
      <c r="A11791" t="str">
        <f t="shared" si="185"/>
        <v/>
      </c>
    </row>
    <row r="11792" spans="1:1" x14ac:dyDescent="0.25">
      <c r="A11792" t="str">
        <f t="shared" si="185"/>
        <v/>
      </c>
    </row>
    <row r="11793" spans="1:1" x14ac:dyDescent="0.25">
      <c r="A11793" t="str">
        <f t="shared" si="185"/>
        <v/>
      </c>
    </row>
    <row r="11794" spans="1:1" x14ac:dyDescent="0.25">
      <c r="A11794" t="str">
        <f t="shared" si="185"/>
        <v/>
      </c>
    </row>
    <row r="11795" spans="1:1" x14ac:dyDescent="0.25">
      <c r="A11795" t="str">
        <f t="shared" si="185"/>
        <v/>
      </c>
    </row>
    <row r="11796" spans="1:1" x14ac:dyDescent="0.25">
      <c r="A11796" t="str">
        <f t="shared" si="185"/>
        <v/>
      </c>
    </row>
    <row r="11797" spans="1:1" x14ac:dyDescent="0.25">
      <c r="A11797" t="str">
        <f t="shared" si="185"/>
        <v/>
      </c>
    </row>
    <row r="11798" spans="1:1" x14ac:dyDescent="0.25">
      <c r="A11798" t="str">
        <f t="shared" si="185"/>
        <v/>
      </c>
    </row>
    <row r="11799" spans="1:1" x14ac:dyDescent="0.25">
      <c r="A11799" t="str">
        <f t="shared" si="185"/>
        <v/>
      </c>
    </row>
    <row r="11800" spans="1:1" x14ac:dyDescent="0.25">
      <c r="A11800" t="str">
        <f t="shared" si="185"/>
        <v/>
      </c>
    </row>
    <row r="11801" spans="1:1" x14ac:dyDescent="0.25">
      <c r="A11801" t="str">
        <f t="shared" si="185"/>
        <v/>
      </c>
    </row>
    <row r="11802" spans="1:1" x14ac:dyDescent="0.25">
      <c r="A11802" t="str">
        <f t="shared" si="185"/>
        <v/>
      </c>
    </row>
    <row r="11803" spans="1:1" x14ac:dyDescent="0.25">
      <c r="A11803" t="str">
        <f t="shared" si="185"/>
        <v/>
      </c>
    </row>
    <row r="11804" spans="1:1" x14ac:dyDescent="0.25">
      <c r="A11804" t="str">
        <f t="shared" si="185"/>
        <v/>
      </c>
    </row>
    <row r="11805" spans="1:1" x14ac:dyDescent="0.25">
      <c r="A11805" t="str">
        <f t="shared" si="185"/>
        <v/>
      </c>
    </row>
    <row r="11806" spans="1:1" x14ac:dyDescent="0.25">
      <c r="A11806" t="str">
        <f t="shared" si="185"/>
        <v/>
      </c>
    </row>
    <row r="11807" spans="1:1" x14ac:dyDescent="0.25">
      <c r="A11807" t="str">
        <f t="shared" si="185"/>
        <v/>
      </c>
    </row>
    <row r="11808" spans="1:1" x14ac:dyDescent="0.25">
      <c r="A11808" t="str">
        <f t="shared" si="185"/>
        <v/>
      </c>
    </row>
    <row r="11809" spans="1:1" x14ac:dyDescent="0.25">
      <c r="A11809" t="str">
        <f t="shared" si="185"/>
        <v/>
      </c>
    </row>
    <row r="11810" spans="1:1" x14ac:dyDescent="0.25">
      <c r="A11810" t="str">
        <f t="shared" si="185"/>
        <v/>
      </c>
    </row>
    <row r="11811" spans="1:1" x14ac:dyDescent="0.25">
      <c r="A11811" t="str">
        <f t="shared" si="185"/>
        <v/>
      </c>
    </row>
    <row r="11812" spans="1:1" x14ac:dyDescent="0.25">
      <c r="A11812" t="str">
        <f t="shared" si="185"/>
        <v/>
      </c>
    </row>
    <row r="11813" spans="1:1" x14ac:dyDescent="0.25">
      <c r="A11813" t="str">
        <f t="shared" si="185"/>
        <v/>
      </c>
    </row>
    <row r="11814" spans="1:1" x14ac:dyDescent="0.25">
      <c r="A11814" t="str">
        <f t="shared" si="185"/>
        <v/>
      </c>
    </row>
    <row r="11815" spans="1:1" x14ac:dyDescent="0.25">
      <c r="A11815" t="str">
        <f t="shared" si="185"/>
        <v/>
      </c>
    </row>
    <row r="11816" spans="1:1" x14ac:dyDescent="0.25">
      <c r="A11816" t="str">
        <f t="shared" si="185"/>
        <v/>
      </c>
    </row>
    <row r="11817" spans="1:1" x14ac:dyDescent="0.25">
      <c r="A11817" t="str">
        <f t="shared" si="185"/>
        <v/>
      </c>
    </row>
    <row r="11818" spans="1:1" x14ac:dyDescent="0.25">
      <c r="A11818" t="str">
        <f t="shared" si="185"/>
        <v/>
      </c>
    </row>
    <row r="11819" spans="1:1" x14ac:dyDescent="0.25">
      <c r="A11819" t="str">
        <f t="shared" si="185"/>
        <v/>
      </c>
    </row>
    <row r="11820" spans="1:1" x14ac:dyDescent="0.25">
      <c r="A11820" t="str">
        <f t="shared" si="185"/>
        <v/>
      </c>
    </row>
    <row r="11821" spans="1:1" x14ac:dyDescent="0.25">
      <c r="A11821" t="str">
        <f t="shared" si="185"/>
        <v/>
      </c>
    </row>
    <row r="11822" spans="1:1" x14ac:dyDescent="0.25">
      <c r="A11822" t="str">
        <f t="shared" si="185"/>
        <v/>
      </c>
    </row>
    <row r="11823" spans="1:1" x14ac:dyDescent="0.25">
      <c r="A11823" t="str">
        <f t="shared" si="185"/>
        <v/>
      </c>
    </row>
    <row r="11824" spans="1:1" x14ac:dyDescent="0.25">
      <c r="A11824" t="str">
        <f t="shared" si="185"/>
        <v/>
      </c>
    </row>
    <row r="11825" spans="1:1" x14ac:dyDescent="0.25">
      <c r="A11825" t="str">
        <f t="shared" si="185"/>
        <v/>
      </c>
    </row>
    <row r="11826" spans="1:1" x14ac:dyDescent="0.25">
      <c r="A11826" t="str">
        <f t="shared" si="185"/>
        <v/>
      </c>
    </row>
    <row r="11827" spans="1:1" x14ac:dyDescent="0.25">
      <c r="A11827" t="str">
        <f t="shared" si="185"/>
        <v/>
      </c>
    </row>
    <row r="11828" spans="1:1" x14ac:dyDescent="0.25">
      <c r="A11828" t="str">
        <f t="shared" si="185"/>
        <v/>
      </c>
    </row>
    <row r="11829" spans="1:1" x14ac:dyDescent="0.25">
      <c r="A11829" t="str">
        <f t="shared" ref="A11829:A11892" si="186">B11827&amp;D11827</f>
        <v/>
      </c>
    </row>
    <row r="11830" spans="1:1" x14ac:dyDescent="0.25">
      <c r="A11830" t="str">
        <f t="shared" si="186"/>
        <v/>
      </c>
    </row>
    <row r="11831" spans="1:1" x14ac:dyDescent="0.25">
      <c r="A11831" t="str">
        <f t="shared" si="186"/>
        <v/>
      </c>
    </row>
    <row r="11832" spans="1:1" x14ac:dyDescent="0.25">
      <c r="A11832" t="str">
        <f t="shared" si="186"/>
        <v/>
      </c>
    </row>
    <row r="11833" spans="1:1" x14ac:dyDescent="0.25">
      <c r="A11833" t="str">
        <f t="shared" si="186"/>
        <v/>
      </c>
    </row>
    <row r="11834" spans="1:1" x14ac:dyDescent="0.25">
      <c r="A11834" t="str">
        <f t="shared" si="186"/>
        <v/>
      </c>
    </row>
    <row r="11835" spans="1:1" x14ac:dyDescent="0.25">
      <c r="A11835" t="str">
        <f t="shared" si="186"/>
        <v/>
      </c>
    </row>
    <row r="11836" spans="1:1" x14ac:dyDescent="0.25">
      <c r="A11836" t="str">
        <f t="shared" si="186"/>
        <v/>
      </c>
    </row>
    <row r="11837" spans="1:1" x14ac:dyDescent="0.25">
      <c r="A11837" t="str">
        <f t="shared" si="186"/>
        <v/>
      </c>
    </row>
    <row r="11838" spans="1:1" x14ac:dyDescent="0.25">
      <c r="A11838" t="str">
        <f t="shared" si="186"/>
        <v/>
      </c>
    </row>
    <row r="11839" spans="1:1" x14ac:dyDescent="0.25">
      <c r="A11839" t="str">
        <f t="shared" si="186"/>
        <v/>
      </c>
    </row>
    <row r="11840" spans="1:1" x14ac:dyDescent="0.25">
      <c r="A11840" t="str">
        <f t="shared" si="186"/>
        <v/>
      </c>
    </row>
    <row r="11841" spans="1:1" x14ac:dyDescent="0.25">
      <c r="A11841" t="str">
        <f t="shared" si="186"/>
        <v/>
      </c>
    </row>
    <row r="11842" spans="1:1" x14ac:dyDescent="0.25">
      <c r="A11842" t="str">
        <f t="shared" si="186"/>
        <v/>
      </c>
    </row>
    <row r="11843" spans="1:1" x14ac:dyDescent="0.25">
      <c r="A11843" t="str">
        <f t="shared" si="186"/>
        <v/>
      </c>
    </row>
    <row r="11844" spans="1:1" x14ac:dyDescent="0.25">
      <c r="A11844" t="str">
        <f t="shared" si="186"/>
        <v/>
      </c>
    </row>
    <row r="11845" spans="1:1" x14ac:dyDescent="0.25">
      <c r="A11845" t="str">
        <f t="shared" si="186"/>
        <v/>
      </c>
    </row>
    <row r="11846" spans="1:1" x14ac:dyDescent="0.25">
      <c r="A11846" t="str">
        <f t="shared" si="186"/>
        <v/>
      </c>
    </row>
    <row r="11847" spans="1:1" x14ac:dyDescent="0.25">
      <c r="A11847" t="str">
        <f t="shared" si="186"/>
        <v/>
      </c>
    </row>
    <row r="11848" spans="1:1" x14ac:dyDescent="0.25">
      <c r="A11848" t="str">
        <f t="shared" si="186"/>
        <v/>
      </c>
    </row>
    <row r="11849" spans="1:1" x14ac:dyDescent="0.25">
      <c r="A11849" t="str">
        <f t="shared" si="186"/>
        <v/>
      </c>
    </row>
    <row r="11850" spans="1:1" x14ac:dyDescent="0.25">
      <c r="A11850" t="str">
        <f t="shared" si="186"/>
        <v/>
      </c>
    </row>
    <row r="11851" spans="1:1" x14ac:dyDescent="0.25">
      <c r="A11851" t="str">
        <f t="shared" si="186"/>
        <v/>
      </c>
    </row>
    <row r="11852" spans="1:1" x14ac:dyDescent="0.25">
      <c r="A11852" t="str">
        <f t="shared" si="186"/>
        <v/>
      </c>
    </row>
    <row r="11853" spans="1:1" x14ac:dyDescent="0.25">
      <c r="A11853" t="str">
        <f t="shared" si="186"/>
        <v/>
      </c>
    </row>
    <row r="11854" spans="1:1" x14ac:dyDescent="0.25">
      <c r="A11854" t="str">
        <f t="shared" si="186"/>
        <v/>
      </c>
    </row>
    <row r="11855" spans="1:1" x14ac:dyDescent="0.25">
      <c r="A11855" t="str">
        <f t="shared" si="186"/>
        <v/>
      </c>
    </row>
    <row r="11856" spans="1:1" x14ac:dyDescent="0.25">
      <c r="A11856" t="str">
        <f t="shared" si="186"/>
        <v/>
      </c>
    </row>
    <row r="11857" spans="1:1" x14ac:dyDescent="0.25">
      <c r="A11857" t="str">
        <f t="shared" si="186"/>
        <v/>
      </c>
    </row>
    <row r="11858" spans="1:1" x14ac:dyDescent="0.25">
      <c r="A11858" t="str">
        <f t="shared" si="186"/>
        <v/>
      </c>
    </row>
    <row r="11859" spans="1:1" x14ac:dyDescent="0.25">
      <c r="A11859" t="str">
        <f t="shared" si="186"/>
        <v/>
      </c>
    </row>
    <row r="11860" spans="1:1" x14ac:dyDescent="0.25">
      <c r="A11860" t="str">
        <f t="shared" si="186"/>
        <v/>
      </c>
    </row>
    <row r="11861" spans="1:1" x14ac:dyDescent="0.25">
      <c r="A11861" t="str">
        <f t="shared" si="186"/>
        <v/>
      </c>
    </row>
    <row r="11862" spans="1:1" x14ac:dyDescent="0.25">
      <c r="A11862" t="str">
        <f t="shared" si="186"/>
        <v/>
      </c>
    </row>
    <row r="11863" spans="1:1" x14ac:dyDescent="0.25">
      <c r="A11863" t="str">
        <f t="shared" si="186"/>
        <v/>
      </c>
    </row>
    <row r="11864" spans="1:1" x14ac:dyDescent="0.25">
      <c r="A11864" t="str">
        <f t="shared" si="186"/>
        <v/>
      </c>
    </row>
    <row r="11865" spans="1:1" x14ac:dyDescent="0.25">
      <c r="A11865" t="str">
        <f t="shared" si="186"/>
        <v/>
      </c>
    </row>
    <row r="11866" spans="1:1" x14ac:dyDescent="0.25">
      <c r="A11866" t="str">
        <f t="shared" si="186"/>
        <v/>
      </c>
    </row>
    <row r="11867" spans="1:1" x14ac:dyDescent="0.25">
      <c r="A11867" t="str">
        <f t="shared" si="186"/>
        <v/>
      </c>
    </row>
    <row r="11868" spans="1:1" x14ac:dyDescent="0.25">
      <c r="A11868" t="str">
        <f t="shared" si="186"/>
        <v/>
      </c>
    </row>
    <row r="11869" spans="1:1" x14ac:dyDescent="0.25">
      <c r="A11869" t="str">
        <f t="shared" si="186"/>
        <v/>
      </c>
    </row>
    <row r="11870" spans="1:1" x14ac:dyDescent="0.25">
      <c r="A11870" t="str">
        <f t="shared" si="186"/>
        <v/>
      </c>
    </row>
    <row r="11871" spans="1:1" x14ac:dyDescent="0.25">
      <c r="A11871" t="str">
        <f t="shared" si="186"/>
        <v/>
      </c>
    </row>
    <row r="11872" spans="1:1" x14ac:dyDescent="0.25">
      <c r="A11872" t="str">
        <f t="shared" si="186"/>
        <v/>
      </c>
    </row>
    <row r="11873" spans="1:1" x14ac:dyDescent="0.25">
      <c r="A11873" t="str">
        <f t="shared" si="186"/>
        <v/>
      </c>
    </row>
    <row r="11874" spans="1:1" x14ac:dyDescent="0.25">
      <c r="A11874" t="str">
        <f t="shared" si="186"/>
        <v/>
      </c>
    </row>
    <row r="11875" spans="1:1" x14ac:dyDescent="0.25">
      <c r="A11875" t="str">
        <f t="shared" si="186"/>
        <v/>
      </c>
    </row>
    <row r="11876" spans="1:1" x14ac:dyDescent="0.25">
      <c r="A11876" t="str">
        <f t="shared" si="186"/>
        <v/>
      </c>
    </row>
    <row r="11877" spans="1:1" x14ac:dyDescent="0.25">
      <c r="A11877" t="str">
        <f t="shared" si="186"/>
        <v/>
      </c>
    </row>
    <row r="11878" spans="1:1" x14ac:dyDescent="0.25">
      <c r="A11878" t="str">
        <f t="shared" si="186"/>
        <v/>
      </c>
    </row>
    <row r="11879" spans="1:1" x14ac:dyDescent="0.25">
      <c r="A11879" t="str">
        <f t="shared" si="186"/>
        <v/>
      </c>
    </row>
    <row r="11880" spans="1:1" x14ac:dyDescent="0.25">
      <c r="A11880" t="str">
        <f t="shared" si="186"/>
        <v/>
      </c>
    </row>
    <row r="11881" spans="1:1" x14ac:dyDescent="0.25">
      <c r="A11881" t="str">
        <f t="shared" si="186"/>
        <v/>
      </c>
    </row>
    <row r="11882" spans="1:1" x14ac:dyDescent="0.25">
      <c r="A11882" t="str">
        <f t="shared" si="186"/>
        <v/>
      </c>
    </row>
    <row r="11883" spans="1:1" x14ac:dyDescent="0.25">
      <c r="A11883" t="str">
        <f t="shared" si="186"/>
        <v/>
      </c>
    </row>
    <row r="11884" spans="1:1" x14ac:dyDescent="0.25">
      <c r="A11884" t="str">
        <f t="shared" si="186"/>
        <v/>
      </c>
    </row>
    <row r="11885" spans="1:1" x14ac:dyDescent="0.25">
      <c r="A11885" t="str">
        <f t="shared" si="186"/>
        <v/>
      </c>
    </row>
    <row r="11886" spans="1:1" x14ac:dyDescent="0.25">
      <c r="A11886" t="str">
        <f t="shared" si="186"/>
        <v/>
      </c>
    </row>
    <row r="11887" spans="1:1" x14ac:dyDescent="0.25">
      <c r="A11887" t="str">
        <f t="shared" si="186"/>
        <v/>
      </c>
    </row>
    <row r="11888" spans="1:1" x14ac:dyDescent="0.25">
      <c r="A11888" t="str">
        <f t="shared" si="186"/>
        <v/>
      </c>
    </row>
    <row r="11889" spans="1:1" x14ac:dyDescent="0.25">
      <c r="A11889" t="str">
        <f t="shared" si="186"/>
        <v/>
      </c>
    </row>
    <row r="11890" spans="1:1" x14ac:dyDescent="0.25">
      <c r="A11890" t="str">
        <f t="shared" si="186"/>
        <v/>
      </c>
    </row>
    <row r="11891" spans="1:1" x14ac:dyDescent="0.25">
      <c r="A11891" t="str">
        <f t="shared" si="186"/>
        <v/>
      </c>
    </row>
    <row r="11892" spans="1:1" x14ac:dyDescent="0.25">
      <c r="A11892" t="str">
        <f t="shared" si="186"/>
        <v/>
      </c>
    </row>
    <row r="11893" spans="1:1" x14ac:dyDescent="0.25">
      <c r="A11893" t="str">
        <f t="shared" ref="A11893:A11956" si="187">B11891&amp;D11891</f>
        <v/>
      </c>
    </row>
    <row r="11894" spans="1:1" x14ac:dyDescent="0.25">
      <c r="A11894" t="str">
        <f t="shared" si="187"/>
        <v/>
      </c>
    </row>
    <row r="11895" spans="1:1" x14ac:dyDescent="0.25">
      <c r="A11895" t="str">
        <f t="shared" si="187"/>
        <v/>
      </c>
    </row>
    <row r="11896" spans="1:1" x14ac:dyDescent="0.25">
      <c r="A11896" t="str">
        <f t="shared" si="187"/>
        <v/>
      </c>
    </row>
    <row r="11897" spans="1:1" x14ac:dyDescent="0.25">
      <c r="A11897" t="str">
        <f t="shared" si="187"/>
        <v/>
      </c>
    </row>
    <row r="11898" spans="1:1" x14ac:dyDescent="0.25">
      <c r="A11898" t="str">
        <f t="shared" si="187"/>
        <v/>
      </c>
    </row>
    <row r="11899" spans="1:1" x14ac:dyDescent="0.25">
      <c r="A11899" t="str">
        <f t="shared" si="187"/>
        <v/>
      </c>
    </row>
    <row r="11900" spans="1:1" x14ac:dyDescent="0.25">
      <c r="A11900" t="str">
        <f t="shared" si="187"/>
        <v/>
      </c>
    </row>
    <row r="11901" spans="1:1" x14ac:dyDescent="0.25">
      <c r="A11901" t="str">
        <f t="shared" si="187"/>
        <v/>
      </c>
    </row>
    <row r="11902" spans="1:1" x14ac:dyDescent="0.25">
      <c r="A11902" t="str">
        <f t="shared" si="187"/>
        <v/>
      </c>
    </row>
    <row r="11903" spans="1:1" x14ac:dyDescent="0.25">
      <c r="A11903" t="str">
        <f t="shared" si="187"/>
        <v/>
      </c>
    </row>
    <row r="11904" spans="1:1" x14ac:dyDescent="0.25">
      <c r="A11904" t="str">
        <f t="shared" si="187"/>
        <v/>
      </c>
    </row>
    <row r="11905" spans="1:1" x14ac:dyDescent="0.25">
      <c r="A11905" t="str">
        <f t="shared" si="187"/>
        <v/>
      </c>
    </row>
    <row r="11906" spans="1:1" x14ac:dyDescent="0.25">
      <c r="A11906" t="str">
        <f t="shared" si="187"/>
        <v/>
      </c>
    </row>
    <row r="11907" spans="1:1" x14ac:dyDescent="0.25">
      <c r="A11907" t="str">
        <f t="shared" si="187"/>
        <v/>
      </c>
    </row>
    <row r="11908" spans="1:1" x14ac:dyDescent="0.25">
      <c r="A11908" t="str">
        <f t="shared" si="187"/>
        <v/>
      </c>
    </row>
    <row r="11909" spans="1:1" x14ac:dyDescent="0.25">
      <c r="A11909" t="str">
        <f t="shared" si="187"/>
        <v/>
      </c>
    </row>
    <row r="11910" spans="1:1" x14ac:dyDescent="0.25">
      <c r="A11910" t="str">
        <f t="shared" si="187"/>
        <v/>
      </c>
    </row>
    <row r="11911" spans="1:1" x14ac:dyDescent="0.25">
      <c r="A11911" t="str">
        <f t="shared" si="187"/>
        <v/>
      </c>
    </row>
    <row r="11912" spans="1:1" x14ac:dyDescent="0.25">
      <c r="A11912" t="str">
        <f t="shared" si="187"/>
        <v/>
      </c>
    </row>
    <row r="11913" spans="1:1" x14ac:dyDescent="0.25">
      <c r="A11913" t="str">
        <f t="shared" si="187"/>
        <v/>
      </c>
    </row>
    <row r="11914" spans="1:1" x14ac:dyDescent="0.25">
      <c r="A11914" t="str">
        <f t="shared" si="187"/>
        <v/>
      </c>
    </row>
    <row r="11915" spans="1:1" x14ac:dyDescent="0.25">
      <c r="A11915" t="str">
        <f t="shared" si="187"/>
        <v/>
      </c>
    </row>
    <row r="11916" spans="1:1" x14ac:dyDescent="0.25">
      <c r="A11916" t="str">
        <f t="shared" si="187"/>
        <v/>
      </c>
    </row>
    <row r="11917" spans="1:1" x14ac:dyDescent="0.25">
      <c r="A11917" t="str">
        <f t="shared" si="187"/>
        <v/>
      </c>
    </row>
    <row r="11918" spans="1:1" x14ac:dyDescent="0.25">
      <c r="A11918" t="str">
        <f t="shared" si="187"/>
        <v/>
      </c>
    </row>
    <row r="11919" spans="1:1" x14ac:dyDescent="0.25">
      <c r="A11919" t="str">
        <f t="shared" si="187"/>
        <v/>
      </c>
    </row>
    <row r="11920" spans="1:1" x14ac:dyDescent="0.25">
      <c r="A11920" t="str">
        <f t="shared" si="187"/>
        <v/>
      </c>
    </row>
    <row r="11921" spans="1:1" x14ac:dyDescent="0.25">
      <c r="A11921" t="str">
        <f t="shared" si="187"/>
        <v/>
      </c>
    </row>
    <row r="11922" spans="1:1" x14ac:dyDescent="0.25">
      <c r="A11922" t="str">
        <f t="shared" si="187"/>
        <v/>
      </c>
    </row>
    <row r="11923" spans="1:1" x14ac:dyDescent="0.25">
      <c r="A11923" t="str">
        <f t="shared" si="187"/>
        <v/>
      </c>
    </row>
    <row r="11924" spans="1:1" x14ac:dyDescent="0.25">
      <c r="A11924" t="str">
        <f t="shared" si="187"/>
        <v/>
      </c>
    </row>
    <row r="11925" spans="1:1" x14ac:dyDescent="0.25">
      <c r="A11925" t="str">
        <f t="shared" si="187"/>
        <v/>
      </c>
    </row>
    <row r="11926" spans="1:1" x14ac:dyDescent="0.25">
      <c r="A11926" t="str">
        <f t="shared" si="187"/>
        <v/>
      </c>
    </row>
    <row r="11927" spans="1:1" x14ac:dyDescent="0.25">
      <c r="A11927" t="str">
        <f t="shared" si="187"/>
        <v/>
      </c>
    </row>
    <row r="11928" spans="1:1" x14ac:dyDescent="0.25">
      <c r="A11928" t="str">
        <f t="shared" si="187"/>
        <v/>
      </c>
    </row>
    <row r="11929" spans="1:1" x14ac:dyDescent="0.25">
      <c r="A11929" t="str">
        <f t="shared" si="187"/>
        <v/>
      </c>
    </row>
    <row r="11930" spans="1:1" x14ac:dyDescent="0.25">
      <c r="A11930" t="str">
        <f t="shared" si="187"/>
        <v/>
      </c>
    </row>
    <row r="11931" spans="1:1" x14ac:dyDescent="0.25">
      <c r="A11931" t="str">
        <f t="shared" si="187"/>
        <v/>
      </c>
    </row>
    <row r="11932" spans="1:1" x14ac:dyDescent="0.25">
      <c r="A11932" t="str">
        <f t="shared" si="187"/>
        <v/>
      </c>
    </row>
    <row r="11933" spans="1:1" x14ac:dyDescent="0.25">
      <c r="A11933" t="str">
        <f t="shared" si="187"/>
        <v/>
      </c>
    </row>
    <row r="11934" spans="1:1" x14ac:dyDescent="0.25">
      <c r="A11934" t="str">
        <f t="shared" si="187"/>
        <v/>
      </c>
    </row>
    <row r="11935" spans="1:1" x14ac:dyDescent="0.25">
      <c r="A11935" t="str">
        <f t="shared" si="187"/>
        <v/>
      </c>
    </row>
    <row r="11936" spans="1:1" x14ac:dyDescent="0.25">
      <c r="A11936" t="str">
        <f t="shared" si="187"/>
        <v/>
      </c>
    </row>
    <row r="11937" spans="1:1" x14ac:dyDescent="0.25">
      <c r="A11937" t="str">
        <f t="shared" si="187"/>
        <v/>
      </c>
    </row>
    <row r="11938" spans="1:1" x14ac:dyDescent="0.25">
      <c r="A11938" t="str">
        <f t="shared" si="187"/>
        <v/>
      </c>
    </row>
    <row r="11939" spans="1:1" x14ac:dyDescent="0.25">
      <c r="A11939" t="str">
        <f t="shared" si="187"/>
        <v/>
      </c>
    </row>
    <row r="11940" spans="1:1" x14ac:dyDescent="0.25">
      <c r="A11940" t="str">
        <f t="shared" si="187"/>
        <v/>
      </c>
    </row>
    <row r="11941" spans="1:1" x14ac:dyDescent="0.25">
      <c r="A11941" t="str">
        <f t="shared" si="187"/>
        <v/>
      </c>
    </row>
    <row r="11942" spans="1:1" x14ac:dyDescent="0.25">
      <c r="A11942" t="str">
        <f t="shared" si="187"/>
        <v/>
      </c>
    </row>
    <row r="11943" spans="1:1" x14ac:dyDescent="0.25">
      <c r="A11943" t="str">
        <f t="shared" si="187"/>
        <v/>
      </c>
    </row>
    <row r="11944" spans="1:1" x14ac:dyDescent="0.25">
      <c r="A11944" t="str">
        <f t="shared" si="187"/>
        <v/>
      </c>
    </row>
    <row r="11945" spans="1:1" x14ac:dyDescent="0.25">
      <c r="A11945" t="str">
        <f t="shared" si="187"/>
        <v/>
      </c>
    </row>
    <row r="11946" spans="1:1" x14ac:dyDescent="0.25">
      <c r="A11946" t="str">
        <f t="shared" si="187"/>
        <v/>
      </c>
    </row>
    <row r="11947" spans="1:1" x14ac:dyDescent="0.25">
      <c r="A11947" t="str">
        <f t="shared" si="187"/>
        <v/>
      </c>
    </row>
    <row r="11948" spans="1:1" x14ac:dyDescent="0.25">
      <c r="A11948" t="str">
        <f t="shared" si="187"/>
        <v/>
      </c>
    </row>
    <row r="11949" spans="1:1" x14ac:dyDescent="0.25">
      <c r="A11949" t="str">
        <f t="shared" si="187"/>
        <v/>
      </c>
    </row>
    <row r="11950" spans="1:1" x14ac:dyDescent="0.25">
      <c r="A11950" t="str">
        <f t="shared" si="187"/>
        <v/>
      </c>
    </row>
    <row r="11951" spans="1:1" x14ac:dyDescent="0.25">
      <c r="A11951" t="str">
        <f t="shared" si="187"/>
        <v/>
      </c>
    </row>
    <row r="11952" spans="1:1" x14ac:dyDescent="0.25">
      <c r="A11952" t="str">
        <f t="shared" si="187"/>
        <v/>
      </c>
    </row>
    <row r="11953" spans="1:1" x14ac:dyDescent="0.25">
      <c r="A11953" t="str">
        <f t="shared" si="187"/>
        <v/>
      </c>
    </row>
    <row r="11954" spans="1:1" x14ac:dyDescent="0.25">
      <c r="A11954" t="str">
        <f t="shared" si="187"/>
        <v/>
      </c>
    </row>
    <row r="11955" spans="1:1" x14ac:dyDescent="0.25">
      <c r="A11955" t="str">
        <f t="shared" si="187"/>
        <v/>
      </c>
    </row>
    <row r="11956" spans="1:1" x14ac:dyDescent="0.25">
      <c r="A11956" t="str">
        <f t="shared" si="187"/>
        <v/>
      </c>
    </row>
    <row r="11957" spans="1:1" x14ac:dyDescent="0.25">
      <c r="A11957" t="str">
        <f t="shared" ref="A11957:A12020" si="188">B11955&amp;D11955</f>
        <v/>
      </c>
    </row>
    <row r="11958" spans="1:1" x14ac:dyDescent="0.25">
      <c r="A11958" t="str">
        <f t="shared" si="188"/>
        <v/>
      </c>
    </row>
    <row r="11959" spans="1:1" x14ac:dyDescent="0.25">
      <c r="A11959" t="str">
        <f t="shared" si="188"/>
        <v/>
      </c>
    </row>
    <row r="11960" spans="1:1" x14ac:dyDescent="0.25">
      <c r="A11960" t="str">
        <f t="shared" si="188"/>
        <v/>
      </c>
    </row>
    <row r="11961" spans="1:1" x14ac:dyDescent="0.25">
      <c r="A11961" t="str">
        <f t="shared" si="188"/>
        <v/>
      </c>
    </row>
    <row r="11962" spans="1:1" x14ac:dyDescent="0.25">
      <c r="A11962" t="str">
        <f t="shared" si="188"/>
        <v/>
      </c>
    </row>
    <row r="11963" spans="1:1" x14ac:dyDescent="0.25">
      <c r="A11963" t="str">
        <f t="shared" si="188"/>
        <v/>
      </c>
    </row>
    <row r="11964" spans="1:1" x14ac:dyDescent="0.25">
      <c r="A11964" t="str">
        <f t="shared" si="188"/>
        <v/>
      </c>
    </row>
    <row r="11965" spans="1:1" x14ac:dyDescent="0.25">
      <c r="A11965" t="str">
        <f t="shared" si="188"/>
        <v/>
      </c>
    </row>
    <row r="11966" spans="1:1" x14ac:dyDescent="0.25">
      <c r="A11966" t="str">
        <f t="shared" si="188"/>
        <v/>
      </c>
    </row>
    <row r="11967" spans="1:1" x14ac:dyDescent="0.25">
      <c r="A11967" t="str">
        <f t="shared" si="188"/>
        <v/>
      </c>
    </row>
    <row r="11968" spans="1:1" x14ac:dyDescent="0.25">
      <c r="A11968" t="str">
        <f t="shared" si="188"/>
        <v/>
      </c>
    </row>
    <row r="11969" spans="1:1" x14ac:dyDescent="0.25">
      <c r="A11969" t="str">
        <f t="shared" si="188"/>
        <v/>
      </c>
    </row>
    <row r="11970" spans="1:1" x14ac:dyDescent="0.25">
      <c r="A11970" t="str">
        <f t="shared" si="188"/>
        <v/>
      </c>
    </row>
    <row r="11971" spans="1:1" x14ac:dyDescent="0.25">
      <c r="A11971" t="str">
        <f t="shared" si="188"/>
        <v/>
      </c>
    </row>
    <row r="11972" spans="1:1" x14ac:dyDescent="0.25">
      <c r="A11972" t="str">
        <f t="shared" si="188"/>
        <v/>
      </c>
    </row>
    <row r="11973" spans="1:1" x14ac:dyDescent="0.25">
      <c r="A11973" t="str">
        <f t="shared" si="188"/>
        <v/>
      </c>
    </row>
    <row r="11974" spans="1:1" x14ac:dyDescent="0.25">
      <c r="A11974" t="str">
        <f t="shared" si="188"/>
        <v/>
      </c>
    </row>
    <row r="11975" spans="1:1" x14ac:dyDescent="0.25">
      <c r="A11975" t="str">
        <f t="shared" si="188"/>
        <v/>
      </c>
    </row>
    <row r="11976" spans="1:1" x14ac:dyDescent="0.25">
      <c r="A11976" t="str">
        <f t="shared" si="188"/>
        <v/>
      </c>
    </row>
    <row r="11977" spans="1:1" x14ac:dyDescent="0.25">
      <c r="A11977" t="str">
        <f t="shared" si="188"/>
        <v/>
      </c>
    </row>
    <row r="11978" spans="1:1" x14ac:dyDescent="0.25">
      <c r="A11978" t="str">
        <f t="shared" si="188"/>
        <v/>
      </c>
    </row>
    <row r="11979" spans="1:1" x14ac:dyDescent="0.25">
      <c r="A11979" t="str">
        <f t="shared" si="188"/>
        <v/>
      </c>
    </row>
    <row r="11980" spans="1:1" x14ac:dyDescent="0.25">
      <c r="A11980" t="str">
        <f t="shared" si="188"/>
        <v/>
      </c>
    </row>
    <row r="11981" spans="1:1" x14ac:dyDescent="0.25">
      <c r="A11981" t="str">
        <f t="shared" si="188"/>
        <v/>
      </c>
    </row>
    <row r="11982" spans="1:1" x14ac:dyDescent="0.25">
      <c r="A11982" t="str">
        <f t="shared" si="188"/>
        <v/>
      </c>
    </row>
    <row r="11983" spans="1:1" x14ac:dyDescent="0.25">
      <c r="A11983" t="str">
        <f t="shared" si="188"/>
        <v/>
      </c>
    </row>
    <row r="11984" spans="1:1" x14ac:dyDescent="0.25">
      <c r="A11984" t="str">
        <f t="shared" si="188"/>
        <v/>
      </c>
    </row>
    <row r="11985" spans="1:1" x14ac:dyDescent="0.25">
      <c r="A11985" t="str">
        <f t="shared" si="188"/>
        <v/>
      </c>
    </row>
    <row r="11986" spans="1:1" x14ac:dyDescent="0.25">
      <c r="A11986" t="str">
        <f t="shared" si="188"/>
        <v/>
      </c>
    </row>
    <row r="11987" spans="1:1" x14ac:dyDescent="0.25">
      <c r="A11987" t="str">
        <f t="shared" si="188"/>
        <v/>
      </c>
    </row>
    <row r="11988" spans="1:1" x14ac:dyDescent="0.25">
      <c r="A11988" t="str">
        <f t="shared" si="188"/>
        <v/>
      </c>
    </row>
    <row r="11989" spans="1:1" x14ac:dyDescent="0.25">
      <c r="A11989" t="str">
        <f t="shared" si="188"/>
        <v/>
      </c>
    </row>
    <row r="11990" spans="1:1" x14ac:dyDescent="0.25">
      <c r="A11990" t="str">
        <f t="shared" si="188"/>
        <v/>
      </c>
    </row>
    <row r="11991" spans="1:1" x14ac:dyDescent="0.25">
      <c r="A11991" t="str">
        <f t="shared" si="188"/>
        <v/>
      </c>
    </row>
    <row r="11992" spans="1:1" x14ac:dyDescent="0.25">
      <c r="A11992" t="str">
        <f t="shared" si="188"/>
        <v/>
      </c>
    </row>
    <row r="11993" spans="1:1" x14ac:dyDescent="0.25">
      <c r="A11993" t="str">
        <f t="shared" si="188"/>
        <v/>
      </c>
    </row>
    <row r="11994" spans="1:1" x14ac:dyDescent="0.25">
      <c r="A11994" t="str">
        <f t="shared" si="188"/>
        <v/>
      </c>
    </row>
    <row r="11995" spans="1:1" x14ac:dyDescent="0.25">
      <c r="A11995" t="str">
        <f t="shared" si="188"/>
        <v/>
      </c>
    </row>
    <row r="11996" spans="1:1" x14ac:dyDescent="0.25">
      <c r="A11996" t="str">
        <f t="shared" si="188"/>
        <v/>
      </c>
    </row>
    <row r="11997" spans="1:1" x14ac:dyDescent="0.25">
      <c r="A11997" t="str">
        <f t="shared" si="188"/>
        <v/>
      </c>
    </row>
    <row r="11998" spans="1:1" x14ac:dyDescent="0.25">
      <c r="A11998" t="str">
        <f t="shared" si="188"/>
        <v/>
      </c>
    </row>
    <row r="11999" spans="1:1" x14ac:dyDescent="0.25">
      <c r="A11999" t="str">
        <f t="shared" si="188"/>
        <v/>
      </c>
    </row>
    <row r="12000" spans="1:1" x14ac:dyDescent="0.25">
      <c r="A12000" t="str">
        <f t="shared" si="188"/>
        <v/>
      </c>
    </row>
    <row r="12001" spans="1:1" x14ac:dyDescent="0.25">
      <c r="A12001" t="str">
        <f t="shared" si="188"/>
        <v/>
      </c>
    </row>
    <row r="12002" spans="1:1" x14ac:dyDescent="0.25">
      <c r="A12002" t="str">
        <f t="shared" si="188"/>
        <v/>
      </c>
    </row>
    <row r="12003" spans="1:1" x14ac:dyDescent="0.25">
      <c r="A12003" t="str">
        <f t="shared" si="188"/>
        <v/>
      </c>
    </row>
    <row r="12004" spans="1:1" x14ac:dyDescent="0.25">
      <c r="A12004" t="str">
        <f t="shared" si="188"/>
        <v/>
      </c>
    </row>
    <row r="12005" spans="1:1" x14ac:dyDescent="0.25">
      <c r="A12005" t="str">
        <f t="shared" si="188"/>
        <v/>
      </c>
    </row>
    <row r="12006" spans="1:1" x14ac:dyDescent="0.25">
      <c r="A12006" t="str">
        <f t="shared" si="188"/>
        <v/>
      </c>
    </row>
    <row r="12007" spans="1:1" x14ac:dyDescent="0.25">
      <c r="A12007" t="str">
        <f t="shared" si="188"/>
        <v/>
      </c>
    </row>
    <row r="12008" spans="1:1" x14ac:dyDescent="0.25">
      <c r="A12008" t="str">
        <f t="shared" si="188"/>
        <v/>
      </c>
    </row>
    <row r="12009" spans="1:1" x14ac:dyDescent="0.25">
      <c r="A12009" t="str">
        <f t="shared" si="188"/>
        <v/>
      </c>
    </row>
    <row r="12010" spans="1:1" x14ac:dyDescent="0.25">
      <c r="A12010" t="str">
        <f t="shared" si="188"/>
        <v/>
      </c>
    </row>
    <row r="12011" spans="1:1" x14ac:dyDescent="0.25">
      <c r="A12011" t="str">
        <f t="shared" si="188"/>
        <v/>
      </c>
    </row>
    <row r="12012" spans="1:1" x14ac:dyDescent="0.25">
      <c r="A12012" t="str">
        <f t="shared" si="188"/>
        <v/>
      </c>
    </row>
    <row r="12013" spans="1:1" x14ac:dyDescent="0.25">
      <c r="A12013" t="str">
        <f t="shared" si="188"/>
        <v/>
      </c>
    </row>
    <row r="12014" spans="1:1" x14ac:dyDescent="0.25">
      <c r="A12014" t="str">
        <f t="shared" si="188"/>
        <v/>
      </c>
    </row>
    <row r="12015" spans="1:1" x14ac:dyDescent="0.25">
      <c r="A12015" t="str">
        <f t="shared" si="188"/>
        <v/>
      </c>
    </row>
    <row r="12016" spans="1:1" x14ac:dyDescent="0.25">
      <c r="A12016" t="str">
        <f t="shared" si="188"/>
        <v/>
      </c>
    </row>
    <row r="12017" spans="1:1" x14ac:dyDescent="0.25">
      <c r="A12017" t="str">
        <f t="shared" si="188"/>
        <v/>
      </c>
    </row>
    <row r="12018" spans="1:1" x14ac:dyDescent="0.25">
      <c r="A12018" t="str">
        <f t="shared" si="188"/>
        <v/>
      </c>
    </row>
    <row r="12019" spans="1:1" x14ac:dyDescent="0.25">
      <c r="A12019" t="str">
        <f t="shared" si="188"/>
        <v/>
      </c>
    </row>
    <row r="12020" spans="1:1" x14ac:dyDescent="0.25">
      <c r="A12020" t="str">
        <f t="shared" si="188"/>
        <v/>
      </c>
    </row>
    <row r="12021" spans="1:1" x14ac:dyDescent="0.25">
      <c r="A12021" t="str">
        <f t="shared" ref="A12021:A12084" si="189">B12019&amp;D12019</f>
        <v/>
      </c>
    </row>
    <row r="12022" spans="1:1" x14ac:dyDescent="0.25">
      <c r="A12022" t="str">
        <f t="shared" si="189"/>
        <v/>
      </c>
    </row>
    <row r="12023" spans="1:1" x14ac:dyDescent="0.25">
      <c r="A12023" t="str">
        <f t="shared" si="189"/>
        <v/>
      </c>
    </row>
    <row r="12024" spans="1:1" x14ac:dyDescent="0.25">
      <c r="A12024" t="str">
        <f t="shared" si="189"/>
        <v/>
      </c>
    </row>
    <row r="12025" spans="1:1" x14ac:dyDescent="0.25">
      <c r="A12025" t="str">
        <f t="shared" si="189"/>
        <v/>
      </c>
    </row>
    <row r="12026" spans="1:1" x14ac:dyDescent="0.25">
      <c r="A12026" t="str">
        <f t="shared" si="189"/>
        <v/>
      </c>
    </row>
    <row r="12027" spans="1:1" x14ac:dyDescent="0.25">
      <c r="A12027" t="str">
        <f t="shared" si="189"/>
        <v/>
      </c>
    </row>
    <row r="12028" spans="1:1" x14ac:dyDescent="0.25">
      <c r="A12028" t="str">
        <f t="shared" si="189"/>
        <v/>
      </c>
    </row>
    <row r="12029" spans="1:1" x14ac:dyDescent="0.25">
      <c r="A12029" t="str">
        <f t="shared" si="189"/>
        <v/>
      </c>
    </row>
    <row r="12030" spans="1:1" x14ac:dyDescent="0.25">
      <c r="A12030" t="str">
        <f t="shared" si="189"/>
        <v/>
      </c>
    </row>
    <row r="12031" spans="1:1" x14ac:dyDescent="0.25">
      <c r="A12031" t="str">
        <f t="shared" si="189"/>
        <v/>
      </c>
    </row>
    <row r="12032" spans="1:1" x14ac:dyDescent="0.25">
      <c r="A12032" t="str">
        <f t="shared" si="189"/>
        <v/>
      </c>
    </row>
    <row r="12033" spans="1:1" x14ac:dyDescent="0.25">
      <c r="A12033" t="str">
        <f t="shared" si="189"/>
        <v/>
      </c>
    </row>
    <row r="12034" spans="1:1" x14ac:dyDescent="0.25">
      <c r="A12034" t="str">
        <f t="shared" si="189"/>
        <v/>
      </c>
    </row>
    <row r="12035" spans="1:1" x14ac:dyDescent="0.25">
      <c r="A12035" t="str">
        <f t="shared" si="189"/>
        <v/>
      </c>
    </row>
    <row r="12036" spans="1:1" x14ac:dyDescent="0.25">
      <c r="A12036" t="str">
        <f t="shared" si="189"/>
        <v/>
      </c>
    </row>
    <row r="12037" spans="1:1" x14ac:dyDescent="0.25">
      <c r="A12037" t="str">
        <f t="shared" si="189"/>
        <v/>
      </c>
    </row>
    <row r="12038" spans="1:1" x14ac:dyDescent="0.25">
      <c r="A12038" t="str">
        <f t="shared" si="189"/>
        <v/>
      </c>
    </row>
    <row r="12039" spans="1:1" x14ac:dyDescent="0.25">
      <c r="A12039" t="str">
        <f t="shared" si="189"/>
        <v/>
      </c>
    </row>
    <row r="12040" spans="1:1" x14ac:dyDescent="0.25">
      <c r="A12040" t="str">
        <f t="shared" si="189"/>
        <v/>
      </c>
    </row>
    <row r="12041" spans="1:1" x14ac:dyDescent="0.25">
      <c r="A12041" t="str">
        <f t="shared" si="189"/>
        <v/>
      </c>
    </row>
    <row r="12042" spans="1:1" x14ac:dyDescent="0.25">
      <c r="A12042" t="str">
        <f t="shared" si="189"/>
        <v/>
      </c>
    </row>
    <row r="12043" spans="1:1" x14ac:dyDescent="0.25">
      <c r="A12043" t="str">
        <f t="shared" si="189"/>
        <v/>
      </c>
    </row>
    <row r="12044" spans="1:1" x14ac:dyDescent="0.25">
      <c r="A12044" t="str">
        <f t="shared" si="189"/>
        <v/>
      </c>
    </row>
    <row r="12045" spans="1:1" x14ac:dyDescent="0.25">
      <c r="A12045" t="str">
        <f t="shared" si="189"/>
        <v/>
      </c>
    </row>
    <row r="12046" spans="1:1" x14ac:dyDescent="0.25">
      <c r="A12046" t="str">
        <f t="shared" si="189"/>
        <v/>
      </c>
    </row>
    <row r="12047" spans="1:1" x14ac:dyDescent="0.25">
      <c r="A12047" t="str">
        <f t="shared" si="189"/>
        <v/>
      </c>
    </row>
    <row r="12048" spans="1:1" x14ac:dyDescent="0.25">
      <c r="A12048" t="str">
        <f t="shared" si="189"/>
        <v/>
      </c>
    </row>
    <row r="12049" spans="1:1" x14ac:dyDescent="0.25">
      <c r="A12049" t="str">
        <f t="shared" si="189"/>
        <v/>
      </c>
    </row>
    <row r="12050" spans="1:1" x14ac:dyDescent="0.25">
      <c r="A12050" t="str">
        <f t="shared" si="189"/>
        <v/>
      </c>
    </row>
    <row r="12051" spans="1:1" x14ac:dyDescent="0.25">
      <c r="A12051" t="str">
        <f t="shared" si="189"/>
        <v/>
      </c>
    </row>
    <row r="12052" spans="1:1" x14ac:dyDescent="0.25">
      <c r="A12052" t="str">
        <f t="shared" si="189"/>
        <v/>
      </c>
    </row>
    <row r="12053" spans="1:1" x14ac:dyDescent="0.25">
      <c r="A12053" t="str">
        <f t="shared" si="189"/>
        <v/>
      </c>
    </row>
    <row r="12054" spans="1:1" x14ac:dyDescent="0.25">
      <c r="A12054" t="str">
        <f t="shared" si="189"/>
        <v/>
      </c>
    </row>
    <row r="12055" spans="1:1" x14ac:dyDescent="0.25">
      <c r="A12055" t="str">
        <f t="shared" si="189"/>
        <v/>
      </c>
    </row>
    <row r="12056" spans="1:1" x14ac:dyDescent="0.25">
      <c r="A12056" t="str">
        <f t="shared" si="189"/>
        <v/>
      </c>
    </row>
    <row r="12057" spans="1:1" x14ac:dyDescent="0.25">
      <c r="A12057" t="str">
        <f t="shared" si="189"/>
        <v/>
      </c>
    </row>
    <row r="12058" spans="1:1" x14ac:dyDescent="0.25">
      <c r="A12058" t="str">
        <f t="shared" si="189"/>
        <v/>
      </c>
    </row>
    <row r="12059" spans="1:1" x14ac:dyDescent="0.25">
      <c r="A12059" t="str">
        <f t="shared" si="189"/>
        <v/>
      </c>
    </row>
    <row r="12060" spans="1:1" x14ac:dyDescent="0.25">
      <c r="A12060" t="str">
        <f t="shared" si="189"/>
        <v/>
      </c>
    </row>
    <row r="12061" spans="1:1" x14ac:dyDescent="0.25">
      <c r="A12061" t="str">
        <f t="shared" si="189"/>
        <v/>
      </c>
    </row>
    <row r="12062" spans="1:1" x14ac:dyDescent="0.25">
      <c r="A12062" t="str">
        <f t="shared" si="189"/>
        <v/>
      </c>
    </row>
    <row r="12063" spans="1:1" x14ac:dyDescent="0.25">
      <c r="A12063" t="str">
        <f t="shared" si="189"/>
        <v/>
      </c>
    </row>
    <row r="12064" spans="1:1" x14ac:dyDescent="0.25">
      <c r="A12064" t="str">
        <f t="shared" si="189"/>
        <v/>
      </c>
    </row>
    <row r="12065" spans="1:1" x14ac:dyDescent="0.25">
      <c r="A12065" t="str">
        <f t="shared" si="189"/>
        <v/>
      </c>
    </row>
    <row r="12066" spans="1:1" x14ac:dyDescent="0.25">
      <c r="A12066" t="str">
        <f t="shared" si="189"/>
        <v/>
      </c>
    </row>
    <row r="12067" spans="1:1" x14ac:dyDescent="0.25">
      <c r="A12067" t="str">
        <f t="shared" si="189"/>
        <v/>
      </c>
    </row>
    <row r="12068" spans="1:1" x14ac:dyDescent="0.25">
      <c r="A12068" t="str">
        <f t="shared" si="189"/>
        <v/>
      </c>
    </row>
    <row r="12069" spans="1:1" x14ac:dyDescent="0.25">
      <c r="A12069" t="str">
        <f t="shared" si="189"/>
        <v/>
      </c>
    </row>
    <row r="12070" spans="1:1" x14ac:dyDescent="0.25">
      <c r="A12070" t="str">
        <f t="shared" si="189"/>
        <v/>
      </c>
    </row>
    <row r="12071" spans="1:1" x14ac:dyDescent="0.25">
      <c r="A12071" t="str">
        <f t="shared" si="189"/>
        <v/>
      </c>
    </row>
    <row r="12072" spans="1:1" x14ac:dyDescent="0.25">
      <c r="A12072" t="str">
        <f t="shared" si="189"/>
        <v/>
      </c>
    </row>
    <row r="12073" spans="1:1" x14ac:dyDescent="0.25">
      <c r="A12073" t="str">
        <f t="shared" si="189"/>
        <v/>
      </c>
    </row>
    <row r="12074" spans="1:1" x14ac:dyDescent="0.25">
      <c r="A12074" t="str">
        <f t="shared" si="189"/>
        <v/>
      </c>
    </row>
    <row r="12075" spans="1:1" x14ac:dyDescent="0.25">
      <c r="A12075" t="str">
        <f t="shared" si="189"/>
        <v/>
      </c>
    </row>
    <row r="12076" spans="1:1" x14ac:dyDescent="0.25">
      <c r="A12076" t="str">
        <f t="shared" si="189"/>
        <v/>
      </c>
    </row>
    <row r="12077" spans="1:1" x14ac:dyDescent="0.25">
      <c r="A12077" t="str">
        <f t="shared" si="189"/>
        <v/>
      </c>
    </row>
    <row r="12078" spans="1:1" x14ac:dyDescent="0.25">
      <c r="A12078" t="str">
        <f t="shared" si="189"/>
        <v/>
      </c>
    </row>
    <row r="12079" spans="1:1" x14ac:dyDescent="0.25">
      <c r="A12079" t="str">
        <f t="shared" si="189"/>
        <v/>
      </c>
    </row>
    <row r="12080" spans="1:1" x14ac:dyDescent="0.25">
      <c r="A12080" t="str">
        <f t="shared" si="189"/>
        <v/>
      </c>
    </row>
    <row r="12081" spans="1:1" x14ac:dyDescent="0.25">
      <c r="A12081" t="str">
        <f t="shared" si="189"/>
        <v/>
      </c>
    </row>
    <row r="12082" spans="1:1" x14ac:dyDescent="0.25">
      <c r="A12082" t="str">
        <f t="shared" si="189"/>
        <v/>
      </c>
    </row>
    <row r="12083" spans="1:1" x14ac:dyDescent="0.25">
      <c r="A12083" t="str">
        <f t="shared" si="189"/>
        <v/>
      </c>
    </row>
    <row r="12084" spans="1:1" x14ac:dyDescent="0.25">
      <c r="A12084" t="str">
        <f t="shared" si="189"/>
        <v/>
      </c>
    </row>
    <row r="12085" spans="1:1" x14ac:dyDescent="0.25">
      <c r="A12085" t="str">
        <f t="shared" ref="A12085:A12148" si="190">B12083&amp;D12083</f>
        <v/>
      </c>
    </row>
    <row r="12086" spans="1:1" x14ac:dyDescent="0.25">
      <c r="A12086" t="str">
        <f t="shared" si="190"/>
        <v/>
      </c>
    </row>
    <row r="12087" spans="1:1" x14ac:dyDescent="0.25">
      <c r="A12087" t="str">
        <f t="shared" si="190"/>
        <v/>
      </c>
    </row>
    <row r="12088" spans="1:1" x14ac:dyDescent="0.25">
      <c r="A12088" t="str">
        <f t="shared" si="190"/>
        <v/>
      </c>
    </row>
    <row r="12089" spans="1:1" x14ac:dyDescent="0.25">
      <c r="A12089" t="str">
        <f t="shared" si="190"/>
        <v/>
      </c>
    </row>
    <row r="12090" spans="1:1" x14ac:dyDescent="0.25">
      <c r="A12090" t="str">
        <f t="shared" si="190"/>
        <v/>
      </c>
    </row>
    <row r="12091" spans="1:1" x14ac:dyDescent="0.25">
      <c r="A12091" t="str">
        <f t="shared" si="190"/>
        <v/>
      </c>
    </row>
    <row r="12092" spans="1:1" x14ac:dyDescent="0.25">
      <c r="A12092" t="str">
        <f t="shared" si="190"/>
        <v/>
      </c>
    </row>
    <row r="12093" spans="1:1" x14ac:dyDescent="0.25">
      <c r="A12093" t="str">
        <f t="shared" si="190"/>
        <v/>
      </c>
    </row>
    <row r="12094" spans="1:1" x14ac:dyDescent="0.25">
      <c r="A12094" t="str">
        <f t="shared" si="190"/>
        <v/>
      </c>
    </row>
    <row r="12095" spans="1:1" x14ac:dyDescent="0.25">
      <c r="A12095" t="str">
        <f t="shared" si="190"/>
        <v/>
      </c>
    </row>
    <row r="12096" spans="1:1" x14ac:dyDescent="0.25">
      <c r="A12096" t="str">
        <f t="shared" si="190"/>
        <v/>
      </c>
    </row>
    <row r="12097" spans="1:1" x14ac:dyDescent="0.25">
      <c r="A12097" t="str">
        <f t="shared" si="190"/>
        <v/>
      </c>
    </row>
    <row r="12098" spans="1:1" x14ac:dyDescent="0.25">
      <c r="A12098" t="str">
        <f t="shared" si="190"/>
        <v/>
      </c>
    </row>
    <row r="12099" spans="1:1" x14ac:dyDescent="0.25">
      <c r="A12099" t="str">
        <f t="shared" si="190"/>
        <v/>
      </c>
    </row>
    <row r="12100" spans="1:1" x14ac:dyDescent="0.25">
      <c r="A12100" t="str">
        <f t="shared" si="190"/>
        <v/>
      </c>
    </row>
    <row r="12101" spans="1:1" x14ac:dyDescent="0.25">
      <c r="A12101" t="str">
        <f t="shared" si="190"/>
        <v/>
      </c>
    </row>
    <row r="12102" spans="1:1" x14ac:dyDescent="0.25">
      <c r="A12102" t="str">
        <f t="shared" si="190"/>
        <v/>
      </c>
    </row>
    <row r="12103" spans="1:1" x14ac:dyDescent="0.25">
      <c r="A12103" t="str">
        <f t="shared" si="190"/>
        <v/>
      </c>
    </row>
    <row r="12104" spans="1:1" x14ac:dyDescent="0.25">
      <c r="A12104" t="str">
        <f t="shared" si="190"/>
        <v/>
      </c>
    </row>
    <row r="12105" spans="1:1" x14ac:dyDescent="0.25">
      <c r="A12105" t="str">
        <f t="shared" si="190"/>
        <v/>
      </c>
    </row>
    <row r="12106" spans="1:1" x14ac:dyDescent="0.25">
      <c r="A12106" t="str">
        <f t="shared" si="190"/>
        <v/>
      </c>
    </row>
    <row r="12107" spans="1:1" x14ac:dyDescent="0.25">
      <c r="A12107" t="str">
        <f t="shared" si="190"/>
        <v/>
      </c>
    </row>
    <row r="12108" spans="1:1" x14ac:dyDescent="0.25">
      <c r="A12108" t="str">
        <f t="shared" si="190"/>
        <v/>
      </c>
    </row>
    <row r="12109" spans="1:1" x14ac:dyDescent="0.25">
      <c r="A12109" t="str">
        <f t="shared" si="190"/>
        <v/>
      </c>
    </row>
    <row r="12110" spans="1:1" x14ac:dyDescent="0.25">
      <c r="A12110" t="str">
        <f t="shared" si="190"/>
        <v/>
      </c>
    </row>
    <row r="12111" spans="1:1" x14ac:dyDescent="0.25">
      <c r="A12111" t="str">
        <f t="shared" si="190"/>
        <v/>
      </c>
    </row>
    <row r="12112" spans="1:1" x14ac:dyDescent="0.25">
      <c r="A12112" t="str">
        <f t="shared" si="190"/>
        <v/>
      </c>
    </row>
    <row r="12113" spans="1:1" x14ac:dyDescent="0.25">
      <c r="A12113" t="str">
        <f t="shared" si="190"/>
        <v/>
      </c>
    </row>
    <row r="12114" spans="1:1" x14ac:dyDescent="0.25">
      <c r="A12114" t="str">
        <f t="shared" si="190"/>
        <v/>
      </c>
    </row>
    <row r="12115" spans="1:1" x14ac:dyDescent="0.25">
      <c r="A12115" t="str">
        <f t="shared" si="190"/>
        <v/>
      </c>
    </row>
    <row r="12116" spans="1:1" x14ac:dyDescent="0.25">
      <c r="A12116" t="str">
        <f t="shared" si="190"/>
        <v/>
      </c>
    </row>
    <row r="12117" spans="1:1" x14ac:dyDescent="0.25">
      <c r="A12117" t="str">
        <f t="shared" si="190"/>
        <v/>
      </c>
    </row>
    <row r="12118" spans="1:1" x14ac:dyDescent="0.25">
      <c r="A12118" t="str">
        <f t="shared" si="190"/>
        <v/>
      </c>
    </row>
    <row r="12119" spans="1:1" x14ac:dyDescent="0.25">
      <c r="A12119" t="str">
        <f t="shared" si="190"/>
        <v/>
      </c>
    </row>
    <row r="12120" spans="1:1" x14ac:dyDescent="0.25">
      <c r="A12120" t="str">
        <f t="shared" si="190"/>
        <v/>
      </c>
    </row>
    <row r="12121" spans="1:1" x14ac:dyDescent="0.25">
      <c r="A12121" t="str">
        <f t="shared" si="190"/>
        <v/>
      </c>
    </row>
    <row r="12122" spans="1:1" x14ac:dyDescent="0.25">
      <c r="A12122" t="str">
        <f t="shared" si="190"/>
        <v/>
      </c>
    </row>
    <row r="12123" spans="1:1" x14ac:dyDescent="0.25">
      <c r="A12123" t="str">
        <f t="shared" si="190"/>
        <v/>
      </c>
    </row>
    <row r="12124" spans="1:1" x14ac:dyDescent="0.25">
      <c r="A12124" t="str">
        <f t="shared" si="190"/>
        <v/>
      </c>
    </row>
    <row r="12125" spans="1:1" x14ac:dyDescent="0.25">
      <c r="A12125" t="str">
        <f t="shared" si="190"/>
        <v/>
      </c>
    </row>
    <row r="12126" spans="1:1" x14ac:dyDescent="0.25">
      <c r="A12126" t="str">
        <f t="shared" si="190"/>
        <v/>
      </c>
    </row>
    <row r="12127" spans="1:1" x14ac:dyDescent="0.25">
      <c r="A12127" t="str">
        <f t="shared" si="190"/>
        <v/>
      </c>
    </row>
    <row r="12128" spans="1:1" x14ac:dyDescent="0.25">
      <c r="A12128" t="str">
        <f t="shared" si="190"/>
        <v/>
      </c>
    </row>
    <row r="12129" spans="1:1" x14ac:dyDescent="0.25">
      <c r="A12129" t="str">
        <f t="shared" si="190"/>
        <v/>
      </c>
    </row>
    <row r="12130" spans="1:1" x14ac:dyDescent="0.25">
      <c r="A12130" t="str">
        <f t="shared" si="190"/>
        <v/>
      </c>
    </row>
    <row r="12131" spans="1:1" x14ac:dyDescent="0.25">
      <c r="A12131" t="str">
        <f t="shared" si="190"/>
        <v/>
      </c>
    </row>
    <row r="12132" spans="1:1" x14ac:dyDescent="0.25">
      <c r="A12132" t="str">
        <f t="shared" si="190"/>
        <v/>
      </c>
    </row>
    <row r="12133" spans="1:1" x14ac:dyDescent="0.25">
      <c r="A12133" t="str">
        <f t="shared" si="190"/>
        <v/>
      </c>
    </row>
    <row r="12134" spans="1:1" x14ac:dyDescent="0.25">
      <c r="A12134" t="str">
        <f t="shared" si="190"/>
        <v/>
      </c>
    </row>
    <row r="12135" spans="1:1" x14ac:dyDescent="0.25">
      <c r="A12135" t="str">
        <f t="shared" si="190"/>
        <v/>
      </c>
    </row>
    <row r="12136" spans="1:1" x14ac:dyDescent="0.25">
      <c r="A12136" t="str">
        <f t="shared" si="190"/>
        <v/>
      </c>
    </row>
    <row r="12137" spans="1:1" x14ac:dyDescent="0.25">
      <c r="A12137" t="str">
        <f t="shared" si="190"/>
        <v/>
      </c>
    </row>
    <row r="12138" spans="1:1" x14ac:dyDescent="0.25">
      <c r="A12138" t="str">
        <f t="shared" si="190"/>
        <v/>
      </c>
    </row>
    <row r="12139" spans="1:1" x14ac:dyDescent="0.25">
      <c r="A12139" t="str">
        <f t="shared" si="190"/>
        <v/>
      </c>
    </row>
    <row r="12140" spans="1:1" x14ac:dyDescent="0.25">
      <c r="A12140" t="str">
        <f t="shared" si="190"/>
        <v/>
      </c>
    </row>
    <row r="12141" spans="1:1" x14ac:dyDescent="0.25">
      <c r="A12141" t="str">
        <f t="shared" si="190"/>
        <v/>
      </c>
    </row>
    <row r="12142" spans="1:1" x14ac:dyDescent="0.25">
      <c r="A12142" t="str">
        <f t="shared" si="190"/>
        <v/>
      </c>
    </row>
    <row r="12143" spans="1:1" x14ac:dyDescent="0.25">
      <c r="A12143" t="str">
        <f t="shared" si="190"/>
        <v/>
      </c>
    </row>
    <row r="12144" spans="1:1" x14ac:dyDescent="0.25">
      <c r="A12144" t="str">
        <f t="shared" si="190"/>
        <v/>
      </c>
    </row>
    <row r="12145" spans="1:1" x14ac:dyDescent="0.25">
      <c r="A12145" t="str">
        <f t="shared" si="190"/>
        <v/>
      </c>
    </row>
    <row r="12146" spans="1:1" x14ac:dyDescent="0.25">
      <c r="A12146" t="str">
        <f t="shared" si="190"/>
        <v/>
      </c>
    </row>
    <row r="12147" spans="1:1" x14ac:dyDescent="0.25">
      <c r="A12147" t="str">
        <f t="shared" si="190"/>
        <v/>
      </c>
    </row>
    <row r="12148" spans="1:1" x14ac:dyDescent="0.25">
      <c r="A12148" t="str">
        <f t="shared" si="190"/>
        <v/>
      </c>
    </row>
    <row r="12149" spans="1:1" x14ac:dyDescent="0.25">
      <c r="A12149" t="str">
        <f t="shared" ref="A12149:A12212" si="191">B12147&amp;D12147</f>
        <v/>
      </c>
    </row>
    <row r="12150" spans="1:1" x14ac:dyDescent="0.25">
      <c r="A12150" t="str">
        <f t="shared" si="191"/>
        <v/>
      </c>
    </row>
    <row r="12151" spans="1:1" x14ac:dyDescent="0.25">
      <c r="A12151" t="str">
        <f t="shared" si="191"/>
        <v/>
      </c>
    </row>
    <row r="12152" spans="1:1" x14ac:dyDescent="0.25">
      <c r="A12152" t="str">
        <f t="shared" si="191"/>
        <v/>
      </c>
    </row>
    <row r="12153" spans="1:1" x14ac:dyDescent="0.25">
      <c r="A12153" t="str">
        <f t="shared" si="191"/>
        <v/>
      </c>
    </row>
    <row r="12154" spans="1:1" x14ac:dyDescent="0.25">
      <c r="A12154" t="str">
        <f t="shared" si="191"/>
        <v/>
      </c>
    </row>
    <row r="12155" spans="1:1" x14ac:dyDescent="0.25">
      <c r="A12155" t="str">
        <f t="shared" si="191"/>
        <v/>
      </c>
    </row>
    <row r="12156" spans="1:1" x14ac:dyDescent="0.25">
      <c r="A12156" t="str">
        <f t="shared" si="191"/>
        <v/>
      </c>
    </row>
    <row r="12157" spans="1:1" x14ac:dyDescent="0.25">
      <c r="A12157" t="str">
        <f t="shared" si="191"/>
        <v/>
      </c>
    </row>
    <row r="12158" spans="1:1" x14ac:dyDescent="0.25">
      <c r="A12158" t="str">
        <f t="shared" si="191"/>
        <v/>
      </c>
    </row>
    <row r="12159" spans="1:1" x14ac:dyDescent="0.25">
      <c r="A12159" t="str">
        <f t="shared" si="191"/>
        <v/>
      </c>
    </row>
    <row r="12160" spans="1:1" x14ac:dyDescent="0.25">
      <c r="A12160" t="str">
        <f t="shared" si="191"/>
        <v/>
      </c>
    </row>
    <row r="12161" spans="1:1" x14ac:dyDescent="0.25">
      <c r="A12161" t="str">
        <f t="shared" si="191"/>
        <v/>
      </c>
    </row>
    <row r="12162" spans="1:1" x14ac:dyDescent="0.25">
      <c r="A12162" t="str">
        <f t="shared" si="191"/>
        <v/>
      </c>
    </row>
    <row r="12163" spans="1:1" x14ac:dyDescent="0.25">
      <c r="A12163" t="str">
        <f t="shared" si="191"/>
        <v/>
      </c>
    </row>
    <row r="12164" spans="1:1" x14ac:dyDescent="0.25">
      <c r="A12164" t="str">
        <f t="shared" si="191"/>
        <v/>
      </c>
    </row>
    <row r="12165" spans="1:1" x14ac:dyDescent="0.25">
      <c r="A12165" t="str">
        <f t="shared" si="191"/>
        <v/>
      </c>
    </row>
    <row r="12166" spans="1:1" x14ac:dyDescent="0.25">
      <c r="A12166" t="str">
        <f t="shared" si="191"/>
        <v/>
      </c>
    </row>
    <row r="12167" spans="1:1" x14ac:dyDescent="0.25">
      <c r="A12167" t="str">
        <f t="shared" si="191"/>
        <v/>
      </c>
    </row>
    <row r="12168" spans="1:1" x14ac:dyDescent="0.25">
      <c r="A12168" t="str">
        <f t="shared" si="191"/>
        <v/>
      </c>
    </row>
    <row r="12169" spans="1:1" x14ac:dyDescent="0.25">
      <c r="A12169" t="str">
        <f t="shared" si="191"/>
        <v/>
      </c>
    </row>
    <row r="12170" spans="1:1" x14ac:dyDescent="0.25">
      <c r="A12170" t="str">
        <f t="shared" si="191"/>
        <v/>
      </c>
    </row>
    <row r="12171" spans="1:1" x14ac:dyDescent="0.25">
      <c r="A12171" t="str">
        <f t="shared" si="191"/>
        <v/>
      </c>
    </row>
    <row r="12172" spans="1:1" x14ac:dyDescent="0.25">
      <c r="A12172" t="str">
        <f t="shared" si="191"/>
        <v/>
      </c>
    </row>
    <row r="12173" spans="1:1" x14ac:dyDescent="0.25">
      <c r="A12173" t="str">
        <f t="shared" si="191"/>
        <v/>
      </c>
    </row>
    <row r="12174" spans="1:1" x14ac:dyDescent="0.25">
      <c r="A12174" t="str">
        <f t="shared" si="191"/>
        <v/>
      </c>
    </row>
    <row r="12175" spans="1:1" x14ac:dyDescent="0.25">
      <c r="A12175" t="str">
        <f t="shared" si="191"/>
        <v/>
      </c>
    </row>
    <row r="12176" spans="1:1" x14ac:dyDescent="0.25">
      <c r="A12176" t="str">
        <f t="shared" si="191"/>
        <v/>
      </c>
    </row>
    <row r="12177" spans="1:1" x14ac:dyDescent="0.25">
      <c r="A12177" t="str">
        <f t="shared" si="191"/>
        <v/>
      </c>
    </row>
    <row r="12178" spans="1:1" x14ac:dyDescent="0.25">
      <c r="A12178" t="str">
        <f t="shared" si="191"/>
        <v/>
      </c>
    </row>
    <row r="12179" spans="1:1" x14ac:dyDescent="0.25">
      <c r="A12179" t="str">
        <f t="shared" si="191"/>
        <v/>
      </c>
    </row>
    <row r="12180" spans="1:1" x14ac:dyDescent="0.25">
      <c r="A12180" t="str">
        <f t="shared" si="191"/>
        <v/>
      </c>
    </row>
    <row r="12181" spans="1:1" x14ac:dyDescent="0.25">
      <c r="A12181" t="str">
        <f t="shared" si="191"/>
        <v/>
      </c>
    </row>
    <row r="12182" spans="1:1" x14ac:dyDescent="0.25">
      <c r="A12182" t="str">
        <f t="shared" si="191"/>
        <v/>
      </c>
    </row>
    <row r="12183" spans="1:1" x14ac:dyDescent="0.25">
      <c r="A12183" t="str">
        <f t="shared" si="191"/>
        <v/>
      </c>
    </row>
    <row r="12184" spans="1:1" x14ac:dyDescent="0.25">
      <c r="A12184" t="str">
        <f t="shared" si="191"/>
        <v/>
      </c>
    </row>
    <row r="12185" spans="1:1" x14ac:dyDescent="0.25">
      <c r="A12185" t="str">
        <f t="shared" si="191"/>
        <v/>
      </c>
    </row>
    <row r="12186" spans="1:1" x14ac:dyDescent="0.25">
      <c r="A12186" t="str">
        <f t="shared" si="191"/>
        <v/>
      </c>
    </row>
    <row r="12187" spans="1:1" x14ac:dyDescent="0.25">
      <c r="A12187" t="str">
        <f t="shared" si="191"/>
        <v/>
      </c>
    </row>
    <row r="12188" spans="1:1" x14ac:dyDescent="0.25">
      <c r="A12188" t="str">
        <f t="shared" si="191"/>
        <v/>
      </c>
    </row>
    <row r="12189" spans="1:1" x14ac:dyDescent="0.25">
      <c r="A12189" t="str">
        <f t="shared" si="191"/>
        <v/>
      </c>
    </row>
    <row r="12190" spans="1:1" x14ac:dyDescent="0.25">
      <c r="A12190" t="str">
        <f t="shared" si="191"/>
        <v/>
      </c>
    </row>
    <row r="12191" spans="1:1" x14ac:dyDescent="0.25">
      <c r="A12191" t="str">
        <f t="shared" si="191"/>
        <v/>
      </c>
    </row>
    <row r="12192" spans="1:1" x14ac:dyDescent="0.25">
      <c r="A12192" t="str">
        <f t="shared" si="191"/>
        <v/>
      </c>
    </row>
    <row r="12193" spans="1:1" x14ac:dyDescent="0.25">
      <c r="A12193" t="str">
        <f t="shared" si="191"/>
        <v/>
      </c>
    </row>
    <row r="12194" spans="1:1" x14ac:dyDescent="0.25">
      <c r="A12194" t="str">
        <f t="shared" si="191"/>
        <v/>
      </c>
    </row>
    <row r="12195" spans="1:1" x14ac:dyDescent="0.25">
      <c r="A12195" t="str">
        <f t="shared" si="191"/>
        <v/>
      </c>
    </row>
    <row r="12196" spans="1:1" x14ac:dyDescent="0.25">
      <c r="A12196" t="str">
        <f t="shared" si="191"/>
        <v/>
      </c>
    </row>
    <row r="12197" spans="1:1" x14ac:dyDescent="0.25">
      <c r="A12197" t="str">
        <f t="shared" si="191"/>
        <v/>
      </c>
    </row>
    <row r="12198" spans="1:1" x14ac:dyDescent="0.25">
      <c r="A12198" t="str">
        <f t="shared" si="191"/>
        <v/>
      </c>
    </row>
    <row r="12199" spans="1:1" x14ac:dyDescent="0.25">
      <c r="A12199" t="str">
        <f t="shared" si="191"/>
        <v/>
      </c>
    </row>
    <row r="12200" spans="1:1" x14ac:dyDescent="0.25">
      <c r="A12200" t="str">
        <f t="shared" si="191"/>
        <v/>
      </c>
    </row>
    <row r="12201" spans="1:1" x14ac:dyDescent="0.25">
      <c r="A12201" t="str">
        <f t="shared" si="191"/>
        <v/>
      </c>
    </row>
    <row r="12202" spans="1:1" x14ac:dyDescent="0.25">
      <c r="A12202" t="str">
        <f t="shared" si="191"/>
        <v/>
      </c>
    </row>
    <row r="12203" spans="1:1" x14ac:dyDescent="0.25">
      <c r="A12203" t="str">
        <f t="shared" si="191"/>
        <v/>
      </c>
    </row>
    <row r="12204" spans="1:1" x14ac:dyDescent="0.25">
      <c r="A12204" t="str">
        <f t="shared" si="191"/>
        <v/>
      </c>
    </row>
    <row r="12205" spans="1:1" x14ac:dyDescent="0.25">
      <c r="A12205" t="str">
        <f t="shared" si="191"/>
        <v/>
      </c>
    </row>
    <row r="12206" spans="1:1" x14ac:dyDescent="0.25">
      <c r="A12206" t="str">
        <f t="shared" si="191"/>
        <v/>
      </c>
    </row>
    <row r="12207" spans="1:1" x14ac:dyDescent="0.25">
      <c r="A12207" t="str">
        <f t="shared" si="191"/>
        <v/>
      </c>
    </row>
    <row r="12208" spans="1:1" x14ac:dyDescent="0.25">
      <c r="A12208" t="str">
        <f t="shared" si="191"/>
        <v/>
      </c>
    </row>
    <row r="12209" spans="1:1" x14ac:dyDescent="0.25">
      <c r="A12209" t="str">
        <f t="shared" si="191"/>
        <v/>
      </c>
    </row>
    <row r="12210" spans="1:1" x14ac:dyDescent="0.25">
      <c r="A12210" t="str">
        <f t="shared" si="191"/>
        <v/>
      </c>
    </row>
    <row r="12211" spans="1:1" x14ac:dyDescent="0.25">
      <c r="A12211" t="str">
        <f t="shared" si="191"/>
        <v/>
      </c>
    </row>
    <row r="12212" spans="1:1" x14ac:dyDescent="0.25">
      <c r="A12212" t="str">
        <f t="shared" si="191"/>
        <v/>
      </c>
    </row>
    <row r="12213" spans="1:1" x14ac:dyDescent="0.25">
      <c r="A12213" t="str">
        <f t="shared" ref="A12213:A12276" si="192">B12211&amp;D12211</f>
        <v/>
      </c>
    </row>
    <row r="12214" spans="1:1" x14ac:dyDescent="0.25">
      <c r="A12214" t="str">
        <f t="shared" si="192"/>
        <v/>
      </c>
    </row>
    <row r="12215" spans="1:1" x14ac:dyDescent="0.25">
      <c r="A12215" t="str">
        <f t="shared" si="192"/>
        <v/>
      </c>
    </row>
    <row r="12216" spans="1:1" x14ac:dyDescent="0.25">
      <c r="A12216" t="str">
        <f t="shared" si="192"/>
        <v/>
      </c>
    </row>
    <row r="12217" spans="1:1" x14ac:dyDescent="0.25">
      <c r="A12217" t="str">
        <f t="shared" si="192"/>
        <v/>
      </c>
    </row>
    <row r="12218" spans="1:1" x14ac:dyDescent="0.25">
      <c r="A12218" t="str">
        <f t="shared" si="192"/>
        <v/>
      </c>
    </row>
    <row r="12219" spans="1:1" x14ac:dyDescent="0.25">
      <c r="A12219" t="str">
        <f t="shared" si="192"/>
        <v/>
      </c>
    </row>
    <row r="12220" spans="1:1" x14ac:dyDescent="0.25">
      <c r="A12220" t="str">
        <f t="shared" si="192"/>
        <v/>
      </c>
    </row>
    <row r="12221" spans="1:1" x14ac:dyDescent="0.25">
      <c r="A12221" t="str">
        <f t="shared" si="192"/>
        <v/>
      </c>
    </row>
    <row r="12222" spans="1:1" x14ac:dyDescent="0.25">
      <c r="A12222" t="str">
        <f t="shared" si="192"/>
        <v/>
      </c>
    </row>
    <row r="12223" spans="1:1" x14ac:dyDescent="0.25">
      <c r="A12223" t="str">
        <f t="shared" si="192"/>
        <v/>
      </c>
    </row>
    <row r="12224" spans="1:1" x14ac:dyDescent="0.25">
      <c r="A12224" t="str">
        <f t="shared" si="192"/>
        <v/>
      </c>
    </row>
    <row r="12225" spans="1:1" x14ac:dyDescent="0.25">
      <c r="A12225" t="str">
        <f t="shared" si="192"/>
        <v/>
      </c>
    </row>
    <row r="12226" spans="1:1" x14ac:dyDescent="0.25">
      <c r="A12226" t="str">
        <f t="shared" si="192"/>
        <v/>
      </c>
    </row>
    <row r="12227" spans="1:1" x14ac:dyDescent="0.25">
      <c r="A12227" t="str">
        <f t="shared" si="192"/>
        <v/>
      </c>
    </row>
    <row r="12228" spans="1:1" x14ac:dyDescent="0.25">
      <c r="A12228" t="str">
        <f t="shared" si="192"/>
        <v/>
      </c>
    </row>
    <row r="12229" spans="1:1" x14ac:dyDescent="0.25">
      <c r="A12229" t="str">
        <f t="shared" si="192"/>
        <v/>
      </c>
    </row>
    <row r="12230" spans="1:1" x14ac:dyDescent="0.25">
      <c r="A12230" t="str">
        <f t="shared" si="192"/>
        <v/>
      </c>
    </row>
    <row r="12231" spans="1:1" x14ac:dyDescent="0.25">
      <c r="A12231" t="str">
        <f t="shared" si="192"/>
        <v/>
      </c>
    </row>
    <row r="12232" spans="1:1" x14ac:dyDescent="0.25">
      <c r="A12232" t="str">
        <f t="shared" si="192"/>
        <v/>
      </c>
    </row>
    <row r="12233" spans="1:1" x14ac:dyDescent="0.25">
      <c r="A12233" t="str">
        <f t="shared" si="192"/>
        <v/>
      </c>
    </row>
    <row r="12234" spans="1:1" x14ac:dyDescent="0.25">
      <c r="A12234" t="str">
        <f t="shared" si="192"/>
        <v/>
      </c>
    </row>
    <row r="12235" spans="1:1" x14ac:dyDescent="0.25">
      <c r="A12235" t="str">
        <f t="shared" si="192"/>
        <v/>
      </c>
    </row>
    <row r="12236" spans="1:1" x14ac:dyDescent="0.25">
      <c r="A12236" t="str">
        <f t="shared" si="192"/>
        <v/>
      </c>
    </row>
    <row r="12237" spans="1:1" x14ac:dyDescent="0.25">
      <c r="A12237" t="str">
        <f t="shared" si="192"/>
        <v/>
      </c>
    </row>
    <row r="12238" spans="1:1" x14ac:dyDescent="0.25">
      <c r="A12238" t="str">
        <f t="shared" si="192"/>
        <v/>
      </c>
    </row>
    <row r="12239" spans="1:1" x14ac:dyDescent="0.25">
      <c r="A12239" t="str">
        <f t="shared" si="192"/>
        <v/>
      </c>
    </row>
    <row r="12240" spans="1:1" x14ac:dyDescent="0.25">
      <c r="A12240" t="str">
        <f t="shared" si="192"/>
        <v/>
      </c>
    </row>
    <row r="12241" spans="1:1" x14ac:dyDescent="0.25">
      <c r="A12241" t="str">
        <f t="shared" si="192"/>
        <v/>
      </c>
    </row>
    <row r="12242" spans="1:1" x14ac:dyDescent="0.25">
      <c r="A12242" t="str">
        <f t="shared" si="192"/>
        <v/>
      </c>
    </row>
    <row r="12243" spans="1:1" x14ac:dyDescent="0.25">
      <c r="A12243" t="str">
        <f t="shared" si="192"/>
        <v/>
      </c>
    </row>
    <row r="12244" spans="1:1" x14ac:dyDescent="0.25">
      <c r="A12244" t="str">
        <f t="shared" si="192"/>
        <v/>
      </c>
    </row>
    <row r="12245" spans="1:1" x14ac:dyDescent="0.25">
      <c r="A12245" t="str">
        <f t="shared" si="192"/>
        <v/>
      </c>
    </row>
    <row r="12246" spans="1:1" x14ac:dyDescent="0.25">
      <c r="A12246" t="str">
        <f t="shared" si="192"/>
        <v/>
      </c>
    </row>
    <row r="12247" spans="1:1" x14ac:dyDescent="0.25">
      <c r="A12247" t="str">
        <f t="shared" si="192"/>
        <v/>
      </c>
    </row>
    <row r="12248" spans="1:1" x14ac:dyDescent="0.25">
      <c r="A12248" t="str">
        <f t="shared" si="192"/>
        <v/>
      </c>
    </row>
    <row r="12249" spans="1:1" x14ac:dyDescent="0.25">
      <c r="A12249" t="str">
        <f t="shared" si="192"/>
        <v/>
      </c>
    </row>
    <row r="12250" spans="1:1" x14ac:dyDescent="0.25">
      <c r="A12250" t="str">
        <f t="shared" si="192"/>
        <v/>
      </c>
    </row>
    <row r="12251" spans="1:1" x14ac:dyDescent="0.25">
      <c r="A12251" t="str">
        <f t="shared" si="192"/>
        <v/>
      </c>
    </row>
    <row r="12252" spans="1:1" x14ac:dyDescent="0.25">
      <c r="A12252" t="str">
        <f t="shared" si="192"/>
        <v/>
      </c>
    </row>
    <row r="12253" spans="1:1" x14ac:dyDescent="0.25">
      <c r="A12253" t="str">
        <f t="shared" si="192"/>
        <v/>
      </c>
    </row>
    <row r="12254" spans="1:1" x14ac:dyDescent="0.25">
      <c r="A12254" t="str">
        <f t="shared" si="192"/>
        <v/>
      </c>
    </row>
    <row r="12255" spans="1:1" x14ac:dyDescent="0.25">
      <c r="A12255" t="str">
        <f t="shared" si="192"/>
        <v/>
      </c>
    </row>
    <row r="12256" spans="1:1" x14ac:dyDescent="0.25">
      <c r="A12256" t="str">
        <f t="shared" si="192"/>
        <v/>
      </c>
    </row>
    <row r="12257" spans="1:1" x14ac:dyDescent="0.25">
      <c r="A12257" t="str">
        <f t="shared" si="192"/>
        <v/>
      </c>
    </row>
    <row r="12258" spans="1:1" x14ac:dyDescent="0.25">
      <c r="A12258" t="str">
        <f t="shared" si="192"/>
        <v/>
      </c>
    </row>
    <row r="12259" spans="1:1" x14ac:dyDescent="0.25">
      <c r="A12259" t="str">
        <f t="shared" si="192"/>
        <v/>
      </c>
    </row>
    <row r="12260" spans="1:1" x14ac:dyDescent="0.25">
      <c r="A12260" t="str">
        <f t="shared" si="192"/>
        <v/>
      </c>
    </row>
    <row r="12261" spans="1:1" x14ac:dyDescent="0.25">
      <c r="A12261" t="str">
        <f t="shared" si="192"/>
        <v/>
      </c>
    </row>
    <row r="12262" spans="1:1" x14ac:dyDescent="0.25">
      <c r="A12262" t="str">
        <f t="shared" si="192"/>
        <v/>
      </c>
    </row>
    <row r="12263" spans="1:1" x14ac:dyDescent="0.25">
      <c r="A12263" t="str">
        <f t="shared" si="192"/>
        <v/>
      </c>
    </row>
    <row r="12264" spans="1:1" x14ac:dyDescent="0.25">
      <c r="A12264" t="str">
        <f t="shared" si="192"/>
        <v/>
      </c>
    </row>
    <row r="12265" spans="1:1" x14ac:dyDescent="0.25">
      <c r="A12265" t="str">
        <f t="shared" si="192"/>
        <v/>
      </c>
    </row>
    <row r="12266" spans="1:1" x14ac:dyDescent="0.25">
      <c r="A12266" t="str">
        <f t="shared" si="192"/>
        <v/>
      </c>
    </row>
    <row r="12267" spans="1:1" x14ac:dyDescent="0.25">
      <c r="A12267" t="str">
        <f t="shared" si="192"/>
        <v/>
      </c>
    </row>
    <row r="12268" spans="1:1" x14ac:dyDescent="0.25">
      <c r="A12268" t="str">
        <f t="shared" si="192"/>
        <v/>
      </c>
    </row>
    <row r="12269" spans="1:1" x14ac:dyDescent="0.25">
      <c r="A12269" t="str">
        <f t="shared" si="192"/>
        <v/>
      </c>
    </row>
    <row r="12270" spans="1:1" x14ac:dyDescent="0.25">
      <c r="A12270" t="str">
        <f t="shared" si="192"/>
        <v/>
      </c>
    </row>
    <row r="12271" spans="1:1" x14ac:dyDescent="0.25">
      <c r="A12271" t="str">
        <f t="shared" si="192"/>
        <v/>
      </c>
    </row>
    <row r="12272" spans="1:1" x14ac:dyDescent="0.25">
      <c r="A12272" t="str">
        <f t="shared" si="192"/>
        <v/>
      </c>
    </row>
    <row r="12273" spans="1:1" x14ac:dyDescent="0.25">
      <c r="A12273" t="str">
        <f t="shared" si="192"/>
        <v/>
      </c>
    </row>
    <row r="12274" spans="1:1" x14ac:dyDescent="0.25">
      <c r="A12274" t="str">
        <f t="shared" si="192"/>
        <v/>
      </c>
    </row>
    <row r="12275" spans="1:1" x14ac:dyDescent="0.25">
      <c r="A12275" t="str">
        <f t="shared" si="192"/>
        <v/>
      </c>
    </row>
    <row r="12276" spans="1:1" x14ac:dyDescent="0.25">
      <c r="A12276" t="str">
        <f t="shared" si="192"/>
        <v/>
      </c>
    </row>
    <row r="12277" spans="1:1" x14ac:dyDescent="0.25">
      <c r="A12277" t="str">
        <f t="shared" ref="A12277:A12340" si="193">B12275&amp;D12275</f>
        <v/>
      </c>
    </row>
    <row r="12278" spans="1:1" x14ac:dyDescent="0.25">
      <c r="A12278" t="str">
        <f t="shared" si="193"/>
        <v/>
      </c>
    </row>
    <row r="12279" spans="1:1" x14ac:dyDescent="0.25">
      <c r="A12279" t="str">
        <f t="shared" si="193"/>
        <v/>
      </c>
    </row>
    <row r="12280" spans="1:1" x14ac:dyDescent="0.25">
      <c r="A12280" t="str">
        <f t="shared" si="193"/>
        <v/>
      </c>
    </row>
    <row r="12281" spans="1:1" x14ac:dyDescent="0.25">
      <c r="A12281" t="str">
        <f t="shared" si="193"/>
        <v/>
      </c>
    </row>
    <row r="12282" spans="1:1" x14ac:dyDescent="0.25">
      <c r="A12282" t="str">
        <f t="shared" si="193"/>
        <v/>
      </c>
    </row>
    <row r="12283" spans="1:1" x14ac:dyDescent="0.25">
      <c r="A12283" t="str">
        <f t="shared" si="193"/>
        <v/>
      </c>
    </row>
    <row r="12284" spans="1:1" x14ac:dyDescent="0.25">
      <c r="A12284" t="str">
        <f t="shared" si="193"/>
        <v/>
      </c>
    </row>
    <row r="12285" spans="1:1" x14ac:dyDescent="0.25">
      <c r="A12285" t="str">
        <f t="shared" si="193"/>
        <v/>
      </c>
    </row>
    <row r="12286" spans="1:1" x14ac:dyDescent="0.25">
      <c r="A12286" t="str">
        <f t="shared" si="193"/>
        <v/>
      </c>
    </row>
    <row r="12287" spans="1:1" x14ac:dyDescent="0.25">
      <c r="A12287" t="str">
        <f t="shared" si="193"/>
        <v/>
      </c>
    </row>
    <row r="12288" spans="1:1" x14ac:dyDescent="0.25">
      <c r="A12288" t="str">
        <f t="shared" si="193"/>
        <v/>
      </c>
    </row>
    <row r="12289" spans="1:1" x14ac:dyDescent="0.25">
      <c r="A12289" t="str">
        <f t="shared" si="193"/>
        <v/>
      </c>
    </row>
    <row r="12290" spans="1:1" x14ac:dyDescent="0.25">
      <c r="A12290" t="str">
        <f t="shared" si="193"/>
        <v/>
      </c>
    </row>
    <row r="12291" spans="1:1" x14ac:dyDescent="0.25">
      <c r="A12291" t="str">
        <f t="shared" si="193"/>
        <v/>
      </c>
    </row>
    <row r="12292" spans="1:1" x14ac:dyDescent="0.25">
      <c r="A12292" t="str">
        <f t="shared" si="193"/>
        <v/>
      </c>
    </row>
    <row r="12293" spans="1:1" x14ac:dyDescent="0.25">
      <c r="A12293" t="str">
        <f t="shared" si="193"/>
        <v/>
      </c>
    </row>
    <row r="12294" spans="1:1" x14ac:dyDescent="0.25">
      <c r="A12294" t="str">
        <f t="shared" si="193"/>
        <v/>
      </c>
    </row>
    <row r="12295" spans="1:1" x14ac:dyDescent="0.25">
      <c r="A12295" t="str">
        <f t="shared" si="193"/>
        <v/>
      </c>
    </row>
    <row r="12296" spans="1:1" x14ac:dyDescent="0.25">
      <c r="A12296" t="str">
        <f t="shared" si="193"/>
        <v/>
      </c>
    </row>
    <row r="12297" spans="1:1" x14ac:dyDescent="0.25">
      <c r="A12297" t="str">
        <f t="shared" si="193"/>
        <v/>
      </c>
    </row>
    <row r="12298" spans="1:1" x14ac:dyDescent="0.25">
      <c r="A12298" t="str">
        <f t="shared" si="193"/>
        <v/>
      </c>
    </row>
    <row r="12299" spans="1:1" x14ac:dyDescent="0.25">
      <c r="A12299" t="str">
        <f t="shared" si="193"/>
        <v/>
      </c>
    </row>
    <row r="12300" spans="1:1" x14ac:dyDescent="0.25">
      <c r="A12300" t="str">
        <f t="shared" si="193"/>
        <v/>
      </c>
    </row>
    <row r="12301" spans="1:1" x14ac:dyDescent="0.25">
      <c r="A12301" t="str">
        <f t="shared" si="193"/>
        <v/>
      </c>
    </row>
    <row r="12302" spans="1:1" x14ac:dyDescent="0.25">
      <c r="A12302" t="str">
        <f t="shared" si="193"/>
        <v/>
      </c>
    </row>
    <row r="12303" spans="1:1" x14ac:dyDescent="0.25">
      <c r="A12303" t="str">
        <f t="shared" si="193"/>
        <v/>
      </c>
    </row>
    <row r="12304" spans="1:1" x14ac:dyDescent="0.25">
      <c r="A12304" t="str">
        <f t="shared" si="193"/>
        <v/>
      </c>
    </row>
    <row r="12305" spans="1:1" x14ac:dyDescent="0.25">
      <c r="A12305" t="str">
        <f t="shared" si="193"/>
        <v/>
      </c>
    </row>
    <row r="12306" spans="1:1" x14ac:dyDescent="0.25">
      <c r="A12306" t="str">
        <f t="shared" si="193"/>
        <v/>
      </c>
    </row>
    <row r="12307" spans="1:1" x14ac:dyDescent="0.25">
      <c r="A12307" t="str">
        <f t="shared" si="193"/>
        <v/>
      </c>
    </row>
    <row r="12308" spans="1:1" x14ac:dyDescent="0.25">
      <c r="A12308" t="str">
        <f t="shared" si="193"/>
        <v/>
      </c>
    </row>
    <row r="12309" spans="1:1" x14ac:dyDescent="0.25">
      <c r="A12309" t="str">
        <f t="shared" si="193"/>
        <v/>
      </c>
    </row>
    <row r="12310" spans="1:1" x14ac:dyDescent="0.25">
      <c r="A12310" t="str">
        <f t="shared" si="193"/>
        <v/>
      </c>
    </row>
    <row r="12311" spans="1:1" x14ac:dyDescent="0.25">
      <c r="A12311" t="str">
        <f t="shared" si="193"/>
        <v/>
      </c>
    </row>
    <row r="12312" spans="1:1" x14ac:dyDescent="0.25">
      <c r="A12312" t="str">
        <f t="shared" si="193"/>
        <v/>
      </c>
    </row>
    <row r="12313" spans="1:1" x14ac:dyDescent="0.25">
      <c r="A12313" t="str">
        <f t="shared" si="193"/>
        <v/>
      </c>
    </row>
    <row r="12314" spans="1:1" x14ac:dyDescent="0.25">
      <c r="A12314" t="str">
        <f t="shared" si="193"/>
        <v/>
      </c>
    </row>
    <row r="12315" spans="1:1" x14ac:dyDescent="0.25">
      <c r="A12315" t="str">
        <f t="shared" si="193"/>
        <v/>
      </c>
    </row>
    <row r="12316" spans="1:1" x14ac:dyDescent="0.25">
      <c r="A12316" t="str">
        <f t="shared" si="193"/>
        <v/>
      </c>
    </row>
    <row r="12317" spans="1:1" x14ac:dyDescent="0.25">
      <c r="A12317" t="str">
        <f t="shared" si="193"/>
        <v/>
      </c>
    </row>
    <row r="12318" spans="1:1" x14ac:dyDescent="0.25">
      <c r="A12318" t="str">
        <f t="shared" si="193"/>
        <v/>
      </c>
    </row>
    <row r="12319" spans="1:1" x14ac:dyDescent="0.25">
      <c r="A12319" t="str">
        <f t="shared" si="193"/>
        <v/>
      </c>
    </row>
    <row r="12320" spans="1:1" x14ac:dyDescent="0.25">
      <c r="A12320" t="str">
        <f t="shared" si="193"/>
        <v/>
      </c>
    </row>
    <row r="12321" spans="1:1" x14ac:dyDescent="0.25">
      <c r="A12321" t="str">
        <f t="shared" si="193"/>
        <v/>
      </c>
    </row>
    <row r="12322" spans="1:1" x14ac:dyDescent="0.25">
      <c r="A12322" t="str">
        <f t="shared" si="193"/>
        <v/>
      </c>
    </row>
    <row r="12323" spans="1:1" x14ac:dyDescent="0.25">
      <c r="A12323" t="str">
        <f t="shared" si="193"/>
        <v/>
      </c>
    </row>
    <row r="12324" spans="1:1" x14ac:dyDescent="0.25">
      <c r="A12324" t="str">
        <f t="shared" si="193"/>
        <v/>
      </c>
    </row>
    <row r="12325" spans="1:1" x14ac:dyDescent="0.25">
      <c r="A12325" t="str">
        <f t="shared" si="193"/>
        <v/>
      </c>
    </row>
    <row r="12326" spans="1:1" x14ac:dyDescent="0.25">
      <c r="A12326" t="str">
        <f t="shared" si="193"/>
        <v/>
      </c>
    </row>
    <row r="12327" spans="1:1" x14ac:dyDescent="0.25">
      <c r="A12327" t="str">
        <f t="shared" si="193"/>
        <v/>
      </c>
    </row>
    <row r="12328" spans="1:1" x14ac:dyDescent="0.25">
      <c r="A12328" t="str">
        <f t="shared" si="193"/>
        <v/>
      </c>
    </row>
    <row r="12329" spans="1:1" x14ac:dyDescent="0.25">
      <c r="A12329" t="str">
        <f t="shared" si="193"/>
        <v/>
      </c>
    </row>
    <row r="12330" spans="1:1" x14ac:dyDescent="0.25">
      <c r="A12330" t="str">
        <f t="shared" si="193"/>
        <v/>
      </c>
    </row>
    <row r="12331" spans="1:1" x14ac:dyDescent="0.25">
      <c r="A12331" t="str">
        <f t="shared" si="193"/>
        <v/>
      </c>
    </row>
    <row r="12332" spans="1:1" x14ac:dyDescent="0.25">
      <c r="A12332" t="str">
        <f t="shared" si="193"/>
        <v/>
      </c>
    </row>
    <row r="12333" spans="1:1" x14ac:dyDescent="0.25">
      <c r="A12333" t="str">
        <f t="shared" si="193"/>
        <v/>
      </c>
    </row>
    <row r="12334" spans="1:1" x14ac:dyDescent="0.25">
      <c r="A12334" t="str">
        <f t="shared" si="193"/>
        <v/>
      </c>
    </row>
    <row r="12335" spans="1:1" x14ac:dyDescent="0.25">
      <c r="A12335" t="str">
        <f t="shared" si="193"/>
        <v/>
      </c>
    </row>
    <row r="12336" spans="1:1" x14ac:dyDescent="0.25">
      <c r="A12336" t="str">
        <f t="shared" si="193"/>
        <v/>
      </c>
    </row>
    <row r="12337" spans="1:1" x14ac:dyDescent="0.25">
      <c r="A12337" t="str">
        <f t="shared" si="193"/>
        <v/>
      </c>
    </row>
    <row r="12338" spans="1:1" x14ac:dyDescent="0.25">
      <c r="A12338" t="str">
        <f t="shared" si="193"/>
        <v/>
      </c>
    </row>
    <row r="12339" spans="1:1" x14ac:dyDescent="0.25">
      <c r="A12339" t="str">
        <f t="shared" si="193"/>
        <v/>
      </c>
    </row>
    <row r="12340" spans="1:1" x14ac:dyDescent="0.25">
      <c r="A12340" t="str">
        <f t="shared" si="193"/>
        <v/>
      </c>
    </row>
    <row r="12341" spans="1:1" x14ac:dyDescent="0.25">
      <c r="A12341" t="str">
        <f t="shared" ref="A12341:A12404" si="194">B12339&amp;D12339</f>
        <v/>
      </c>
    </row>
    <row r="12342" spans="1:1" x14ac:dyDescent="0.25">
      <c r="A12342" t="str">
        <f t="shared" si="194"/>
        <v/>
      </c>
    </row>
    <row r="12343" spans="1:1" x14ac:dyDescent="0.25">
      <c r="A12343" t="str">
        <f t="shared" si="194"/>
        <v/>
      </c>
    </row>
    <row r="12344" spans="1:1" x14ac:dyDescent="0.25">
      <c r="A12344" t="str">
        <f t="shared" si="194"/>
        <v/>
      </c>
    </row>
    <row r="12345" spans="1:1" x14ac:dyDescent="0.25">
      <c r="A12345" t="str">
        <f t="shared" si="194"/>
        <v/>
      </c>
    </row>
    <row r="12346" spans="1:1" x14ac:dyDescent="0.25">
      <c r="A12346" t="str">
        <f t="shared" si="194"/>
        <v/>
      </c>
    </row>
    <row r="12347" spans="1:1" x14ac:dyDescent="0.25">
      <c r="A12347" t="str">
        <f t="shared" si="194"/>
        <v/>
      </c>
    </row>
    <row r="12348" spans="1:1" x14ac:dyDescent="0.25">
      <c r="A12348" t="str">
        <f t="shared" si="194"/>
        <v/>
      </c>
    </row>
    <row r="12349" spans="1:1" x14ac:dyDescent="0.25">
      <c r="A12349" t="str">
        <f t="shared" si="194"/>
        <v/>
      </c>
    </row>
    <row r="12350" spans="1:1" x14ac:dyDescent="0.25">
      <c r="A12350" t="str">
        <f t="shared" si="194"/>
        <v/>
      </c>
    </row>
    <row r="12351" spans="1:1" x14ac:dyDescent="0.25">
      <c r="A12351" t="str">
        <f t="shared" si="194"/>
        <v/>
      </c>
    </row>
    <row r="12352" spans="1:1" x14ac:dyDescent="0.25">
      <c r="A12352" t="str">
        <f t="shared" si="194"/>
        <v/>
      </c>
    </row>
    <row r="12353" spans="1:1" x14ac:dyDescent="0.25">
      <c r="A12353" t="str">
        <f t="shared" si="194"/>
        <v/>
      </c>
    </row>
    <row r="12354" spans="1:1" x14ac:dyDescent="0.25">
      <c r="A12354" t="str">
        <f t="shared" si="194"/>
        <v/>
      </c>
    </row>
    <row r="12355" spans="1:1" x14ac:dyDescent="0.25">
      <c r="A12355" t="str">
        <f t="shared" si="194"/>
        <v/>
      </c>
    </row>
    <row r="12356" spans="1:1" x14ac:dyDescent="0.25">
      <c r="A12356" t="str">
        <f t="shared" si="194"/>
        <v/>
      </c>
    </row>
    <row r="12357" spans="1:1" x14ac:dyDescent="0.25">
      <c r="A12357" t="str">
        <f t="shared" si="194"/>
        <v/>
      </c>
    </row>
    <row r="12358" spans="1:1" x14ac:dyDescent="0.25">
      <c r="A12358" t="str">
        <f t="shared" si="194"/>
        <v/>
      </c>
    </row>
    <row r="12359" spans="1:1" x14ac:dyDescent="0.25">
      <c r="A12359" t="str">
        <f t="shared" si="194"/>
        <v/>
      </c>
    </row>
    <row r="12360" spans="1:1" x14ac:dyDescent="0.25">
      <c r="A12360" t="str">
        <f t="shared" si="194"/>
        <v/>
      </c>
    </row>
    <row r="12361" spans="1:1" x14ac:dyDescent="0.25">
      <c r="A12361" t="str">
        <f t="shared" si="194"/>
        <v/>
      </c>
    </row>
    <row r="12362" spans="1:1" x14ac:dyDescent="0.25">
      <c r="A12362" t="str">
        <f t="shared" si="194"/>
        <v/>
      </c>
    </row>
    <row r="12363" spans="1:1" x14ac:dyDescent="0.25">
      <c r="A12363" t="str">
        <f t="shared" si="194"/>
        <v/>
      </c>
    </row>
    <row r="12364" spans="1:1" x14ac:dyDescent="0.25">
      <c r="A12364" t="str">
        <f t="shared" si="194"/>
        <v/>
      </c>
    </row>
    <row r="12365" spans="1:1" x14ac:dyDescent="0.25">
      <c r="A12365" t="str">
        <f t="shared" si="194"/>
        <v/>
      </c>
    </row>
    <row r="12366" spans="1:1" x14ac:dyDescent="0.25">
      <c r="A12366" t="str">
        <f t="shared" si="194"/>
        <v/>
      </c>
    </row>
    <row r="12367" spans="1:1" x14ac:dyDescent="0.25">
      <c r="A12367" t="str">
        <f t="shared" si="194"/>
        <v/>
      </c>
    </row>
    <row r="12368" spans="1:1" x14ac:dyDescent="0.25">
      <c r="A12368" t="str">
        <f t="shared" si="194"/>
        <v/>
      </c>
    </row>
    <row r="12369" spans="1:1" x14ac:dyDescent="0.25">
      <c r="A12369" t="str">
        <f t="shared" si="194"/>
        <v/>
      </c>
    </row>
    <row r="12370" spans="1:1" x14ac:dyDescent="0.25">
      <c r="A12370" t="str">
        <f t="shared" si="194"/>
        <v/>
      </c>
    </row>
    <row r="12371" spans="1:1" x14ac:dyDescent="0.25">
      <c r="A12371" t="str">
        <f t="shared" si="194"/>
        <v/>
      </c>
    </row>
    <row r="12372" spans="1:1" x14ac:dyDescent="0.25">
      <c r="A12372" t="str">
        <f t="shared" si="194"/>
        <v/>
      </c>
    </row>
    <row r="12373" spans="1:1" x14ac:dyDescent="0.25">
      <c r="A12373" t="str">
        <f t="shared" si="194"/>
        <v/>
      </c>
    </row>
    <row r="12374" spans="1:1" x14ac:dyDescent="0.25">
      <c r="A12374" t="str">
        <f t="shared" si="194"/>
        <v/>
      </c>
    </row>
    <row r="12375" spans="1:1" x14ac:dyDescent="0.25">
      <c r="A12375" t="str">
        <f t="shared" si="194"/>
        <v/>
      </c>
    </row>
    <row r="12376" spans="1:1" x14ac:dyDescent="0.25">
      <c r="A12376" t="str">
        <f t="shared" si="194"/>
        <v/>
      </c>
    </row>
    <row r="12377" spans="1:1" x14ac:dyDescent="0.25">
      <c r="A12377" t="str">
        <f t="shared" si="194"/>
        <v/>
      </c>
    </row>
    <row r="12378" spans="1:1" x14ac:dyDescent="0.25">
      <c r="A12378" t="str">
        <f t="shared" si="194"/>
        <v/>
      </c>
    </row>
    <row r="12379" spans="1:1" x14ac:dyDescent="0.25">
      <c r="A12379" t="str">
        <f t="shared" si="194"/>
        <v/>
      </c>
    </row>
    <row r="12380" spans="1:1" x14ac:dyDescent="0.25">
      <c r="A12380" t="str">
        <f t="shared" si="194"/>
        <v/>
      </c>
    </row>
    <row r="12381" spans="1:1" x14ac:dyDescent="0.25">
      <c r="A12381" t="str">
        <f t="shared" si="194"/>
        <v/>
      </c>
    </row>
    <row r="12382" spans="1:1" x14ac:dyDescent="0.25">
      <c r="A12382" t="str">
        <f t="shared" si="194"/>
        <v/>
      </c>
    </row>
    <row r="12383" spans="1:1" x14ac:dyDescent="0.25">
      <c r="A12383" t="str">
        <f t="shared" si="194"/>
        <v/>
      </c>
    </row>
    <row r="12384" spans="1:1" x14ac:dyDescent="0.25">
      <c r="A12384" t="str">
        <f t="shared" si="194"/>
        <v/>
      </c>
    </row>
    <row r="12385" spans="1:1" x14ac:dyDescent="0.25">
      <c r="A12385" t="str">
        <f t="shared" si="194"/>
        <v/>
      </c>
    </row>
    <row r="12386" spans="1:1" x14ac:dyDescent="0.25">
      <c r="A12386" t="str">
        <f t="shared" si="194"/>
        <v/>
      </c>
    </row>
    <row r="12387" spans="1:1" x14ac:dyDescent="0.25">
      <c r="A12387" t="str">
        <f t="shared" si="194"/>
        <v/>
      </c>
    </row>
    <row r="12388" spans="1:1" x14ac:dyDescent="0.25">
      <c r="A12388" t="str">
        <f t="shared" si="194"/>
        <v/>
      </c>
    </row>
    <row r="12389" spans="1:1" x14ac:dyDescent="0.25">
      <c r="A12389" t="str">
        <f t="shared" si="194"/>
        <v/>
      </c>
    </row>
    <row r="12390" spans="1:1" x14ac:dyDescent="0.25">
      <c r="A12390" t="str">
        <f t="shared" si="194"/>
        <v/>
      </c>
    </row>
    <row r="12391" spans="1:1" x14ac:dyDescent="0.25">
      <c r="A12391" t="str">
        <f t="shared" si="194"/>
        <v/>
      </c>
    </row>
    <row r="12392" spans="1:1" x14ac:dyDescent="0.25">
      <c r="A12392" t="str">
        <f t="shared" si="194"/>
        <v/>
      </c>
    </row>
    <row r="12393" spans="1:1" x14ac:dyDescent="0.25">
      <c r="A12393" t="str">
        <f t="shared" si="194"/>
        <v/>
      </c>
    </row>
    <row r="12394" spans="1:1" x14ac:dyDescent="0.25">
      <c r="A12394" t="str">
        <f t="shared" si="194"/>
        <v/>
      </c>
    </row>
    <row r="12395" spans="1:1" x14ac:dyDescent="0.25">
      <c r="A12395" t="str">
        <f t="shared" si="194"/>
        <v/>
      </c>
    </row>
    <row r="12396" spans="1:1" x14ac:dyDescent="0.25">
      <c r="A12396" t="str">
        <f t="shared" si="194"/>
        <v/>
      </c>
    </row>
    <row r="12397" spans="1:1" x14ac:dyDescent="0.25">
      <c r="A12397" t="str">
        <f t="shared" si="194"/>
        <v/>
      </c>
    </row>
    <row r="12398" spans="1:1" x14ac:dyDescent="0.25">
      <c r="A12398" t="str">
        <f t="shared" si="194"/>
        <v/>
      </c>
    </row>
    <row r="12399" spans="1:1" x14ac:dyDescent="0.25">
      <c r="A12399" t="str">
        <f t="shared" si="194"/>
        <v/>
      </c>
    </row>
    <row r="12400" spans="1:1" x14ac:dyDescent="0.25">
      <c r="A12400" t="str">
        <f t="shared" si="194"/>
        <v/>
      </c>
    </row>
    <row r="12401" spans="1:1" x14ac:dyDescent="0.25">
      <c r="A12401" t="str">
        <f t="shared" si="194"/>
        <v/>
      </c>
    </row>
    <row r="12402" spans="1:1" x14ac:dyDescent="0.25">
      <c r="A12402" t="str">
        <f t="shared" si="194"/>
        <v/>
      </c>
    </row>
    <row r="12403" spans="1:1" x14ac:dyDescent="0.25">
      <c r="A12403" t="str">
        <f t="shared" si="194"/>
        <v/>
      </c>
    </row>
    <row r="12404" spans="1:1" x14ac:dyDescent="0.25">
      <c r="A12404" t="str">
        <f t="shared" si="194"/>
        <v/>
      </c>
    </row>
    <row r="12405" spans="1:1" x14ac:dyDescent="0.25">
      <c r="A12405" t="str">
        <f t="shared" ref="A12405:A12468" si="195">B12403&amp;D12403</f>
        <v/>
      </c>
    </row>
    <row r="12406" spans="1:1" x14ac:dyDescent="0.25">
      <c r="A12406" t="str">
        <f t="shared" si="195"/>
        <v/>
      </c>
    </row>
    <row r="12407" spans="1:1" x14ac:dyDescent="0.25">
      <c r="A12407" t="str">
        <f t="shared" si="195"/>
        <v/>
      </c>
    </row>
    <row r="12408" spans="1:1" x14ac:dyDescent="0.25">
      <c r="A12408" t="str">
        <f t="shared" si="195"/>
        <v/>
      </c>
    </row>
    <row r="12409" spans="1:1" x14ac:dyDescent="0.25">
      <c r="A12409" t="str">
        <f t="shared" si="195"/>
        <v/>
      </c>
    </row>
    <row r="12410" spans="1:1" x14ac:dyDescent="0.25">
      <c r="A12410" t="str">
        <f t="shared" si="195"/>
        <v/>
      </c>
    </row>
    <row r="12411" spans="1:1" x14ac:dyDescent="0.25">
      <c r="A12411" t="str">
        <f t="shared" si="195"/>
        <v/>
      </c>
    </row>
    <row r="12412" spans="1:1" x14ac:dyDescent="0.25">
      <c r="A12412" t="str">
        <f t="shared" si="195"/>
        <v/>
      </c>
    </row>
    <row r="12413" spans="1:1" x14ac:dyDescent="0.25">
      <c r="A12413" t="str">
        <f t="shared" si="195"/>
        <v/>
      </c>
    </row>
    <row r="12414" spans="1:1" x14ac:dyDescent="0.25">
      <c r="A12414" t="str">
        <f t="shared" si="195"/>
        <v/>
      </c>
    </row>
    <row r="12415" spans="1:1" x14ac:dyDescent="0.25">
      <c r="A12415" t="str">
        <f t="shared" si="195"/>
        <v/>
      </c>
    </row>
    <row r="12416" spans="1:1" x14ac:dyDescent="0.25">
      <c r="A12416" t="str">
        <f t="shared" si="195"/>
        <v/>
      </c>
    </row>
    <row r="12417" spans="1:1" x14ac:dyDescent="0.25">
      <c r="A12417" t="str">
        <f t="shared" si="195"/>
        <v/>
      </c>
    </row>
    <row r="12418" spans="1:1" x14ac:dyDescent="0.25">
      <c r="A12418" t="str">
        <f t="shared" si="195"/>
        <v/>
      </c>
    </row>
    <row r="12419" spans="1:1" x14ac:dyDescent="0.25">
      <c r="A12419" t="str">
        <f t="shared" si="195"/>
        <v/>
      </c>
    </row>
    <row r="12420" spans="1:1" x14ac:dyDescent="0.25">
      <c r="A12420" t="str">
        <f t="shared" si="195"/>
        <v/>
      </c>
    </row>
    <row r="12421" spans="1:1" x14ac:dyDescent="0.25">
      <c r="A12421" t="str">
        <f t="shared" si="195"/>
        <v/>
      </c>
    </row>
    <row r="12422" spans="1:1" x14ac:dyDescent="0.25">
      <c r="A12422" t="str">
        <f t="shared" si="195"/>
        <v/>
      </c>
    </row>
    <row r="12423" spans="1:1" x14ac:dyDescent="0.25">
      <c r="A12423" t="str">
        <f t="shared" si="195"/>
        <v/>
      </c>
    </row>
    <row r="12424" spans="1:1" x14ac:dyDescent="0.25">
      <c r="A12424" t="str">
        <f t="shared" si="195"/>
        <v/>
      </c>
    </row>
    <row r="12425" spans="1:1" x14ac:dyDescent="0.25">
      <c r="A12425" t="str">
        <f t="shared" si="195"/>
        <v/>
      </c>
    </row>
    <row r="12426" spans="1:1" x14ac:dyDescent="0.25">
      <c r="A12426" t="str">
        <f t="shared" si="195"/>
        <v/>
      </c>
    </row>
    <row r="12427" spans="1:1" x14ac:dyDescent="0.25">
      <c r="A12427" t="str">
        <f t="shared" si="195"/>
        <v/>
      </c>
    </row>
    <row r="12428" spans="1:1" x14ac:dyDescent="0.25">
      <c r="A12428" t="str">
        <f t="shared" si="195"/>
        <v/>
      </c>
    </row>
    <row r="12429" spans="1:1" x14ac:dyDescent="0.25">
      <c r="A12429" t="str">
        <f t="shared" si="195"/>
        <v/>
      </c>
    </row>
    <row r="12430" spans="1:1" x14ac:dyDescent="0.25">
      <c r="A12430" t="str">
        <f t="shared" si="195"/>
        <v/>
      </c>
    </row>
    <row r="12431" spans="1:1" x14ac:dyDescent="0.25">
      <c r="A12431" t="str">
        <f t="shared" si="195"/>
        <v/>
      </c>
    </row>
    <row r="12432" spans="1:1" x14ac:dyDescent="0.25">
      <c r="A12432" t="str">
        <f t="shared" si="195"/>
        <v/>
      </c>
    </row>
    <row r="12433" spans="1:1" x14ac:dyDescent="0.25">
      <c r="A12433" t="str">
        <f t="shared" si="195"/>
        <v/>
      </c>
    </row>
    <row r="12434" spans="1:1" x14ac:dyDescent="0.25">
      <c r="A12434" t="str">
        <f t="shared" si="195"/>
        <v/>
      </c>
    </row>
    <row r="12435" spans="1:1" x14ac:dyDescent="0.25">
      <c r="A12435" t="str">
        <f t="shared" si="195"/>
        <v/>
      </c>
    </row>
    <row r="12436" spans="1:1" x14ac:dyDescent="0.25">
      <c r="A12436" t="str">
        <f t="shared" si="195"/>
        <v/>
      </c>
    </row>
    <row r="12437" spans="1:1" x14ac:dyDescent="0.25">
      <c r="A12437" t="str">
        <f t="shared" si="195"/>
        <v/>
      </c>
    </row>
    <row r="12438" spans="1:1" x14ac:dyDescent="0.25">
      <c r="A12438" t="str">
        <f t="shared" si="195"/>
        <v/>
      </c>
    </row>
    <row r="12439" spans="1:1" x14ac:dyDescent="0.25">
      <c r="A12439" t="str">
        <f t="shared" si="195"/>
        <v/>
      </c>
    </row>
    <row r="12440" spans="1:1" x14ac:dyDescent="0.25">
      <c r="A12440" t="str">
        <f t="shared" si="195"/>
        <v/>
      </c>
    </row>
    <row r="12441" spans="1:1" x14ac:dyDescent="0.25">
      <c r="A12441" t="str">
        <f t="shared" si="195"/>
        <v/>
      </c>
    </row>
    <row r="12442" spans="1:1" x14ac:dyDescent="0.25">
      <c r="A12442" t="str">
        <f t="shared" si="195"/>
        <v/>
      </c>
    </row>
    <row r="12443" spans="1:1" x14ac:dyDescent="0.25">
      <c r="A12443" t="str">
        <f t="shared" si="195"/>
        <v/>
      </c>
    </row>
    <row r="12444" spans="1:1" x14ac:dyDescent="0.25">
      <c r="A12444" t="str">
        <f t="shared" si="195"/>
        <v/>
      </c>
    </row>
    <row r="12445" spans="1:1" x14ac:dyDescent="0.25">
      <c r="A12445" t="str">
        <f t="shared" si="195"/>
        <v/>
      </c>
    </row>
    <row r="12446" spans="1:1" x14ac:dyDescent="0.25">
      <c r="A12446" t="str">
        <f t="shared" si="195"/>
        <v/>
      </c>
    </row>
    <row r="12447" spans="1:1" x14ac:dyDescent="0.25">
      <c r="A12447" t="str">
        <f t="shared" si="195"/>
        <v/>
      </c>
    </row>
    <row r="12448" spans="1:1" x14ac:dyDescent="0.25">
      <c r="A12448" t="str">
        <f t="shared" si="195"/>
        <v/>
      </c>
    </row>
    <row r="12449" spans="1:1" x14ac:dyDescent="0.25">
      <c r="A12449" t="str">
        <f t="shared" si="195"/>
        <v/>
      </c>
    </row>
    <row r="12450" spans="1:1" x14ac:dyDescent="0.25">
      <c r="A12450" t="str">
        <f t="shared" si="195"/>
        <v/>
      </c>
    </row>
    <row r="12451" spans="1:1" x14ac:dyDescent="0.25">
      <c r="A12451" t="str">
        <f t="shared" si="195"/>
        <v/>
      </c>
    </row>
    <row r="12452" spans="1:1" x14ac:dyDescent="0.25">
      <c r="A12452" t="str">
        <f t="shared" si="195"/>
        <v/>
      </c>
    </row>
    <row r="12453" spans="1:1" x14ac:dyDescent="0.25">
      <c r="A12453" t="str">
        <f t="shared" si="195"/>
        <v/>
      </c>
    </row>
    <row r="12454" spans="1:1" x14ac:dyDescent="0.25">
      <c r="A12454" t="str">
        <f t="shared" si="195"/>
        <v/>
      </c>
    </row>
    <row r="12455" spans="1:1" x14ac:dyDescent="0.25">
      <c r="A12455" t="str">
        <f t="shared" si="195"/>
        <v/>
      </c>
    </row>
    <row r="12456" spans="1:1" x14ac:dyDescent="0.25">
      <c r="A12456" t="str">
        <f t="shared" si="195"/>
        <v/>
      </c>
    </row>
    <row r="12457" spans="1:1" x14ac:dyDescent="0.25">
      <c r="A12457" t="str">
        <f t="shared" si="195"/>
        <v/>
      </c>
    </row>
    <row r="12458" spans="1:1" x14ac:dyDescent="0.25">
      <c r="A12458" t="str">
        <f t="shared" si="195"/>
        <v/>
      </c>
    </row>
    <row r="12459" spans="1:1" x14ac:dyDescent="0.25">
      <c r="A12459" t="str">
        <f t="shared" si="195"/>
        <v/>
      </c>
    </row>
    <row r="12460" spans="1:1" x14ac:dyDescent="0.25">
      <c r="A12460" t="str">
        <f t="shared" si="195"/>
        <v/>
      </c>
    </row>
    <row r="12461" spans="1:1" x14ac:dyDescent="0.25">
      <c r="A12461" t="str">
        <f t="shared" si="195"/>
        <v/>
      </c>
    </row>
    <row r="12462" spans="1:1" x14ac:dyDescent="0.25">
      <c r="A12462" t="str">
        <f t="shared" si="195"/>
        <v/>
      </c>
    </row>
    <row r="12463" spans="1:1" x14ac:dyDescent="0.25">
      <c r="A12463" t="str">
        <f t="shared" si="195"/>
        <v/>
      </c>
    </row>
    <row r="12464" spans="1:1" x14ac:dyDescent="0.25">
      <c r="A12464" t="str">
        <f t="shared" si="195"/>
        <v/>
      </c>
    </row>
    <row r="12465" spans="1:1" x14ac:dyDescent="0.25">
      <c r="A12465" t="str">
        <f t="shared" si="195"/>
        <v/>
      </c>
    </row>
    <row r="12466" spans="1:1" x14ac:dyDescent="0.25">
      <c r="A12466" t="str">
        <f t="shared" si="195"/>
        <v/>
      </c>
    </row>
    <row r="12467" spans="1:1" x14ac:dyDescent="0.25">
      <c r="A12467" t="str">
        <f t="shared" si="195"/>
        <v/>
      </c>
    </row>
    <row r="12468" spans="1:1" x14ac:dyDescent="0.25">
      <c r="A12468" t="str">
        <f t="shared" si="195"/>
        <v/>
      </c>
    </row>
    <row r="12469" spans="1:1" x14ac:dyDescent="0.25">
      <c r="A12469" t="str">
        <f t="shared" ref="A12469:A12532" si="196">B12467&amp;D12467</f>
        <v/>
      </c>
    </row>
    <row r="12470" spans="1:1" x14ac:dyDescent="0.25">
      <c r="A12470" t="str">
        <f t="shared" si="196"/>
        <v/>
      </c>
    </row>
    <row r="12471" spans="1:1" x14ac:dyDescent="0.25">
      <c r="A12471" t="str">
        <f t="shared" si="196"/>
        <v/>
      </c>
    </row>
    <row r="12472" spans="1:1" x14ac:dyDescent="0.25">
      <c r="A12472" t="str">
        <f t="shared" si="196"/>
        <v/>
      </c>
    </row>
    <row r="12473" spans="1:1" x14ac:dyDescent="0.25">
      <c r="A12473" t="str">
        <f t="shared" si="196"/>
        <v/>
      </c>
    </row>
    <row r="12474" spans="1:1" x14ac:dyDescent="0.25">
      <c r="A12474" t="str">
        <f t="shared" si="196"/>
        <v/>
      </c>
    </row>
    <row r="12475" spans="1:1" x14ac:dyDescent="0.25">
      <c r="A12475" t="str">
        <f t="shared" si="196"/>
        <v/>
      </c>
    </row>
    <row r="12476" spans="1:1" x14ac:dyDescent="0.25">
      <c r="A12476" t="str">
        <f t="shared" si="196"/>
        <v/>
      </c>
    </row>
    <row r="12477" spans="1:1" x14ac:dyDescent="0.25">
      <c r="A12477" t="str">
        <f t="shared" si="196"/>
        <v/>
      </c>
    </row>
    <row r="12478" spans="1:1" x14ac:dyDescent="0.25">
      <c r="A12478" t="str">
        <f t="shared" si="196"/>
        <v/>
      </c>
    </row>
    <row r="12479" spans="1:1" x14ac:dyDescent="0.25">
      <c r="A12479" t="str">
        <f t="shared" si="196"/>
        <v/>
      </c>
    </row>
    <row r="12480" spans="1:1" x14ac:dyDescent="0.25">
      <c r="A12480" t="str">
        <f t="shared" si="196"/>
        <v/>
      </c>
    </row>
    <row r="12481" spans="1:1" x14ac:dyDescent="0.25">
      <c r="A12481" t="str">
        <f t="shared" si="196"/>
        <v/>
      </c>
    </row>
    <row r="12482" spans="1:1" x14ac:dyDescent="0.25">
      <c r="A12482" t="str">
        <f t="shared" si="196"/>
        <v/>
      </c>
    </row>
    <row r="12483" spans="1:1" x14ac:dyDescent="0.25">
      <c r="A12483" t="str">
        <f t="shared" si="196"/>
        <v/>
      </c>
    </row>
    <row r="12484" spans="1:1" x14ac:dyDescent="0.25">
      <c r="A12484" t="str">
        <f t="shared" si="196"/>
        <v/>
      </c>
    </row>
    <row r="12485" spans="1:1" x14ac:dyDescent="0.25">
      <c r="A12485" t="str">
        <f t="shared" si="196"/>
        <v/>
      </c>
    </row>
    <row r="12486" spans="1:1" x14ac:dyDescent="0.25">
      <c r="A12486" t="str">
        <f t="shared" si="196"/>
        <v/>
      </c>
    </row>
    <row r="12487" spans="1:1" x14ac:dyDescent="0.25">
      <c r="A12487" t="str">
        <f t="shared" si="196"/>
        <v/>
      </c>
    </row>
    <row r="12488" spans="1:1" x14ac:dyDescent="0.25">
      <c r="A12488" t="str">
        <f t="shared" si="196"/>
        <v/>
      </c>
    </row>
    <row r="12489" spans="1:1" x14ac:dyDescent="0.25">
      <c r="A12489" t="str">
        <f t="shared" si="196"/>
        <v/>
      </c>
    </row>
    <row r="12490" spans="1:1" x14ac:dyDescent="0.25">
      <c r="A12490" t="str">
        <f t="shared" si="196"/>
        <v/>
      </c>
    </row>
    <row r="12491" spans="1:1" x14ac:dyDescent="0.25">
      <c r="A12491" t="str">
        <f t="shared" si="196"/>
        <v/>
      </c>
    </row>
    <row r="12492" spans="1:1" x14ac:dyDescent="0.25">
      <c r="A12492" t="str">
        <f t="shared" si="196"/>
        <v/>
      </c>
    </row>
    <row r="12493" spans="1:1" x14ac:dyDescent="0.25">
      <c r="A12493" t="str">
        <f t="shared" si="196"/>
        <v/>
      </c>
    </row>
    <row r="12494" spans="1:1" x14ac:dyDescent="0.25">
      <c r="A12494" t="str">
        <f t="shared" si="196"/>
        <v/>
      </c>
    </row>
    <row r="12495" spans="1:1" x14ac:dyDescent="0.25">
      <c r="A12495" t="str">
        <f t="shared" si="196"/>
        <v/>
      </c>
    </row>
    <row r="12496" spans="1:1" x14ac:dyDescent="0.25">
      <c r="A12496" t="str">
        <f t="shared" si="196"/>
        <v/>
      </c>
    </row>
    <row r="12497" spans="1:1" x14ac:dyDescent="0.25">
      <c r="A12497" t="str">
        <f t="shared" si="196"/>
        <v/>
      </c>
    </row>
    <row r="12498" spans="1:1" x14ac:dyDescent="0.25">
      <c r="A12498" t="str">
        <f t="shared" si="196"/>
        <v/>
      </c>
    </row>
    <row r="12499" spans="1:1" x14ac:dyDescent="0.25">
      <c r="A12499" t="str">
        <f t="shared" si="196"/>
        <v/>
      </c>
    </row>
    <row r="12500" spans="1:1" x14ac:dyDescent="0.25">
      <c r="A12500" t="str">
        <f t="shared" si="196"/>
        <v/>
      </c>
    </row>
    <row r="12501" spans="1:1" x14ac:dyDescent="0.25">
      <c r="A12501" t="str">
        <f t="shared" si="196"/>
        <v/>
      </c>
    </row>
    <row r="12502" spans="1:1" x14ac:dyDescent="0.25">
      <c r="A12502" t="str">
        <f t="shared" si="196"/>
        <v/>
      </c>
    </row>
    <row r="12503" spans="1:1" x14ac:dyDescent="0.25">
      <c r="A12503" t="str">
        <f t="shared" si="196"/>
        <v/>
      </c>
    </row>
    <row r="12504" spans="1:1" x14ac:dyDescent="0.25">
      <c r="A12504" t="str">
        <f t="shared" si="196"/>
        <v/>
      </c>
    </row>
    <row r="12505" spans="1:1" x14ac:dyDescent="0.25">
      <c r="A12505" t="str">
        <f t="shared" si="196"/>
        <v/>
      </c>
    </row>
    <row r="12506" spans="1:1" x14ac:dyDescent="0.25">
      <c r="A12506" t="str">
        <f t="shared" si="196"/>
        <v/>
      </c>
    </row>
    <row r="12507" spans="1:1" x14ac:dyDescent="0.25">
      <c r="A12507" t="str">
        <f t="shared" si="196"/>
        <v/>
      </c>
    </row>
    <row r="12508" spans="1:1" x14ac:dyDescent="0.25">
      <c r="A12508" t="str">
        <f t="shared" si="196"/>
        <v/>
      </c>
    </row>
    <row r="12509" spans="1:1" x14ac:dyDescent="0.25">
      <c r="A12509" t="str">
        <f t="shared" si="196"/>
        <v/>
      </c>
    </row>
    <row r="12510" spans="1:1" x14ac:dyDescent="0.25">
      <c r="A12510" t="str">
        <f t="shared" si="196"/>
        <v/>
      </c>
    </row>
    <row r="12511" spans="1:1" x14ac:dyDescent="0.25">
      <c r="A12511" t="str">
        <f t="shared" si="196"/>
        <v/>
      </c>
    </row>
    <row r="12512" spans="1:1" x14ac:dyDescent="0.25">
      <c r="A12512" t="str">
        <f t="shared" si="196"/>
        <v/>
      </c>
    </row>
    <row r="12513" spans="1:1" x14ac:dyDescent="0.25">
      <c r="A12513" t="str">
        <f t="shared" si="196"/>
        <v/>
      </c>
    </row>
    <row r="12514" spans="1:1" x14ac:dyDescent="0.25">
      <c r="A12514" t="str">
        <f t="shared" si="196"/>
        <v/>
      </c>
    </row>
    <row r="12515" spans="1:1" x14ac:dyDescent="0.25">
      <c r="A12515" t="str">
        <f t="shared" si="196"/>
        <v/>
      </c>
    </row>
    <row r="12516" spans="1:1" x14ac:dyDescent="0.25">
      <c r="A12516" t="str">
        <f t="shared" si="196"/>
        <v/>
      </c>
    </row>
    <row r="12517" spans="1:1" x14ac:dyDescent="0.25">
      <c r="A12517" t="str">
        <f t="shared" si="196"/>
        <v/>
      </c>
    </row>
    <row r="12518" spans="1:1" x14ac:dyDescent="0.25">
      <c r="A12518" t="str">
        <f t="shared" si="196"/>
        <v/>
      </c>
    </row>
    <row r="12519" spans="1:1" x14ac:dyDescent="0.25">
      <c r="A12519" t="str">
        <f t="shared" si="196"/>
        <v/>
      </c>
    </row>
    <row r="12520" spans="1:1" x14ac:dyDescent="0.25">
      <c r="A12520" t="str">
        <f t="shared" si="196"/>
        <v/>
      </c>
    </row>
    <row r="12521" spans="1:1" x14ac:dyDescent="0.25">
      <c r="A12521" t="str">
        <f t="shared" si="196"/>
        <v/>
      </c>
    </row>
    <row r="12522" spans="1:1" x14ac:dyDescent="0.25">
      <c r="A12522" t="str">
        <f t="shared" si="196"/>
        <v/>
      </c>
    </row>
    <row r="12523" spans="1:1" x14ac:dyDescent="0.25">
      <c r="A12523" t="str">
        <f t="shared" si="196"/>
        <v/>
      </c>
    </row>
    <row r="12524" spans="1:1" x14ac:dyDescent="0.25">
      <c r="A12524" t="str">
        <f t="shared" si="196"/>
        <v/>
      </c>
    </row>
    <row r="12525" spans="1:1" x14ac:dyDescent="0.25">
      <c r="A12525" t="str">
        <f t="shared" si="196"/>
        <v/>
      </c>
    </row>
    <row r="12526" spans="1:1" x14ac:dyDescent="0.25">
      <c r="A12526" t="str">
        <f t="shared" si="196"/>
        <v/>
      </c>
    </row>
    <row r="12527" spans="1:1" x14ac:dyDescent="0.25">
      <c r="A12527" t="str">
        <f t="shared" si="196"/>
        <v/>
      </c>
    </row>
    <row r="12528" spans="1:1" x14ac:dyDescent="0.25">
      <c r="A12528" t="str">
        <f t="shared" si="196"/>
        <v/>
      </c>
    </row>
    <row r="12529" spans="1:1" x14ac:dyDescent="0.25">
      <c r="A12529" t="str">
        <f t="shared" si="196"/>
        <v/>
      </c>
    </row>
    <row r="12530" spans="1:1" x14ac:dyDescent="0.25">
      <c r="A12530" t="str">
        <f t="shared" si="196"/>
        <v/>
      </c>
    </row>
    <row r="12531" spans="1:1" x14ac:dyDescent="0.25">
      <c r="A12531" t="str">
        <f t="shared" si="196"/>
        <v/>
      </c>
    </row>
    <row r="12532" spans="1:1" x14ac:dyDescent="0.25">
      <c r="A12532" t="str">
        <f t="shared" si="196"/>
        <v/>
      </c>
    </row>
    <row r="12533" spans="1:1" x14ac:dyDescent="0.25">
      <c r="A12533" t="str">
        <f t="shared" ref="A12533:A12551" si="197">B12531&amp;D12531</f>
        <v/>
      </c>
    </row>
    <row r="12534" spans="1:1" x14ac:dyDescent="0.25">
      <c r="A12534" t="str">
        <f t="shared" si="197"/>
        <v/>
      </c>
    </row>
    <row r="12535" spans="1:1" x14ac:dyDescent="0.25">
      <c r="A12535" t="str">
        <f t="shared" si="197"/>
        <v/>
      </c>
    </row>
    <row r="12536" spans="1:1" x14ac:dyDescent="0.25">
      <c r="A12536" t="str">
        <f t="shared" si="197"/>
        <v/>
      </c>
    </row>
    <row r="12537" spans="1:1" x14ac:dyDescent="0.25">
      <c r="A12537" t="str">
        <f t="shared" si="197"/>
        <v/>
      </c>
    </row>
    <row r="12538" spans="1:1" x14ac:dyDescent="0.25">
      <c r="A12538" t="str">
        <f t="shared" si="197"/>
        <v/>
      </c>
    </row>
    <row r="12539" spans="1:1" x14ac:dyDescent="0.25">
      <c r="A12539" t="str">
        <f t="shared" si="197"/>
        <v/>
      </c>
    </row>
    <row r="12540" spans="1:1" x14ac:dyDescent="0.25">
      <c r="A12540" t="str">
        <f t="shared" si="197"/>
        <v/>
      </c>
    </row>
    <row r="12541" spans="1:1" x14ac:dyDescent="0.25">
      <c r="A12541" t="str">
        <f t="shared" si="197"/>
        <v/>
      </c>
    </row>
    <row r="12542" spans="1:1" x14ac:dyDescent="0.25">
      <c r="A12542" t="str">
        <f t="shared" si="197"/>
        <v/>
      </c>
    </row>
    <row r="12543" spans="1:1" x14ac:dyDescent="0.25">
      <c r="A12543" t="str">
        <f t="shared" si="197"/>
        <v/>
      </c>
    </row>
    <row r="12544" spans="1:1" x14ac:dyDescent="0.25">
      <c r="A12544" t="str">
        <f t="shared" si="197"/>
        <v/>
      </c>
    </row>
    <row r="12545" spans="1:1" x14ac:dyDescent="0.25">
      <c r="A12545" t="str">
        <f t="shared" si="197"/>
        <v/>
      </c>
    </row>
    <row r="12546" spans="1:1" x14ac:dyDescent="0.25">
      <c r="A12546" t="str">
        <f t="shared" si="197"/>
        <v/>
      </c>
    </row>
    <row r="12547" spans="1:1" x14ac:dyDescent="0.25">
      <c r="A12547" t="str">
        <f t="shared" si="197"/>
        <v/>
      </c>
    </row>
    <row r="12548" spans="1:1" x14ac:dyDescent="0.25">
      <c r="A12548" t="str">
        <f t="shared" si="197"/>
        <v/>
      </c>
    </row>
    <row r="12549" spans="1:1" x14ac:dyDescent="0.25">
      <c r="A12549" t="str">
        <f t="shared" si="197"/>
        <v/>
      </c>
    </row>
    <row r="12550" spans="1:1" x14ac:dyDescent="0.25">
      <c r="A12550" t="str">
        <f t="shared" si="197"/>
        <v/>
      </c>
    </row>
    <row r="12551" spans="1:1" x14ac:dyDescent="0.25">
      <c r="A12551" t="str">
        <f t="shared" si="197"/>
        <v/>
      </c>
    </row>
  </sheetData>
  <autoFilter ref="A5:S2937" xr:uid="{00000000-0001-0000-0400-000000000000}"/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106" t="s">
        <v>166</v>
      </c>
      <c r="B3" s="105" t="s">
        <v>869</v>
      </c>
      <c r="C3" s="105">
        <v>65501387259</v>
      </c>
      <c r="D3" s="107" t="s">
        <v>42</v>
      </c>
      <c r="E3" s="108">
        <v>31054.78</v>
      </c>
      <c r="F3" s="109">
        <v>0</v>
      </c>
      <c r="G3" s="109">
        <v>31054.78</v>
      </c>
      <c r="H3" s="110" t="s">
        <v>870</v>
      </c>
      <c r="I3" s="104">
        <v>44960.684398148151</v>
      </c>
    </row>
    <row r="4" spans="1:13" x14ac:dyDescent="0.25">
      <c r="A4" s="106"/>
      <c r="B4" s="105"/>
      <c r="C4" s="105"/>
      <c r="D4" s="107"/>
      <c r="E4" s="108"/>
      <c r="F4" s="109"/>
      <c r="G4" s="109"/>
      <c r="H4" s="110"/>
      <c r="I4" s="104"/>
    </row>
    <row r="5" spans="1:13" ht="26.25" x14ac:dyDescent="0.25">
      <c r="A5" s="106" t="s">
        <v>166</v>
      </c>
      <c r="B5" s="105" t="s">
        <v>869</v>
      </c>
      <c r="C5" s="105">
        <v>1033796</v>
      </c>
      <c r="D5" s="107" t="s">
        <v>871</v>
      </c>
      <c r="E5" s="108">
        <v>-647.04999999999995</v>
      </c>
      <c r="F5" s="109">
        <v>0</v>
      </c>
      <c r="G5" s="109">
        <v>-647.04999999999995</v>
      </c>
      <c r="H5" s="110" t="s">
        <v>872</v>
      </c>
      <c r="I5" s="104">
        <v>44970.614108796297</v>
      </c>
      <c r="L5" s="2" t="s">
        <v>19</v>
      </c>
      <c r="M5" t="s">
        <v>143</v>
      </c>
    </row>
    <row r="6" spans="1:13" x14ac:dyDescent="0.25">
      <c r="A6" s="106" t="s">
        <v>166</v>
      </c>
      <c r="B6" s="105" t="s">
        <v>869</v>
      </c>
      <c r="C6" s="105">
        <v>80820</v>
      </c>
      <c r="D6" s="107" t="s">
        <v>211</v>
      </c>
      <c r="E6" s="108">
        <v>-18704512.940000001</v>
      </c>
      <c r="F6" s="109">
        <v>0</v>
      </c>
      <c r="G6" s="109">
        <v>-18704512.940000001</v>
      </c>
      <c r="H6" s="110" t="s">
        <v>873</v>
      </c>
      <c r="I6" s="104">
        <v>45169</v>
      </c>
      <c r="L6" s="3">
        <v>2000182</v>
      </c>
      <c r="M6" s="126">
        <v>3</v>
      </c>
    </row>
    <row r="7" spans="1:13" x14ac:dyDescent="0.25">
      <c r="A7" s="106" t="s">
        <v>166</v>
      </c>
      <c r="B7" s="105" t="s">
        <v>869</v>
      </c>
      <c r="C7" s="105">
        <v>154702</v>
      </c>
      <c r="D7" s="107" t="s">
        <v>40</v>
      </c>
      <c r="E7" s="108">
        <v>-103140348.26000001</v>
      </c>
      <c r="F7" s="109">
        <v>0</v>
      </c>
      <c r="G7" s="109">
        <v>-103140348.26000001</v>
      </c>
      <c r="H7" s="110" t="s">
        <v>873</v>
      </c>
      <c r="I7" s="104">
        <v>45169</v>
      </c>
      <c r="L7" s="3">
        <v>2000183</v>
      </c>
      <c r="M7" s="126">
        <v>3</v>
      </c>
    </row>
    <row r="8" spans="1:13" ht="39" x14ac:dyDescent="0.25">
      <c r="A8" s="106" t="s">
        <v>198</v>
      </c>
      <c r="B8" s="105" t="s">
        <v>869</v>
      </c>
      <c r="C8" s="105">
        <v>2000569</v>
      </c>
      <c r="D8" s="107" t="s">
        <v>874</v>
      </c>
      <c r="E8" s="108">
        <v>2069057.89</v>
      </c>
      <c r="F8" s="109">
        <v>0</v>
      </c>
      <c r="G8" s="109">
        <v>2069057.89</v>
      </c>
      <c r="H8" s="110" t="s">
        <v>870</v>
      </c>
      <c r="I8" s="104">
        <v>45274.764606481483</v>
      </c>
      <c r="L8" s="3">
        <v>2000423</v>
      </c>
      <c r="M8" s="126">
        <v>3</v>
      </c>
    </row>
    <row r="9" spans="1:13" ht="39" x14ac:dyDescent="0.25">
      <c r="A9" s="106" t="s">
        <v>166</v>
      </c>
      <c r="B9" s="105" t="s">
        <v>869</v>
      </c>
      <c r="C9" s="105">
        <v>65501387259</v>
      </c>
      <c r="D9" s="107" t="s">
        <v>42</v>
      </c>
      <c r="E9" s="108">
        <v>-604601.4</v>
      </c>
      <c r="F9" s="109">
        <v>0</v>
      </c>
      <c r="G9" s="109">
        <v>-604601.4</v>
      </c>
      <c r="H9" s="110" t="s">
        <v>870</v>
      </c>
      <c r="I9" s="104">
        <v>45224.769814814812</v>
      </c>
      <c r="L9" s="3">
        <v>2000424</v>
      </c>
      <c r="M9" s="126">
        <v>3</v>
      </c>
    </row>
    <row r="10" spans="1:13" ht="45" x14ac:dyDescent="0.25">
      <c r="A10" s="106" t="s">
        <v>198</v>
      </c>
      <c r="B10" s="105" t="s">
        <v>869</v>
      </c>
      <c r="C10" s="102">
        <v>2000569</v>
      </c>
      <c r="D10" s="101" t="s">
        <v>874</v>
      </c>
      <c r="E10" s="100">
        <v>2061277.72</v>
      </c>
      <c r="F10" s="100">
        <v>0</v>
      </c>
      <c r="G10" s="100">
        <v>2061277.72</v>
      </c>
      <c r="H10" s="103" t="s">
        <v>870</v>
      </c>
      <c r="I10" s="104">
        <v>45282.33556712963</v>
      </c>
      <c r="L10" s="3">
        <v>2000569</v>
      </c>
      <c r="M10" s="126">
        <v>10</v>
      </c>
    </row>
    <row r="11" spans="1:13" ht="45" x14ac:dyDescent="0.25">
      <c r="A11" s="106" t="s">
        <v>198</v>
      </c>
      <c r="B11" s="105" t="s">
        <v>869</v>
      </c>
      <c r="C11" s="102">
        <v>2000569</v>
      </c>
      <c r="D11" s="101" t="s">
        <v>874</v>
      </c>
      <c r="E11" s="100">
        <v>2038359.8</v>
      </c>
      <c r="F11" s="100">
        <v>0</v>
      </c>
      <c r="G11" s="100">
        <v>2038359.8</v>
      </c>
      <c r="H11" s="103" t="s">
        <v>870</v>
      </c>
      <c r="I11" s="104">
        <v>45294.744791666664</v>
      </c>
      <c r="L11" s="3">
        <v>2000722</v>
      </c>
      <c r="M11" s="126">
        <v>32</v>
      </c>
    </row>
    <row r="12" spans="1:13" ht="45" x14ac:dyDescent="0.25">
      <c r="A12" s="106" t="s">
        <v>198</v>
      </c>
      <c r="B12" s="105" t="s">
        <v>869</v>
      </c>
      <c r="C12" s="102">
        <v>2000569</v>
      </c>
      <c r="D12" s="101" t="s">
        <v>874</v>
      </c>
      <c r="E12" s="100">
        <v>1960623.51</v>
      </c>
      <c r="F12" s="100">
        <v>0</v>
      </c>
      <c r="G12" s="100">
        <v>1960623.51</v>
      </c>
      <c r="H12" s="103" t="s">
        <v>870</v>
      </c>
      <c r="I12" s="104">
        <v>45303</v>
      </c>
      <c r="L12" s="3" t="s">
        <v>20</v>
      </c>
      <c r="M12" s="126"/>
    </row>
    <row r="13" spans="1:13" ht="45" x14ac:dyDescent="0.25">
      <c r="A13" s="106" t="s">
        <v>198</v>
      </c>
      <c r="B13" s="105" t="s">
        <v>869</v>
      </c>
      <c r="C13" s="102">
        <v>2000569</v>
      </c>
      <c r="D13" s="101" t="s">
        <v>874</v>
      </c>
      <c r="E13" s="100">
        <v>2170433.7200000002</v>
      </c>
      <c r="F13" s="100">
        <v>0</v>
      </c>
      <c r="G13" s="100">
        <v>2170433.7200000002</v>
      </c>
      <c r="H13" s="103" t="s">
        <v>870</v>
      </c>
      <c r="I13" s="104">
        <v>45313.723194444443</v>
      </c>
      <c r="L13" s="3">
        <v>78665</v>
      </c>
      <c r="M13" s="126">
        <v>3</v>
      </c>
    </row>
    <row r="14" spans="1:13" ht="45" x14ac:dyDescent="0.25">
      <c r="A14" s="106" t="s">
        <v>198</v>
      </c>
      <c r="B14" s="105" t="s">
        <v>869</v>
      </c>
      <c r="C14" s="102">
        <v>2000569</v>
      </c>
      <c r="D14" s="101" t="s">
        <v>874</v>
      </c>
      <c r="E14" s="100">
        <v>1942702.82</v>
      </c>
      <c r="F14" s="100">
        <v>0</v>
      </c>
      <c r="G14" s="100">
        <v>1942702.82</v>
      </c>
      <c r="H14" s="103" t="s">
        <v>870</v>
      </c>
      <c r="I14" s="104">
        <v>45324.64267361111</v>
      </c>
      <c r="L14" s="3">
        <v>1012259</v>
      </c>
      <c r="M14" s="126">
        <v>3</v>
      </c>
    </row>
    <row r="15" spans="1:13" ht="45" x14ac:dyDescent="0.25">
      <c r="A15" s="106" t="s">
        <v>198</v>
      </c>
      <c r="B15" s="105" t="s">
        <v>869</v>
      </c>
      <c r="C15" s="102">
        <v>2000569</v>
      </c>
      <c r="D15" s="101" t="s">
        <v>874</v>
      </c>
      <c r="E15" s="100">
        <v>-2419615.39</v>
      </c>
      <c r="F15" s="100">
        <v>0</v>
      </c>
      <c r="G15" s="100">
        <v>-2419615.39</v>
      </c>
      <c r="H15" s="103" t="s">
        <v>870</v>
      </c>
      <c r="I15" s="104">
        <v>45335.711076388892</v>
      </c>
      <c r="L15" s="3">
        <v>1012260</v>
      </c>
      <c r="M15" s="126">
        <v>3</v>
      </c>
    </row>
    <row r="16" spans="1:13" ht="39" x14ac:dyDescent="0.25">
      <c r="A16" s="106" t="s">
        <v>259</v>
      </c>
      <c r="B16" s="105" t="s">
        <v>869</v>
      </c>
      <c r="C16" s="105">
        <v>2000722</v>
      </c>
      <c r="D16" s="107" t="s">
        <v>875</v>
      </c>
      <c r="E16" s="108">
        <v>55020.52</v>
      </c>
      <c r="F16" s="109">
        <v>0</v>
      </c>
      <c r="G16" s="109">
        <v>55020.52</v>
      </c>
      <c r="H16" s="110" t="s">
        <v>870</v>
      </c>
      <c r="I16" s="104">
        <v>45222.748171296298</v>
      </c>
      <c r="L16" s="3">
        <v>2000216</v>
      </c>
      <c r="M16" s="126">
        <v>4</v>
      </c>
    </row>
    <row r="17" spans="1:13" ht="39" x14ac:dyDescent="0.25">
      <c r="A17" s="106" t="s">
        <v>259</v>
      </c>
      <c r="B17" s="105" t="s">
        <v>869</v>
      </c>
      <c r="C17" s="105">
        <v>2000722</v>
      </c>
      <c r="D17" s="107" t="s">
        <v>875</v>
      </c>
      <c r="E17" s="108">
        <v>-661842.36</v>
      </c>
      <c r="F17" s="109">
        <v>0</v>
      </c>
      <c r="G17" s="109">
        <v>-661842.36</v>
      </c>
      <c r="H17" s="110" t="s">
        <v>870</v>
      </c>
      <c r="I17" s="104">
        <v>45239.722141203703</v>
      </c>
      <c r="L17" s="3">
        <v>2000217</v>
      </c>
      <c r="M17" s="126">
        <v>4</v>
      </c>
    </row>
    <row r="18" spans="1:13" ht="39" x14ac:dyDescent="0.25">
      <c r="A18" s="106" t="s">
        <v>166</v>
      </c>
      <c r="B18" s="105" t="s">
        <v>869</v>
      </c>
      <c r="C18" s="105">
        <v>65501387259</v>
      </c>
      <c r="D18" s="107" t="s">
        <v>42</v>
      </c>
      <c r="E18" s="108">
        <v>331073.77</v>
      </c>
      <c r="F18" s="109">
        <v>0</v>
      </c>
      <c r="G18" s="109">
        <v>331073.77</v>
      </c>
      <c r="H18" s="110" t="s">
        <v>870</v>
      </c>
      <c r="I18" s="104">
        <v>45268.34815972222</v>
      </c>
      <c r="L18" s="3">
        <v>2000218</v>
      </c>
      <c r="M18" s="126">
        <v>4</v>
      </c>
    </row>
    <row r="19" spans="1:13" ht="39" x14ac:dyDescent="0.25">
      <c r="A19" s="106" t="s">
        <v>166</v>
      </c>
      <c r="B19" s="105" t="s">
        <v>869</v>
      </c>
      <c r="C19" s="105">
        <v>65501387259</v>
      </c>
      <c r="D19" s="107" t="s">
        <v>42</v>
      </c>
      <c r="E19" s="108">
        <v>298356.01</v>
      </c>
      <c r="F19" s="109">
        <v>0</v>
      </c>
      <c r="G19" s="109">
        <v>298356.01</v>
      </c>
      <c r="H19" s="110" t="s">
        <v>870</v>
      </c>
      <c r="I19" s="104">
        <v>45273.259189814817</v>
      </c>
      <c r="L19" s="3">
        <v>154702</v>
      </c>
      <c r="M19" s="126">
        <v>1</v>
      </c>
    </row>
    <row r="20" spans="1:13" ht="39" x14ac:dyDescent="0.25">
      <c r="A20" s="106" t="s">
        <v>259</v>
      </c>
      <c r="B20" s="105" t="s">
        <v>869</v>
      </c>
      <c r="C20" s="105">
        <v>2000722</v>
      </c>
      <c r="D20" s="107" t="s">
        <v>875</v>
      </c>
      <c r="E20" s="108">
        <v>18000</v>
      </c>
      <c r="F20" s="109">
        <v>0</v>
      </c>
      <c r="G20" s="109">
        <v>18000</v>
      </c>
      <c r="H20" s="110" t="s">
        <v>870</v>
      </c>
      <c r="I20" s="104">
        <v>45243.346273148149</v>
      </c>
      <c r="L20" s="3">
        <v>2000469</v>
      </c>
      <c r="M20" s="126">
        <v>1</v>
      </c>
    </row>
    <row r="21" spans="1:13" ht="39" x14ac:dyDescent="0.25">
      <c r="A21" s="106" t="s">
        <v>259</v>
      </c>
      <c r="B21" s="105" t="s">
        <v>869</v>
      </c>
      <c r="C21" s="105">
        <v>2000722</v>
      </c>
      <c r="D21" s="107" t="s">
        <v>875</v>
      </c>
      <c r="E21" s="108">
        <v>66863.91</v>
      </c>
      <c r="F21" s="109">
        <v>0</v>
      </c>
      <c r="G21" s="109">
        <v>66863.91</v>
      </c>
      <c r="H21" s="110" t="s">
        <v>870</v>
      </c>
      <c r="I21" s="104">
        <v>45244.735717592594</v>
      </c>
      <c r="L21" s="3">
        <v>80820</v>
      </c>
      <c r="M21" s="126">
        <v>1</v>
      </c>
    </row>
    <row r="22" spans="1:13" ht="39" x14ac:dyDescent="0.25">
      <c r="A22" s="106" t="s">
        <v>259</v>
      </c>
      <c r="B22" s="105" t="s">
        <v>869</v>
      </c>
      <c r="C22" s="105">
        <v>2000722</v>
      </c>
      <c r="D22" s="107" t="s">
        <v>875</v>
      </c>
      <c r="E22" s="108">
        <v>11670</v>
      </c>
      <c r="F22" s="109">
        <v>0</v>
      </c>
      <c r="G22" s="109">
        <v>11670</v>
      </c>
      <c r="H22" s="110" t="s">
        <v>870</v>
      </c>
      <c r="I22" s="104">
        <v>45251.771122685182</v>
      </c>
      <c r="L22" s="3">
        <v>2000219</v>
      </c>
      <c r="M22" s="126">
        <v>1</v>
      </c>
    </row>
    <row r="23" spans="1:13" ht="39" x14ac:dyDescent="0.25">
      <c r="A23" s="106" t="s">
        <v>259</v>
      </c>
      <c r="B23" s="105" t="s">
        <v>869</v>
      </c>
      <c r="C23" s="105">
        <v>2000722</v>
      </c>
      <c r="D23" s="107" t="s">
        <v>875</v>
      </c>
      <c r="E23" s="108">
        <v>82784.75</v>
      </c>
      <c r="F23" s="109">
        <v>0</v>
      </c>
      <c r="G23" s="109">
        <v>82784.75</v>
      </c>
      <c r="H23" s="110" t="s">
        <v>870</v>
      </c>
      <c r="I23" s="104">
        <v>45257.732708333337</v>
      </c>
      <c r="L23" s="3">
        <v>2000220</v>
      </c>
      <c r="M23" s="126">
        <v>1</v>
      </c>
    </row>
    <row r="24" spans="1:13" ht="39" x14ac:dyDescent="0.25">
      <c r="A24" s="106" t="s">
        <v>259</v>
      </c>
      <c r="B24" s="105" t="s">
        <v>869</v>
      </c>
      <c r="C24" s="105">
        <v>2000722</v>
      </c>
      <c r="D24" s="107" t="s">
        <v>875</v>
      </c>
      <c r="E24" s="108">
        <v>82784.75</v>
      </c>
      <c r="F24" s="109">
        <v>0</v>
      </c>
      <c r="G24" s="109">
        <v>82784.75</v>
      </c>
      <c r="H24" s="110" t="s">
        <v>870</v>
      </c>
      <c r="I24" s="104">
        <v>45257.734050925923</v>
      </c>
      <c r="L24" s="3">
        <v>2000221</v>
      </c>
      <c r="M24" s="126">
        <v>1</v>
      </c>
    </row>
    <row r="25" spans="1:13" ht="39" x14ac:dyDescent="0.25">
      <c r="A25" s="106" t="s">
        <v>259</v>
      </c>
      <c r="B25" s="105" t="s">
        <v>869</v>
      </c>
      <c r="C25" s="105">
        <v>2000722</v>
      </c>
      <c r="D25" s="107" t="s">
        <v>875</v>
      </c>
      <c r="E25" s="108">
        <v>4230.76</v>
      </c>
      <c r="F25" s="109">
        <v>0</v>
      </c>
      <c r="G25" s="109">
        <v>4230.76</v>
      </c>
      <c r="H25" s="110" t="s">
        <v>870</v>
      </c>
      <c r="I25" s="104">
        <v>45261.521643518521</v>
      </c>
      <c r="L25" s="3">
        <v>2001049</v>
      </c>
      <c r="M25" s="126">
        <v>6</v>
      </c>
    </row>
    <row r="26" spans="1:13" ht="45" x14ac:dyDescent="0.25">
      <c r="A26" s="106" t="s">
        <v>166</v>
      </c>
      <c r="B26" s="105" t="s">
        <v>869</v>
      </c>
      <c r="C26" s="102">
        <v>65501387259</v>
      </c>
      <c r="D26" s="101" t="s">
        <v>42</v>
      </c>
      <c r="E26" s="100">
        <v>434948.02</v>
      </c>
      <c r="F26" s="100">
        <v>0</v>
      </c>
      <c r="G26" s="100">
        <v>434948.02</v>
      </c>
      <c r="H26" s="103" t="s">
        <v>870</v>
      </c>
      <c r="I26" s="104">
        <v>45295.720613425925</v>
      </c>
      <c r="L26" s="3">
        <v>2001050</v>
      </c>
      <c r="M26" s="126">
        <v>1</v>
      </c>
    </row>
    <row r="27" spans="1:13" ht="39" x14ac:dyDescent="0.25">
      <c r="A27" s="111" t="s">
        <v>259</v>
      </c>
      <c r="B27" s="112" t="s">
        <v>869</v>
      </c>
      <c r="C27" s="112">
        <v>2000722</v>
      </c>
      <c r="D27" s="114" t="s">
        <v>875</v>
      </c>
      <c r="E27" s="115">
        <v>48482.13</v>
      </c>
      <c r="F27" s="116">
        <v>0</v>
      </c>
      <c r="G27" s="116">
        <v>48482.13</v>
      </c>
      <c r="H27" s="117" t="s">
        <v>870</v>
      </c>
      <c r="I27" s="113">
        <v>45268.34815972222</v>
      </c>
      <c r="L27" s="3">
        <v>2001046</v>
      </c>
      <c r="M27" s="126">
        <v>2</v>
      </c>
    </row>
    <row r="28" spans="1:13" ht="39" x14ac:dyDescent="0.25">
      <c r="A28" s="111" t="s">
        <v>259</v>
      </c>
      <c r="B28" s="112" t="s">
        <v>869</v>
      </c>
      <c r="C28" s="112">
        <v>2000722</v>
      </c>
      <c r="D28" s="114" t="s">
        <v>875</v>
      </c>
      <c r="E28" s="115">
        <v>141692.41</v>
      </c>
      <c r="F28" s="116">
        <v>0</v>
      </c>
      <c r="G28" s="116">
        <v>141692.41</v>
      </c>
      <c r="H28" s="117" t="s">
        <v>870</v>
      </c>
      <c r="I28" s="113">
        <v>45279.307141203702</v>
      </c>
      <c r="L28" s="3">
        <v>2001047</v>
      </c>
      <c r="M28" s="126">
        <v>3</v>
      </c>
    </row>
    <row r="29" spans="1:13" ht="39" x14ac:dyDescent="0.25">
      <c r="A29" s="111" t="s">
        <v>259</v>
      </c>
      <c r="B29" s="112" t="s">
        <v>869</v>
      </c>
      <c r="C29" s="112">
        <v>2000722</v>
      </c>
      <c r="D29" s="114" t="s">
        <v>875</v>
      </c>
      <c r="E29" s="115">
        <v>-350095.95</v>
      </c>
      <c r="F29" s="116">
        <v>0</v>
      </c>
      <c r="G29" s="116">
        <v>-350095.95</v>
      </c>
      <c r="H29" s="117" t="s">
        <v>870</v>
      </c>
      <c r="I29" s="113">
        <v>45280.642743055556</v>
      </c>
      <c r="L29" s="3">
        <v>65501387259</v>
      </c>
      <c r="M29" s="126">
        <v>11</v>
      </c>
    </row>
    <row r="30" spans="1:13" ht="45" x14ac:dyDescent="0.25">
      <c r="A30" s="106" t="s">
        <v>259</v>
      </c>
      <c r="B30" s="105" t="s">
        <v>869</v>
      </c>
      <c r="C30" s="102">
        <v>2000722</v>
      </c>
      <c r="D30" s="101" t="s">
        <v>875</v>
      </c>
      <c r="E30" s="100">
        <v>62651.09</v>
      </c>
      <c r="F30" s="100">
        <v>0</v>
      </c>
      <c r="G30" s="100">
        <v>62651.09</v>
      </c>
      <c r="H30" s="103" t="s">
        <v>870</v>
      </c>
      <c r="I30" s="104">
        <v>45294.744791666664</v>
      </c>
      <c r="L30" s="3">
        <v>1033545</v>
      </c>
      <c r="M30" s="126">
        <v>2</v>
      </c>
    </row>
    <row r="31" spans="1:13" ht="45" x14ac:dyDescent="0.25">
      <c r="A31" s="106" t="s">
        <v>166</v>
      </c>
      <c r="B31" s="105" t="s">
        <v>869</v>
      </c>
      <c r="C31" s="102">
        <v>65501387259</v>
      </c>
      <c r="D31" s="101" t="s">
        <v>42</v>
      </c>
      <c r="E31" s="100">
        <v>1817831.03</v>
      </c>
      <c r="F31" s="100">
        <v>0</v>
      </c>
      <c r="G31" s="100">
        <v>1817831.03</v>
      </c>
      <c r="H31" s="103" t="s">
        <v>870</v>
      </c>
      <c r="I31" s="104">
        <v>45303</v>
      </c>
      <c r="L31" s="3">
        <v>1033546</v>
      </c>
      <c r="M31" s="126">
        <v>2</v>
      </c>
    </row>
    <row r="32" spans="1:13" ht="45" x14ac:dyDescent="0.25">
      <c r="A32" s="106" t="s">
        <v>259</v>
      </c>
      <c r="B32" s="105" t="s">
        <v>869</v>
      </c>
      <c r="C32" s="102">
        <v>2000722</v>
      </c>
      <c r="D32" s="101" t="s">
        <v>875</v>
      </c>
      <c r="E32" s="100">
        <v>-87534.38</v>
      </c>
      <c r="F32" s="100">
        <v>0</v>
      </c>
      <c r="G32" s="100">
        <v>-87534.38</v>
      </c>
      <c r="H32" s="103" t="s">
        <v>870</v>
      </c>
      <c r="I32" s="104">
        <v>45299.7497337963</v>
      </c>
      <c r="L32" s="3">
        <v>1033796</v>
      </c>
      <c r="M32" s="126">
        <v>1</v>
      </c>
    </row>
    <row r="33" spans="1:13" ht="45" x14ac:dyDescent="0.25">
      <c r="A33" s="106" t="s">
        <v>166</v>
      </c>
      <c r="B33" s="105" t="s">
        <v>869</v>
      </c>
      <c r="C33" s="102">
        <v>65501387259</v>
      </c>
      <c r="D33" s="101" t="s">
        <v>42</v>
      </c>
      <c r="E33" s="100">
        <v>51199.7</v>
      </c>
      <c r="F33" s="100">
        <v>0</v>
      </c>
      <c r="G33" s="100">
        <v>51199.7</v>
      </c>
      <c r="H33" s="103" t="s">
        <v>870</v>
      </c>
      <c r="I33" s="104">
        <v>45307.751886574071</v>
      </c>
      <c r="L33" s="3">
        <v>65507528400</v>
      </c>
      <c r="M33" s="126">
        <v>1</v>
      </c>
    </row>
    <row r="34" spans="1:13" ht="45" x14ac:dyDescent="0.25">
      <c r="A34" s="106" t="s">
        <v>259</v>
      </c>
      <c r="B34" s="105" t="s">
        <v>869</v>
      </c>
      <c r="C34" s="102">
        <v>2000722</v>
      </c>
      <c r="D34" s="101" t="s">
        <v>875</v>
      </c>
      <c r="E34" s="100">
        <v>-623994.22</v>
      </c>
      <c r="F34" s="100">
        <v>0</v>
      </c>
      <c r="G34" s="100">
        <v>-623994.22</v>
      </c>
      <c r="H34" s="103" t="s">
        <v>870</v>
      </c>
      <c r="I34" s="104">
        <v>45300.750601851854</v>
      </c>
      <c r="L34" s="3">
        <v>65507671187</v>
      </c>
      <c r="M34" s="126">
        <v>1</v>
      </c>
    </row>
    <row r="35" spans="1:13" ht="45" x14ac:dyDescent="0.25">
      <c r="A35" s="106" t="s">
        <v>259</v>
      </c>
      <c r="B35" s="105" t="s">
        <v>869</v>
      </c>
      <c r="C35" s="102">
        <v>2000722</v>
      </c>
      <c r="D35" s="101" t="s">
        <v>875</v>
      </c>
      <c r="E35" s="100">
        <v>-208800</v>
      </c>
      <c r="F35" s="100">
        <v>0</v>
      </c>
      <c r="G35" s="100">
        <v>-208800</v>
      </c>
      <c r="H35" s="103" t="s">
        <v>870</v>
      </c>
      <c r="I35" s="104">
        <v>45301.738877314812</v>
      </c>
      <c r="L35" s="3">
        <v>65507684389</v>
      </c>
      <c r="M35" s="126">
        <v>1</v>
      </c>
    </row>
    <row r="36" spans="1:13" ht="45" x14ac:dyDescent="0.25">
      <c r="A36" s="106" t="s">
        <v>259</v>
      </c>
      <c r="B36" s="105" t="s">
        <v>869</v>
      </c>
      <c r="C36" s="102">
        <v>2000722</v>
      </c>
      <c r="D36" s="101" t="s">
        <v>875</v>
      </c>
      <c r="E36" s="100">
        <v>6156.73</v>
      </c>
      <c r="F36" s="100">
        <v>0</v>
      </c>
      <c r="G36" s="100">
        <v>6156.73</v>
      </c>
      <c r="H36" s="103" t="s">
        <v>870</v>
      </c>
      <c r="I36" s="104">
        <v>45306.745381944442</v>
      </c>
      <c r="L36" s="3">
        <v>1037090</v>
      </c>
      <c r="M36" s="126">
        <v>1</v>
      </c>
    </row>
    <row r="37" spans="1:13" ht="45" x14ac:dyDescent="0.25">
      <c r="A37" s="106" t="s">
        <v>259</v>
      </c>
      <c r="B37" s="105" t="s">
        <v>869</v>
      </c>
      <c r="C37" s="102">
        <v>2000722</v>
      </c>
      <c r="D37" s="101" t="s">
        <v>875</v>
      </c>
      <c r="E37" s="100">
        <v>3639.06</v>
      </c>
      <c r="F37" s="100">
        <v>0</v>
      </c>
      <c r="G37" s="100">
        <v>3639.06</v>
      </c>
      <c r="H37" s="103" t="s">
        <v>870</v>
      </c>
      <c r="I37" s="104">
        <v>45308</v>
      </c>
      <c r="L37" s="3">
        <v>1037124</v>
      </c>
      <c r="M37" s="126">
        <v>1</v>
      </c>
    </row>
    <row r="38" spans="1:13" ht="45" x14ac:dyDescent="0.25">
      <c r="A38" s="106" t="s">
        <v>259</v>
      </c>
      <c r="B38" s="105" t="s">
        <v>869</v>
      </c>
      <c r="C38" s="102">
        <v>2000722</v>
      </c>
      <c r="D38" s="101" t="s">
        <v>875</v>
      </c>
      <c r="E38" s="100">
        <v>-658792.95999999996</v>
      </c>
      <c r="F38" s="100">
        <v>0</v>
      </c>
      <c r="G38" s="100">
        <v>-658792.95999999996</v>
      </c>
      <c r="H38" s="103" t="s">
        <v>870</v>
      </c>
      <c r="I38" s="104">
        <v>45313.723194444443</v>
      </c>
      <c r="L38" s="3">
        <v>1037085</v>
      </c>
      <c r="M38" s="126">
        <v>1</v>
      </c>
    </row>
    <row r="39" spans="1:13" ht="45" x14ac:dyDescent="0.25">
      <c r="A39" s="106" t="s">
        <v>259</v>
      </c>
      <c r="B39" s="105" t="s">
        <v>869</v>
      </c>
      <c r="C39" s="102">
        <v>2000722</v>
      </c>
      <c r="D39" s="101" t="s">
        <v>875</v>
      </c>
      <c r="E39" s="100">
        <v>90000</v>
      </c>
      <c r="F39" s="100">
        <v>0</v>
      </c>
      <c r="G39" s="100">
        <v>90000</v>
      </c>
      <c r="H39" s="103" t="s">
        <v>870</v>
      </c>
      <c r="I39" s="104">
        <v>45315.72724537037</v>
      </c>
      <c r="L39" s="3">
        <v>1037117</v>
      </c>
      <c r="M39" s="126">
        <v>1</v>
      </c>
    </row>
    <row r="40" spans="1:13" ht="45" x14ac:dyDescent="0.25">
      <c r="A40" s="106" t="s">
        <v>259</v>
      </c>
      <c r="B40" s="105" t="s">
        <v>869</v>
      </c>
      <c r="C40" s="102">
        <v>2000722</v>
      </c>
      <c r="D40" s="101" t="s">
        <v>875</v>
      </c>
      <c r="E40" s="100">
        <v>70000</v>
      </c>
      <c r="F40" s="100">
        <v>0</v>
      </c>
      <c r="G40" s="100">
        <v>70000</v>
      </c>
      <c r="H40" s="103" t="s">
        <v>870</v>
      </c>
      <c r="I40" s="104">
        <v>45320.753587962965</v>
      </c>
      <c r="L40" s="3">
        <v>1037086</v>
      </c>
      <c r="M40" s="126">
        <v>1</v>
      </c>
    </row>
    <row r="41" spans="1:13" ht="45" x14ac:dyDescent="0.25">
      <c r="A41" s="106" t="s">
        <v>166</v>
      </c>
      <c r="B41" s="105" t="s">
        <v>869</v>
      </c>
      <c r="C41" s="102">
        <v>65501387259</v>
      </c>
      <c r="D41" s="101" t="s">
        <v>42</v>
      </c>
      <c r="E41" s="100">
        <v>109453.71</v>
      </c>
      <c r="F41" s="100">
        <v>0</v>
      </c>
      <c r="G41" s="100">
        <v>109453.71</v>
      </c>
      <c r="H41" s="103" t="s">
        <v>870</v>
      </c>
      <c r="I41" s="104">
        <v>45330.726481481484</v>
      </c>
      <c r="L41" s="3">
        <v>1037113</v>
      </c>
      <c r="M41" s="126">
        <v>1</v>
      </c>
    </row>
    <row r="42" spans="1:13" ht="45" x14ac:dyDescent="0.25">
      <c r="A42" s="106" t="s">
        <v>259</v>
      </c>
      <c r="B42" s="105" t="s">
        <v>869</v>
      </c>
      <c r="C42" s="102">
        <v>2000722</v>
      </c>
      <c r="D42" s="101" t="s">
        <v>875</v>
      </c>
      <c r="E42" s="100">
        <v>13461.52</v>
      </c>
      <c r="F42" s="100">
        <v>0</v>
      </c>
      <c r="G42" s="100">
        <v>13461.52</v>
      </c>
      <c r="H42" s="103" t="s">
        <v>870</v>
      </c>
      <c r="I42" s="104">
        <v>45323.720520833333</v>
      </c>
      <c r="L42" s="3">
        <v>1037118</v>
      </c>
      <c r="M42" s="126">
        <v>1</v>
      </c>
    </row>
    <row r="43" spans="1:13" ht="45" x14ac:dyDescent="0.25">
      <c r="A43" s="106" t="s">
        <v>259</v>
      </c>
      <c r="B43" s="105" t="s">
        <v>869</v>
      </c>
      <c r="C43" s="102">
        <v>2000722</v>
      </c>
      <c r="D43" s="101" t="s">
        <v>875</v>
      </c>
      <c r="E43" s="100">
        <v>18999.98</v>
      </c>
      <c r="F43" s="100">
        <v>0</v>
      </c>
      <c r="G43" s="100">
        <v>18999.98</v>
      </c>
      <c r="H43" s="103" t="s">
        <v>870</v>
      </c>
      <c r="I43" s="104">
        <v>45331.661909722221</v>
      </c>
      <c r="L43" s="3">
        <v>1000003292</v>
      </c>
      <c r="M43" s="126">
        <v>1</v>
      </c>
    </row>
    <row r="44" spans="1:13" ht="45" x14ac:dyDescent="0.25">
      <c r="A44" s="106" t="s">
        <v>259</v>
      </c>
      <c r="B44" s="105" t="s">
        <v>869</v>
      </c>
      <c r="C44" s="102">
        <v>2000722</v>
      </c>
      <c r="D44" s="101" t="s">
        <v>875</v>
      </c>
      <c r="E44" s="100">
        <v>176286.21</v>
      </c>
      <c r="F44" s="100">
        <v>0</v>
      </c>
      <c r="G44" s="100">
        <v>176286.21</v>
      </c>
      <c r="H44" s="103" t="s">
        <v>870</v>
      </c>
      <c r="I44" s="104">
        <v>45334.70952546296</v>
      </c>
      <c r="L44" s="3">
        <v>1000003297</v>
      </c>
      <c r="M44" s="126">
        <v>1</v>
      </c>
    </row>
    <row r="45" spans="1:13" ht="45" x14ac:dyDescent="0.25">
      <c r="A45" s="106" t="s">
        <v>259</v>
      </c>
      <c r="B45" s="105" t="s">
        <v>869</v>
      </c>
      <c r="C45" s="102">
        <v>2000722</v>
      </c>
      <c r="D45" s="101" t="s">
        <v>875</v>
      </c>
      <c r="E45" s="100">
        <v>10616</v>
      </c>
      <c r="F45" s="100">
        <v>0</v>
      </c>
      <c r="G45" s="100">
        <v>10616</v>
      </c>
      <c r="H45" s="103" t="s">
        <v>870</v>
      </c>
      <c r="I45" s="104">
        <v>45337.761238425926</v>
      </c>
      <c r="L45" s="3">
        <v>1000003298</v>
      </c>
      <c r="M45" s="126">
        <v>1</v>
      </c>
    </row>
    <row r="46" spans="1:13" ht="45" x14ac:dyDescent="0.25">
      <c r="A46" s="106" t="s">
        <v>259</v>
      </c>
      <c r="B46" s="105" t="s">
        <v>869</v>
      </c>
      <c r="C46" s="102">
        <v>2000722</v>
      </c>
      <c r="D46" s="101" t="s">
        <v>875</v>
      </c>
      <c r="E46" s="100">
        <v>-389115.65</v>
      </c>
      <c r="F46" s="100">
        <v>0</v>
      </c>
      <c r="G46" s="100">
        <v>-389115.65</v>
      </c>
      <c r="H46" s="103" t="s">
        <v>870</v>
      </c>
      <c r="I46" s="104">
        <v>45349.769456018519</v>
      </c>
      <c r="L46" s="3">
        <v>1000003302</v>
      </c>
      <c r="M46" s="126">
        <v>1</v>
      </c>
    </row>
    <row r="47" spans="1:13" ht="45" x14ac:dyDescent="0.25">
      <c r="A47" s="106" t="s">
        <v>259</v>
      </c>
      <c r="B47" s="105" t="s">
        <v>869</v>
      </c>
      <c r="C47" s="102">
        <v>2000722</v>
      </c>
      <c r="D47" s="101" t="s">
        <v>875</v>
      </c>
      <c r="E47" s="100">
        <v>4281</v>
      </c>
      <c r="F47" s="100">
        <v>0</v>
      </c>
      <c r="G47" s="100">
        <v>4281</v>
      </c>
      <c r="H47" s="103" t="s">
        <v>870</v>
      </c>
      <c r="I47" s="104">
        <v>45350.716168981482</v>
      </c>
      <c r="L47" s="3">
        <v>1000003293</v>
      </c>
      <c r="M47" s="126">
        <v>1</v>
      </c>
    </row>
    <row r="48" spans="1:13" ht="45" x14ac:dyDescent="0.25">
      <c r="A48" s="106" t="s">
        <v>259</v>
      </c>
      <c r="B48" s="105" t="s">
        <v>869</v>
      </c>
      <c r="C48" s="102">
        <v>2000722</v>
      </c>
      <c r="D48" s="101" t="s">
        <v>875</v>
      </c>
      <c r="E48" s="100">
        <v>4292.3599999999997</v>
      </c>
      <c r="F48" s="100">
        <v>0</v>
      </c>
      <c r="G48" s="100">
        <v>4292.3599999999997</v>
      </c>
      <c r="H48" s="103" t="s">
        <v>870</v>
      </c>
      <c r="I48" s="104">
        <v>45355.362986111111</v>
      </c>
      <c r="L48" s="3">
        <v>1000003291</v>
      </c>
      <c r="M48" s="126">
        <v>1</v>
      </c>
    </row>
    <row r="49" spans="1:13" x14ac:dyDescent="0.25">
      <c r="A49" s="106" t="s">
        <v>198</v>
      </c>
      <c r="B49" s="105" t="s">
        <v>869</v>
      </c>
      <c r="C49" s="105">
        <v>2000469</v>
      </c>
      <c r="D49" s="107" t="s">
        <v>266</v>
      </c>
      <c r="E49" s="108">
        <v>-3446505.38</v>
      </c>
      <c r="F49" s="109">
        <v>0</v>
      </c>
      <c r="G49" s="109">
        <v>-3446505.38</v>
      </c>
      <c r="H49" s="110" t="s">
        <v>876</v>
      </c>
      <c r="I49" s="104">
        <v>44922.697824074072</v>
      </c>
      <c r="L49" s="3">
        <v>1000003299</v>
      </c>
      <c r="M49" s="126">
        <v>1</v>
      </c>
    </row>
    <row r="50" spans="1:13" ht="45" x14ac:dyDescent="0.25">
      <c r="A50" s="106" t="s">
        <v>166</v>
      </c>
      <c r="B50" s="105" t="s">
        <v>869</v>
      </c>
      <c r="C50" s="102">
        <v>65501387259</v>
      </c>
      <c r="D50" s="101" t="s">
        <v>42</v>
      </c>
      <c r="E50" s="100">
        <v>268564.27</v>
      </c>
      <c r="F50" s="100">
        <v>0</v>
      </c>
      <c r="G50" s="100">
        <v>268564.27</v>
      </c>
      <c r="H50" s="103" t="s">
        <v>870</v>
      </c>
      <c r="I50" s="104">
        <v>45357.686388888891</v>
      </c>
      <c r="L50" s="3">
        <v>1000003295</v>
      </c>
      <c r="M50" s="126">
        <v>1</v>
      </c>
    </row>
    <row r="51" spans="1:13" ht="45" x14ac:dyDescent="0.25">
      <c r="A51" s="106" t="s">
        <v>198</v>
      </c>
      <c r="B51" s="105" t="s">
        <v>869</v>
      </c>
      <c r="C51" s="102">
        <v>2000569</v>
      </c>
      <c r="D51" s="101" t="s">
        <v>874</v>
      </c>
      <c r="E51" s="100">
        <v>1967081.69</v>
      </c>
      <c r="F51" s="100">
        <v>0</v>
      </c>
      <c r="G51" s="100">
        <v>1967081.69</v>
      </c>
      <c r="H51" s="103" t="s">
        <v>870</v>
      </c>
      <c r="I51" s="104">
        <v>45359.314803240741</v>
      </c>
      <c r="L51" s="3">
        <v>1000002861</v>
      </c>
      <c r="M51" s="126">
        <v>1</v>
      </c>
    </row>
    <row r="52" spans="1:13" ht="45" x14ac:dyDescent="0.25">
      <c r="A52" s="106" t="s">
        <v>259</v>
      </c>
      <c r="B52" s="105" t="s">
        <v>869</v>
      </c>
      <c r="C52" s="102">
        <v>2000722</v>
      </c>
      <c r="D52" s="101" t="s">
        <v>875</v>
      </c>
      <c r="E52" s="100">
        <v>119241.17</v>
      </c>
      <c r="F52" s="100">
        <v>0</v>
      </c>
      <c r="G52" s="100">
        <v>119241.17</v>
      </c>
      <c r="H52" s="103" t="s">
        <v>870</v>
      </c>
      <c r="I52" s="104">
        <v>45359.314803240741</v>
      </c>
      <c r="L52" s="3" t="s">
        <v>21</v>
      </c>
      <c r="M52" s="126">
        <v>128</v>
      </c>
    </row>
    <row r="53" spans="1:13" ht="45" x14ac:dyDescent="0.25">
      <c r="A53" s="106" t="s">
        <v>198</v>
      </c>
      <c r="B53" s="105" t="s">
        <v>869</v>
      </c>
      <c r="C53" s="102">
        <v>2001049</v>
      </c>
      <c r="D53" s="101" t="s">
        <v>272</v>
      </c>
      <c r="E53" s="100">
        <v>508146.72</v>
      </c>
      <c r="F53" s="100">
        <v>0</v>
      </c>
      <c r="G53" s="100">
        <v>508146.72</v>
      </c>
      <c r="H53" s="103" t="s">
        <v>870</v>
      </c>
      <c r="I53" s="104">
        <v>45359.314803240741</v>
      </c>
    </row>
    <row r="54" spans="1:13" ht="45" x14ac:dyDescent="0.25">
      <c r="A54" s="106" t="s">
        <v>166</v>
      </c>
      <c r="B54" s="105" t="s">
        <v>869</v>
      </c>
      <c r="C54" s="102">
        <v>65507528400</v>
      </c>
      <c r="D54" s="101" t="s">
        <v>877</v>
      </c>
      <c r="E54" s="100">
        <v>873686.84</v>
      </c>
      <c r="F54" s="100">
        <v>855777.31</v>
      </c>
      <c r="G54" s="100">
        <v>17909.529999999799</v>
      </c>
      <c r="H54" s="103" t="s">
        <v>870</v>
      </c>
      <c r="I54" s="104">
        <v>45359.314803240741</v>
      </c>
    </row>
    <row r="55" spans="1:13" ht="45" x14ac:dyDescent="0.25">
      <c r="A55" s="106" t="s">
        <v>166</v>
      </c>
      <c r="B55" s="105" t="s">
        <v>869</v>
      </c>
      <c r="C55" s="102">
        <v>65507671187</v>
      </c>
      <c r="D55" s="101" t="s">
        <v>877</v>
      </c>
      <c r="E55" s="100">
        <v>351097.05</v>
      </c>
      <c r="F55" s="100">
        <v>318240.8</v>
      </c>
      <c r="G55" s="100">
        <v>32856.250000000298</v>
      </c>
      <c r="H55" s="103" t="s">
        <v>870</v>
      </c>
      <c r="I55" s="104">
        <v>45359.314803240741</v>
      </c>
    </row>
    <row r="56" spans="1:13" ht="45" x14ac:dyDescent="0.25">
      <c r="A56" s="106" t="s">
        <v>166</v>
      </c>
      <c r="B56" s="105" t="s">
        <v>869</v>
      </c>
      <c r="C56" s="102">
        <v>65507684389</v>
      </c>
      <c r="D56" s="101" t="s">
        <v>877</v>
      </c>
      <c r="E56" s="100">
        <v>2831914.35</v>
      </c>
      <c r="F56" s="100">
        <v>1828029.32</v>
      </c>
      <c r="G56" s="100">
        <v>1003885.03</v>
      </c>
      <c r="H56" s="103" t="s">
        <v>870</v>
      </c>
      <c r="I56" s="104">
        <v>45359.314803240741</v>
      </c>
    </row>
    <row r="57" spans="1:13" x14ac:dyDescent="0.25">
      <c r="A57" s="106" t="s">
        <v>166</v>
      </c>
      <c r="B57" s="105" t="s">
        <v>869</v>
      </c>
      <c r="C57" s="102">
        <v>2000216</v>
      </c>
      <c r="D57" s="101" t="s">
        <v>225</v>
      </c>
      <c r="E57" s="100">
        <v>-28432.35</v>
      </c>
      <c r="F57" s="100">
        <v>0</v>
      </c>
      <c r="G57" s="100">
        <v>-28432.35</v>
      </c>
      <c r="H57" s="103" t="s">
        <v>878</v>
      </c>
      <c r="I57" s="104">
        <v>45364.317013888889</v>
      </c>
    </row>
    <row r="58" spans="1:13" x14ac:dyDescent="0.25">
      <c r="A58" s="106" t="s">
        <v>166</v>
      </c>
      <c r="B58" s="105" t="s">
        <v>869</v>
      </c>
      <c r="C58" s="102">
        <v>2000219</v>
      </c>
      <c r="D58" s="101" t="s">
        <v>228</v>
      </c>
      <c r="E58" s="100">
        <v>-58311.03</v>
      </c>
      <c r="F58" s="100">
        <v>0</v>
      </c>
      <c r="G58" s="100">
        <v>-58311.03</v>
      </c>
      <c r="H58" s="103" t="s">
        <v>878</v>
      </c>
      <c r="I58" s="104">
        <v>45364.317013888889</v>
      </c>
    </row>
    <row r="59" spans="1:13" ht="45" x14ac:dyDescent="0.25">
      <c r="A59" s="106" t="s">
        <v>166</v>
      </c>
      <c r="B59" s="105" t="s">
        <v>869</v>
      </c>
      <c r="C59" s="102">
        <v>65501387259</v>
      </c>
      <c r="D59" s="101" t="s">
        <v>42</v>
      </c>
      <c r="E59" s="100">
        <v>327759.62</v>
      </c>
      <c r="F59" s="100">
        <v>0</v>
      </c>
      <c r="G59" s="100">
        <v>327759.62</v>
      </c>
      <c r="H59" s="103" t="s">
        <v>870</v>
      </c>
      <c r="I59" s="104">
        <v>45364.317013888889</v>
      </c>
    </row>
    <row r="60" spans="1:13" ht="45" x14ac:dyDescent="0.25">
      <c r="A60" s="106" t="s">
        <v>198</v>
      </c>
      <c r="B60" s="105" t="s">
        <v>869</v>
      </c>
      <c r="C60" s="102">
        <v>2000569</v>
      </c>
      <c r="D60" s="101" t="s">
        <v>874</v>
      </c>
      <c r="E60" s="100">
        <v>1872439.43</v>
      </c>
      <c r="F60" s="100">
        <v>0</v>
      </c>
      <c r="G60" s="100">
        <v>1872439.43</v>
      </c>
      <c r="H60" s="103" t="s">
        <v>870</v>
      </c>
      <c r="I60" s="104">
        <v>45366.626747685186</v>
      </c>
    </row>
    <row r="61" spans="1:13" ht="45" x14ac:dyDescent="0.25">
      <c r="A61" s="106" t="s">
        <v>259</v>
      </c>
      <c r="B61" s="105" t="s">
        <v>869</v>
      </c>
      <c r="C61" s="102">
        <v>2000722</v>
      </c>
      <c r="D61" s="101" t="s">
        <v>875</v>
      </c>
      <c r="E61" s="100">
        <v>-294867.21999999997</v>
      </c>
      <c r="F61" s="100">
        <v>0</v>
      </c>
      <c r="G61" s="100">
        <v>-294867.21999999997</v>
      </c>
      <c r="H61" s="103" t="s">
        <v>870</v>
      </c>
      <c r="I61" s="104">
        <v>45366.626747685186</v>
      </c>
    </row>
    <row r="62" spans="1:13" ht="45" x14ac:dyDescent="0.25">
      <c r="A62" s="106" t="s">
        <v>198</v>
      </c>
      <c r="B62" s="105" t="s">
        <v>869</v>
      </c>
      <c r="C62" s="102">
        <v>2001049</v>
      </c>
      <c r="D62" s="101" t="s">
        <v>272</v>
      </c>
      <c r="E62" s="100">
        <v>517259.28</v>
      </c>
      <c r="F62" s="100">
        <v>0</v>
      </c>
      <c r="G62" s="100">
        <v>517259.28</v>
      </c>
      <c r="H62" s="103" t="s">
        <v>870</v>
      </c>
      <c r="I62" s="104">
        <v>45366.626747685186</v>
      </c>
    </row>
    <row r="63" spans="1:13" ht="45" x14ac:dyDescent="0.25">
      <c r="A63" s="106" t="s">
        <v>166</v>
      </c>
      <c r="B63" s="105" t="s">
        <v>869</v>
      </c>
      <c r="C63" s="102">
        <v>65501387259</v>
      </c>
      <c r="D63" s="101" t="s">
        <v>42</v>
      </c>
      <c r="E63" s="100">
        <v>184746</v>
      </c>
      <c r="F63" s="100">
        <v>0</v>
      </c>
      <c r="G63" s="100">
        <v>184746</v>
      </c>
      <c r="H63" s="103" t="s">
        <v>870</v>
      </c>
      <c r="I63" s="104">
        <v>45370.329386574071</v>
      </c>
    </row>
    <row r="64" spans="1:13" ht="45" x14ac:dyDescent="0.25">
      <c r="A64" s="106" t="s">
        <v>198</v>
      </c>
      <c r="B64" s="105" t="s">
        <v>869</v>
      </c>
      <c r="C64" s="102">
        <v>2001049</v>
      </c>
      <c r="D64" s="101" t="s">
        <v>272</v>
      </c>
      <c r="E64" s="100">
        <v>497664.44</v>
      </c>
      <c r="F64" s="100">
        <v>0</v>
      </c>
      <c r="G64" s="100">
        <v>497664.44</v>
      </c>
      <c r="H64" s="103" t="s">
        <v>870</v>
      </c>
      <c r="I64" s="104">
        <v>45372.721863425926</v>
      </c>
    </row>
    <row r="65" spans="1:9" x14ac:dyDescent="0.25">
      <c r="A65" s="106" t="s">
        <v>166</v>
      </c>
      <c r="B65" s="105" t="s">
        <v>869</v>
      </c>
      <c r="C65" s="102">
        <v>78665</v>
      </c>
      <c r="D65" s="101" t="s">
        <v>223</v>
      </c>
      <c r="E65" s="100">
        <v>3390671.97</v>
      </c>
      <c r="F65" s="100">
        <v>0</v>
      </c>
      <c r="G65" s="100">
        <v>3390671.97</v>
      </c>
      <c r="H65" s="103" t="s">
        <v>878</v>
      </c>
      <c r="I65" s="104">
        <v>45373.32236111111</v>
      </c>
    </row>
    <row r="66" spans="1:9" x14ac:dyDescent="0.25">
      <c r="A66" s="106" t="s">
        <v>166</v>
      </c>
      <c r="B66" s="105" t="s">
        <v>869</v>
      </c>
      <c r="C66" s="102">
        <v>1012259</v>
      </c>
      <c r="D66" s="101" t="s">
        <v>284</v>
      </c>
      <c r="E66" s="100">
        <v>115985.68</v>
      </c>
      <c r="F66" s="100">
        <v>0</v>
      </c>
      <c r="G66" s="100">
        <v>115985.68</v>
      </c>
      <c r="H66" s="103" t="s">
        <v>878</v>
      </c>
      <c r="I66" s="104">
        <v>45373.32236111111</v>
      </c>
    </row>
    <row r="67" spans="1:9" x14ac:dyDescent="0.25">
      <c r="A67" s="106" t="s">
        <v>166</v>
      </c>
      <c r="B67" s="105" t="s">
        <v>869</v>
      </c>
      <c r="C67" s="102">
        <v>1012260</v>
      </c>
      <c r="D67" s="101" t="s">
        <v>285</v>
      </c>
      <c r="E67" s="100">
        <v>242424.47</v>
      </c>
      <c r="F67" s="100">
        <v>0</v>
      </c>
      <c r="G67" s="100">
        <v>242424.47</v>
      </c>
      <c r="H67" s="103" t="s">
        <v>878</v>
      </c>
      <c r="I67" s="104">
        <v>45373.32236111111</v>
      </c>
    </row>
    <row r="68" spans="1:9" x14ac:dyDescent="0.25">
      <c r="A68" s="106" t="s">
        <v>166</v>
      </c>
      <c r="B68" s="105" t="s">
        <v>869</v>
      </c>
      <c r="C68" s="102">
        <v>1033545</v>
      </c>
      <c r="D68" s="101" t="s">
        <v>879</v>
      </c>
      <c r="E68" s="100">
        <v>44711.37</v>
      </c>
      <c r="F68" s="100">
        <v>0</v>
      </c>
      <c r="G68" s="100">
        <v>44711.37</v>
      </c>
      <c r="H68" s="103" t="s">
        <v>878</v>
      </c>
      <c r="I68" s="104">
        <v>45373.32236111111</v>
      </c>
    </row>
    <row r="69" spans="1:9" x14ac:dyDescent="0.25">
      <c r="A69" s="106" t="s">
        <v>166</v>
      </c>
      <c r="B69" s="105" t="s">
        <v>869</v>
      </c>
      <c r="C69" s="102">
        <v>1033546</v>
      </c>
      <c r="D69" s="101" t="s">
        <v>879</v>
      </c>
      <c r="E69" s="100">
        <v>19029.52</v>
      </c>
      <c r="F69" s="100">
        <v>0</v>
      </c>
      <c r="G69" s="100">
        <v>19029.52</v>
      </c>
      <c r="H69" s="103" t="s">
        <v>878</v>
      </c>
      <c r="I69" s="104">
        <v>45373.32236111111</v>
      </c>
    </row>
    <row r="70" spans="1:9" x14ac:dyDescent="0.25">
      <c r="A70" s="106" t="s">
        <v>166</v>
      </c>
      <c r="B70" s="105" t="s">
        <v>869</v>
      </c>
      <c r="C70" s="102">
        <v>2000182</v>
      </c>
      <c r="D70" s="101" t="s">
        <v>141</v>
      </c>
      <c r="E70" s="100">
        <v>74306.69</v>
      </c>
      <c r="F70" s="100">
        <v>0</v>
      </c>
      <c r="G70" s="100">
        <v>74306.69</v>
      </c>
      <c r="H70" s="103" t="s">
        <v>878</v>
      </c>
      <c r="I70" s="104">
        <v>45373.32236111111</v>
      </c>
    </row>
    <row r="71" spans="1:9" x14ac:dyDescent="0.25">
      <c r="A71" s="106" t="s">
        <v>166</v>
      </c>
      <c r="B71" s="105" t="s">
        <v>869</v>
      </c>
      <c r="C71" s="102">
        <v>2000183</v>
      </c>
      <c r="D71" s="101" t="s">
        <v>244</v>
      </c>
      <c r="E71" s="100">
        <v>159827.01</v>
      </c>
      <c r="F71" s="100">
        <v>0</v>
      </c>
      <c r="G71" s="100">
        <v>159827.01</v>
      </c>
      <c r="H71" s="103" t="s">
        <v>878</v>
      </c>
      <c r="I71" s="104">
        <v>45373.32236111111</v>
      </c>
    </row>
    <row r="72" spans="1:9" x14ac:dyDescent="0.25">
      <c r="A72" s="106" t="s">
        <v>166</v>
      </c>
      <c r="B72" s="105" t="s">
        <v>869</v>
      </c>
      <c r="C72" s="102">
        <v>2000216</v>
      </c>
      <c r="D72" s="101" t="s">
        <v>225</v>
      </c>
      <c r="E72" s="100">
        <v>4328510.0999999996</v>
      </c>
      <c r="F72" s="100">
        <v>0</v>
      </c>
      <c r="G72" s="100">
        <v>4328510.0999999996</v>
      </c>
      <c r="H72" s="103" t="s">
        <v>878</v>
      </c>
      <c r="I72" s="104">
        <v>45373.32236111111</v>
      </c>
    </row>
    <row r="73" spans="1:9" x14ac:dyDescent="0.25">
      <c r="A73" s="106" t="s">
        <v>166</v>
      </c>
      <c r="B73" s="105" t="s">
        <v>869</v>
      </c>
      <c r="C73" s="102">
        <v>2000217</v>
      </c>
      <c r="D73" s="101" t="s">
        <v>226</v>
      </c>
      <c r="E73" s="100">
        <v>1309456.73</v>
      </c>
      <c r="F73" s="100">
        <v>0</v>
      </c>
      <c r="G73" s="100">
        <v>1309456.73</v>
      </c>
      <c r="H73" s="103" t="s">
        <v>878</v>
      </c>
      <c r="I73" s="104">
        <v>45373.32236111111</v>
      </c>
    </row>
    <row r="74" spans="1:9" x14ac:dyDescent="0.25">
      <c r="A74" s="106" t="s">
        <v>166</v>
      </c>
      <c r="B74" s="105" t="s">
        <v>869</v>
      </c>
      <c r="C74" s="102">
        <v>2000218</v>
      </c>
      <c r="D74" s="101" t="s">
        <v>227</v>
      </c>
      <c r="E74" s="100">
        <v>1298922.24</v>
      </c>
      <c r="F74" s="100">
        <v>0</v>
      </c>
      <c r="G74" s="100">
        <v>1298922.24</v>
      </c>
      <c r="H74" s="103" t="s">
        <v>878</v>
      </c>
      <c r="I74" s="104">
        <v>45373.32236111111</v>
      </c>
    </row>
    <row r="75" spans="1:9" x14ac:dyDescent="0.25">
      <c r="A75" s="106" t="s">
        <v>166</v>
      </c>
      <c r="B75" s="105" t="s">
        <v>869</v>
      </c>
      <c r="C75" s="102">
        <v>2000423</v>
      </c>
      <c r="D75" s="101" t="s">
        <v>178</v>
      </c>
      <c r="E75" s="100">
        <v>23167.33</v>
      </c>
      <c r="F75" s="100">
        <v>0</v>
      </c>
      <c r="G75" s="100">
        <v>23167.33</v>
      </c>
      <c r="H75" s="103" t="s">
        <v>878</v>
      </c>
      <c r="I75" s="104">
        <v>45373.32236111111</v>
      </c>
    </row>
    <row r="76" spans="1:9" x14ac:dyDescent="0.25">
      <c r="A76" s="106" t="s">
        <v>166</v>
      </c>
      <c r="B76" s="105" t="s">
        <v>869</v>
      </c>
      <c r="C76" s="102">
        <v>2000424</v>
      </c>
      <c r="D76" s="101" t="s">
        <v>179</v>
      </c>
      <c r="E76" s="100">
        <v>50859.16</v>
      </c>
      <c r="F76" s="100">
        <v>0</v>
      </c>
      <c r="G76" s="100">
        <v>50859.16</v>
      </c>
      <c r="H76" s="103" t="s">
        <v>878</v>
      </c>
      <c r="I76" s="104">
        <v>45373.32236111111</v>
      </c>
    </row>
    <row r="77" spans="1:9" ht="45" x14ac:dyDescent="0.25">
      <c r="A77" s="106" t="s">
        <v>259</v>
      </c>
      <c r="B77" s="105" t="s">
        <v>869</v>
      </c>
      <c r="C77" s="102">
        <v>2000722</v>
      </c>
      <c r="D77" s="101" t="s">
        <v>875</v>
      </c>
      <c r="E77" s="100">
        <v>121332.75</v>
      </c>
      <c r="F77" s="100">
        <v>0</v>
      </c>
      <c r="G77" s="100">
        <v>121332.75</v>
      </c>
      <c r="H77" s="103" t="s">
        <v>870</v>
      </c>
      <c r="I77" s="104">
        <v>45373.32236111111</v>
      </c>
    </row>
    <row r="78" spans="1:9" x14ac:dyDescent="0.25">
      <c r="A78" s="106" t="s">
        <v>166</v>
      </c>
      <c r="B78" s="105" t="s">
        <v>869</v>
      </c>
      <c r="C78" s="102">
        <v>2001046</v>
      </c>
      <c r="D78" s="101" t="s">
        <v>289</v>
      </c>
      <c r="E78" s="100">
        <v>120471.67</v>
      </c>
      <c r="F78" s="100">
        <v>0</v>
      </c>
      <c r="G78" s="100">
        <v>120471.67</v>
      </c>
      <c r="H78" s="103" t="s">
        <v>878</v>
      </c>
      <c r="I78" s="104">
        <v>45373.32236111111</v>
      </c>
    </row>
    <row r="79" spans="1:9" x14ac:dyDescent="0.25">
      <c r="A79" s="106" t="s">
        <v>166</v>
      </c>
      <c r="B79" s="105" t="s">
        <v>869</v>
      </c>
      <c r="C79" s="102">
        <v>2001047</v>
      </c>
      <c r="D79" s="101" t="s">
        <v>288</v>
      </c>
      <c r="E79" s="100">
        <v>56551.03</v>
      </c>
      <c r="F79" s="100">
        <v>0</v>
      </c>
      <c r="G79" s="100">
        <v>56551.03</v>
      </c>
      <c r="H79" s="103" t="s">
        <v>878</v>
      </c>
      <c r="I79" s="104">
        <v>45373.32236111111</v>
      </c>
    </row>
    <row r="80" spans="1:9" x14ac:dyDescent="0.25">
      <c r="A80" s="106" t="s">
        <v>166</v>
      </c>
      <c r="B80" s="105" t="s">
        <v>869</v>
      </c>
      <c r="C80" s="102">
        <v>2001047</v>
      </c>
      <c r="D80" s="101" t="s">
        <v>288</v>
      </c>
      <c r="E80" s="100">
        <v>-7023.91</v>
      </c>
      <c r="F80" s="100">
        <v>0</v>
      </c>
      <c r="G80" s="100">
        <v>-7023.91</v>
      </c>
      <c r="H80" s="103" t="s">
        <v>880</v>
      </c>
      <c r="I80" s="104">
        <v>45377.326365740744</v>
      </c>
    </row>
    <row r="81" spans="1:9" x14ac:dyDescent="0.25">
      <c r="A81" s="106" t="s">
        <v>166</v>
      </c>
      <c r="B81" s="105" t="s">
        <v>869</v>
      </c>
      <c r="C81" s="102">
        <v>1012259</v>
      </c>
      <c r="D81" s="101" t="s">
        <v>284</v>
      </c>
      <c r="E81" s="100">
        <v>-210603.38</v>
      </c>
      <c r="F81" s="100">
        <v>0</v>
      </c>
      <c r="G81" s="100">
        <v>-210603.38</v>
      </c>
      <c r="H81" s="103" t="s">
        <v>878</v>
      </c>
      <c r="I81" s="104">
        <v>45378.686643518522</v>
      </c>
    </row>
    <row r="82" spans="1:9" x14ac:dyDescent="0.25">
      <c r="A82" s="106" t="s">
        <v>166</v>
      </c>
      <c r="B82" s="105" t="s">
        <v>869</v>
      </c>
      <c r="C82" s="102">
        <v>1012260</v>
      </c>
      <c r="D82" s="101" t="s">
        <v>285</v>
      </c>
      <c r="E82" s="100">
        <v>-225952.55</v>
      </c>
      <c r="F82" s="100">
        <v>0</v>
      </c>
      <c r="G82" s="100">
        <v>-225952.55</v>
      </c>
      <c r="H82" s="103" t="s">
        <v>878</v>
      </c>
      <c r="I82" s="104">
        <v>45378.686643518522</v>
      </c>
    </row>
    <row r="83" spans="1:9" ht="45" x14ac:dyDescent="0.25">
      <c r="A83" s="106" t="s">
        <v>198</v>
      </c>
      <c r="B83" s="105" t="s">
        <v>869</v>
      </c>
      <c r="C83" s="102">
        <v>2001049</v>
      </c>
      <c r="D83" s="101" t="s">
        <v>272</v>
      </c>
      <c r="E83" s="100">
        <v>542109.96</v>
      </c>
      <c r="F83" s="100">
        <v>0</v>
      </c>
      <c r="G83" s="100">
        <v>542109.96</v>
      </c>
      <c r="H83" s="103" t="s">
        <v>870</v>
      </c>
      <c r="I83" s="104">
        <v>45383.729710648149</v>
      </c>
    </row>
    <row r="84" spans="1:9" ht="45" x14ac:dyDescent="0.25">
      <c r="A84" s="106" t="s">
        <v>259</v>
      </c>
      <c r="B84" s="105" t="s">
        <v>869</v>
      </c>
      <c r="C84" s="102">
        <v>2000722</v>
      </c>
      <c r="D84" s="101" t="s">
        <v>875</v>
      </c>
      <c r="E84" s="100">
        <v>37515.54</v>
      </c>
      <c r="F84" s="100">
        <v>0</v>
      </c>
      <c r="G84" s="100">
        <v>37515.54</v>
      </c>
      <c r="H84" s="103" t="s">
        <v>870</v>
      </c>
      <c r="I84" s="104">
        <v>45384.758553240739</v>
      </c>
    </row>
    <row r="85" spans="1:9" x14ac:dyDescent="0.25">
      <c r="A85" s="106" t="s">
        <v>166</v>
      </c>
      <c r="B85" s="105" t="s">
        <v>869</v>
      </c>
      <c r="C85" s="102">
        <v>78665</v>
      </c>
      <c r="D85" s="101" t="s">
        <v>223</v>
      </c>
      <c r="E85" s="100">
        <v>-3906939.16</v>
      </c>
      <c r="F85" s="100">
        <v>0</v>
      </c>
      <c r="G85" s="100">
        <v>-3906939.16</v>
      </c>
      <c r="H85" s="103" t="s">
        <v>878</v>
      </c>
      <c r="I85" s="104">
        <v>45385.396909722222</v>
      </c>
    </row>
    <row r="86" spans="1:9" x14ac:dyDescent="0.25">
      <c r="A86" s="106" t="s">
        <v>166</v>
      </c>
      <c r="B86" s="105" t="s">
        <v>869</v>
      </c>
      <c r="C86" s="102">
        <v>2000216</v>
      </c>
      <c r="D86" s="101" t="s">
        <v>225</v>
      </c>
      <c r="E86" s="100">
        <v>-9039171.5600000005</v>
      </c>
      <c r="F86" s="100">
        <v>0</v>
      </c>
      <c r="G86" s="100">
        <v>-9039171.5600000005</v>
      </c>
      <c r="H86" s="103" t="s">
        <v>878</v>
      </c>
      <c r="I86" s="104">
        <v>45385.396909722222</v>
      </c>
    </row>
    <row r="87" spans="1:9" x14ac:dyDescent="0.25">
      <c r="A87" s="106" t="s">
        <v>166</v>
      </c>
      <c r="B87" s="105" t="s">
        <v>869</v>
      </c>
      <c r="C87" s="102">
        <v>2000217</v>
      </c>
      <c r="D87" s="101" t="s">
        <v>226</v>
      </c>
      <c r="E87" s="100">
        <v>-4414481.1500000004</v>
      </c>
      <c r="F87" s="100">
        <v>0</v>
      </c>
      <c r="G87" s="100">
        <v>-4414481.1500000004</v>
      </c>
      <c r="H87" s="103" t="s">
        <v>878</v>
      </c>
      <c r="I87" s="104">
        <v>45385</v>
      </c>
    </row>
    <row r="88" spans="1:9" x14ac:dyDescent="0.25">
      <c r="A88" s="106" t="s">
        <v>166</v>
      </c>
      <c r="B88" s="105" t="s">
        <v>869</v>
      </c>
      <c r="C88" s="102">
        <v>2000218</v>
      </c>
      <c r="D88" s="101" t="s">
        <v>227</v>
      </c>
      <c r="E88" s="100">
        <v>3602034.32</v>
      </c>
      <c r="F88" s="100">
        <v>0</v>
      </c>
      <c r="G88" s="100">
        <v>3602034.32</v>
      </c>
      <c r="H88" s="103" t="s">
        <v>878</v>
      </c>
      <c r="I88" s="104">
        <v>45385</v>
      </c>
    </row>
    <row r="89" spans="1:9" ht="45" x14ac:dyDescent="0.25">
      <c r="A89" s="106">
        <v>0</v>
      </c>
      <c r="B89" s="105">
        <v>0</v>
      </c>
      <c r="C89" s="102">
        <v>1000002861</v>
      </c>
      <c r="D89" s="101" t="s">
        <v>513</v>
      </c>
      <c r="E89" s="100">
        <v>1741792</v>
      </c>
      <c r="F89" s="100">
        <v>0</v>
      </c>
      <c r="G89" s="100">
        <v>1741792</v>
      </c>
      <c r="H89" s="103" t="s">
        <v>870</v>
      </c>
      <c r="I89" s="104">
        <v>45386.739224537036</v>
      </c>
    </row>
    <row r="90" spans="1:9" x14ac:dyDescent="0.25">
      <c r="A90" s="106" t="s">
        <v>166</v>
      </c>
      <c r="B90" s="105" t="s">
        <v>869</v>
      </c>
      <c r="C90" s="102">
        <v>78665</v>
      </c>
      <c r="D90" s="101" t="s">
        <v>223</v>
      </c>
      <c r="E90" s="100">
        <v>3529258.74</v>
      </c>
      <c r="F90" s="100">
        <v>0</v>
      </c>
      <c r="G90" s="100">
        <v>3529258.74</v>
      </c>
      <c r="H90" s="103" t="s">
        <v>878</v>
      </c>
      <c r="I90" s="104">
        <v>45387.664479166669</v>
      </c>
    </row>
    <row r="91" spans="1:9" x14ac:dyDescent="0.25">
      <c r="A91" s="106" t="s">
        <v>166</v>
      </c>
      <c r="B91" s="105" t="s">
        <v>869</v>
      </c>
      <c r="C91" s="102">
        <v>1012259</v>
      </c>
      <c r="D91" s="101" t="s">
        <v>284</v>
      </c>
      <c r="E91" s="100">
        <v>122330.12</v>
      </c>
      <c r="F91" s="100">
        <v>0</v>
      </c>
      <c r="G91" s="100">
        <v>122330.12</v>
      </c>
      <c r="H91" s="103" t="s">
        <v>878</v>
      </c>
      <c r="I91" s="104">
        <v>45387.664479166669</v>
      </c>
    </row>
    <row r="92" spans="1:9" x14ac:dyDescent="0.25">
      <c r="A92" s="106" t="s">
        <v>166</v>
      </c>
      <c r="B92" s="105" t="s">
        <v>869</v>
      </c>
      <c r="C92" s="102">
        <v>1012260</v>
      </c>
      <c r="D92" s="101" t="s">
        <v>285</v>
      </c>
      <c r="E92" s="100">
        <v>257539.06</v>
      </c>
      <c r="F92" s="100">
        <v>0</v>
      </c>
      <c r="G92" s="100">
        <v>257539.06</v>
      </c>
      <c r="H92" s="103" t="s">
        <v>878</v>
      </c>
      <c r="I92" s="104">
        <v>45387.664479166669</v>
      </c>
    </row>
    <row r="93" spans="1:9" x14ac:dyDescent="0.25">
      <c r="A93" s="106" t="s">
        <v>166</v>
      </c>
      <c r="B93" s="105" t="s">
        <v>869</v>
      </c>
      <c r="C93" s="102">
        <v>1033545</v>
      </c>
      <c r="D93" s="101" t="s">
        <v>879</v>
      </c>
      <c r="E93" s="100">
        <v>46706.37</v>
      </c>
      <c r="F93" s="100">
        <v>0</v>
      </c>
      <c r="G93" s="100">
        <v>46706.37</v>
      </c>
      <c r="H93" s="103" t="s">
        <v>878</v>
      </c>
      <c r="I93" s="104">
        <v>45387.664479166669</v>
      </c>
    </row>
    <row r="94" spans="1:9" x14ac:dyDescent="0.25">
      <c r="A94" s="106" t="s">
        <v>166</v>
      </c>
      <c r="B94" s="105" t="s">
        <v>869</v>
      </c>
      <c r="C94" s="102">
        <v>1033546</v>
      </c>
      <c r="D94" s="101" t="s">
        <v>879</v>
      </c>
      <c r="E94" s="100">
        <v>19694.52</v>
      </c>
      <c r="F94" s="100">
        <v>0</v>
      </c>
      <c r="G94" s="100">
        <v>19694.52</v>
      </c>
      <c r="H94" s="103" t="s">
        <v>878</v>
      </c>
      <c r="I94" s="104">
        <v>45387.664479166669</v>
      </c>
    </row>
    <row r="95" spans="1:9" x14ac:dyDescent="0.25">
      <c r="A95" s="106" t="s">
        <v>166</v>
      </c>
      <c r="B95" s="105" t="s">
        <v>869</v>
      </c>
      <c r="C95" s="102">
        <v>2000182</v>
      </c>
      <c r="D95" s="101" t="s">
        <v>141</v>
      </c>
      <c r="E95" s="100">
        <v>75086.67</v>
      </c>
      <c r="F95" s="100">
        <v>0</v>
      </c>
      <c r="G95" s="100">
        <v>75086.67</v>
      </c>
      <c r="H95" s="103" t="s">
        <v>878</v>
      </c>
      <c r="I95" s="104">
        <v>45387.664479166669</v>
      </c>
    </row>
    <row r="96" spans="1:9" x14ac:dyDescent="0.25">
      <c r="A96" s="106" t="s">
        <v>166</v>
      </c>
      <c r="B96" s="105" t="s">
        <v>869</v>
      </c>
      <c r="C96" s="102">
        <v>2000183</v>
      </c>
      <c r="D96" s="101" t="s">
        <v>244</v>
      </c>
      <c r="E96" s="100">
        <v>162362.76999999999</v>
      </c>
      <c r="F96" s="100">
        <v>0</v>
      </c>
      <c r="G96" s="100">
        <v>162362.76999999999</v>
      </c>
      <c r="H96" s="103" t="s">
        <v>878</v>
      </c>
      <c r="I96" s="104">
        <v>45387.664479166669</v>
      </c>
    </row>
    <row r="97" spans="1:9" x14ac:dyDescent="0.25">
      <c r="A97" s="106" t="s">
        <v>166</v>
      </c>
      <c r="B97" s="105" t="s">
        <v>869</v>
      </c>
      <c r="C97" s="102">
        <v>2000216</v>
      </c>
      <c r="D97" s="101" t="s">
        <v>225</v>
      </c>
      <c r="E97" s="100">
        <v>4306948.6900000004</v>
      </c>
      <c r="F97" s="100">
        <v>0</v>
      </c>
      <c r="G97" s="100">
        <v>4306948.6900000004</v>
      </c>
      <c r="H97" s="103" t="s">
        <v>878</v>
      </c>
      <c r="I97" s="104">
        <v>45387.664479166669</v>
      </c>
    </row>
    <row r="98" spans="1:9" x14ac:dyDescent="0.25">
      <c r="A98" s="106" t="s">
        <v>166</v>
      </c>
      <c r="B98" s="105" t="s">
        <v>869</v>
      </c>
      <c r="C98" s="102">
        <v>2000217</v>
      </c>
      <c r="D98" s="101" t="s">
        <v>226</v>
      </c>
      <c r="E98" s="100">
        <v>1349325.79</v>
      </c>
      <c r="F98" s="100">
        <v>0</v>
      </c>
      <c r="G98" s="100">
        <v>1349325.79</v>
      </c>
      <c r="H98" s="103" t="s">
        <v>878</v>
      </c>
      <c r="I98" s="104">
        <v>45387.664479166669</v>
      </c>
    </row>
    <row r="99" spans="1:9" x14ac:dyDescent="0.25">
      <c r="A99" s="106" t="s">
        <v>166</v>
      </c>
      <c r="B99" s="105" t="s">
        <v>869</v>
      </c>
      <c r="C99" s="102">
        <v>2000218</v>
      </c>
      <c r="D99" s="101" t="s">
        <v>227</v>
      </c>
      <c r="E99" s="100">
        <v>1333999.6499999999</v>
      </c>
      <c r="F99" s="100">
        <v>0</v>
      </c>
      <c r="G99" s="100">
        <v>1333999.6499999999</v>
      </c>
      <c r="H99" s="103" t="s">
        <v>878</v>
      </c>
      <c r="I99" s="104">
        <v>45387.664479166669</v>
      </c>
    </row>
    <row r="100" spans="1:9" x14ac:dyDescent="0.25">
      <c r="A100" s="106" t="s">
        <v>166</v>
      </c>
      <c r="B100" s="105" t="s">
        <v>869</v>
      </c>
      <c r="C100" s="102">
        <v>2000423</v>
      </c>
      <c r="D100" s="101" t="s">
        <v>178</v>
      </c>
      <c r="E100" s="100">
        <v>20030.91</v>
      </c>
      <c r="F100" s="100">
        <v>0</v>
      </c>
      <c r="G100" s="100">
        <v>20030.91</v>
      </c>
      <c r="H100" s="103" t="s">
        <v>878</v>
      </c>
      <c r="I100" s="104">
        <v>45387.664479166669</v>
      </c>
    </row>
    <row r="101" spans="1:9" x14ac:dyDescent="0.25">
      <c r="A101" s="106" t="s">
        <v>166</v>
      </c>
      <c r="B101" s="105" t="s">
        <v>869</v>
      </c>
      <c r="C101" s="102">
        <v>2000424</v>
      </c>
      <c r="D101" s="101" t="s">
        <v>179</v>
      </c>
      <c r="E101" s="100">
        <v>45351.11</v>
      </c>
      <c r="F101" s="100">
        <v>0</v>
      </c>
      <c r="G101" s="100">
        <v>45351.11</v>
      </c>
      <c r="H101" s="103" t="s">
        <v>878</v>
      </c>
      <c r="I101" s="104">
        <v>45387.664479166669</v>
      </c>
    </row>
    <row r="102" spans="1:9" x14ac:dyDescent="0.25">
      <c r="A102" s="106" t="s">
        <v>166</v>
      </c>
      <c r="B102" s="105" t="s">
        <v>869</v>
      </c>
      <c r="C102" s="102">
        <v>2001046</v>
      </c>
      <c r="D102" s="101" t="s">
        <v>289</v>
      </c>
      <c r="E102" s="100">
        <v>124027.91</v>
      </c>
      <c r="F102" s="100">
        <v>0</v>
      </c>
      <c r="G102" s="100">
        <v>124027.91</v>
      </c>
      <c r="H102" s="103" t="s">
        <v>878</v>
      </c>
      <c r="I102" s="104">
        <v>45387.664479166669</v>
      </c>
    </row>
    <row r="103" spans="1:9" x14ac:dyDescent="0.25">
      <c r="A103" s="106" t="s">
        <v>166</v>
      </c>
      <c r="B103" s="105" t="s">
        <v>869</v>
      </c>
      <c r="C103" s="102">
        <v>2001047</v>
      </c>
      <c r="D103" s="101" t="s">
        <v>288</v>
      </c>
      <c r="E103" s="100">
        <v>57654.1</v>
      </c>
      <c r="F103" s="100">
        <v>0</v>
      </c>
      <c r="G103" s="100">
        <v>57654.1</v>
      </c>
      <c r="H103" s="103" t="s">
        <v>878</v>
      </c>
      <c r="I103" s="104">
        <v>45387.664479166669</v>
      </c>
    </row>
    <row r="104" spans="1:9" ht="45" x14ac:dyDescent="0.25">
      <c r="A104" s="106" t="s">
        <v>198</v>
      </c>
      <c r="B104" s="105" t="s">
        <v>869</v>
      </c>
      <c r="C104" s="102">
        <v>2001049</v>
      </c>
      <c r="D104" s="101" t="s">
        <v>272</v>
      </c>
      <c r="E104" s="100">
        <v>488879.84</v>
      </c>
      <c r="F104" s="100">
        <v>0</v>
      </c>
      <c r="G104" s="100">
        <v>488879.84</v>
      </c>
      <c r="H104" s="103" t="s">
        <v>870</v>
      </c>
      <c r="I104" s="104">
        <v>45387.664479166669</v>
      </c>
    </row>
    <row r="105" spans="1:9" ht="45" x14ac:dyDescent="0.25">
      <c r="A105" s="106" t="s">
        <v>259</v>
      </c>
      <c r="B105" s="105" t="s">
        <v>869</v>
      </c>
      <c r="C105" s="102">
        <v>2000722</v>
      </c>
      <c r="D105" s="101" t="s">
        <v>875</v>
      </c>
      <c r="E105" s="100">
        <v>13846.16</v>
      </c>
      <c r="F105" s="100">
        <v>0</v>
      </c>
      <c r="G105" s="100">
        <v>13846.16</v>
      </c>
      <c r="H105" s="103" t="s">
        <v>870</v>
      </c>
      <c r="I105" s="104">
        <v>45391.73065972222</v>
      </c>
    </row>
    <row r="106" spans="1:9" ht="45" x14ac:dyDescent="0.25">
      <c r="A106" s="106" t="s">
        <v>198</v>
      </c>
      <c r="B106" s="105" t="s">
        <v>869</v>
      </c>
      <c r="C106" s="102">
        <v>2000569</v>
      </c>
      <c r="D106" s="101" t="s">
        <v>874</v>
      </c>
      <c r="E106" s="100">
        <v>1972975.65</v>
      </c>
      <c r="F106" s="100">
        <v>0</v>
      </c>
      <c r="G106" s="100">
        <v>1972975.65</v>
      </c>
      <c r="H106" s="103" t="s">
        <v>870</v>
      </c>
      <c r="I106" s="104">
        <v>45392.746111111112</v>
      </c>
    </row>
    <row r="107" spans="1:9" ht="45" x14ac:dyDescent="0.25">
      <c r="A107" s="106" t="s">
        <v>198</v>
      </c>
      <c r="B107" s="105" t="s">
        <v>869</v>
      </c>
      <c r="C107" s="102">
        <v>1037124</v>
      </c>
      <c r="D107" s="101" t="s">
        <v>63</v>
      </c>
      <c r="E107" s="100">
        <v>353633.8</v>
      </c>
      <c r="F107" s="100">
        <v>0</v>
      </c>
      <c r="G107" s="100">
        <v>353633.8</v>
      </c>
      <c r="H107" s="103" t="s">
        <v>870</v>
      </c>
      <c r="I107" s="104">
        <v>45393.722083333334</v>
      </c>
    </row>
    <row r="108" spans="1:9" x14ac:dyDescent="0.25">
      <c r="A108" s="106" t="s">
        <v>166</v>
      </c>
      <c r="B108" s="105" t="s">
        <v>869</v>
      </c>
      <c r="C108" s="102">
        <v>2000182</v>
      </c>
      <c r="D108" s="101" t="s">
        <v>141</v>
      </c>
      <c r="E108" s="100">
        <v>4939.75</v>
      </c>
      <c r="F108" s="100">
        <v>0</v>
      </c>
      <c r="G108" s="100">
        <v>4939.75</v>
      </c>
      <c r="H108" s="103" t="s">
        <v>878</v>
      </c>
      <c r="I108" s="104">
        <v>45393.722083333334</v>
      </c>
    </row>
    <row r="109" spans="1:9" x14ac:dyDescent="0.25">
      <c r="A109" s="106" t="s">
        <v>166</v>
      </c>
      <c r="B109" s="105" t="s">
        <v>869</v>
      </c>
      <c r="C109" s="102">
        <v>2000183</v>
      </c>
      <c r="D109" s="101" t="s">
        <v>244</v>
      </c>
      <c r="E109" s="100">
        <v>14813.16</v>
      </c>
      <c r="F109" s="100">
        <v>0</v>
      </c>
      <c r="G109" s="100">
        <v>14813.16</v>
      </c>
      <c r="H109" s="103" t="s">
        <v>878</v>
      </c>
      <c r="I109" s="104">
        <v>45393.722083333334</v>
      </c>
    </row>
    <row r="110" spans="1:9" x14ac:dyDescent="0.25">
      <c r="A110" s="106" t="s">
        <v>166</v>
      </c>
      <c r="B110" s="105" t="s">
        <v>869</v>
      </c>
      <c r="C110" s="102">
        <v>2000423</v>
      </c>
      <c r="D110" s="101" t="s">
        <v>178</v>
      </c>
      <c r="E110" s="100">
        <v>-517001.14</v>
      </c>
      <c r="F110" s="100">
        <v>0</v>
      </c>
      <c r="G110" s="100">
        <v>-517001.14</v>
      </c>
      <c r="H110" s="103" t="s">
        <v>878</v>
      </c>
      <c r="I110" s="104">
        <v>45393.722083333334</v>
      </c>
    </row>
    <row r="111" spans="1:9" x14ac:dyDescent="0.25">
      <c r="A111" s="106" t="s">
        <v>166</v>
      </c>
      <c r="B111" s="105" t="s">
        <v>869</v>
      </c>
      <c r="C111" s="102">
        <v>2000424</v>
      </c>
      <c r="D111" s="101" t="s">
        <v>179</v>
      </c>
      <c r="E111" s="100">
        <v>-1027544.14</v>
      </c>
      <c r="F111" s="100">
        <v>0</v>
      </c>
      <c r="G111" s="100">
        <v>-1027544.14</v>
      </c>
      <c r="H111" s="103" t="s">
        <v>878</v>
      </c>
      <c r="I111" s="104">
        <v>45393.722083333334</v>
      </c>
    </row>
    <row r="112" spans="1:9" ht="45" x14ac:dyDescent="0.25">
      <c r="A112" s="106" t="s">
        <v>198</v>
      </c>
      <c r="B112" s="105" t="s">
        <v>869</v>
      </c>
      <c r="C112" s="102">
        <v>1037085</v>
      </c>
      <c r="D112" s="101" t="s">
        <v>343</v>
      </c>
      <c r="E112" s="100">
        <v>2064207.96</v>
      </c>
      <c r="F112" s="100">
        <v>0</v>
      </c>
      <c r="G112" s="100">
        <v>2064207.96</v>
      </c>
      <c r="H112" s="103" t="s">
        <v>870</v>
      </c>
      <c r="I112" s="104">
        <v>45394.65042824074</v>
      </c>
    </row>
    <row r="113" spans="1:9" ht="45" x14ac:dyDescent="0.25">
      <c r="A113" s="106" t="s">
        <v>198</v>
      </c>
      <c r="B113" s="105" t="s">
        <v>869</v>
      </c>
      <c r="C113" s="102">
        <v>1037086</v>
      </c>
      <c r="D113" s="101" t="s">
        <v>881</v>
      </c>
      <c r="E113" s="100">
        <v>4812430.88</v>
      </c>
      <c r="F113" s="100">
        <v>0</v>
      </c>
      <c r="G113" s="100">
        <v>4812430.88</v>
      </c>
      <c r="H113" s="103" t="s">
        <v>870</v>
      </c>
      <c r="I113" s="104">
        <v>45394.65042824074</v>
      </c>
    </row>
    <row r="114" spans="1:9" ht="45" x14ac:dyDescent="0.25">
      <c r="A114" s="106" t="s">
        <v>307</v>
      </c>
      <c r="B114" s="105" t="s">
        <v>869</v>
      </c>
      <c r="C114" s="102">
        <v>1037090</v>
      </c>
      <c r="D114" s="101" t="s">
        <v>309</v>
      </c>
      <c r="E114" s="100">
        <v>719603.28</v>
      </c>
      <c r="F114" s="100">
        <v>0</v>
      </c>
      <c r="G114" s="100">
        <v>719603.28</v>
      </c>
      <c r="H114" s="103" t="s">
        <v>870</v>
      </c>
      <c r="I114" s="104">
        <v>45394.65042824074</v>
      </c>
    </row>
    <row r="115" spans="1:9" ht="45" x14ac:dyDescent="0.25">
      <c r="A115" s="106" t="s">
        <v>198</v>
      </c>
      <c r="B115" s="105" t="s">
        <v>869</v>
      </c>
      <c r="C115" s="102">
        <v>1037113</v>
      </c>
      <c r="D115" s="101" t="s">
        <v>339</v>
      </c>
      <c r="E115" s="100">
        <v>2494079.54</v>
      </c>
      <c r="F115" s="100">
        <v>0</v>
      </c>
      <c r="G115" s="100">
        <v>2494079.54</v>
      </c>
      <c r="H115" s="103" t="s">
        <v>870</v>
      </c>
      <c r="I115" s="104">
        <v>45394.65042824074</v>
      </c>
    </row>
    <row r="116" spans="1:9" ht="45" x14ac:dyDescent="0.25">
      <c r="A116" s="106" t="s">
        <v>198</v>
      </c>
      <c r="B116" s="105" t="s">
        <v>869</v>
      </c>
      <c r="C116" s="102">
        <v>1037117</v>
      </c>
      <c r="D116" s="101" t="s">
        <v>341</v>
      </c>
      <c r="E116" s="100">
        <v>411634.52</v>
      </c>
      <c r="F116" s="100">
        <v>0</v>
      </c>
      <c r="G116" s="100">
        <v>411634.52</v>
      </c>
      <c r="H116" s="103" t="s">
        <v>870</v>
      </c>
      <c r="I116" s="104">
        <v>45394.650439814817</v>
      </c>
    </row>
    <row r="117" spans="1:9" ht="45" x14ac:dyDescent="0.25">
      <c r="A117" s="106" t="s">
        <v>198</v>
      </c>
      <c r="B117" s="105" t="s">
        <v>869</v>
      </c>
      <c r="C117" s="102">
        <v>1037118</v>
      </c>
      <c r="D117" s="101" t="s">
        <v>882</v>
      </c>
      <c r="E117" s="100">
        <v>1349158.58</v>
      </c>
      <c r="F117" s="100">
        <v>0</v>
      </c>
      <c r="G117" s="100">
        <v>1349158.58</v>
      </c>
      <c r="H117" s="103" t="s">
        <v>870</v>
      </c>
      <c r="I117" s="104">
        <v>45394.650439814817</v>
      </c>
    </row>
    <row r="118" spans="1:9" x14ac:dyDescent="0.25">
      <c r="A118" s="106" t="s">
        <v>166</v>
      </c>
      <c r="B118" s="105" t="s">
        <v>869</v>
      </c>
      <c r="C118" s="102">
        <v>2000217</v>
      </c>
      <c r="D118" s="101" t="s">
        <v>226</v>
      </c>
      <c r="E118" s="100">
        <v>-30149.45</v>
      </c>
      <c r="F118" s="100">
        <v>0</v>
      </c>
      <c r="G118" s="100">
        <v>-30149.45</v>
      </c>
      <c r="H118" s="103" t="s">
        <v>878</v>
      </c>
      <c r="I118" s="104">
        <v>45394.650439814817</v>
      </c>
    </row>
    <row r="119" spans="1:9" x14ac:dyDescent="0.25">
      <c r="A119" s="106" t="s">
        <v>166</v>
      </c>
      <c r="B119" s="105" t="s">
        <v>869</v>
      </c>
      <c r="C119" s="102">
        <v>2000218</v>
      </c>
      <c r="D119" s="101" t="s">
        <v>227</v>
      </c>
      <c r="E119" s="100">
        <v>-4939.75</v>
      </c>
      <c r="F119" s="100">
        <v>0</v>
      </c>
      <c r="G119" s="100">
        <v>-4939.75</v>
      </c>
      <c r="H119" s="103" t="s">
        <v>878</v>
      </c>
      <c r="I119" s="104">
        <v>45394.650439814817</v>
      </c>
    </row>
    <row r="120" spans="1:9" x14ac:dyDescent="0.25">
      <c r="A120" s="106" t="s">
        <v>166</v>
      </c>
      <c r="B120" s="105" t="s">
        <v>869</v>
      </c>
      <c r="C120" s="102">
        <v>2000220</v>
      </c>
      <c r="D120" s="101" t="s">
        <v>229</v>
      </c>
      <c r="E120" s="100">
        <v>-90283.26</v>
      </c>
      <c r="F120" s="100">
        <v>0</v>
      </c>
      <c r="G120" s="100">
        <v>-90283.26</v>
      </c>
      <c r="H120" s="103" t="s">
        <v>878</v>
      </c>
      <c r="I120" s="104">
        <v>45394.650439814817</v>
      </c>
    </row>
    <row r="121" spans="1:9" x14ac:dyDescent="0.25">
      <c r="A121" s="106" t="s">
        <v>166</v>
      </c>
      <c r="B121" s="105" t="s">
        <v>869</v>
      </c>
      <c r="C121" s="102">
        <v>2000221</v>
      </c>
      <c r="D121" s="101" t="s">
        <v>230</v>
      </c>
      <c r="E121" s="100">
        <v>-14813.16</v>
      </c>
      <c r="F121" s="100">
        <v>0</v>
      </c>
      <c r="G121" s="100">
        <v>-14813.16</v>
      </c>
      <c r="H121" s="103" t="s">
        <v>878</v>
      </c>
      <c r="I121" s="104">
        <v>45394.650439814817</v>
      </c>
    </row>
    <row r="122" spans="1:9" ht="45" x14ac:dyDescent="0.25">
      <c r="A122" s="106" t="s">
        <v>198</v>
      </c>
      <c r="B122" s="105" t="s">
        <v>869</v>
      </c>
      <c r="C122" s="102">
        <v>2001049</v>
      </c>
      <c r="D122" s="101" t="s">
        <v>272</v>
      </c>
      <c r="E122" s="100">
        <v>992471.08</v>
      </c>
      <c r="F122" s="100">
        <v>0</v>
      </c>
      <c r="G122" s="100">
        <v>992471.08</v>
      </c>
      <c r="H122" s="103" t="s">
        <v>870</v>
      </c>
      <c r="I122" s="104">
        <v>45394.650439814817</v>
      </c>
    </row>
    <row r="123" spans="1:9" ht="45" x14ac:dyDescent="0.25">
      <c r="A123" s="106" t="s">
        <v>198</v>
      </c>
      <c r="B123" s="105" t="s">
        <v>869</v>
      </c>
      <c r="C123" s="102">
        <v>2001050</v>
      </c>
      <c r="D123" s="101" t="s">
        <v>270</v>
      </c>
      <c r="E123" s="100">
        <v>1342934.68</v>
      </c>
      <c r="F123" s="100">
        <v>0</v>
      </c>
      <c r="G123" s="100">
        <v>1342934.68</v>
      </c>
      <c r="H123" s="103" t="s">
        <v>870</v>
      </c>
      <c r="I123" s="104">
        <v>45394.650439814817</v>
      </c>
    </row>
    <row r="124" spans="1:9" ht="45" x14ac:dyDescent="0.25">
      <c r="A124" s="106" t="s">
        <v>307</v>
      </c>
      <c r="B124" s="105" t="s">
        <v>869</v>
      </c>
      <c r="C124" s="102">
        <v>1000003291</v>
      </c>
      <c r="D124" s="101" t="s">
        <v>526</v>
      </c>
      <c r="E124" s="100">
        <v>1472872.78</v>
      </c>
      <c r="F124" s="100">
        <v>0</v>
      </c>
      <c r="G124" s="100">
        <v>1472872.78</v>
      </c>
      <c r="H124" s="103" t="s">
        <v>870</v>
      </c>
      <c r="I124" s="104">
        <v>45394.650439814817</v>
      </c>
    </row>
    <row r="125" spans="1:9" ht="45" x14ac:dyDescent="0.25">
      <c r="A125" s="106" t="s">
        <v>307</v>
      </c>
      <c r="B125" s="105" t="s">
        <v>869</v>
      </c>
      <c r="C125" s="102">
        <v>1000003292</v>
      </c>
      <c r="D125" s="101" t="s">
        <v>527</v>
      </c>
      <c r="E125" s="100">
        <v>235415.54</v>
      </c>
      <c r="F125" s="100">
        <v>0</v>
      </c>
      <c r="G125" s="100">
        <v>235415.54</v>
      </c>
      <c r="H125" s="103" t="s">
        <v>870</v>
      </c>
      <c r="I125" s="104">
        <v>45394.650439814817</v>
      </c>
    </row>
    <row r="126" spans="1:9" ht="45" x14ac:dyDescent="0.25">
      <c r="A126" s="106" t="s">
        <v>307</v>
      </c>
      <c r="B126" s="105" t="s">
        <v>869</v>
      </c>
      <c r="C126" s="102">
        <v>1000003293</v>
      </c>
      <c r="D126" s="101" t="s">
        <v>528</v>
      </c>
      <c r="E126" s="100">
        <v>1691448.94</v>
      </c>
      <c r="F126" s="100">
        <v>0</v>
      </c>
      <c r="G126" s="100">
        <v>1691448.94</v>
      </c>
      <c r="H126" s="103" t="s">
        <v>870</v>
      </c>
      <c r="I126" s="104">
        <v>45394.650439814817</v>
      </c>
    </row>
    <row r="127" spans="1:9" ht="45" x14ac:dyDescent="0.25">
      <c r="A127" s="106" t="s">
        <v>307</v>
      </c>
      <c r="B127" s="105" t="s">
        <v>869</v>
      </c>
      <c r="C127" s="102">
        <v>1000003295</v>
      </c>
      <c r="D127" s="101" t="s">
        <v>530</v>
      </c>
      <c r="E127" s="100">
        <v>127747.52</v>
      </c>
      <c r="F127" s="100">
        <v>0</v>
      </c>
      <c r="G127" s="100">
        <v>127747.52</v>
      </c>
      <c r="H127" s="103" t="s">
        <v>870</v>
      </c>
      <c r="I127" s="104">
        <v>45394.650439814817</v>
      </c>
    </row>
    <row r="128" spans="1:9" ht="45" x14ac:dyDescent="0.25">
      <c r="A128" s="106" t="s">
        <v>307</v>
      </c>
      <c r="B128" s="105" t="s">
        <v>869</v>
      </c>
      <c r="C128" s="102">
        <v>1000003297</v>
      </c>
      <c r="D128" s="101" t="s">
        <v>532</v>
      </c>
      <c r="E128" s="100">
        <v>495640.24</v>
      </c>
      <c r="F128" s="100">
        <v>0</v>
      </c>
      <c r="G128" s="100">
        <v>495640.24</v>
      </c>
      <c r="H128" s="103" t="s">
        <v>870</v>
      </c>
      <c r="I128" s="104">
        <v>45394.650439814817</v>
      </c>
    </row>
    <row r="129" spans="1:9" ht="45" x14ac:dyDescent="0.25">
      <c r="A129" s="106" t="s">
        <v>307</v>
      </c>
      <c r="B129" s="105" t="s">
        <v>869</v>
      </c>
      <c r="C129" s="102">
        <v>1000003298</v>
      </c>
      <c r="D129" s="101" t="s">
        <v>533</v>
      </c>
      <c r="E129" s="100">
        <v>1287842.92</v>
      </c>
      <c r="F129" s="100">
        <v>0</v>
      </c>
      <c r="G129" s="100">
        <v>1287842.92</v>
      </c>
      <c r="H129" s="103" t="s">
        <v>870</v>
      </c>
      <c r="I129" s="104">
        <v>45394.650439814817</v>
      </c>
    </row>
    <row r="130" spans="1:9" ht="45" x14ac:dyDescent="0.25">
      <c r="A130" s="106" t="s">
        <v>307</v>
      </c>
      <c r="B130" s="105">
        <v>0</v>
      </c>
      <c r="C130" s="102">
        <v>1000003299</v>
      </c>
      <c r="D130" s="101" t="s">
        <v>534</v>
      </c>
      <c r="E130" s="100">
        <v>4306110.5199999996</v>
      </c>
      <c r="F130" s="100">
        <v>0</v>
      </c>
      <c r="G130" s="100">
        <v>4306110.5199999996</v>
      </c>
      <c r="H130" s="103" t="s">
        <v>870</v>
      </c>
      <c r="I130" s="104">
        <v>45394.650439814817</v>
      </c>
    </row>
    <row r="131" spans="1:9" ht="45" x14ac:dyDescent="0.25">
      <c r="A131" s="106">
        <v>0</v>
      </c>
      <c r="B131" s="105">
        <v>0</v>
      </c>
      <c r="C131" s="102">
        <v>1000003302</v>
      </c>
      <c r="D131" s="101" t="s">
        <v>537</v>
      </c>
      <c r="E131" s="100">
        <v>6110.72</v>
      </c>
      <c r="F131" s="100">
        <v>0</v>
      </c>
      <c r="G131" s="100">
        <v>6110.72</v>
      </c>
      <c r="H131" s="103" t="s">
        <v>870</v>
      </c>
      <c r="I131" s="104">
        <v>45394.650439814817</v>
      </c>
    </row>
    <row r="132" spans="1:9" x14ac:dyDescent="0.25">
      <c r="A132" s="65"/>
      <c r="B132" s="66"/>
      <c r="C132" s="64"/>
      <c r="D132" s="89"/>
      <c r="E132" s="78"/>
      <c r="F132" s="78"/>
      <c r="G132" s="78"/>
      <c r="H132" s="90"/>
      <c r="I132" s="70"/>
    </row>
    <row r="133" spans="1:9" x14ac:dyDescent="0.25">
      <c r="A133" s="65"/>
      <c r="B133" s="66"/>
      <c r="C133" s="64"/>
      <c r="D133" s="89"/>
      <c r="E133" s="78"/>
      <c r="F133" s="78"/>
      <c r="G133" s="78"/>
      <c r="H133" s="90"/>
      <c r="I133" s="70"/>
    </row>
    <row r="134" spans="1:9" x14ac:dyDescent="0.25">
      <c r="A134" s="65"/>
      <c r="B134" s="66"/>
      <c r="C134" s="64"/>
      <c r="D134" s="89"/>
      <c r="E134" s="78"/>
      <c r="F134" s="78"/>
      <c r="G134" s="78"/>
      <c r="H134" s="90"/>
      <c r="I134" s="70"/>
    </row>
    <row r="135" spans="1:9" x14ac:dyDescent="0.25">
      <c r="A135" s="65"/>
      <c r="B135" s="66"/>
      <c r="C135" s="64"/>
      <c r="D135" s="89"/>
      <c r="E135" s="78"/>
      <c r="F135" s="78"/>
      <c r="G135" s="78"/>
      <c r="H135" s="90"/>
      <c r="I135" s="70"/>
    </row>
    <row r="136" spans="1:9" x14ac:dyDescent="0.25">
      <c r="A136" s="76"/>
      <c r="B136" s="77"/>
      <c r="C136" s="66"/>
      <c r="D136" s="67"/>
      <c r="E136" s="78"/>
      <c r="F136" s="79"/>
      <c r="G136" s="68"/>
      <c r="H136" s="69"/>
      <c r="I136" s="70"/>
    </row>
    <row r="137" spans="1:9" x14ac:dyDescent="0.25">
      <c r="A137" s="76"/>
      <c r="B137" s="77"/>
      <c r="C137" s="66"/>
      <c r="D137" s="67"/>
      <c r="E137" s="78"/>
      <c r="F137" s="79"/>
      <c r="G137" s="68"/>
      <c r="H137" s="69"/>
      <c r="I137" s="70"/>
    </row>
    <row r="138" spans="1:9" x14ac:dyDescent="0.25">
      <c r="A138" s="76"/>
      <c r="B138" s="77"/>
      <c r="C138" s="66"/>
      <c r="D138" s="67"/>
      <c r="E138" s="78"/>
      <c r="F138" s="79"/>
      <c r="G138" s="68"/>
      <c r="H138" s="69"/>
      <c r="I138" s="70"/>
    </row>
    <row r="139" spans="1:9" x14ac:dyDescent="0.25">
      <c r="A139" s="76"/>
      <c r="B139" s="77"/>
      <c r="C139" s="66"/>
      <c r="D139" s="67"/>
      <c r="E139" s="78"/>
      <c r="F139" s="79"/>
      <c r="G139" s="68"/>
      <c r="H139" s="69"/>
      <c r="I139" s="70"/>
    </row>
    <row r="140" spans="1:9" x14ac:dyDescent="0.25">
      <c r="A140" s="76"/>
      <c r="B140" s="77"/>
      <c r="C140" s="66"/>
      <c r="D140" s="67"/>
      <c r="E140" s="78"/>
      <c r="F140" s="79"/>
      <c r="G140" s="68"/>
      <c r="H140" s="69"/>
      <c r="I140" s="70"/>
    </row>
    <row r="141" spans="1:9" x14ac:dyDescent="0.25">
      <c r="A141" s="76"/>
      <c r="B141" s="77"/>
      <c r="C141" s="66"/>
      <c r="D141" s="67"/>
      <c r="E141" s="78"/>
      <c r="F141" s="79"/>
      <c r="G141" s="68"/>
      <c r="H141" s="69"/>
      <c r="I141" s="70"/>
    </row>
    <row r="142" spans="1:9" x14ac:dyDescent="0.25">
      <c r="A142" s="76"/>
      <c r="B142" s="77"/>
      <c r="C142" s="66"/>
      <c r="D142" s="67"/>
      <c r="E142" s="78"/>
      <c r="F142" s="79"/>
      <c r="G142" s="68"/>
      <c r="H142" s="69"/>
      <c r="I142" s="70"/>
    </row>
    <row r="143" spans="1:9" x14ac:dyDescent="0.25">
      <c r="A143" s="76"/>
      <c r="B143" s="77"/>
      <c r="C143" s="66"/>
      <c r="D143" s="67"/>
      <c r="E143" s="78"/>
      <c r="F143" s="79"/>
      <c r="G143" s="68"/>
      <c r="H143" s="69"/>
      <c r="I143" s="70"/>
    </row>
    <row r="144" spans="1:9" x14ac:dyDescent="0.25">
      <c r="A144" s="76"/>
      <c r="B144" s="77"/>
      <c r="C144" s="66"/>
      <c r="D144" s="67"/>
      <c r="E144" s="78"/>
      <c r="F144" s="79"/>
      <c r="G144" s="68"/>
      <c r="H144" s="69"/>
      <c r="I144" s="70"/>
    </row>
    <row r="145" spans="1:9" x14ac:dyDescent="0.25">
      <c r="A145" s="76"/>
      <c r="B145" s="77"/>
      <c r="C145" s="66"/>
      <c r="D145" s="67"/>
      <c r="E145" s="78"/>
      <c r="F145" s="79"/>
      <c r="G145" s="68"/>
      <c r="H145" s="69"/>
      <c r="I145" s="70"/>
    </row>
    <row r="146" spans="1:9" x14ac:dyDescent="0.25">
      <c r="A146" s="76"/>
      <c r="B146" s="77"/>
      <c r="C146" s="66"/>
      <c r="D146" s="67"/>
      <c r="E146" s="78"/>
      <c r="F146" s="79"/>
      <c r="G146" s="68"/>
      <c r="H146" s="69"/>
      <c r="I146" s="70"/>
    </row>
    <row r="147" spans="1:9" x14ac:dyDescent="0.25">
      <c r="A147" s="76"/>
      <c r="B147" s="77"/>
      <c r="C147" s="66"/>
      <c r="D147" s="67"/>
      <c r="E147" s="78"/>
      <c r="F147" s="79"/>
      <c r="G147" s="68"/>
      <c r="H147" s="69"/>
      <c r="I147" s="70"/>
    </row>
    <row r="148" spans="1:9" x14ac:dyDescent="0.25">
      <c r="A148" s="76"/>
      <c r="B148" s="77"/>
      <c r="C148" s="66"/>
      <c r="D148" s="67"/>
      <c r="E148" s="78"/>
      <c r="F148" s="79"/>
      <c r="G148" s="68"/>
      <c r="H148" s="69"/>
      <c r="I148" s="70"/>
    </row>
    <row r="149" spans="1:9" x14ac:dyDescent="0.25">
      <c r="A149" s="76"/>
      <c r="B149" s="77"/>
      <c r="C149" s="66"/>
      <c r="D149" s="67"/>
      <c r="E149" s="78"/>
      <c r="F149" s="79"/>
      <c r="G149" s="68"/>
      <c r="H149" s="69"/>
      <c r="I149" s="70"/>
    </row>
    <row r="150" spans="1:9" x14ac:dyDescent="0.25">
      <c r="A150" s="76"/>
      <c r="B150" s="77"/>
      <c r="C150" s="66"/>
      <c r="D150" s="67"/>
      <c r="E150" s="78"/>
      <c r="F150" s="79"/>
      <c r="G150" s="68"/>
      <c r="H150" s="69"/>
      <c r="I150" s="70"/>
    </row>
    <row r="151" spans="1:9" x14ac:dyDescent="0.25">
      <c r="A151" s="76"/>
      <c r="B151" s="77"/>
      <c r="C151" s="66"/>
      <c r="D151" s="67"/>
      <c r="E151" s="78"/>
      <c r="F151" s="79"/>
      <c r="G151" s="68"/>
      <c r="H151" s="69"/>
      <c r="I151" s="70"/>
    </row>
    <row r="152" spans="1:9" x14ac:dyDescent="0.25">
      <c r="A152" s="5"/>
      <c r="B152" s="5"/>
      <c r="D152" s="6"/>
      <c r="E152" s="5"/>
      <c r="F152" s="5"/>
      <c r="G152" s="5"/>
      <c r="H152" s="5"/>
    </row>
    <row r="153" spans="1:9" x14ac:dyDescent="0.25">
      <c r="A153" s="5"/>
      <c r="B153" s="5"/>
      <c r="E153" s="5"/>
      <c r="F153" s="5"/>
      <c r="G153" s="5"/>
      <c r="H153" s="5"/>
    </row>
    <row r="154" spans="1:9" x14ac:dyDescent="0.25">
      <c r="A154" s="5"/>
      <c r="B154" s="5"/>
      <c r="D154" s="6"/>
      <c r="E154" s="5"/>
      <c r="F154" s="5"/>
      <c r="G154" s="5"/>
      <c r="H154" s="5"/>
    </row>
    <row r="155" spans="1:9" x14ac:dyDescent="0.25">
      <c r="A155" s="5"/>
      <c r="B155" s="5"/>
      <c r="E155" s="5"/>
      <c r="F155" s="5"/>
      <c r="G155" s="5"/>
      <c r="H155" s="5"/>
    </row>
    <row r="156" spans="1:9" x14ac:dyDescent="0.25">
      <c r="A156" s="5"/>
      <c r="B156" s="5"/>
      <c r="D156" s="6"/>
      <c r="E156" s="5"/>
      <c r="F156" s="5"/>
      <c r="G156" s="5"/>
      <c r="H156" s="5"/>
    </row>
    <row r="157" spans="1:9" x14ac:dyDescent="0.25">
      <c r="A157" s="5"/>
      <c r="B157" s="5"/>
      <c r="E157" s="5"/>
      <c r="F157" s="5"/>
      <c r="G157" s="5"/>
      <c r="H157" s="5"/>
    </row>
    <row r="158" spans="1:9" x14ac:dyDescent="0.25">
      <c r="A158" s="5"/>
      <c r="B158" s="5"/>
      <c r="D158" s="6"/>
      <c r="E158" s="5"/>
      <c r="F158" s="5"/>
      <c r="G158" s="5"/>
      <c r="H158" s="5"/>
    </row>
    <row r="159" spans="1:9" x14ac:dyDescent="0.25">
      <c r="A159" s="5"/>
      <c r="B159" s="5"/>
      <c r="E159" s="5"/>
      <c r="F159" s="5"/>
      <c r="G159" s="5"/>
      <c r="H159" s="5"/>
    </row>
    <row r="160" spans="1:9" x14ac:dyDescent="0.25">
      <c r="A160" s="5"/>
      <c r="B160" s="5"/>
      <c r="D160" s="6"/>
      <c r="E160" s="5"/>
      <c r="F160" s="5"/>
      <c r="G160" s="5"/>
      <c r="H160" s="5"/>
    </row>
    <row r="161" spans="1:8" x14ac:dyDescent="0.25">
      <c r="A161" s="5"/>
      <c r="B161" s="5"/>
      <c r="E161" s="5"/>
      <c r="F161" s="5"/>
      <c r="G161" s="5"/>
      <c r="H161" s="5"/>
    </row>
    <row r="162" spans="1:8" x14ac:dyDescent="0.25">
      <c r="A162" s="5"/>
      <c r="B162" s="5"/>
      <c r="D162" s="6"/>
      <c r="E162" s="5"/>
      <c r="F162" s="5"/>
      <c r="G162" s="5"/>
      <c r="H162" s="5"/>
    </row>
    <row r="163" spans="1:8" x14ac:dyDescent="0.25">
      <c r="A163" s="5"/>
      <c r="B163" s="5"/>
      <c r="E163" s="5"/>
      <c r="F163" s="5"/>
      <c r="G163" s="5"/>
      <c r="H163" s="5"/>
    </row>
    <row r="164" spans="1:8" x14ac:dyDescent="0.25">
      <c r="A164" s="5"/>
      <c r="B164" s="5"/>
      <c r="D164" s="6"/>
      <c r="E164" s="5"/>
      <c r="F164" s="5"/>
      <c r="G164" s="5"/>
      <c r="H164" s="5"/>
    </row>
    <row r="165" spans="1:8" x14ac:dyDescent="0.25">
      <c r="A165" s="5"/>
      <c r="B165" s="5"/>
      <c r="E165" s="5"/>
      <c r="F165" s="5"/>
      <c r="G165" s="5"/>
      <c r="H165" s="5"/>
    </row>
    <row r="166" spans="1:8" x14ac:dyDescent="0.25">
      <c r="A166" s="5"/>
      <c r="B166" s="5"/>
      <c r="D166" s="6"/>
      <c r="E166" s="5"/>
      <c r="F166" s="5"/>
      <c r="G166" s="5"/>
      <c r="H166" s="5"/>
    </row>
    <row r="167" spans="1:8" x14ac:dyDescent="0.25">
      <c r="A167" s="5"/>
      <c r="B167" s="5"/>
      <c r="E167" s="5"/>
      <c r="F167" s="5"/>
      <c r="G167" s="5"/>
      <c r="H167" s="5"/>
    </row>
    <row r="168" spans="1:8" x14ac:dyDescent="0.25">
      <c r="A168" s="5"/>
      <c r="B168" s="5"/>
      <c r="D168" s="6"/>
      <c r="E168" s="5"/>
      <c r="F168" s="5"/>
      <c r="G168" s="5"/>
      <c r="H168" s="5"/>
    </row>
    <row r="169" spans="1:8" x14ac:dyDescent="0.25">
      <c r="A169" s="5"/>
      <c r="B169" s="5"/>
      <c r="E169" s="5"/>
      <c r="F169" s="5"/>
      <c r="G169" s="5"/>
      <c r="H169" s="5"/>
    </row>
    <row r="170" spans="1:8" x14ac:dyDescent="0.25">
      <c r="A170" s="5"/>
      <c r="B170" s="5"/>
      <c r="D170" s="6"/>
      <c r="E170" s="5"/>
      <c r="F170" s="5"/>
      <c r="G170" s="5"/>
      <c r="H170" s="5"/>
    </row>
    <row r="171" spans="1:8" x14ac:dyDescent="0.25">
      <c r="A171" s="5"/>
      <c r="B171" s="5"/>
      <c r="E171" s="5"/>
      <c r="F171" s="5"/>
      <c r="G171" s="5"/>
      <c r="H171" s="5"/>
    </row>
    <row r="172" spans="1:8" x14ac:dyDescent="0.25">
      <c r="A172" s="5"/>
      <c r="B172" s="5"/>
      <c r="D172" s="6"/>
      <c r="E172" s="5"/>
      <c r="F172" s="5"/>
      <c r="G172" s="5"/>
      <c r="H172" s="5"/>
    </row>
    <row r="173" spans="1:8" x14ac:dyDescent="0.25">
      <c r="A173" s="5"/>
      <c r="B173" s="5"/>
      <c r="E173" s="5"/>
      <c r="F173" s="5"/>
      <c r="G173" s="5"/>
      <c r="H173" s="5"/>
    </row>
    <row r="174" spans="1:8" x14ac:dyDescent="0.25">
      <c r="A174" s="5"/>
      <c r="B174" s="5"/>
      <c r="D174" s="6"/>
      <c r="E174" s="5"/>
      <c r="F174" s="5"/>
      <c r="G174" s="5"/>
      <c r="H174" s="5"/>
    </row>
    <row r="175" spans="1:8" x14ac:dyDescent="0.25">
      <c r="A175" s="5"/>
      <c r="B175" s="5"/>
      <c r="E175" s="5"/>
      <c r="F175" s="5"/>
      <c r="G175" s="5"/>
      <c r="H175" s="5"/>
    </row>
    <row r="176" spans="1:8" x14ac:dyDescent="0.25">
      <c r="A176" s="5"/>
      <c r="B176" s="5"/>
      <c r="D176" s="6"/>
      <c r="E176" s="5"/>
      <c r="F176" s="5"/>
      <c r="G176" s="5"/>
      <c r="H176" s="5"/>
    </row>
    <row r="177" spans="1:8" x14ac:dyDescent="0.25">
      <c r="A177" s="5"/>
      <c r="B177" s="5"/>
      <c r="E177" s="5"/>
      <c r="F177" s="5"/>
      <c r="G177" s="5"/>
      <c r="H177" s="5"/>
    </row>
    <row r="178" spans="1:8" x14ac:dyDescent="0.25">
      <c r="A178" s="5"/>
      <c r="B178" s="5"/>
      <c r="D178" s="6"/>
      <c r="E178" s="5"/>
      <c r="F178" s="5"/>
      <c r="G178" s="5"/>
      <c r="H178" s="5"/>
    </row>
    <row r="179" spans="1:8" x14ac:dyDescent="0.25">
      <c r="A179" s="5"/>
      <c r="B179" s="5"/>
      <c r="E179" s="5"/>
      <c r="F179" s="5"/>
      <c r="G179" s="5"/>
      <c r="H179" s="5"/>
    </row>
    <row r="180" spans="1:8" x14ac:dyDescent="0.25">
      <c r="A180" s="5"/>
      <c r="B180" s="5"/>
      <c r="D180" s="6"/>
      <c r="E180" s="5"/>
      <c r="F180" s="5"/>
      <c r="G180" s="5"/>
      <c r="H180" s="5"/>
    </row>
    <row r="181" spans="1:8" x14ac:dyDescent="0.25">
      <c r="A181" s="5"/>
      <c r="B181" s="5"/>
      <c r="E181" s="5"/>
      <c r="F181" s="5"/>
      <c r="G181" s="5"/>
      <c r="H181" s="5"/>
    </row>
    <row r="182" spans="1:8" x14ac:dyDescent="0.25">
      <c r="A182" s="5"/>
      <c r="B182" s="5"/>
      <c r="D182" s="6"/>
      <c r="E182" s="5"/>
      <c r="F182" s="5"/>
      <c r="G182" s="5"/>
      <c r="H182" s="5"/>
    </row>
    <row r="183" spans="1:8" x14ac:dyDescent="0.25">
      <c r="A183" s="5"/>
      <c r="B183" s="5"/>
      <c r="E183" s="5"/>
      <c r="F183" s="5"/>
      <c r="G183" s="5"/>
      <c r="H183" s="5"/>
    </row>
    <row r="184" spans="1:8" x14ac:dyDescent="0.25">
      <c r="A184" s="5"/>
      <c r="B184" s="5"/>
      <c r="D184" s="6"/>
      <c r="E184" s="5"/>
      <c r="F184" s="5"/>
      <c r="G184" s="5"/>
      <c r="H184" s="5"/>
    </row>
    <row r="185" spans="1:8" x14ac:dyDescent="0.25">
      <c r="A185" s="5"/>
      <c r="B185" s="5"/>
      <c r="E185" s="5"/>
      <c r="F185" s="5"/>
      <c r="G185" s="5"/>
      <c r="H185" s="5"/>
    </row>
    <row r="186" spans="1:8" x14ac:dyDescent="0.25">
      <c r="A186" s="5"/>
      <c r="B186" s="5"/>
      <c r="D186" s="6"/>
      <c r="E186" s="5"/>
      <c r="F186" s="5"/>
      <c r="G186" s="5"/>
      <c r="H186" s="5"/>
    </row>
    <row r="187" spans="1:8" x14ac:dyDescent="0.25">
      <c r="A187" s="5"/>
      <c r="B187" s="5"/>
      <c r="E187" s="5"/>
      <c r="F187" s="5"/>
      <c r="G187" s="5"/>
      <c r="H187" s="5"/>
    </row>
    <row r="188" spans="1:8" x14ac:dyDescent="0.25">
      <c r="A188" s="5"/>
      <c r="B188" s="5"/>
      <c r="D188" s="6"/>
      <c r="E188" s="5"/>
      <c r="F188" s="5"/>
      <c r="G188" s="5"/>
      <c r="H188" s="5"/>
    </row>
    <row r="189" spans="1:8" x14ac:dyDescent="0.25">
      <c r="A189" s="5"/>
      <c r="B189" s="5"/>
      <c r="E189" s="5"/>
      <c r="F189" s="5"/>
      <c r="G189" s="5"/>
      <c r="H189" s="5"/>
    </row>
    <row r="190" spans="1:8" x14ac:dyDescent="0.25">
      <c r="A190" s="5"/>
      <c r="B190" s="5"/>
      <c r="D190" s="6"/>
      <c r="E190" s="5"/>
      <c r="F190" s="5"/>
      <c r="G190" s="5"/>
      <c r="H190" s="5"/>
    </row>
    <row r="191" spans="1:8" x14ac:dyDescent="0.25">
      <c r="A191" s="5"/>
      <c r="B191" s="5"/>
      <c r="E191" s="5"/>
      <c r="F191" s="5"/>
      <c r="G191" s="5"/>
      <c r="H191" s="5"/>
    </row>
    <row r="192" spans="1:8" x14ac:dyDescent="0.25">
      <c r="A192" s="5"/>
      <c r="B192" s="5"/>
      <c r="D192" s="6"/>
      <c r="E192" s="5"/>
      <c r="F192" s="5"/>
      <c r="G192" s="5"/>
      <c r="H192" s="5"/>
    </row>
    <row r="193" spans="1:8" x14ac:dyDescent="0.25">
      <c r="A193" s="5"/>
      <c r="B193" s="5"/>
      <c r="E193" s="5"/>
      <c r="F193" s="5"/>
      <c r="G193" s="5"/>
      <c r="H193" s="5"/>
    </row>
    <row r="194" spans="1:8" x14ac:dyDescent="0.25">
      <c r="A194" s="5"/>
      <c r="B194" s="5"/>
      <c r="D194" s="6"/>
      <c r="E194" s="5"/>
      <c r="F194" s="5"/>
      <c r="G194" s="5"/>
      <c r="H194" s="5"/>
    </row>
    <row r="195" spans="1:8" x14ac:dyDescent="0.25">
      <c r="A195" s="5"/>
      <c r="B195" s="5"/>
      <c r="E195" s="5"/>
      <c r="F195" s="5"/>
      <c r="G195" s="5"/>
      <c r="H195" s="5"/>
    </row>
    <row r="196" spans="1:8" x14ac:dyDescent="0.25">
      <c r="A196" s="5"/>
      <c r="B196" s="5"/>
      <c r="D196" s="6"/>
      <c r="E196" s="5"/>
      <c r="F196" s="5"/>
      <c r="G196" s="5"/>
      <c r="H196" s="5"/>
    </row>
    <row r="197" spans="1:8" x14ac:dyDescent="0.25">
      <c r="A197" s="5"/>
      <c r="B197" s="5"/>
      <c r="E197" s="5"/>
      <c r="F197" s="5"/>
      <c r="G197" s="5"/>
      <c r="H197" s="5"/>
    </row>
    <row r="198" spans="1:8" x14ac:dyDescent="0.25">
      <c r="A198" s="5"/>
      <c r="B198" s="5"/>
      <c r="D198" s="6"/>
      <c r="E198" s="5"/>
      <c r="F198" s="5"/>
      <c r="G198" s="5"/>
      <c r="H198" s="5"/>
    </row>
    <row r="199" spans="1:8" x14ac:dyDescent="0.25">
      <c r="A199" s="5"/>
      <c r="B199" s="5"/>
      <c r="E199" s="5"/>
      <c r="F199" s="5"/>
      <c r="G199" s="5"/>
      <c r="H199" s="5"/>
    </row>
    <row r="200" spans="1:8" x14ac:dyDescent="0.25">
      <c r="A200" s="5"/>
      <c r="B200" s="5"/>
      <c r="D200" s="6"/>
      <c r="E200" s="5"/>
      <c r="F200" s="5"/>
      <c r="G200" s="5"/>
      <c r="H200" s="5"/>
    </row>
    <row r="201" spans="1:8" x14ac:dyDescent="0.25">
      <c r="A201" s="5"/>
      <c r="B201" s="5"/>
      <c r="E201" s="5"/>
      <c r="F201" s="5"/>
      <c r="G201" s="5"/>
      <c r="H201" s="5"/>
    </row>
    <row r="202" spans="1:8" x14ac:dyDescent="0.25">
      <c r="A202" s="5"/>
      <c r="B202" s="5"/>
      <c r="D202" s="6"/>
      <c r="E202" s="5"/>
      <c r="F202" s="5"/>
      <c r="G202" s="5"/>
      <c r="H202" s="5"/>
    </row>
    <row r="203" spans="1:8" x14ac:dyDescent="0.25">
      <c r="A203" s="5"/>
      <c r="B203" s="5"/>
      <c r="E203" s="5"/>
      <c r="F203" s="5"/>
      <c r="G203" s="5"/>
      <c r="H203" s="5"/>
    </row>
    <row r="204" spans="1:8" x14ac:dyDescent="0.25">
      <c r="A204" s="5"/>
      <c r="B204" s="5"/>
      <c r="D204" s="6"/>
      <c r="E204" s="5"/>
      <c r="F204" s="5"/>
      <c r="G204" s="5"/>
      <c r="H204" s="5"/>
    </row>
    <row r="205" spans="1:8" x14ac:dyDescent="0.25">
      <c r="A205" s="5"/>
      <c r="B205" s="5"/>
      <c r="E205" s="5"/>
      <c r="F205" s="5"/>
      <c r="G205" s="5"/>
      <c r="H205" s="5"/>
    </row>
    <row r="206" spans="1:8" x14ac:dyDescent="0.25">
      <c r="A206" s="5"/>
      <c r="B206" s="5"/>
      <c r="D206" s="6"/>
      <c r="E206" s="5"/>
      <c r="F206" s="5"/>
      <c r="G206" s="5"/>
      <c r="H206" s="5"/>
    </row>
    <row r="207" spans="1:8" x14ac:dyDescent="0.25">
      <c r="A207" s="5"/>
      <c r="B207" s="5"/>
      <c r="E207" s="5"/>
      <c r="F207" s="5"/>
      <c r="G207" s="5"/>
      <c r="H207" s="5"/>
    </row>
    <row r="208" spans="1:8" x14ac:dyDescent="0.25">
      <c r="A208" s="5"/>
      <c r="B208" s="5"/>
      <c r="D208" s="6"/>
      <c r="E208" s="5"/>
      <c r="F208" s="5"/>
      <c r="G208" s="5"/>
      <c r="H208" s="5"/>
    </row>
    <row r="209" spans="1:8" x14ac:dyDescent="0.25">
      <c r="A209" s="5"/>
      <c r="B209" s="5"/>
      <c r="E209" s="5"/>
      <c r="F209" s="5"/>
      <c r="G209" s="5"/>
      <c r="H209" s="5"/>
    </row>
    <row r="210" spans="1:8" x14ac:dyDescent="0.25">
      <c r="A210" s="5"/>
      <c r="B210" s="5"/>
      <c r="D210" s="6"/>
      <c r="E210" s="5"/>
      <c r="F210" s="5"/>
      <c r="G210" s="5"/>
      <c r="H210" s="5"/>
    </row>
    <row r="211" spans="1:8" x14ac:dyDescent="0.25">
      <c r="A211" s="5"/>
      <c r="B211" s="5"/>
      <c r="E211" s="5"/>
      <c r="F211" s="5"/>
      <c r="G211" s="5"/>
      <c r="H211" s="5"/>
    </row>
    <row r="212" spans="1:8" x14ac:dyDescent="0.25">
      <c r="A212" s="5"/>
      <c r="B212" s="5"/>
      <c r="D212" s="6"/>
      <c r="E212" s="5"/>
      <c r="F212" s="5"/>
      <c r="G212" s="5"/>
      <c r="H212" s="5"/>
    </row>
    <row r="213" spans="1:8" x14ac:dyDescent="0.25">
      <c r="A213" s="5"/>
      <c r="B213" s="5"/>
      <c r="E213" s="5"/>
      <c r="F213" s="5"/>
      <c r="G213" s="5"/>
      <c r="H213" s="5"/>
    </row>
    <row r="214" spans="1:8" x14ac:dyDescent="0.25">
      <c r="A214" s="5"/>
      <c r="B214" s="5"/>
      <c r="D214" s="6"/>
      <c r="E214" s="5"/>
      <c r="F214" s="5"/>
      <c r="G214" s="5"/>
      <c r="H214" s="5"/>
    </row>
    <row r="215" spans="1:8" x14ac:dyDescent="0.25">
      <c r="A215" s="5"/>
      <c r="B215" s="5"/>
      <c r="E215" s="5"/>
      <c r="F215" s="5"/>
      <c r="G215" s="5"/>
      <c r="H215" s="5"/>
    </row>
    <row r="216" spans="1:8" x14ac:dyDescent="0.25">
      <c r="A216" s="5"/>
      <c r="B216" s="5"/>
      <c r="D216" s="6"/>
      <c r="E216" s="5"/>
      <c r="F216" s="5"/>
      <c r="G216" s="5"/>
      <c r="H216" s="5"/>
    </row>
    <row r="217" spans="1:8" x14ac:dyDescent="0.25">
      <c r="A217" s="5"/>
      <c r="B217" s="5"/>
      <c r="E217" s="5"/>
      <c r="F217" s="5"/>
      <c r="G217" s="5"/>
      <c r="H217" s="5"/>
    </row>
    <row r="218" spans="1:8" x14ac:dyDescent="0.25">
      <c r="A218" s="5"/>
      <c r="B218" s="5"/>
      <c r="D218" s="6"/>
      <c r="E218" s="5"/>
      <c r="F218" s="5"/>
      <c r="G218" s="5"/>
      <c r="H218" s="5"/>
    </row>
    <row r="219" spans="1:8" x14ac:dyDescent="0.25">
      <c r="A219" s="5"/>
      <c r="B219" s="5"/>
      <c r="E219" s="5"/>
      <c r="F219" s="5"/>
      <c r="G219" s="5"/>
      <c r="H219" s="5"/>
    </row>
    <row r="220" spans="1:8" x14ac:dyDescent="0.25">
      <c r="A220" s="5"/>
      <c r="B220" s="5"/>
      <c r="D220" s="6"/>
      <c r="E220" s="5"/>
      <c r="F220" s="5"/>
      <c r="G220" s="5"/>
      <c r="H220" s="5"/>
    </row>
    <row r="221" spans="1:8" x14ac:dyDescent="0.25">
      <c r="A221" s="5"/>
      <c r="B221" s="5"/>
      <c r="E221" s="5"/>
      <c r="F221" s="5"/>
      <c r="G221" s="5"/>
      <c r="H221" s="5"/>
    </row>
    <row r="222" spans="1:8" x14ac:dyDescent="0.25">
      <c r="A222" s="5"/>
      <c r="B222" s="5"/>
      <c r="D222" s="6"/>
      <c r="E222" s="5"/>
      <c r="F222" s="5"/>
      <c r="G222" s="5"/>
      <c r="H222" s="5"/>
    </row>
    <row r="223" spans="1:8" x14ac:dyDescent="0.25">
      <c r="A223" s="5"/>
      <c r="B223" s="5"/>
      <c r="E223" s="5"/>
      <c r="F223" s="5"/>
      <c r="G223" s="5"/>
      <c r="H223" s="5"/>
    </row>
    <row r="224" spans="1:8" x14ac:dyDescent="0.25">
      <c r="A224" s="5"/>
      <c r="B224" s="5"/>
      <c r="D224" s="6"/>
      <c r="E224" s="5"/>
      <c r="F224" s="5"/>
      <c r="G224" s="5"/>
      <c r="H224" s="5"/>
    </row>
    <row r="225" spans="1:8" x14ac:dyDescent="0.25">
      <c r="A225" s="5"/>
      <c r="B225" s="5"/>
      <c r="E225" s="5"/>
      <c r="F225" s="5"/>
      <c r="G225" s="5"/>
      <c r="H225" s="5"/>
    </row>
    <row r="226" spans="1:8" x14ac:dyDescent="0.25">
      <c r="A226" s="5"/>
      <c r="B226" s="5"/>
      <c r="D226" s="6"/>
      <c r="E226" s="5"/>
      <c r="F226" s="5"/>
      <c r="G226" s="5"/>
      <c r="H226" s="5"/>
    </row>
    <row r="227" spans="1:8" x14ac:dyDescent="0.25">
      <c r="A227" s="5"/>
      <c r="B227" s="5"/>
      <c r="E227" s="5"/>
      <c r="F227" s="5"/>
      <c r="G227" s="5"/>
      <c r="H227" s="5"/>
    </row>
    <row r="228" spans="1:8" x14ac:dyDescent="0.25">
      <c r="A228" s="5"/>
      <c r="B228" s="5"/>
      <c r="D228" s="6"/>
      <c r="E228" s="5"/>
      <c r="F228" s="5"/>
      <c r="G228" s="5"/>
      <c r="H228" s="5"/>
    </row>
    <row r="229" spans="1:8" x14ac:dyDescent="0.25">
      <c r="A229" s="5"/>
      <c r="B229" s="5"/>
      <c r="E229" s="5"/>
      <c r="F229" s="5"/>
      <c r="G229" s="5"/>
      <c r="H229" s="5"/>
    </row>
    <row r="230" spans="1:8" x14ac:dyDescent="0.25">
      <c r="A230" s="5"/>
      <c r="B230" s="5"/>
      <c r="D230" s="6"/>
      <c r="E230" s="5"/>
      <c r="F230" s="5"/>
      <c r="G230" s="5"/>
      <c r="H230" s="5"/>
    </row>
    <row r="231" spans="1:8" x14ac:dyDescent="0.25">
      <c r="A231" s="5"/>
      <c r="B231" s="5"/>
      <c r="E231" s="5"/>
      <c r="F231" s="5"/>
      <c r="G231" s="5"/>
      <c r="H231" s="5"/>
    </row>
    <row r="232" spans="1:8" x14ac:dyDescent="0.25">
      <c r="A232" s="5"/>
      <c r="B232" s="5"/>
      <c r="D232" s="6"/>
      <c r="E232" s="5"/>
      <c r="F232" s="5"/>
      <c r="G232" s="5"/>
      <c r="H232" s="5"/>
    </row>
    <row r="233" spans="1:8" x14ac:dyDescent="0.25">
      <c r="A233" s="5"/>
      <c r="B233" s="5"/>
      <c r="E233" s="5"/>
      <c r="F233" s="5"/>
      <c r="G233" s="5"/>
      <c r="H233" s="5"/>
    </row>
    <row r="234" spans="1:8" x14ac:dyDescent="0.25">
      <c r="A234" s="5"/>
      <c r="B234" s="5"/>
      <c r="D234" s="6"/>
      <c r="E234" s="5"/>
      <c r="F234" s="5"/>
      <c r="G234" s="5"/>
      <c r="H234" s="5"/>
    </row>
    <row r="235" spans="1:8" x14ac:dyDescent="0.25">
      <c r="A235" s="5"/>
      <c r="B235" s="5"/>
      <c r="E235" s="5"/>
      <c r="F235" s="5"/>
      <c r="G235" s="5"/>
      <c r="H235" s="5"/>
    </row>
    <row r="236" spans="1:8" x14ac:dyDescent="0.25">
      <c r="A236" s="5"/>
      <c r="B236" s="5"/>
      <c r="D236" s="6"/>
      <c r="E236" s="5"/>
      <c r="F236" s="5"/>
      <c r="G236" s="5"/>
      <c r="H236" s="5"/>
    </row>
    <row r="237" spans="1:8" x14ac:dyDescent="0.25">
      <c r="A237" s="5"/>
      <c r="B237" s="5"/>
      <c r="E237" s="5"/>
      <c r="F237" s="5"/>
      <c r="G237" s="5"/>
      <c r="H237" s="5"/>
    </row>
    <row r="238" spans="1:8" x14ac:dyDescent="0.25">
      <c r="A238" s="5"/>
      <c r="B238" s="5"/>
      <c r="D238" s="6"/>
      <c r="E238" s="5"/>
      <c r="F238" s="5"/>
      <c r="G238" s="5"/>
      <c r="H238" s="5"/>
    </row>
    <row r="239" spans="1:8" x14ac:dyDescent="0.25">
      <c r="A239" s="5"/>
      <c r="B239" s="5"/>
      <c r="E239" s="5"/>
      <c r="F239" s="5"/>
      <c r="G239" s="5"/>
      <c r="H239" s="5"/>
    </row>
    <row r="240" spans="1:8" x14ac:dyDescent="0.25">
      <c r="A240" s="5"/>
      <c r="B240" s="5"/>
      <c r="D240" s="6"/>
      <c r="E240" s="5"/>
      <c r="F240" s="5"/>
      <c r="G240" s="5"/>
      <c r="H240" s="5"/>
    </row>
    <row r="241" spans="1:8" x14ac:dyDescent="0.25">
      <c r="A241" s="5"/>
      <c r="B241" s="5"/>
      <c r="E241" s="5"/>
      <c r="F241" s="5"/>
      <c r="G241" s="5"/>
      <c r="H241" s="5"/>
    </row>
    <row r="242" spans="1:8" x14ac:dyDescent="0.25">
      <c r="A242" s="5"/>
      <c r="B242" s="5"/>
      <c r="D242" s="6"/>
      <c r="E242" s="5"/>
      <c r="F242" s="5"/>
      <c r="G242" s="5"/>
      <c r="H242" s="5"/>
    </row>
    <row r="243" spans="1:8" x14ac:dyDescent="0.25">
      <c r="A243" s="5"/>
      <c r="B243" s="5"/>
      <c r="E243" s="5"/>
      <c r="F243" s="5"/>
      <c r="G243" s="5"/>
      <c r="H243" s="5"/>
    </row>
    <row r="244" spans="1:8" x14ac:dyDescent="0.25">
      <c r="A244" s="5"/>
      <c r="B244" s="5"/>
      <c r="D244" s="6"/>
      <c r="E244" s="5"/>
      <c r="F244" s="5"/>
      <c r="G244" s="5"/>
      <c r="H244" s="5"/>
    </row>
    <row r="245" spans="1:8" x14ac:dyDescent="0.25">
      <c r="A245" s="5"/>
      <c r="B245" s="5"/>
      <c r="E245" s="5"/>
      <c r="F245" s="5"/>
      <c r="G245" s="5"/>
      <c r="H245" s="5"/>
    </row>
    <row r="246" spans="1:8" x14ac:dyDescent="0.25">
      <c r="A246" s="5"/>
      <c r="B246" s="5"/>
      <c r="D246" s="6"/>
      <c r="E246" s="5"/>
      <c r="F246" s="5"/>
      <c r="G246" s="5"/>
      <c r="H246" s="5"/>
    </row>
    <row r="247" spans="1:8" x14ac:dyDescent="0.25">
      <c r="A247" s="5"/>
      <c r="B247" s="5"/>
      <c r="E247" s="5"/>
      <c r="F247" s="5"/>
      <c r="G247" s="5"/>
      <c r="H247" s="5"/>
    </row>
    <row r="248" spans="1:8" x14ac:dyDescent="0.25">
      <c r="A248" s="5"/>
      <c r="B248" s="5"/>
      <c r="D248" s="6"/>
      <c r="E248" s="5"/>
      <c r="F248" s="5"/>
      <c r="G248" s="5"/>
      <c r="H248" s="5"/>
    </row>
    <row r="249" spans="1:8" x14ac:dyDescent="0.25">
      <c r="A249" s="5"/>
      <c r="B249" s="5"/>
      <c r="E249" s="5"/>
      <c r="F249" s="5"/>
      <c r="G249" s="5"/>
      <c r="H249" s="5"/>
    </row>
    <row r="250" spans="1:8" x14ac:dyDescent="0.25">
      <c r="A250" s="5"/>
      <c r="B250" s="5"/>
      <c r="D250" s="6"/>
      <c r="E250" s="5"/>
      <c r="F250" s="5"/>
      <c r="G250" s="5"/>
      <c r="H250" s="5"/>
    </row>
    <row r="251" spans="1:8" x14ac:dyDescent="0.25">
      <c r="A251" s="5"/>
      <c r="B251" s="5"/>
      <c r="E251" s="5"/>
      <c r="F251" s="5"/>
      <c r="G251" s="5"/>
      <c r="H251" s="5"/>
    </row>
    <row r="252" spans="1:8" x14ac:dyDescent="0.25">
      <c r="A252" s="5"/>
      <c r="B252" s="5"/>
      <c r="D252" s="6"/>
      <c r="E252" s="5"/>
      <c r="F252" s="5"/>
      <c r="G252" s="5"/>
      <c r="H252" s="5"/>
    </row>
    <row r="253" spans="1:8" x14ac:dyDescent="0.25">
      <c r="A253" s="5"/>
      <c r="B253" s="5"/>
      <c r="E253" s="5"/>
      <c r="F253" s="5"/>
      <c r="G253" s="5"/>
      <c r="H253" s="5"/>
    </row>
    <row r="254" spans="1:8" x14ac:dyDescent="0.25">
      <c r="A254" s="5"/>
      <c r="B254" s="5"/>
      <c r="D254" s="6"/>
      <c r="E254" s="5"/>
      <c r="F254" s="5"/>
      <c r="G254" s="5"/>
      <c r="H254" s="5"/>
    </row>
    <row r="255" spans="1:8" x14ac:dyDescent="0.25">
      <c r="A255" s="5"/>
      <c r="B255" s="5"/>
      <c r="E255" s="5"/>
      <c r="F255" s="5"/>
      <c r="G255" s="5"/>
      <c r="H255" s="5"/>
    </row>
    <row r="256" spans="1:8" x14ac:dyDescent="0.25">
      <c r="A256" s="5"/>
      <c r="B256" s="5"/>
      <c r="D256" s="6"/>
      <c r="E256" s="5"/>
      <c r="F256" s="5"/>
      <c r="G256" s="5"/>
      <c r="H256" s="5"/>
    </row>
    <row r="257" spans="1:8" x14ac:dyDescent="0.25">
      <c r="A257" s="5"/>
      <c r="B257" s="5"/>
      <c r="E257" s="5"/>
      <c r="F257" s="5"/>
      <c r="G257" s="5"/>
      <c r="H257" s="5"/>
    </row>
    <row r="258" spans="1:8" x14ac:dyDescent="0.25">
      <c r="A258" s="5"/>
      <c r="B258" s="5"/>
      <c r="D258" s="6"/>
      <c r="E258" s="5"/>
      <c r="F258" s="5"/>
      <c r="G258" s="5"/>
      <c r="H258" s="5"/>
    </row>
    <row r="259" spans="1:8" x14ac:dyDescent="0.25">
      <c r="A259" s="5"/>
      <c r="B259" s="5"/>
      <c r="E259" s="5"/>
      <c r="F259" s="5"/>
      <c r="G259" s="5"/>
      <c r="H259" s="5"/>
    </row>
    <row r="260" spans="1:8" x14ac:dyDescent="0.25">
      <c r="A260" s="5"/>
      <c r="B260" s="5"/>
      <c r="D260" s="6"/>
      <c r="E260" s="5"/>
      <c r="F260" s="5"/>
      <c r="G260" s="5"/>
      <c r="H260" s="5"/>
    </row>
    <row r="261" spans="1:8" x14ac:dyDescent="0.25">
      <c r="A261" s="5"/>
      <c r="B261" s="5"/>
      <c r="E261" s="5"/>
      <c r="F261" s="5"/>
      <c r="G261" s="5"/>
      <c r="H261" s="5"/>
    </row>
    <row r="262" spans="1:8" x14ac:dyDescent="0.25">
      <c r="A262" s="5"/>
      <c r="B262" s="5"/>
      <c r="D262" s="6"/>
      <c r="E262" s="5"/>
      <c r="F262" s="5"/>
      <c r="G262" s="5"/>
      <c r="H262" s="5"/>
    </row>
    <row r="263" spans="1:8" x14ac:dyDescent="0.25">
      <c r="A263" s="5"/>
      <c r="B263" s="5"/>
      <c r="E263" s="5"/>
      <c r="F263" s="5"/>
      <c r="G263" s="5"/>
      <c r="H263" s="5"/>
    </row>
    <row r="264" spans="1:8" x14ac:dyDescent="0.25">
      <c r="A264" s="5"/>
      <c r="B264" s="5"/>
      <c r="D264" s="6"/>
      <c r="E264" s="5"/>
      <c r="F264" s="5"/>
      <c r="G264" s="5"/>
      <c r="H264" s="5"/>
    </row>
    <row r="265" spans="1:8" x14ac:dyDescent="0.25">
      <c r="A265" s="5"/>
      <c r="B265" s="5"/>
      <c r="E265" s="5"/>
      <c r="F265" s="5"/>
      <c r="G265" s="5"/>
      <c r="H265" s="5"/>
    </row>
    <row r="266" spans="1:8" x14ac:dyDescent="0.25">
      <c r="A266" s="5"/>
      <c r="B266" s="5"/>
      <c r="D266" s="6"/>
      <c r="E266" s="5"/>
      <c r="F266" s="5"/>
      <c r="G266" s="5"/>
      <c r="H266" s="5"/>
    </row>
    <row r="267" spans="1:8" x14ac:dyDescent="0.25">
      <c r="A267" s="5"/>
      <c r="B267" s="5"/>
      <c r="E267" s="5"/>
      <c r="F267" s="5"/>
      <c r="G267" s="5"/>
      <c r="H267" s="5"/>
    </row>
    <row r="268" spans="1:8" x14ac:dyDescent="0.25">
      <c r="A268" s="5"/>
      <c r="B268" s="5"/>
      <c r="D268" s="6"/>
      <c r="E268" s="5"/>
      <c r="F268" s="5"/>
      <c r="G268" s="5"/>
      <c r="H268" s="5"/>
    </row>
    <row r="269" spans="1:8" x14ac:dyDescent="0.25">
      <c r="A269" s="5"/>
      <c r="B269" s="5"/>
      <c r="E269" s="5"/>
      <c r="F269" s="5"/>
      <c r="G269" s="5"/>
      <c r="H269" s="5"/>
    </row>
    <row r="270" spans="1:8" x14ac:dyDescent="0.25">
      <c r="A270" s="5"/>
      <c r="B270" s="5"/>
      <c r="D270" s="6"/>
      <c r="E270" s="5"/>
      <c r="F270" s="5"/>
      <c r="G270" s="5"/>
      <c r="H270" s="5"/>
    </row>
    <row r="271" spans="1:8" x14ac:dyDescent="0.25">
      <c r="A271" s="5"/>
      <c r="B271" s="5"/>
      <c r="E271" s="5"/>
      <c r="F271" s="5"/>
      <c r="G271" s="5"/>
      <c r="H271" s="5"/>
    </row>
    <row r="272" spans="1:8" x14ac:dyDescent="0.25">
      <c r="A272" s="5"/>
      <c r="B272" s="5"/>
      <c r="D272" s="6"/>
      <c r="E272" s="5"/>
      <c r="F272" s="5"/>
      <c r="G272" s="5"/>
      <c r="H272" s="5"/>
    </row>
    <row r="273" spans="1:8" x14ac:dyDescent="0.25">
      <c r="A273" s="5"/>
      <c r="B273" s="5"/>
      <c r="E273" s="5"/>
      <c r="F273" s="5"/>
      <c r="G273" s="5"/>
      <c r="H273" s="5"/>
    </row>
    <row r="274" spans="1:8" x14ac:dyDescent="0.25">
      <c r="A274" s="5"/>
      <c r="B274" s="5"/>
      <c r="D274" s="6"/>
      <c r="E274" s="5"/>
      <c r="F274" s="5"/>
      <c r="G274" s="5"/>
      <c r="H274" s="5"/>
    </row>
    <row r="275" spans="1:8" x14ac:dyDescent="0.25">
      <c r="A275" s="5"/>
      <c r="B275" s="5"/>
      <c r="E275" s="5"/>
      <c r="F275" s="5"/>
      <c r="G275" s="5"/>
      <c r="H275" s="5"/>
    </row>
    <row r="276" spans="1:8" x14ac:dyDescent="0.25">
      <c r="A276" s="5"/>
      <c r="B276" s="5"/>
      <c r="D276" s="6"/>
      <c r="E276" s="5"/>
      <c r="F276" s="5"/>
      <c r="G276" s="5"/>
      <c r="H276" s="5"/>
    </row>
    <row r="277" spans="1:8" x14ac:dyDescent="0.25">
      <c r="A277" s="5"/>
      <c r="B277" s="5"/>
      <c r="E277" s="5"/>
      <c r="F277" s="5"/>
      <c r="G277" s="5"/>
      <c r="H277" s="5"/>
    </row>
    <row r="278" spans="1:8" x14ac:dyDescent="0.25">
      <c r="A278" s="5"/>
      <c r="B278" s="5"/>
      <c r="D278" s="6"/>
      <c r="E278" s="5"/>
      <c r="F278" s="5"/>
      <c r="G278" s="5"/>
      <c r="H278" s="5"/>
    </row>
    <row r="279" spans="1:8" x14ac:dyDescent="0.25">
      <c r="A279" s="5"/>
      <c r="B279" s="5"/>
      <c r="E279" s="5"/>
      <c r="F279" s="5"/>
      <c r="G279" s="5"/>
      <c r="H279" s="5"/>
    </row>
    <row r="280" spans="1:8" x14ac:dyDescent="0.25">
      <c r="A280" s="5"/>
      <c r="B280" s="5"/>
      <c r="D280" s="6"/>
      <c r="E280" s="5"/>
      <c r="F280" s="5"/>
      <c r="G280" s="5"/>
      <c r="H280" s="5"/>
    </row>
    <row r="281" spans="1:8" x14ac:dyDescent="0.25">
      <c r="A281" s="5"/>
      <c r="B281" s="5"/>
      <c r="E281" s="5"/>
      <c r="F281" s="5"/>
      <c r="G281" s="5"/>
      <c r="H281" s="5"/>
    </row>
    <row r="282" spans="1:8" x14ac:dyDescent="0.25">
      <c r="A282" s="5"/>
      <c r="B282" s="5"/>
      <c r="D282" s="6"/>
      <c r="E282" s="5"/>
      <c r="F282" s="5"/>
      <c r="G282" s="5"/>
      <c r="H282" s="5"/>
    </row>
    <row r="283" spans="1:8" x14ac:dyDescent="0.25">
      <c r="A283" s="5"/>
      <c r="B283" s="5"/>
      <c r="E283" s="5"/>
      <c r="F283" s="5"/>
      <c r="G283" s="5"/>
      <c r="H283" s="5"/>
    </row>
    <row r="284" spans="1:8" x14ac:dyDescent="0.25">
      <c r="A284" s="5"/>
      <c r="B284" s="5"/>
      <c r="D284" s="6"/>
      <c r="E284" s="5"/>
      <c r="F284" s="5"/>
      <c r="G284" s="5"/>
      <c r="H284" s="5"/>
    </row>
    <row r="285" spans="1:8" x14ac:dyDescent="0.25">
      <c r="A285" s="5"/>
      <c r="B285" s="5"/>
      <c r="E285" s="5"/>
      <c r="F285" s="5"/>
      <c r="G285" s="5"/>
      <c r="H285" s="5"/>
    </row>
    <row r="286" spans="1:8" x14ac:dyDescent="0.25">
      <c r="A286" s="5"/>
      <c r="B286" s="5"/>
      <c r="D286" s="6"/>
      <c r="E286" s="5"/>
      <c r="F286" s="5"/>
      <c r="G286" s="5"/>
      <c r="H286" s="5"/>
    </row>
    <row r="287" spans="1:8" x14ac:dyDescent="0.25">
      <c r="A287" s="5"/>
      <c r="B287" s="5"/>
      <c r="E287" s="5"/>
      <c r="F287" s="5"/>
      <c r="G287" s="5"/>
      <c r="H287" s="5"/>
    </row>
    <row r="288" spans="1:8" x14ac:dyDescent="0.25">
      <c r="A288" s="5"/>
      <c r="B288" s="5"/>
      <c r="D288" s="6"/>
      <c r="E288" s="5"/>
      <c r="F288" s="5"/>
      <c r="G288" s="5"/>
      <c r="H288" s="5"/>
    </row>
    <row r="289" spans="1:8" x14ac:dyDescent="0.25">
      <c r="A289" s="5"/>
      <c r="B289" s="5"/>
      <c r="E289" s="5"/>
      <c r="F289" s="5"/>
      <c r="G289" s="5"/>
      <c r="H289" s="5"/>
    </row>
    <row r="290" spans="1:8" x14ac:dyDescent="0.25">
      <c r="A290" s="5"/>
      <c r="B290" s="5"/>
      <c r="D290" s="6"/>
      <c r="E290" s="5"/>
      <c r="F290" s="5"/>
      <c r="G290" s="5"/>
      <c r="H290" s="5"/>
    </row>
    <row r="291" spans="1:8" x14ac:dyDescent="0.25">
      <c r="A291" s="5"/>
      <c r="B291" s="5"/>
      <c r="E291" s="5"/>
      <c r="F291" s="5"/>
      <c r="G291" s="5"/>
      <c r="H291" s="5"/>
    </row>
    <row r="292" spans="1:8" x14ac:dyDescent="0.25">
      <c r="A292" s="5"/>
      <c r="B292" s="5"/>
      <c r="D292" s="6"/>
      <c r="E292" s="5"/>
      <c r="F292" s="5"/>
      <c r="G292" s="5"/>
      <c r="H292" s="5"/>
    </row>
    <row r="293" spans="1:8" x14ac:dyDescent="0.25">
      <c r="A293" s="5"/>
      <c r="B293" s="5"/>
      <c r="E293" s="5"/>
      <c r="F293" s="5"/>
      <c r="G293" s="5"/>
      <c r="H293" s="5"/>
    </row>
    <row r="294" spans="1:8" x14ac:dyDescent="0.25">
      <c r="A294" s="5"/>
      <c r="B294" s="5"/>
      <c r="D294" s="6"/>
      <c r="E294" s="5"/>
      <c r="F294" s="5"/>
      <c r="G294" s="5"/>
      <c r="H294" s="5"/>
    </row>
    <row r="295" spans="1:8" x14ac:dyDescent="0.25">
      <c r="A295" s="5"/>
      <c r="B295" s="5"/>
      <c r="E295" s="5"/>
      <c r="F295" s="5"/>
      <c r="G295" s="5"/>
      <c r="H295" s="5"/>
    </row>
    <row r="296" spans="1:8" x14ac:dyDescent="0.25">
      <c r="A296" s="5"/>
      <c r="B296" s="5"/>
      <c r="D296" s="6"/>
      <c r="E296" s="5"/>
      <c r="F296" s="5"/>
      <c r="G296" s="5"/>
      <c r="H296" s="5"/>
    </row>
    <row r="297" spans="1:8" x14ac:dyDescent="0.25">
      <c r="A297" s="5"/>
      <c r="B297" s="5"/>
      <c r="E297" s="5"/>
      <c r="F297" s="5"/>
      <c r="G297" s="5"/>
      <c r="H297" s="5"/>
    </row>
    <row r="298" spans="1:8" x14ac:dyDescent="0.25">
      <c r="A298" s="5"/>
      <c r="B298" s="5"/>
      <c r="D298" s="6"/>
      <c r="E298" s="5"/>
      <c r="F298" s="5"/>
      <c r="G298" s="5"/>
      <c r="H298" s="5"/>
    </row>
    <row r="299" spans="1:8" x14ac:dyDescent="0.25">
      <c r="A299" s="5"/>
      <c r="B299" s="5"/>
      <c r="E299" s="5"/>
      <c r="F299" s="5"/>
      <c r="G299" s="5"/>
      <c r="H299" s="5"/>
    </row>
    <row r="300" spans="1:8" x14ac:dyDescent="0.25">
      <c r="A300" s="5"/>
      <c r="B300" s="5"/>
      <c r="D300" s="6"/>
      <c r="E300" s="5"/>
      <c r="F300" s="5"/>
      <c r="G300" s="5"/>
      <c r="H300" s="5"/>
    </row>
    <row r="301" spans="1:8" x14ac:dyDescent="0.25">
      <c r="A301" s="5"/>
      <c r="B301" s="5"/>
      <c r="E301" s="5"/>
      <c r="F301" s="5"/>
      <c r="G301" s="5"/>
      <c r="H301" s="5"/>
    </row>
    <row r="302" spans="1:8" x14ac:dyDescent="0.25">
      <c r="A302" s="5"/>
      <c r="B302" s="5"/>
      <c r="D302" s="6"/>
      <c r="E302" s="5"/>
      <c r="F302" s="5"/>
      <c r="G302" s="5"/>
      <c r="H302" s="5"/>
    </row>
    <row r="303" spans="1:8" x14ac:dyDescent="0.25">
      <c r="A303" s="5"/>
      <c r="B303" s="5"/>
      <c r="E303" s="5"/>
      <c r="F303" s="5"/>
      <c r="G303" s="5"/>
      <c r="H303" s="5"/>
    </row>
    <row r="304" spans="1:8" x14ac:dyDescent="0.25">
      <c r="A304" s="5"/>
      <c r="B304" s="5"/>
      <c r="D304" s="6"/>
      <c r="E304" s="5"/>
      <c r="F304" s="5"/>
      <c r="G304" s="5"/>
      <c r="H304" s="5"/>
    </row>
    <row r="305" spans="1:8" x14ac:dyDescent="0.25">
      <c r="A305" s="5"/>
      <c r="B305" s="5"/>
      <c r="E305" s="5"/>
      <c r="F305" s="5"/>
      <c r="G305" s="5"/>
      <c r="H305" s="5"/>
    </row>
    <row r="306" spans="1:8" x14ac:dyDescent="0.25">
      <c r="A306" s="5"/>
      <c r="B306" s="5"/>
      <c r="D306" s="6"/>
      <c r="E306" s="5"/>
      <c r="F306" s="5"/>
      <c r="G306" s="5"/>
      <c r="H306" s="5"/>
    </row>
    <row r="307" spans="1:8" x14ac:dyDescent="0.25">
      <c r="A307" s="5"/>
      <c r="B307" s="5"/>
      <c r="E307" s="5"/>
      <c r="F307" s="5"/>
      <c r="G307" s="5"/>
      <c r="H307" s="5"/>
    </row>
    <row r="308" spans="1:8" x14ac:dyDescent="0.25">
      <c r="A308" s="5"/>
      <c r="B308" s="5"/>
      <c r="D308" s="6"/>
      <c r="E308" s="5"/>
      <c r="F308" s="5"/>
      <c r="G308" s="5"/>
      <c r="H308" s="5"/>
    </row>
    <row r="309" spans="1:8" x14ac:dyDescent="0.25">
      <c r="A309" s="5"/>
      <c r="B309" s="5"/>
      <c r="E309" s="5"/>
      <c r="F309" s="5"/>
      <c r="G309" s="5"/>
      <c r="H309" s="5"/>
    </row>
    <row r="310" spans="1:8" x14ac:dyDescent="0.25">
      <c r="A310" s="5"/>
      <c r="B310" s="5"/>
      <c r="D310" s="6"/>
      <c r="E310" s="5"/>
      <c r="F310" s="5"/>
      <c r="G310" s="5"/>
      <c r="H310" s="5"/>
    </row>
    <row r="311" spans="1:8" x14ac:dyDescent="0.25">
      <c r="A311" s="5"/>
      <c r="B311" s="5"/>
      <c r="E311" s="5"/>
      <c r="F311" s="5"/>
      <c r="G311" s="5"/>
      <c r="H311" s="5"/>
    </row>
    <row r="312" spans="1:8" x14ac:dyDescent="0.25">
      <c r="A312" s="5"/>
      <c r="B312" s="5"/>
      <c r="D312" s="6"/>
      <c r="E312" s="5"/>
      <c r="F312" s="5"/>
      <c r="G312" s="5"/>
      <c r="H312" s="5"/>
    </row>
    <row r="313" spans="1:8" x14ac:dyDescent="0.25">
      <c r="A313" s="5"/>
      <c r="B313" s="5"/>
      <c r="E313" s="5"/>
      <c r="F313" s="5"/>
      <c r="G313" s="5"/>
      <c r="H313" s="5"/>
    </row>
    <row r="314" spans="1:8" x14ac:dyDescent="0.25">
      <c r="A314" s="5"/>
      <c r="B314" s="5"/>
      <c r="D314" s="6"/>
      <c r="E314" s="5"/>
      <c r="F314" s="5"/>
      <c r="G314" s="5"/>
      <c r="H314" s="5"/>
    </row>
    <row r="315" spans="1:8" x14ac:dyDescent="0.25">
      <c r="A315" s="5"/>
      <c r="B315" s="5"/>
      <c r="E315" s="5"/>
      <c r="F315" s="5"/>
      <c r="G315" s="5"/>
      <c r="H315" s="5"/>
    </row>
    <row r="316" spans="1:8" x14ac:dyDescent="0.25">
      <c r="A316" s="5"/>
      <c r="B316" s="5"/>
      <c r="D316" s="6"/>
      <c r="E316" s="5"/>
      <c r="F316" s="5"/>
      <c r="G316" s="5"/>
      <c r="H316" s="5"/>
    </row>
    <row r="317" spans="1:8" x14ac:dyDescent="0.25">
      <c r="A317" s="5"/>
      <c r="B317" s="5"/>
      <c r="E317" s="5"/>
      <c r="F317" s="5"/>
      <c r="G317" s="5"/>
      <c r="H317" s="5"/>
    </row>
    <row r="318" spans="1:8" x14ac:dyDescent="0.25">
      <c r="A318" s="5"/>
      <c r="B318" s="5"/>
      <c r="D318" s="6"/>
      <c r="E318" s="5"/>
      <c r="F318" s="5"/>
      <c r="G318" s="5"/>
      <c r="H318" s="5"/>
    </row>
    <row r="319" spans="1:8" x14ac:dyDescent="0.25">
      <c r="A319" s="5"/>
      <c r="B319" s="5"/>
      <c r="E319" s="5"/>
      <c r="F319" s="5"/>
      <c r="G319" s="5"/>
      <c r="H319" s="5"/>
    </row>
    <row r="320" spans="1:8" x14ac:dyDescent="0.25">
      <c r="A320" s="5"/>
      <c r="B320" s="5"/>
      <c r="D320" s="6"/>
      <c r="E320" s="5"/>
      <c r="F320" s="5"/>
      <c r="G320" s="5"/>
      <c r="H320" s="5"/>
    </row>
    <row r="321" spans="1:8" x14ac:dyDescent="0.25">
      <c r="A321" s="5"/>
      <c r="B321" s="5"/>
      <c r="E321" s="5"/>
      <c r="F321" s="5"/>
      <c r="G321" s="5"/>
      <c r="H321" s="5"/>
    </row>
    <row r="322" spans="1:8" x14ac:dyDescent="0.25">
      <c r="A322" s="5"/>
      <c r="B322" s="5"/>
      <c r="D322" s="6"/>
      <c r="E322" s="5"/>
      <c r="F322" s="5"/>
      <c r="G322" s="5"/>
      <c r="H322" s="5"/>
    </row>
    <row r="323" spans="1:8" x14ac:dyDescent="0.25">
      <c r="A323" s="5"/>
      <c r="B323" s="5"/>
      <c r="E323" s="5"/>
      <c r="F323" s="5"/>
      <c r="G323" s="5"/>
      <c r="H323" s="5"/>
    </row>
    <row r="324" spans="1:8" x14ac:dyDescent="0.25">
      <c r="A324" s="5"/>
      <c r="B324" s="5"/>
      <c r="D324" s="6"/>
      <c r="E324" s="5"/>
      <c r="F324" s="5"/>
      <c r="G324" s="5"/>
      <c r="H324" s="5"/>
    </row>
    <row r="325" spans="1:8" x14ac:dyDescent="0.25">
      <c r="A325" s="5"/>
      <c r="B325" s="5"/>
      <c r="E325" s="5"/>
      <c r="F325" s="5"/>
      <c r="G325" s="5"/>
      <c r="H325" s="5"/>
    </row>
    <row r="326" spans="1:8" x14ac:dyDescent="0.25">
      <c r="A326" s="5"/>
      <c r="B326" s="5"/>
      <c r="D326" s="6"/>
      <c r="E326" s="5"/>
      <c r="F326" s="5"/>
      <c r="G326" s="5"/>
      <c r="H326" s="5"/>
    </row>
    <row r="327" spans="1:8" x14ac:dyDescent="0.25">
      <c r="A327" s="5"/>
      <c r="B327" s="5"/>
      <c r="E327" s="5"/>
      <c r="F327" s="5"/>
      <c r="G327" s="5"/>
      <c r="H327" s="5"/>
    </row>
    <row r="328" spans="1:8" x14ac:dyDescent="0.25">
      <c r="A328" s="5"/>
      <c r="B328" s="5"/>
      <c r="D328" s="6"/>
      <c r="E328" s="5"/>
      <c r="F328" s="5"/>
      <c r="G328" s="5"/>
      <c r="H328" s="5"/>
    </row>
    <row r="329" spans="1:8" x14ac:dyDescent="0.25">
      <c r="A329" s="5"/>
      <c r="B329" s="5"/>
      <c r="E329" s="5"/>
      <c r="F329" s="5"/>
      <c r="G329" s="5"/>
      <c r="H329" s="5"/>
    </row>
    <row r="330" spans="1:8" x14ac:dyDescent="0.25">
      <c r="A330" s="5"/>
      <c r="B330" s="5"/>
      <c r="D330" s="6"/>
      <c r="E330" s="5"/>
      <c r="F330" s="5"/>
      <c r="G330" s="5"/>
      <c r="H330" s="5"/>
    </row>
    <row r="331" spans="1:8" x14ac:dyDescent="0.25">
      <c r="A331" s="5"/>
      <c r="B331" s="5"/>
      <c r="E331" s="5"/>
      <c r="F331" s="5"/>
      <c r="G331" s="5"/>
      <c r="H331" s="5"/>
    </row>
    <row r="332" spans="1:8" x14ac:dyDescent="0.25">
      <c r="A332" s="5"/>
      <c r="B332" s="5"/>
      <c r="D332" s="6"/>
      <c r="E332" s="5"/>
      <c r="F332" s="5"/>
      <c r="G332" s="5"/>
      <c r="H332" s="5"/>
    </row>
    <row r="333" spans="1:8" x14ac:dyDescent="0.25">
      <c r="A333" s="5"/>
      <c r="B333" s="5"/>
      <c r="E333" s="5"/>
      <c r="F333" s="5"/>
      <c r="G333" s="5"/>
      <c r="H333" s="5"/>
    </row>
    <row r="334" spans="1:8" x14ac:dyDescent="0.25">
      <c r="A334" s="5"/>
      <c r="B334" s="5"/>
      <c r="D334" s="6"/>
      <c r="E334" s="5"/>
      <c r="F334" s="5"/>
      <c r="G334" s="5"/>
      <c r="H334" s="5"/>
    </row>
    <row r="335" spans="1:8" x14ac:dyDescent="0.25">
      <c r="A335" s="5"/>
      <c r="B335" s="5"/>
      <c r="E335" s="5"/>
      <c r="F335" s="5"/>
      <c r="G335" s="5"/>
      <c r="H335" s="5"/>
    </row>
    <row r="336" spans="1:8" x14ac:dyDescent="0.25">
      <c r="A336" s="5"/>
      <c r="B336" s="5"/>
      <c r="D336" s="6"/>
      <c r="E336" s="5"/>
      <c r="F336" s="5"/>
      <c r="G336" s="5"/>
      <c r="H336" s="5"/>
    </row>
    <row r="337" spans="1:8" x14ac:dyDescent="0.25">
      <c r="A337" s="5"/>
      <c r="B337" s="5"/>
      <c r="E337" s="5"/>
      <c r="F337" s="5"/>
      <c r="G337" s="5"/>
      <c r="H337" s="5"/>
    </row>
    <row r="338" spans="1:8" x14ac:dyDescent="0.25">
      <c r="A338" s="5"/>
      <c r="B338" s="5"/>
      <c r="D338" s="6"/>
      <c r="E338" s="5"/>
      <c r="F338" s="5"/>
      <c r="G338" s="5"/>
      <c r="H338" s="5"/>
    </row>
    <row r="339" spans="1:8" x14ac:dyDescent="0.25">
      <c r="A339" s="5"/>
      <c r="B339" s="5"/>
      <c r="E339" s="5"/>
      <c r="F339" s="5"/>
      <c r="G339" s="5"/>
      <c r="H339" s="5"/>
    </row>
    <row r="340" spans="1:8" x14ac:dyDescent="0.25">
      <c r="A340" s="5"/>
      <c r="B340" s="5"/>
      <c r="D340" s="6"/>
      <c r="E340" s="5"/>
      <c r="F340" s="5"/>
      <c r="G340" s="5"/>
      <c r="H340" s="5"/>
    </row>
    <row r="341" spans="1:8" x14ac:dyDescent="0.25">
      <c r="A341" s="5"/>
      <c r="B341" s="5"/>
      <c r="E341" s="5"/>
      <c r="F341" s="5"/>
      <c r="G341" s="5"/>
      <c r="H341" s="5"/>
    </row>
    <row r="342" spans="1:8" x14ac:dyDescent="0.25">
      <c r="A342" s="5"/>
      <c r="B342" s="5"/>
      <c r="D342" s="6"/>
      <c r="E342" s="5"/>
      <c r="F342" s="5"/>
      <c r="G342" s="5"/>
      <c r="H342" s="5"/>
    </row>
    <row r="343" spans="1:8" x14ac:dyDescent="0.25">
      <c r="A343" s="5"/>
      <c r="B343" s="5"/>
      <c r="E343" s="5"/>
      <c r="F343" s="5"/>
      <c r="G343" s="5"/>
      <c r="H343" s="5"/>
    </row>
    <row r="344" spans="1:8" x14ac:dyDescent="0.25">
      <c r="A344" s="5"/>
      <c r="B344" s="5"/>
      <c r="D344" s="6"/>
      <c r="E344" s="5"/>
      <c r="F344" s="5"/>
      <c r="G344" s="5"/>
      <c r="H344" s="5"/>
    </row>
    <row r="345" spans="1:8" x14ac:dyDescent="0.25">
      <c r="A345" s="5"/>
      <c r="B345" s="5"/>
      <c r="E345" s="5"/>
      <c r="F345" s="5"/>
      <c r="G345" s="5"/>
      <c r="H345" s="5"/>
    </row>
    <row r="346" spans="1:8" x14ac:dyDescent="0.25">
      <c r="A346" s="5"/>
      <c r="B346" s="5"/>
      <c r="D346" s="6"/>
      <c r="E346" s="5"/>
      <c r="F346" s="5"/>
      <c r="G346" s="5"/>
      <c r="H346" s="5"/>
    </row>
    <row r="347" spans="1:8" x14ac:dyDescent="0.25">
      <c r="A347" s="5"/>
      <c r="B347" s="5"/>
      <c r="E347" s="5"/>
      <c r="F347" s="5"/>
      <c r="G347" s="5"/>
      <c r="H347" s="5"/>
    </row>
    <row r="348" spans="1:8" x14ac:dyDescent="0.25">
      <c r="A348" s="5"/>
      <c r="B348" s="5"/>
      <c r="D348" s="6"/>
      <c r="E348" s="5"/>
      <c r="F348" s="5"/>
      <c r="G348" s="5"/>
      <c r="H348" s="5"/>
    </row>
    <row r="349" spans="1:8" x14ac:dyDescent="0.25">
      <c r="A349" s="5"/>
      <c r="B349" s="5"/>
      <c r="E349" s="5"/>
      <c r="F349" s="5"/>
      <c r="G349" s="5"/>
      <c r="H349" s="5"/>
    </row>
    <row r="350" spans="1:8" x14ac:dyDescent="0.25">
      <c r="A350" s="5"/>
      <c r="B350" s="5"/>
      <c r="D350" s="6"/>
      <c r="E350" s="5"/>
      <c r="F350" s="5"/>
      <c r="G350" s="5"/>
      <c r="H350" s="5"/>
    </row>
    <row r="351" spans="1:8" x14ac:dyDescent="0.25">
      <c r="A351" s="5"/>
      <c r="B351" s="5"/>
      <c r="E351" s="5"/>
      <c r="F351" s="5"/>
      <c r="G351" s="5"/>
      <c r="H351" s="5"/>
    </row>
    <row r="352" spans="1:8" x14ac:dyDescent="0.25">
      <c r="A352" s="5"/>
      <c r="B352" s="5"/>
      <c r="D352" s="6"/>
      <c r="E352" s="5"/>
      <c r="F352" s="5"/>
      <c r="G352" s="5"/>
      <c r="H352" s="5"/>
    </row>
    <row r="353" spans="1:8" x14ac:dyDescent="0.25">
      <c r="A353" s="5"/>
      <c r="B353" s="5"/>
      <c r="E353" s="5"/>
      <c r="F353" s="5"/>
      <c r="G353" s="5"/>
      <c r="H353" s="5"/>
    </row>
    <row r="354" spans="1:8" x14ac:dyDescent="0.25">
      <c r="A354" s="5"/>
      <c r="B354" s="5"/>
      <c r="D354" s="6"/>
      <c r="E354" s="5"/>
      <c r="F354" s="5"/>
      <c r="G354" s="5"/>
      <c r="H354" s="5"/>
    </row>
    <row r="355" spans="1:8" x14ac:dyDescent="0.25">
      <c r="A355" s="5"/>
      <c r="B355" s="5"/>
      <c r="E355" s="5"/>
      <c r="F355" s="5"/>
      <c r="G355" s="5"/>
      <c r="H355" s="5"/>
    </row>
    <row r="356" spans="1:8" x14ac:dyDescent="0.25">
      <c r="A356" s="5"/>
      <c r="B356" s="5"/>
      <c r="D356" s="6"/>
      <c r="E356" s="5"/>
      <c r="F356" s="5"/>
      <c r="G356" s="5"/>
      <c r="H356" s="5"/>
    </row>
    <row r="357" spans="1:8" x14ac:dyDescent="0.25">
      <c r="A357" s="5"/>
      <c r="B357" s="5"/>
      <c r="E357" s="5"/>
      <c r="F357" s="5"/>
      <c r="G357" s="5"/>
      <c r="H357" s="5"/>
    </row>
    <row r="358" spans="1:8" x14ac:dyDescent="0.25">
      <c r="A358" s="5"/>
      <c r="B358" s="5"/>
      <c r="D358" s="6"/>
      <c r="E358" s="5"/>
      <c r="F358" s="5"/>
      <c r="G358" s="5"/>
      <c r="H358" s="5"/>
    </row>
    <row r="359" spans="1:8" x14ac:dyDescent="0.25">
      <c r="A359" s="5"/>
      <c r="B359" s="5"/>
      <c r="E359" s="5"/>
      <c r="F359" s="5"/>
      <c r="G359" s="5"/>
      <c r="H359" s="5"/>
    </row>
    <row r="360" spans="1:8" x14ac:dyDescent="0.25">
      <c r="A360" s="5"/>
      <c r="B360" s="5"/>
      <c r="D360" s="6"/>
      <c r="E360" s="5"/>
      <c r="F360" s="5"/>
      <c r="G360" s="5"/>
      <c r="H360" s="5"/>
    </row>
    <row r="361" spans="1:8" x14ac:dyDescent="0.25">
      <c r="A361" s="5"/>
      <c r="B361" s="5"/>
      <c r="E361" s="5"/>
      <c r="F361" s="5"/>
      <c r="G361" s="5"/>
      <c r="H361" s="5"/>
    </row>
    <row r="362" spans="1:8" x14ac:dyDescent="0.25">
      <c r="A362" s="5"/>
      <c r="B362" s="5"/>
      <c r="D362" s="6"/>
      <c r="E362" s="5"/>
      <c r="F362" s="5"/>
      <c r="G362" s="5"/>
      <c r="H362" s="5"/>
    </row>
    <row r="363" spans="1:8" x14ac:dyDescent="0.25">
      <c r="A363" s="5"/>
      <c r="B363" s="5"/>
      <c r="E363" s="5"/>
      <c r="F363" s="5"/>
      <c r="G363" s="5"/>
      <c r="H363" s="5"/>
    </row>
    <row r="364" spans="1:8" x14ac:dyDescent="0.25">
      <c r="A364" s="5"/>
      <c r="B364" s="5"/>
      <c r="D364" s="6"/>
      <c r="E364" s="5"/>
      <c r="F364" s="5"/>
      <c r="G364" s="5"/>
      <c r="H364" s="5"/>
    </row>
    <row r="365" spans="1:8" x14ac:dyDescent="0.25">
      <c r="A365" s="5"/>
      <c r="B365" s="5"/>
      <c r="E365" s="5"/>
      <c r="F365" s="5"/>
      <c r="G365" s="5"/>
      <c r="H365" s="5"/>
    </row>
    <row r="366" spans="1:8" x14ac:dyDescent="0.25">
      <c r="A366" s="5"/>
      <c r="B366" s="5"/>
      <c r="D366" s="6"/>
      <c r="E366" s="5"/>
      <c r="F366" s="5"/>
      <c r="G366" s="5"/>
      <c r="H366" s="5"/>
    </row>
    <row r="367" spans="1:8" x14ac:dyDescent="0.25">
      <c r="A367" s="5"/>
      <c r="B367" s="5"/>
      <c r="E367" s="5"/>
      <c r="F367" s="5"/>
      <c r="G367" s="5"/>
      <c r="H367" s="5"/>
    </row>
    <row r="368" spans="1:8" x14ac:dyDescent="0.25">
      <c r="A368" s="5"/>
      <c r="B368" s="5"/>
      <c r="D368" s="6"/>
      <c r="E368" s="5"/>
      <c r="F368" s="5"/>
      <c r="G368" s="5"/>
      <c r="H368" s="5"/>
    </row>
    <row r="369" spans="1:8" x14ac:dyDescent="0.25">
      <c r="A369" s="5"/>
      <c r="B369" s="5"/>
      <c r="E369" s="5"/>
      <c r="F369" s="5"/>
      <c r="G369" s="5"/>
      <c r="H369" s="5"/>
    </row>
    <row r="370" spans="1:8" x14ac:dyDescent="0.25">
      <c r="A370" s="5"/>
      <c r="B370" s="5"/>
      <c r="D370" s="6"/>
      <c r="E370" s="5"/>
      <c r="F370" s="5"/>
      <c r="G370" s="5"/>
      <c r="H370" s="5"/>
    </row>
    <row r="371" spans="1:8" x14ac:dyDescent="0.25">
      <c r="A371" s="5"/>
      <c r="B371" s="5"/>
      <c r="E371" s="5"/>
      <c r="F371" s="5"/>
      <c r="G371" s="5"/>
      <c r="H371" s="5"/>
    </row>
    <row r="372" spans="1:8" x14ac:dyDescent="0.25">
      <c r="A372" s="5"/>
      <c r="B372" s="5"/>
      <c r="D372" s="6"/>
      <c r="E372" s="5"/>
      <c r="F372" s="5"/>
      <c r="G372" s="5"/>
      <c r="H372" s="5"/>
    </row>
    <row r="373" spans="1:8" x14ac:dyDescent="0.25">
      <c r="A373" s="5"/>
      <c r="B373" s="5"/>
      <c r="E373" s="5"/>
      <c r="F373" s="5"/>
      <c r="G373" s="5"/>
      <c r="H373" s="5"/>
    </row>
    <row r="374" spans="1:8" x14ac:dyDescent="0.25">
      <c r="A374" s="5"/>
      <c r="B374" s="5"/>
      <c r="D374" s="6"/>
      <c r="E374" s="5"/>
      <c r="F374" s="5"/>
      <c r="G374" s="5"/>
      <c r="H374" s="5"/>
    </row>
    <row r="375" spans="1:8" x14ac:dyDescent="0.25">
      <c r="A375" s="5"/>
      <c r="B375" s="5"/>
      <c r="E375" s="5"/>
      <c r="F375" s="5"/>
      <c r="G375" s="5"/>
      <c r="H375" s="5"/>
    </row>
    <row r="376" spans="1:8" x14ac:dyDescent="0.25">
      <c r="A376" s="5"/>
      <c r="B376" s="5"/>
      <c r="D376" s="6"/>
      <c r="E376" s="5"/>
      <c r="F376" s="5"/>
      <c r="G376" s="5"/>
      <c r="H376" s="5"/>
    </row>
    <row r="377" spans="1:8" x14ac:dyDescent="0.25">
      <c r="A377" s="5"/>
      <c r="B377" s="5"/>
      <c r="E377" s="5"/>
      <c r="F377" s="5"/>
      <c r="G377" s="5"/>
      <c r="H377" s="5"/>
    </row>
    <row r="378" spans="1:8" x14ac:dyDescent="0.25">
      <c r="A378" s="5"/>
      <c r="B378" s="5"/>
      <c r="D378" s="6"/>
      <c r="E378" s="5"/>
      <c r="F378" s="5"/>
      <c r="G378" s="5"/>
      <c r="H378" s="5"/>
    </row>
    <row r="379" spans="1:8" x14ac:dyDescent="0.25">
      <c r="A379" s="5"/>
      <c r="B379" s="5"/>
      <c r="E379" s="5"/>
      <c r="F379" s="5"/>
      <c r="G379" s="5"/>
      <c r="H379" s="5"/>
    </row>
    <row r="380" spans="1:8" x14ac:dyDescent="0.25">
      <c r="A380" s="5"/>
      <c r="B380" s="5"/>
      <c r="D380" s="6"/>
      <c r="E380" s="5"/>
      <c r="F380" s="5"/>
      <c r="G380" s="5"/>
      <c r="H380" s="5"/>
    </row>
    <row r="381" spans="1:8" x14ac:dyDescent="0.25">
      <c r="A381" s="5"/>
      <c r="B381" s="5"/>
      <c r="E381" s="5"/>
      <c r="F381" s="5"/>
      <c r="G381" s="5"/>
      <c r="H381" s="5"/>
    </row>
    <row r="382" spans="1:8" x14ac:dyDescent="0.25">
      <c r="A382" s="5"/>
      <c r="B382" s="5"/>
      <c r="D382" s="6"/>
      <c r="E382" s="5"/>
      <c r="F382" s="5"/>
      <c r="G382" s="5"/>
      <c r="H382" s="5"/>
    </row>
    <row r="383" spans="1:8" x14ac:dyDescent="0.25">
      <c r="A383" s="5"/>
      <c r="B383" s="5"/>
      <c r="E383" s="5"/>
      <c r="F383" s="5"/>
      <c r="G383" s="5"/>
      <c r="H383" s="5"/>
    </row>
    <row r="384" spans="1:8" x14ac:dyDescent="0.25">
      <c r="A384" s="5"/>
      <c r="B384" s="5"/>
      <c r="D384" s="6"/>
      <c r="E384" s="5"/>
      <c r="F384" s="5"/>
      <c r="G384" s="5"/>
      <c r="H384" s="5"/>
    </row>
    <row r="385" spans="1:8" x14ac:dyDescent="0.25">
      <c r="A385" s="5"/>
      <c r="B385" s="5"/>
      <c r="E385" s="5"/>
      <c r="F385" s="5"/>
      <c r="G385" s="5"/>
      <c r="H385" s="5"/>
    </row>
    <row r="386" spans="1:8" x14ac:dyDescent="0.25">
      <c r="A386" s="5"/>
      <c r="B386" s="5"/>
      <c r="D386" s="6"/>
      <c r="E386" s="5"/>
      <c r="F386" s="5"/>
      <c r="G386" s="5"/>
      <c r="H386" s="5"/>
    </row>
    <row r="387" spans="1:8" x14ac:dyDescent="0.25">
      <c r="A387" s="5"/>
      <c r="B387" s="5"/>
      <c r="E387" s="5"/>
      <c r="F387" s="5"/>
      <c r="G387" s="5"/>
      <c r="H387" s="5"/>
    </row>
    <row r="388" spans="1:8" x14ac:dyDescent="0.25">
      <c r="A388" s="5"/>
      <c r="B388" s="5"/>
      <c r="D388" s="6"/>
      <c r="E388" s="5"/>
      <c r="F388" s="5"/>
      <c r="G388" s="5"/>
      <c r="H388" s="5"/>
    </row>
    <row r="389" spans="1:8" x14ac:dyDescent="0.25">
      <c r="A389" s="5"/>
      <c r="B389" s="5"/>
      <c r="E389" s="5"/>
      <c r="F389" s="5"/>
      <c r="G389" s="5"/>
      <c r="H389" s="5"/>
    </row>
    <row r="390" spans="1:8" x14ac:dyDescent="0.25">
      <c r="A390" s="5"/>
      <c r="B390" s="5"/>
      <c r="D390" s="6"/>
      <c r="E390" s="5"/>
      <c r="F390" s="5"/>
      <c r="G390" s="5"/>
      <c r="H390" s="5"/>
    </row>
    <row r="391" spans="1:8" x14ac:dyDescent="0.25">
      <c r="A391" s="5"/>
      <c r="B391" s="5"/>
      <c r="E391" s="5"/>
      <c r="F391" s="5"/>
      <c r="G391" s="5"/>
      <c r="H391" s="5"/>
    </row>
    <row r="392" spans="1:8" x14ac:dyDescent="0.25">
      <c r="A392" s="5"/>
      <c r="B392" s="5"/>
      <c r="D392" s="6"/>
      <c r="E392" s="5"/>
      <c r="F392" s="5"/>
      <c r="G392" s="5"/>
      <c r="H392" s="5"/>
    </row>
    <row r="393" spans="1:8" x14ac:dyDescent="0.25">
      <c r="A393" s="5"/>
      <c r="B393" s="5"/>
      <c r="E393" s="5"/>
      <c r="F393" s="5"/>
      <c r="G393" s="5"/>
      <c r="H393" s="5"/>
    </row>
    <row r="394" spans="1:8" x14ac:dyDescent="0.25">
      <c r="A394" s="5"/>
      <c r="B394" s="5"/>
      <c r="D394" s="6"/>
      <c r="E394" s="5"/>
      <c r="F394" s="5"/>
      <c r="G394" s="5"/>
      <c r="H394" s="5"/>
    </row>
    <row r="395" spans="1:8" x14ac:dyDescent="0.25">
      <c r="A395" s="5"/>
      <c r="B395" s="5"/>
      <c r="E395" s="5"/>
      <c r="F395" s="5"/>
      <c r="G395" s="5"/>
      <c r="H395" s="5"/>
    </row>
    <row r="396" spans="1:8" x14ac:dyDescent="0.25">
      <c r="A396" s="5"/>
      <c r="B396" s="5"/>
      <c r="D396" s="6"/>
      <c r="E396" s="5"/>
      <c r="F396" s="5"/>
      <c r="G396" s="5"/>
      <c r="H396" s="5"/>
    </row>
    <row r="397" spans="1:8" x14ac:dyDescent="0.25">
      <c r="A397" s="5"/>
      <c r="B397" s="5"/>
      <c r="E397" s="5"/>
      <c r="F397" s="5"/>
      <c r="G397" s="5"/>
      <c r="H397" s="5"/>
    </row>
    <row r="398" spans="1:8" x14ac:dyDescent="0.25">
      <c r="A398" s="5"/>
      <c r="B398" s="5"/>
      <c r="D398" s="6"/>
      <c r="E398" s="5"/>
      <c r="F398" s="5"/>
      <c r="G398" s="5"/>
      <c r="H398" s="5"/>
    </row>
    <row r="399" spans="1:8" x14ac:dyDescent="0.25">
      <c r="A399" s="5"/>
      <c r="B399" s="5"/>
      <c r="E399" s="5"/>
      <c r="F399" s="5"/>
      <c r="G399" s="5"/>
      <c r="H399" s="5"/>
    </row>
    <row r="400" spans="1:8" x14ac:dyDescent="0.25">
      <c r="A400" s="5"/>
      <c r="B400" s="5"/>
      <c r="D400" s="6"/>
      <c r="E400" s="5"/>
      <c r="F400" s="5"/>
      <c r="G400" s="5"/>
      <c r="H400" s="5"/>
    </row>
    <row r="401" spans="1:8" x14ac:dyDescent="0.25">
      <c r="A401" s="5"/>
      <c r="B401" s="5"/>
      <c r="E401" s="5"/>
      <c r="F401" s="5"/>
      <c r="G401" s="5"/>
      <c r="H401" s="5"/>
    </row>
    <row r="402" spans="1:8" x14ac:dyDescent="0.25">
      <c r="A402" s="5"/>
      <c r="B402" s="5"/>
      <c r="D402" s="6"/>
      <c r="E402" s="5"/>
      <c r="F402" s="5"/>
      <c r="G402" s="5"/>
      <c r="H402" s="5"/>
    </row>
    <row r="403" spans="1:8" x14ac:dyDescent="0.25">
      <c r="A403" s="5"/>
      <c r="B403" s="5"/>
      <c r="E403" s="5"/>
      <c r="F403" s="5"/>
      <c r="G403" s="5"/>
      <c r="H403" s="5"/>
    </row>
    <row r="404" spans="1:8" x14ac:dyDescent="0.25">
      <c r="A404" s="5"/>
      <c r="B404" s="5"/>
      <c r="D404" s="6"/>
      <c r="E404" s="5"/>
      <c r="F404" s="5"/>
      <c r="G404" s="5"/>
      <c r="H404" s="5"/>
    </row>
    <row r="405" spans="1:8" x14ac:dyDescent="0.25">
      <c r="A405" s="5"/>
      <c r="B405" s="5"/>
      <c r="E405" s="5"/>
      <c r="F405" s="5"/>
      <c r="G405" s="5"/>
      <c r="H405" s="5"/>
    </row>
    <row r="406" spans="1:8" x14ac:dyDescent="0.25">
      <c r="A406" s="5"/>
      <c r="B406" s="5"/>
      <c r="D406" s="6"/>
      <c r="E406" s="5"/>
      <c r="F406" s="5"/>
      <c r="G406" s="5"/>
      <c r="H406" s="5"/>
    </row>
    <row r="407" spans="1:8" x14ac:dyDescent="0.25">
      <c r="A407" s="5"/>
      <c r="B407" s="5"/>
      <c r="E407" s="5"/>
      <c r="F407" s="5"/>
      <c r="G407" s="5"/>
      <c r="H407" s="5"/>
    </row>
    <row r="408" spans="1:8" x14ac:dyDescent="0.25">
      <c r="A408" s="5"/>
      <c r="B408" s="5"/>
      <c r="D408" s="6"/>
      <c r="E408" s="5"/>
      <c r="F408" s="5"/>
      <c r="G408" s="5"/>
      <c r="H408" s="5"/>
    </row>
    <row r="409" spans="1:8" x14ac:dyDescent="0.25">
      <c r="A409" s="5"/>
      <c r="B409" s="5"/>
      <c r="E409" s="5"/>
      <c r="F409" s="5"/>
      <c r="G409" s="5"/>
      <c r="H409" s="5"/>
    </row>
    <row r="410" spans="1:8" x14ac:dyDescent="0.25">
      <c r="A410" s="5"/>
      <c r="B410" s="5"/>
      <c r="D410" s="6"/>
      <c r="E410" s="5"/>
      <c r="F410" s="5"/>
      <c r="G410" s="5"/>
      <c r="H410" s="5"/>
    </row>
    <row r="411" spans="1:8" x14ac:dyDescent="0.25">
      <c r="A411" s="5"/>
      <c r="B411" s="5"/>
      <c r="E411" s="5"/>
      <c r="F411" s="5"/>
      <c r="G411" s="5"/>
      <c r="H411" s="5"/>
    </row>
    <row r="412" spans="1:8" x14ac:dyDescent="0.25">
      <c r="A412" s="5"/>
      <c r="B412" s="5"/>
      <c r="D412" s="6"/>
      <c r="E412" s="5"/>
      <c r="F412" s="5"/>
      <c r="G412" s="5"/>
      <c r="H412" s="5"/>
    </row>
    <row r="413" spans="1:8" x14ac:dyDescent="0.25">
      <c r="A413" s="5"/>
      <c r="B413" s="5"/>
      <c r="E413" s="5"/>
      <c r="F413" s="5"/>
      <c r="G413" s="5"/>
      <c r="H413" s="5"/>
    </row>
    <row r="414" spans="1:8" x14ac:dyDescent="0.25">
      <c r="A414" s="5"/>
      <c r="B414" s="5"/>
      <c r="D414" s="6"/>
      <c r="E414" s="5"/>
      <c r="F414" s="5"/>
      <c r="G414" s="5"/>
      <c r="H414" s="5"/>
    </row>
    <row r="415" spans="1:8" x14ac:dyDescent="0.25">
      <c r="A415" s="5"/>
      <c r="B415" s="5"/>
      <c r="E415" s="5"/>
      <c r="F415" s="5"/>
      <c r="G415" s="5"/>
      <c r="H415" s="5"/>
    </row>
    <row r="416" spans="1:8" x14ac:dyDescent="0.25">
      <c r="A416" s="5"/>
      <c r="B416" s="5"/>
      <c r="D416" s="6"/>
      <c r="E416" s="5"/>
      <c r="F416" s="5"/>
      <c r="G416" s="5"/>
      <c r="H416" s="5"/>
    </row>
    <row r="417" spans="1:8" x14ac:dyDescent="0.25">
      <c r="A417" s="5"/>
      <c r="B417" s="5"/>
      <c r="E417" s="5"/>
      <c r="F417" s="5"/>
      <c r="G417" s="5"/>
      <c r="H417" s="5"/>
    </row>
    <row r="418" spans="1:8" x14ac:dyDescent="0.25">
      <c r="A418" s="5"/>
      <c r="B418" s="5"/>
      <c r="D418" s="6"/>
      <c r="E418" s="5"/>
      <c r="F418" s="5"/>
      <c r="G418" s="5"/>
      <c r="H418" s="5"/>
    </row>
    <row r="419" spans="1:8" x14ac:dyDescent="0.25">
      <c r="A419" s="5"/>
      <c r="B419" s="5"/>
      <c r="E419" s="5"/>
      <c r="F419" s="5"/>
      <c r="G419" s="5"/>
      <c r="H419" s="5"/>
    </row>
    <row r="420" spans="1:8" x14ac:dyDescent="0.25">
      <c r="A420" s="5"/>
      <c r="B420" s="5"/>
      <c r="D420" s="6"/>
      <c r="E420" s="5"/>
      <c r="F420" s="5"/>
      <c r="G420" s="5"/>
      <c r="H420" s="5"/>
    </row>
    <row r="421" spans="1:8" x14ac:dyDescent="0.25">
      <c r="A421" s="5"/>
      <c r="B421" s="5"/>
      <c r="E421" s="5"/>
      <c r="F421" s="5"/>
      <c r="G421" s="5"/>
      <c r="H421" s="5"/>
    </row>
    <row r="422" spans="1:8" x14ac:dyDescent="0.25">
      <c r="A422" s="5"/>
      <c r="B422" s="5"/>
      <c r="D422" s="6"/>
      <c r="E422" s="5"/>
      <c r="F422" s="5"/>
      <c r="G422" s="5"/>
      <c r="H422" s="5"/>
    </row>
    <row r="423" spans="1:8" x14ac:dyDescent="0.25">
      <c r="A423" s="5"/>
      <c r="B423" s="5"/>
      <c r="E423" s="5"/>
      <c r="F423" s="5"/>
      <c r="G423" s="5"/>
      <c r="H423" s="5"/>
    </row>
    <row r="424" spans="1:8" x14ac:dyDescent="0.25">
      <c r="A424" s="5"/>
      <c r="B424" s="5"/>
      <c r="D424" s="6"/>
      <c r="E424" s="5"/>
      <c r="F424" s="5"/>
      <c r="G424" s="5"/>
      <c r="H424" s="5"/>
    </row>
    <row r="425" spans="1:8" x14ac:dyDescent="0.25">
      <c r="A425" s="5"/>
      <c r="B425" s="5"/>
      <c r="E425" s="5"/>
      <c r="F425" s="5"/>
      <c r="G425" s="5"/>
      <c r="H425" s="5"/>
    </row>
    <row r="426" spans="1:8" x14ac:dyDescent="0.25">
      <c r="A426" s="5"/>
      <c r="B426" s="5"/>
      <c r="D426" s="6"/>
      <c r="E426" s="5"/>
      <c r="F426" s="5"/>
      <c r="G426" s="5"/>
      <c r="H426" s="5"/>
    </row>
    <row r="427" spans="1:8" x14ac:dyDescent="0.25">
      <c r="A427" s="5"/>
      <c r="B427" s="5"/>
      <c r="E427" s="5"/>
      <c r="F427" s="5"/>
      <c r="G427" s="5"/>
      <c r="H427" s="5"/>
    </row>
    <row r="428" spans="1:8" x14ac:dyDescent="0.25">
      <c r="A428" s="5"/>
      <c r="B428" s="5"/>
      <c r="D428" s="6"/>
      <c r="E428" s="5"/>
      <c r="F428" s="5"/>
      <c r="G428" s="5"/>
      <c r="H428" s="5"/>
    </row>
    <row r="429" spans="1:8" x14ac:dyDescent="0.25">
      <c r="A429" s="5"/>
      <c r="B429" s="5"/>
      <c r="E429" s="5"/>
      <c r="F429" s="5"/>
      <c r="G429" s="5"/>
      <c r="H429" s="5"/>
    </row>
    <row r="430" spans="1:8" x14ac:dyDescent="0.25">
      <c r="A430" s="5"/>
      <c r="B430" s="5"/>
      <c r="D430" s="6"/>
      <c r="E430" s="5"/>
      <c r="F430" s="5"/>
      <c r="G430" s="5"/>
      <c r="H430" s="5"/>
    </row>
    <row r="431" spans="1:8" x14ac:dyDescent="0.25">
      <c r="A431" s="5"/>
      <c r="B431" s="5"/>
      <c r="E431" s="5"/>
      <c r="F431" s="5"/>
      <c r="G431" s="5"/>
      <c r="H431" s="5"/>
    </row>
    <row r="432" spans="1:8" x14ac:dyDescent="0.25">
      <c r="A432" s="5"/>
      <c r="B432" s="5"/>
      <c r="D432" s="6"/>
      <c r="E432" s="5"/>
      <c r="F432" s="5"/>
      <c r="G432" s="5"/>
      <c r="H432" s="5"/>
    </row>
    <row r="433" spans="1:8" x14ac:dyDescent="0.25">
      <c r="A433" s="5"/>
      <c r="B433" s="5"/>
      <c r="E433" s="5"/>
      <c r="F433" s="5"/>
      <c r="G433" s="5"/>
      <c r="H433" s="5"/>
    </row>
    <row r="434" spans="1:8" x14ac:dyDescent="0.25">
      <c r="A434" s="5"/>
      <c r="B434" s="5"/>
      <c r="D434" s="6"/>
      <c r="E434" s="5"/>
      <c r="F434" s="5"/>
      <c r="G434" s="5"/>
      <c r="H434" s="5"/>
    </row>
    <row r="435" spans="1:8" x14ac:dyDescent="0.25">
      <c r="A435" s="5"/>
      <c r="B435" s="5"/>
      <c r="E435" s="5"/>
      <c r="F435" s="5"/>
      <c r="G435" s="5"/>
      <c r="H435" s="5"/>
    </row>
    <row r="436" spans="1:8" x14ac:dyDescent="0.25">
      <c r="A436" s="5"/>
      <c r="B436" s="5"/>
      <c r="D436" s="6"/>
      <c r="E436" s="5"/>
      <c r="F436" s="5"/>
      <c r="G436" s="5"/>
      <c r="H436" s="5"/>
    </row>
    <row r="437" spans="1:8" x14ac:dyDescent="0.25">
      <c r="A437" s="5"/>
      <c r="B437" s="5"/>
      <c r="E437" s="5"/>
      <c r="F437" s="5"/>
      <c r="G437" s="5"/>
      <c r="H437" s="5"/>
    </row>
    <row r="438" spans="1:8" x14ac:dyDescent="0.25">
      <c r="A438" s="5"/>
      <c r="B438" s="5"/>
      <c r="D438" s="6"/>
      <c r="E438" s="5"/>
      <c r="F438" s="5"/>
      <c r="G438" s="5"/>
      <c r="H438" s="5"/>
    </row>
    <row r="439" spans="1:8" x14ac:dyDescent="0.25">
      <c r="A439" s="5"/>
      <c r="B439" s="5"/>
      <c r="E439" s="5"/>
      <c r="F439" s="5"/>
      <c r="G439" s="5"/>
      <c r="H439" s="5"/>
    </row>
    <row r="440" spans="1:8" x14ac:dyDescent="0.25">
      <c r="A440" s="5"/>
      <c r="B440" s="5"/>
      <c r="D440" s="6"/>
      <c r="E440" s="5"/>
      <c r="F440" s="5"/>
      <c r="G440" s="5"/>
      <c r="H440" s="5"/>
    </row>
    <row r="441" spans="1:8" x14ac:dyDescent="0.25">
      <c r="A441" s="5"/>
      <c r="B441" s="5"/>
      <c r="E441" s="5"/>
      <c r="F441" s="5"/>
      <c r="G441" s="5"/>
      <c r="H441" s="5"/>
    </row>
    <row r="442" spans="1:8" x14ac:dyDescent="0.25">
      <c r="A442" s="5"/>
      <c r="B442" s="5"/>
      <c r="D442" s="6"/>
      <c r="E442" s="5"/>
      <c r="F442" s="5"/>
      <c r="G442" s="5"/>
      <c r="H442" s="5"/>
    </row>
    <row r="443" spans="1:8" x14ac:dyDescent="0.25">
      <c r="A443" s="5"/>
      <c r="B443" s="5"/>
      <c r="E443" s="5"/>
      <c r="F443" s="5"/>
      <c r="G443" s="5"/>
      <c r="H443" s="5"/>
    </row>
    <row r="444" spans="1:8" x14ac:dyDescent="0.25">
      <c r="A444" s="5"/>
      <c r="B444" s="5"/>
      <c r="D444" s="6"/>
      <c r="E444" s="5"/>
      <c r="F444" s="5"/>
      <c r="G444" s="5"/>
      <c r="H444" s="5"/>
    </row>
    <row r="445" spans="1:8" x14ac:dyDescent="0.25">
      <c r="A445" s="5"/>
      <c r="B445" s="5"/>
      <c r="E445" s="5"/>
      <c r="F445" s="5"/>
      <c r="G445" s="5"/>
      <c r="H445" s="5"/>
    </row>
    <row r="446" spans="1:8" x14ac:dyDescent="0.25">
      <c r="A446" s="5"/>
      <c r="B446" s="5"/>
      <c r="D446" s="6"/>
      <c r="E446" s="5"/>
      <c r="F446" s="5"/>
      <c r="G446" s="5"/>
      <c r="H446" s="5"/>
    </row>
    <row r="447" spans="1:8" x14ac:dyDescent="0.25">
      <c r="A447" s="5"/>
      <c r="B447" s="5"/>
      <c r="E447" s="5"/>
      <c r="F447" s="5"/>
      <c r="G447" s="5"/>
      <c r="H447" s="5"/>
    </row>
    <row r="448" spans="1:8" x14ac:dyDescent="0.25">
      <c r="A448" s="5"/>
      <c r="B448" s="5"/>
      <c r="D448" s="6"/>
      <c r="E448" s="5"/>
      <c r="F448" s="5"/>
      <c r="G448" s="5"/>
      <c r="H448" s="5"/>
    </row>
  </sheetData>
  <conditionalFormatting sqref="B136:B151">
    <cfRule type="cellIs" dxfId="13" priority="62" stopIfTrue="1" operator="equal">
      <formula>"INSTITUCIONAL"</formula>
    </cfRule>
  </conditionalFormatting>
  <conditionalFormatting sqref="B136:B151">
    <cfRule type="cellIs" dxfId="12" priority="61" stopIfTrue="1" operator="equal">
      <formula>"GESTION"</formula>
    </cfRule>
  </conditionalFormatting>
  <conditionalFormatting sqref="G123:G135">
    <cfRule type="cellIs" dxfId="11" priority="9" stopIfTrue="1" operator="notBetween">
      <formula>0</formula>
      <formula>0</formula>
    </cfRule>
  </conditionalFormatting>
  <conditionalFormatting sqref="B123:B135">
    <cfRule type="cellIs" dxfId="10" priority="8" stopIfTrue="1" operator="equal">
      <formula>"INSTITUCIONAL"</formula>
    </cfRule>
  </conditionalFormatting>
  <conditionalFormatting sqref="B123:B135">
    <cfRule type="cellIs" dxfId="9" priority="7" stopIfTrue="1" operator="equal">
      <formula>"GESTION"</formula>
    </cfRule>
  </conditionalFormatting>
  <conditionalFormatting sqref="G23:G122">
    <cfRule type="cellIs" dxfId="8" priority="3" stopIfTrue="1" operator="notBetween">
      <formula>0</formula>
      <formula>0</formula>
    </cfRule>
  </conditionalFormatting>
  <conditionalFormatting sqref="B3:B122">
    <cfRule type="cellIs" dxfId="7" priority="2" stopIfTrue="1" operator="equal">
      <formula>"INSTITUCIONAL"</formula>
    </cfRule>
  </conditionalFormatting>
  <conditionalFormatting sqref="B3:B122">
    <cfRule type="cellIs" dxfId="6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5:X83"/>
  <sheetViews>
    <sheetView tabSelected="1" zoomScale="70" zoomScaleNormal="70" workbookViewId="0">
      <selection activeCell="R7" sqref="R7:W48"/>
    </sheetView>
  </sheetViews>
  <sheetFormatPr baseColWidth="10" defaultColWidth="11.42578125" defaultRowHeight="15" x14ac:dyDescent="0.25"/>
  <cols>
    <col min="1" max="1" width="2.5703125" style="72" customWidth="1"/>
    <col min="2" max="2" width="17.28515625" style="75" customWidth="1"/>
    <col min="3" max="3" width="21.42578125" style="73" customWidth="1"/>
    <col min="4" max="4" width="23.140625" style="75" bestFit="1" customWidth="1"/>
    <col min="5" max="5" width="71.28515625" style="72" bestFit="1" customWidth="1"/>
    <col min="6" max="6" width="48.42578125" style="72" bestFit="1" customWidth="1"/>
    <col min="7" max="7" width="11.42578125" style="72" customWidth="1"/>
    <col min="8" max="8" width="14.5703125" style="72" bestFit="1" customWidth="1"/>
    <col min="9" max="9" width="11.85546875" style="72" bestFit="1" customWidth="1"/>
    <col min="10" max="10" width="17.28515625" style="75" customWidth="1"/>
    <col min="11" max="11" width="21.42578125" style="73" customWidth="1"/>
    <col min="12" max="12" width="23.140625" style="75" bestFit="1" customWidth="1"/>
    <col min="13" max="13" width="71.28515625" style="72" bestFit="1" customWidth="1"/>
    <col min="14" max="14" width="48.42578125" style="72" bestFit="1" customWidth="1"/>
    <col min="15" max="15" width="11.42578125" style="72"/>
    <col min="16" max="16" width="14.5703125" style="72" bestFit="1" customWidth="1"/>
    <col min="17" max="17" width="11.42578125" style="72"/>
    <col min="18" max="18" width="17.28515625" style="75" customWidth="1"/>
    <col min="19" max="19" width="21.42578125" style="73" customWidth="1"/>
    <col min="20" max="20" width="23.140625" style="75" bestFit="1" customWidth="1"/>
    <col min="21" max="21" width="71.28515625" style="72" bestFit="1" customWidth="1"/>
    <col min="22" max="22" width="48.42578125" style="72" bestFit="1" customWidth="1"/>
    <col min="23" max="23" width="11.42578125" style="72"/>
    <col min="24" max="24" width="14.5703125" style="72" bestFit="1" customWidth="1"/>
    <col min="25" max="16384" width="11.42578125" style="72"/>
  </cols>
  <sheetData>
    <row r="5" spans="2:24" x14ac:dyDescent="0.25">
      <c r="B5" s="122" t="s">
        <v>88</v>
      </c>
      <c r="C5" s="122"/>
      <c r="D5" s="122"/>
      <c r="E5" s="122"/>
      <c r="F5" s="122"/>
      <c r="G5" s="122"/>
      <c r="H5" s="122"/>
      <c r="J5" s="122" t="s">
        <v>87</v>
      </c>
      <c r="K5" s="122"/>
      <c r="L5" s="122"/>
      <c r="M5" s="122"/>
      <c r="N5" s="122"/>
      <c r="O5" s="122"/>
      <c r="P5" s="122"/>
      <c r="R5" s="122" t="s">
        <v>105</v>
      </c>
      <c r="S5" s="122"/>
      <c r="T5" s="122"/>
      <c r="U5" s="122"/>
      <c r="V5" s="122"/>
      <c r="W5" s="122"/>
      <c r="X5" s="122"/>
    </row>
    <row r="6" spans="2:24" x14ac:dyDescent="0.25">
      <c r="B6" s="74" t="s">
        <v>23</v>
      </c>
      <c r="C6" s="71" t="s">
        <v>106</v>
      </c>
      <c r="D6" s="74" t="s">
        <v>107</v>
      </c>
      <c r="E6" s="37" t="s">
        <v>108</v>
      </c>
      <c r="F6" s="37" t="s">
        <v>109</v>
      </c>
      <c r="G6" s="39" t="s">
        <v>144</v>
      </c>
      <c r="H6" s="39" t="s">
        <v>110</v>
      </c>
      <c r="J6" s="74" t="s">
        <v>23</v>
      </c>
      <c r="K6" s="71" t="s">
        <v>106</v>
      </c>
      <c r="L6" s="74" t="s">
        <v>107</v>
      </c>
      <c r="M6" s="37" t="s">
        <v>108</v>
      </c>
      <c r="N6" s="37" t="s">
        <v>109</v>
      </c>
      <c r="O6" s="39" t="s">
        <v>144</v>
      </c>
      <c r="P6" s="39" t="s">
        <v>110</v>
      </c>
      <c r="R6" s="74" t="s">
        <v>23</v>
      </c>
      <c r="S6" s="71" t="s">
        <v>106</v>
      </c>
      <c r="T6" s="74" t="s">
        <v>107</v>
      </c>
      <c r="U6" s="37" t="s">
        <v>108</v>
      </c>
      <c r="V6" s="37" t="s">
        <v>109</v>
      </c>
      <c r="W6" s="39" t="s">
        <v>144</v>
      </c>
      <c r="X6" s="39" t="s">
        <v>110</v>
      </c>
    </row>
    <row r="7" spans="2:24" x14ac:dyDescent="0.25">
      <c r="B7" s="75">
        <v>156622</v>
      </c>
      <c r="C7" s="73">
        <f>IFERROR((VLOOKUP(B7,FONT!$W$5:$X$1091,2,0)),0)</f>
        <v>203705476.38309199</v>
      </c>
      <c r="D7" s="75">
        <v>58</v>
      </c>
      <c r="E7" s="72" t="s">
        <v>39</v>
      </c>
      <c r="F7" s="72" t="s">
        <v>39</v>
      </c>
      <c r="G7" s="72">
        <f>IFERROR((VLOOKUP(B7,PENDIENTES!$L$5:$M$561,2,0)),0)</f>
        <v>0</v>
      </c>
      <c r="H7" s="72" t="s">
        <v>204</v>
      </c>
      <c r="J7" s="75">
        <v>147492</v>
      </c>
      <c r="K7" s="73">
        <f>IFERROR((VLOOKUP(J7,FONT!$W$5:$X$1091,2,0)),0)</f>
        <v>42426821.603606999</v>
      </c>
      <c r="L7" s="75" t="s">
        <v>297</v>
      </c>
      <c r="M7" s="72" t="s">
        <v>302</v>
      </c>
      <c r="N7" s="72" t="s">
        <v>299</v>
      </c>
      <c r="O7" s="72">
        <f>IFERROR((VLOOKUP(J7,PENDIENTES!$L$5:$M$561,2,0)),0)</f>
        <v>0</v>
      </c>
      <c r="P7" s="72" t="s">
        <v>204</v>
      </c>
      <c r="R7" s="75">
        <v>2000469</v>
      </c>
      <c r="S7" s="73">
        <f>IFERROR((VLOOKUP(R7,FONT!$W$5:$X$1091,2,0)),0)</f>
        <v>0</v>
      </c>
      <c r="T7" s="75" t="s">
        <v>90</v>
      </c>
      <c r="U7" s="72" t="s">
        <v>266</v>
      </c>
      <c r="V7" s="72" t="s">
        <v>265</v>
      </c>
      <c r="W7" s="72">
        <f>IFERROR((VLOOKUP(R7,PENDIENTES!$L$5:$M$561,2,0)),0)</f>
        <v>1</v>
      </c>
      <c r="X7" s="72" t="s">
        <v>204</v>
      </c>
    </row>
    <row r="8" spans="2:24" x14ac:dyDescent="0.25">
      <c r="B8" s="75">
        <v>154702</v>
      </c>
      <c r="C8" s="73">
        <f>IFERROR((VLOOKUP(B8,FONT!$W$5:$X$1091,2,0)),0)</f>
        <v>0</v>
      </c>
      <c r="D8" s="75">
        <v>60</v>
      </c>
      <c r="E8" s="72" t="s">
        <v>40</v>
      </c>
      <c r="F8" s="72" t="s">
        <v>210</v>
      </c>
      <c r="G8" s="72">
        <f>IFERROR((VLOOKUP(B8,PENDIENTES!$L$5:$M$561,2,0)),0)</f>
        <v>1</v>
      </c>
      <c r="H8" s="72" t="s">
        <v>204</v>
      </c>
      <c r="J8" s="75">
        <v>147491</v>
      </c>
      <c r="K8" s="73">
        <f>IFERROR((VLOOKUP(J8,FONT!$W$5:$X$1091,2,0)),0)</f>
        <v>1600297.8591159999</v>
      </c>
      <c r="L8" s="75" t="s">
        <v>297</v>
      </c>
      <c r="M8" s="72" t="s">
        <v>302</v>
      </c>
      <c r="N8" s="72" t="s">
        <v>299</v>
      </c>
      <c r="O8" s="72">
        <f>IFERROR((VLOOKUP(J8,PENDIENTES!$L$5:$M$561,2,0)),0)</f>
        <v>0</v>
      </c>
      <c r="P8" s="72" t="s">
        <v>204</v>
      </c>
      <c r="R8" s="75">
        <v>2000467</v>
      </c>
      <c r="S8" s="73">
        <f>IFERROR((VLOOKUP(R8,FONT!$W$5:$X$1091,2,0)),0)</f>
        <v>22901377.689304002</v>
      </c>
      <c r="T8" s="75" t="s">
        <v>92</v>
      </c>
      <c r="U8" s="72" t="s">
        <v>269</v>
      </c>
      <c r="V8" s="72" t="s">
        <v>265</v>
      </c>
      <c r="W8" s="72">
        <f>IFERROR((VLOOKUP(R8,PENDIENTES!$L$5:$M$561,2,0)),0)</f>
        <v>0</v>
      </c>
      <c r="X8" s="72" t="s">
        <v>204</v>
      </c>
    </row>
    <row r="9" spans="2:24" x14ac:dyDescent="0.25">
      <c r="B9" s="75">
        <v>80820</v>
      </c>
      <c r="C9" s="73">
        <f>IFERROR((VLOOKUP(B9,FONT!$W$5:$X$1091,2,0)),0)</f>
        <v>0</v>
      </c>
      <c r="D9" s="75">
        <v>63</v>
      </c>
      <c r="E9" s="72" t="s">
        <v>211</v>
      </c>
      <c r="F9" s="72" t="s">
        <v>210</v>
      </c>
      <c r="G9" s="72">
        <f>IFERROR((VLOOKUP(B9,PENDIENTES!$L$5:$M$561,2,0)),0)</f>
        <v>1</v>
      </c>
      <c r="H9" s="72" t="s">
        <v>204</v>
      </c>
      <c r="J9" s="75">
        <v>159246</v>
      </c>
      <c r="K9" s="73">
        <f>IFERROR((VLOOKUP(J9,FONT!$W$5:$X$1091,2,0)),0)</f>
        <v>13674935.246929999</v>
      </c>
      <c r="L9" s="75" t="s">
        <v>297</v>
      </c>
      <c r="M9" s="72" t="s">
        <v>302</v>
      </c>
      <c r="N9" s="72" t="s">
        <v>299</v>
      </c>
      <c r="O9" s="72">
        <f>IFERROR((VLOOKUP(J9,PENDIENTES!$L$5:$M$561,2,0)),0)</f>
        <v>0</v>
      </c>
      <c r="P9" s="72" t="s">
        <v>204</v>
      </c>
      <c r="R9" s="75">
        <v>1018867</v>
      </c>
      <c r="S9" s="73">
        <f>IFERROR((VLOOKUP(R9,FONT!$W$5:$X$1091,2,0)),0)</f>
        <v>29175276.964768</v>
      </c>
      <c r="T9" s="75" t="s">
        <v>93</v>
      </c>
      <c r="U9" s="72" t="s">
        <v>249</v>
      </c>
      <c r="V9" s="72" t="s">
        <v>250</v>
      </c>
      <c r="W9" s="72">
        <f>IFERROR((VLOOKUP(R9,PENDIENTES!$L$5:$M$561,2,0)),0)</f>
        <v>0</v>
      </c>
      <c r="X9" s="72" t="s">
        <v>204</v>
      </c>
    </row>
    <row r="10" spans="2:24" x14ac:dyDescent="0.25">
      <c r="B10" s="75">
        <v>1036691</v>
      </c>
      <c r="C10" s="73">
        <f>IFERROR((VLOOKUP(B10,FONT!$W$5:$X$1091,2,0)),0)</f>
        <v>981466.69845200004</v>
      </c>
      <c r="D10" s="75" t="s">
        <v>311</v>
      </c>
      <c r="E10" s="72" t="s">
        <v>311</v>
      </c>
      <c r="F10" s="72" t="s">
        <v>311</v>
      </c>
      <c r="G10" s="72">
        <f>IFERROR((VLOOKUP(B10,PENDIENTES!$L$5:$M$561,2,0)),0)</f>
        <v>0</v>
      </c>
      <c r="H10" s="72" t="s">
        <v>204</v>
      </c>
      <c r="J10" s="75">
        <v>1010401</v>
      </c>
      <c r="K10" s="73">
        <f>IFERROR((VLOOKUP(J10,FONT!$W$5:$X$1091,2,0)),0)</f>
        <v>52831071.346625999</v>
      </c>
      <c r="L10" s="75" t="s">
        <v>297</v>
      </c>
      <c r="M10" s="72" t="s">
        <v>302</v>
      </c>
      <c r="N10" s="72" t="s">
        <v>299</v>
      </c>
      <c r="O10" s="72">
        <f>IFERROR((VLOOKUP(J10,PENDIENTES!$L$5:$M$561,2,0)),0)</f>
        <v>0</v>
      </c>
      <c r="P10" s="72" t="s">
        <v>204</v>
      </c>
      <c r="R10" s="75">
        <v>65501372909</v>
      </c>
      <c r="S10" s="73">
        <f>IFERROR((VLOOKUP(R10,FONT!$W$5:$X$1091,2,0)),0)</f>
        <v>30554888.754117001</v>
      </c>
      <c r="T10" s="75" t="s">
        <v>94</v>
      </c>
      <c r="U10" s="72" t="s">
        <v>95</v>
      </c>
      <c r="V10" s="72" t="s">
        <v>254</v>
      </c>
      <c r="W10" s="72">
        <f>IFERROR((VLOOKUP(R10,PENDIENTES!$L$5:$M$561,2,0)),0)</f>
        <v>0</v>
      </c>
      <c r="X10" s="72" t="s">
        <v>204</v>
      </c>
    </row>
    <row r="11" spans="2:24" x14ac:dyDescent="0.25">
      <c r="B11" s="75">
        <v>2000206</v>
      </c>
      <c r="C11" s="73">
        <f>IFERROR((VLOOKUP(B11,FONT!$W$5:$X$1091,2,0)),0)</f>
        <v>0</v>
      </c>
      <c r="D11" s="75">
        <v>116</v>
      </c>
      <c r="E11" s="72" t="s">
        <v>220</v>
      </c>
      <c r="F11" s="72" t="s">
        <v>221</v>
      </c>
      <c r="G11" s="72">
        <f>IFERROR((VLOOKUP(B11,PENDIENTES!$L$5:$M$561,2,0)),0)</f>
        <v>0</v>
      </c>
      <c r="H11" s="72" t="s">
        <v>204</v>
      </c>
      <c r="R11" s="75">
        <v>65505285253</v>
      </c>
      <c r="S11" s="73">
        <f>IFERROR((VLOOKUP(R11,FONT!$W$5:$X$1091,2,0)),0)</f>
        <v>257628.98404800001</v>
      </c>
      <c r="T11" s="75" t="s">
        <v>99</v>
      </c>
      <c r="U11" s="72" t="s">
        <v>99</v>
      </c>
      <c r="V11" s="72" t="s">
        <v>247</v>
      </c>
      <c r="W11" s="72">
        <f>IFERROR((VLOOKUP(R11,PENDIENTES!$L$5:$M$561,2,0)),0)</f>
        <v>0</v>
      </c>
      <c r="X11" s="72" t="s">
        <v>204</v>
      </c>
    </row>
    <row r="12" spans="2:24" x14ac:dyDescent="0.25">
      <c r="B12" s="75">
        <v>2000205</v>
      </c>
      <c r="C12" s="73">
        <f>IFERROR((VLOOKUP(B12,FONT!$W$5:$X$1091,2,0)),0)</f>
        <v>0</v>
      </c>
      <c r="D12" s="75">
        <v>117</v>
      </c>
      <c r="E12" s="72" t="s">
        <v>222</v>
      </c>
      <c r="F12" s="72" t="s">
        <v>221</v>
      </c>
      <c r="G12" s="72">
        <f>IFERROR((VLOOKUP(B12,PENDIENTES!$L$5:$M$561,2,0)),0)</f>
        <v>0</v>
      </c>
      <c r="H12" s="72" t="s">
        <v>204</v>
      </c>
      <c r="R12" s="75">
        <v>1031340</v>
      </c>
      <c r="S12" s="73">
        <f>IFERROR((VLOOKUP(R12,FONT!$W$5:$X$1091,2,0)),0)</f>
        <v>32195624.158808</v>
      </c>
      <c r="T12" s="75" t="s">
        <v>100</v>
      </c>
      <c r="U12" s="72" t="s">
        <v>101</v>
      </c>
      <c r="V12" s="72" t="s">
        <v>101</v>
      </c>
      <c r="W12" s="72">
        <f>IFERROR((VLOOKUP(R12,PENDIENTES!$L$5:$M$561,2,0)),0)</f>
        <v>0</v>
      </c>
      <c r="X12" s="72" t="s">
        <v>204</v>
      </c>
    </row>
    <row r="13" spans="2:24" x14ac:dyDescent="0.25">
      <c r="B13" s="75">
        <v>1013187</v>
      </c>
      <c r="C13" s="73">
        <f>IFERROR((VLOOKUP(B13,FONT!$W$5:$X$1091,2,0)),0)</f>
        <v>93135769.234126002</v>
      </c>
      <c r="D13" s="75">
        <v>127</v>
      </c>
      <c r="E13" s="72" t="s">
        <v>43</v>
      </c>
      <c r="F13" s="72" t="s">
        <v>236</v>
      </c>
      <c r="G13" s="72">
        <f>IFERROR((VLOOKUP(B13,PENDIENTES!$L$5:$M$561,2,0)),0)</f>
        <v>0</v>
      </c>
      <c r="H13" s="72" t="s">
        <v>204</v>
      </c>
      <c r="R13" s="75">
        <v>2000926</v>
      </c>
      <c r="S13" s="73">
        <f>IFERROR((VLOOKUP(R13,FONT!$W$5:$X$1091,2,0)),0)</f>
        <v>36862014.311584003</v>
      </c>
      <c r="T13" s="75" t="s">
        <v>256</v>
      </c>
      <c r="U13" s="72" t="s">
        <v>257</v>
      </c>
      <c r="V13" s="72" t="s">
        <v>258</v>
      </c>
      <c r="W13" s="72">
        <f>IFERROR((VLOOKUP(R13,PENDIENTES!$L$5:$M$561,2,0)),0)</f>
        <v>0</v>
      </c>
      <c r="X13" s="72" t="s">
        <v>204</v>
      </c>
    </row>
    <row r="14" spans="2:24" x14ac:dyDescent="0.25">
      <c r="B14" s="75">
        <v>2000863</v>
      </c>
      <c r="C14" s="73">
        <f>IFERROR((VLOOKUP(B14,FONT!$W$5:$X$1091,2,0)),0)</f>
        <v>0</v>
      </c>
      <c r="D14" s="75">
        <v>2000863</v>
      </c>
      <c r="E14" s="72" t="s">
        <v>44</v>
      </c>
      <c r="F14" s="72" t="s">
        <v>221</v>
      </c>
      <c r="G14" s="72">
        <f>IFERROR((VLOOKUP(B14,PENDIENTES!$L$5:$M$561,2,0)),0)</f>
        <v>0</v>
      </c>
      <c r="H14" s="72" t="s">
        <v>204</v>
      </c>
      <c r="R14" s="75">
        <v>1031341</v>
      </c>
      <c r="S14" s="73">
        <f>IFERROR((VLOOKUP(R14,FONT!$W$5:$X$1091,2,0)),0)</f>
        <v>26358687.108624</v>
      </c>
      <c r="T14" s="75" t="s">
        <v>175</v>
      </c>
      <c r="U14" s="72" t="s">
        <v>148</v>
      </c>
      <c r="V14" s="72" t="s">
        <v>148</v>
      </c>
      <c r="W14" s="72">
        <f>IFERROR((VLOOKUP(R14,PENDIENTES!$L$5:$M$561,2,0)),0)</f>
        <v>0</v>
      </c>
      <c r="X14" s="72" t="s">
        <v>204</v>
      </c>
    </row>
    <row r="15" spans="2:24" x14ac:dyDescent="0.25">
      <c r="B15" s="75">
        <v>2000905</v>
      </c>
      <c r="C15" s="73">
        <f>IFERROR((VLOOKUP(B15,FONT!$W$5:$X$1091,2,0)),0)</f>
        <v>570670743.00125206</v>
      </c>
      <c r="D15" s="75">
        <v>2000905</v>
      </c>
      <c r="E15" s="72" t="s">
        <v>45</v>
      </c>
      <c r="F15" s="72" t="s">
        <v>45</v>
      </c>
      <c r="G15" s="72">
        <f>IFERROR((VLOOKUP(B15,PENDIENTES!$L$5:$M$561,2,0)),0)</f>
        <v>0</v>
      </c>
      <c r="H15" s="72" t="s">
        <v>204</v>
      </c>
      <c r="R15" s="75">
        <v>2001049</v>
      </c>
      <c r="S15" s="73">
        <f>IFERROR((VLOOKUP(R15,FONT!$W$5:$X$1091,2,0)),0)</f>
        <v>10750642.521645</v>
      </c>
      <c r="T15" s="75" t="s">
        <v>176</v>
      </c>
      <c r="U15" s="72" t="s">
        <v>272</v>
      </c>
      <c r="V15" s="72" t="s">
        <v>271</v>
      </c>
      <c r="W15" s="72">
        <f>IFERROR((VLOOKUP(R15,PENDIENTES!$L$5:$M$561,2,0)),0)</f>
        <v>6</v>
      </c>
      <c r="X15" s="72" t="s">
        <v>204</v>
      </c>
    </row>
    <row r="16" spans="2:24" x14ac:dyDescent="0.25">
      <c r="B16" s="75">
        <v>2000574</v>
      </c>
      <c r="C16" s="73">
        <f>IFERROR((VLOOKUP(B16,FONT!$W$5:$X$1091,2,0)),0)</f>
        <v>6247804.5492439996</v>
      </c>
      <c r="D16" s="75" t="s">
        <v>172</v>
      </c>
      <c r="E16" s="72" t="s">
        <v>255</v>
      </c>
      <c r="F16" s="72" t="s">
        <v>172</v>
      </c>
      <c r="G16" s="72">
        <f>IFERROR((VLOOKUP(B16,PENDIENTES!$L$5:$M$561,2,0)),0)</f>
        <v>0</v>
      </c>
      <c r="H16" s="72" t="s">
        <v>204</v>
      </c>
      <c r="R16" s="75">
        <v>2001050</v>
      </c>
      <c r="S16" s="73">
        <f>IFERROR((VLOOKUP(R16,FONT!$W$5:$X$1091,2,0)),0)</f>
        <v>3958037.0935169999</v>
      </c>
      <c r="T16" s="75" t="s">
        <v>177</v>
      </c>
      <c r="U16" s="72" t="s">
        <v>270</v>
      </c>
      <c r="V16" s="72" t="s">
        <v>271</v>
      </c>
      <c r="W16" s="72">
        <f>IFERROR((VLOOKUP(R16,PENDIENTES!$L$5:$M$561,2,0)),0)</f>
        <v>1</v>
      </c>
      <c r="X16" s="72" t="s">
        <v>204</v>
      </c>
    </row>
    <row r="17" spans="2:24" x14ac:dyDescent="0.25">
      <c r="B17" s="75">
        <v>2000575</v>
      </c>
      <c r="C17" s="73">
        <f>IFERROR((VLOOKUP(B17,FONT!$W$5:$X$1091,2,0)),0)</f>
        <v>27603079.142901</v>
      </c>
      <c r="D17" s="75" t="s">
        <v>172</v>
      </c>
      <c r="E17" s="72" t="s">
        <v>255</v>
      </c>
      <c r="F17" s="72" t="s">
        <v>172</v>
      </c>
      <c r="G17" s="72">
        <f>IFERROR((VLOOKUP(B17,PENDIENTES!$L$5:$M$561,2,0)),0)</f>
        <v>0</v>
      </c>
      <c r="H17" s="72" t="s">
        <v>204</v>
      </c>
      <c r="R17" s="75">
        <v>1037090</v>
      </c>
      <c r="S17" s="73">
        <f>IFERROR((VLOOKUP(R17,FONT!$W$5:$X$1091,2,0)),0)</f>
        <v>16704197.451416001</v>
      </c>
      <c r="T17" s="75" t="s">
        <v>303</v>
      </c>
      <c r="U17" s="72" t="s">
        <v>309</v>
      </c>
      <c r="V17" s="72" t="s">
        <v>309</v>
      </c>
      <c r="W17" s="72">
        <f>IFERROR((VLOOKUP(R17,PENDIENTES!$L$5:$M$561,2,0)),0)</f>
        <v>1</v>
      </c>
      <c r="X17" s="72" t="s">
        <v>204</v>
      </c>
    </row>
    <row r="18" spans="2:24" x14ac:dyDescent="0.25">
      <c r="B18" s="75">
        <v>2000576</v>
      </c>
      <c r="C18" s="73">
        <f>IFERROR((VLOOKUP(B18,FONT!$W$5:$X$1091,2,0)),0)</f>
        <v>7847433.3837179998</v>
      </c>
      <c r="D18" s="75" t="s">
        <v>172</v>
      </c>
      <c r="E18" s="72" t="s">
        <v>255</v>
      </c>
      <c r="F18" s="72" t="s">
        <v>172</v>
      </c>
      <c r="G18" s="72">
        <f>IFERROR((VLOOKUP(B18,PENDIENTES!$L$5:$M$561,2,0)),0)</f>
        <v>0</v>
      </c>
      <c r="H18" s="72" t="s">
        <v>204</v>
      </c>
      <c r="R18" s="75">
        <v>65501902345</v>
      </c>
      <c r="S18" s="73">
        <f>IFERROR((VLOOKUP(R18,FONT!$W$5:$X$1091,2,0)),0)</f>
        <v>29211516.135896001</v>
      </c>
      <c r="T18" s="75" t="s">
        <v>304</v>
      </c>
      <c r="U18" s="72" t="s">
        <v>310</v>
      </c>
      <c r="V18" s="72" t="s">
        <v>310</v>
      </c>
      <c r="W18" s="72">
        <f>IFERROR((VLOOKUP(R18,PENDIENTES!$L$5:$M$561,2,0)),0)</f>
        <v>0</v>
      </c>
      <c r="X18" s="72" t="s">
        <v>204</v>
      </c>
    </row>
    <row r="19" spans="2:24" x14ac:dyDescent="0.25">
      <c r="B19" s="75">
        <v>2000577</v>
      </c>
      <c r="C19" s="73">
        <f>IFERROR((VLOOKUP(B19,FONT!$W$5:$X$1091,2,0)),0)</f>
        <v>61534022.634461001</v>
      </c>
      <c r="D19" s="75" t="s">
        <v>172</v>
      </c>
      <c r="E19" s="72" t="s">
        <v>255</v>
      </c>
      <c r="F19" s="72" t="s">
        <v>172</v>
      </c>
      <c r="G19" s="72">
        <f>IFERROR((VLOOKUP(B19,PENDIENTES!$L$5:$M$561,2,0)),0)</f>
        <v>0</v>
      </c>
      <c r="H19" s="72" t="s">
        <v>204</v>
      </c>
      <c r="R19" s="75">
        <v>1037087</v>
      </c>
      <c r="S19" s="73">
        <f>IFERROR((VLOOKUP(R19,FONT!$W$5:$X$1091,2,0)),0)</f>
        <v>18359.321096</v>
      </c>
      <c r="T19" s="75" t="s">
        <v>305</v>
      </c>
      <c r="U19" s="72" t="s">
        <v>308</v>
      </c>
      <c r="V19" s="72" t="s">
        <v>308</v>
      </c>
      <c r="W19" s="72">
        <f>IFERROR((VLOOKUP(R19,PENDIENTES!$L$5:$M$561,2,0)),0)</f>
        <v>0</v>
      </c>
      <c r="X19" s="72" t="s">
        <v>204</v>
      </c>
    </row>
    <row r="20" spans="2:24" x14ac:dyDescent="0.25">
      <c r="B20" s="75">
        <v>65503691935</v>
      </c>
      <c r="C20" s="73">
        <f>IFERROR((VLOOKUP(B20,FONT!$W$5:$X$1091,2,0)),0)</f>
        <v>14666173.122264</v>
      </c>
      <c r="D20" s="75" t="s">
        <v>49</v>
      </c>
      <c r="E20" s="75" t="s">
        <v>49</v>
      </c>
      <c r="F20" s="75" t="s">
        <v>49</v>
      </c>
      <c r="G20" s="72">
        <f>IFERROR((VLOOKUP(B20,PENDIENTES!$L$5:$M$561,2,0)),0)</f>
        <v>0</v>
      </c>
      <c r="H20" s="72" t="s">
        <v>204</v>
      </c>
      <c r="M20" s="75"/>
      <c r="N20" s="75"/>
      <c r="R20" s="75">
        <v>1037118</v>
      </c>
      <c r="S20" s="73">
        <f>IFERROR((VLOOKUP(R20,FONT!$W$5:$X$1091,2,0)),0)</f>
        <v>14737348.621164</v>
      </c>
      <c r="T20" s="75" t="s">
        <v>334</v>
      </c>
      <c r="U20" s="72" t="s">
        <v>335</v>
      </c>
      <c r="V20" s="72" t="s">
        <v>335</v>
      </c>
      <c r="W20" s="72">
        <f>IFERROR((VLOOKUP(R20,PENDIENTES!$L$5:$M$561,2,0)),0)</f>
        <v>1</v>
      </c>
      <c r="X20" s="72" t="s">
        <v>204</v>
      </c>
    </row>
    <row r="21" spans="2:24" x14ac:dyDescent="0.25">
      <c r="B21" s="75">
        <v>2000534</v>
      </c>
      <c r="C21" s="73">
        <f>IFERROR((VLOOKUP(B21,FONT!$W$5:$X$1091,2,0)),0)</f>
        <v>437.32162499999998</v>
      </c>
      <c r="D21" s="75" t="s">
        <v>50</v>
      </c>
      <c r="E21" s="72" t="s">
        <v>51</v>
      </c>
      <c r="F21" s="72" t="s">
        <v>51</v>
      </c>
      <c r="G21" s="72">
        <f>IFERROR((VLOOKUP(B21,PENDIENTES!$L$5:$M$561,2,0)),0)</f>
        <v>0</v>
      </c>
      <c r="H21" s="72" t="s">
        <v>204</v>
      </c>
      <c r="R21" s="75">
        <v>1037086</v>
      </c>
      <c r="S21" s="73">
        <f>IFERROR((VLOOKUP(R21,FONT!$W$5:$X$1091,2,0)),0)</f>
        <v>55433047.280056</v>
      </c>
      <c r="T21" s="75" t="s">
        <v>336</v>
      </c>
      <c r="U21" s="72" t="s">
        <v>337</v>
      </c>
      <c r="V21" s="72" t="s">
        <v>337</v>
      </c>
      <c r="W21" s="72">
        <f>IFERROR((VLOOKUP(R21,PENDIENTES!$L$5:$M$561,2,0)),0)</f>
        <v>1</v>
      </c>
      <c r="X21" s="72" t="s">
        <v>204</v>
      </c>
    </row>
    <row r="22" spans="2:24" x14ac:dyDescent="0.25">
      <c r="B22" s="75">
        <v>65507430562</v>
      </c>
      <c r="C22" s="73">
        <f>IFERROR((VLOOKUP(B22,FONT!$W$5:$X$1091,2,0)),0)</f>
        <v>219370869.39074799</v>
      </c>
      <c r="D22" s="75" t="s">
        <v>242</v>
      </c>
      <c r="E22" s="72" t="s">
        <v>243</v>
      </c>
      <c r="F22" s="72" t="s">
        <v>243</v>
      </c>
      <c r="G22" s="72">
        <f>IFERROR((VLOOKUP(B22,PENDIENTES!$L$5:$M$561,2,0)),0)</f>
        <v>0</v>
      </c>
      <c r="H22" s="72" t="s">
        <v>204</v>
      </c>
      <c r="R22" s="75">
        <v>1037113</v>
      </c>
      <c r="S22" s="73">
        <f>IFERROR((VLOOKUP(R22,FONT!$W$5:$X$1091,2,0)),0)</f>
        <v>7989275.5879040007</v>
      </c>
      <c r="T22" s="75" t="s">
        <v>338</v>
      </c>
      <c r="U22" s="72" t="s">
        <v>339</v>
      </c>
      <c r="V22" s="72" t="s">
        <v>339</v>
      </c>
      <c r="W22" s="72">
        <f>IFERROR((VLOOKUP(R22,PENDIENTES!$L$5:$M$561,2,0)),0)</f>
        <v>1</v>
      </c>
      <c r="X22" s="72" t="s">
        <v>204</v>
      </c>
    </row>
    <row r="23" spans="2:24" x14ac:dyDescent="0.25">
      <c r="B23" s="75">
        <v>2000597</v>
      </c>
      <c r="C23" s="73">
        <f>IFERROR((VLOOKUP(B23,FONT!$W$5:$X$1091,2,0)),0)</f>
        <v>23370.467639999999</v>
      </c>
      <c r="D23" s="75" t="s">
        <v>306</v>
      </c>
      <c r="G23" s="72">
        <f>IFERROR((VLOOKUP(B23,PENDIENTES!$L$5:$M$561,2,0)),0)</f>
        <v>0</v>
      </c>
      <c r="H23" s="72" t="s">
        <v>204</v>
      </c>
      <c r="R23" s="75">
        <v>1037117</v>
      </c>
      <c r="S23" s="73">
        <f>IFERROR((VLOOKUP(R23,FONT!$W$5:$X$1091,2,0)),0)</f>
        <v>8890963.5312760007</v>
      </c>
      <c r="T23" s="75" t="s">
        <v>340</v>
      </c>
      <c r="U23" s="72" t="s">
        <v>341</v>
      </c>
      <c r="V23" s="72" t="s">
        <v>341</v>
      </c>
      <c r="W23" s="72">
        <f>IFERROR((VLOOKUP(R23,PENDIENTES!$L$5:$M$561,2,0)),0)</f>
        <v>1</v>
      </c>
      <c r="X23" s="72" t="s">
        <v>204</v>
      </c>
    </row>
    <row r="24" spans="2:24" x14ac:dyDescent="0.25">
      <c r="B24" s="75">
        <v>2000730</v>
      </c>
      <c r="C24" s="73">
        <f>IFERROR((VLOOKUP(B24,FONT!$W$5:$X$1091,2,0)),0)</f>
        <v>4910789.4843149995</v>
      </c>
      <c r="D24" s="75" t="s">
        <v>54</v>
      </c>
      <c r="E24" s="72" t="s">
        <v>267</v>
      </c>
      <c r="F24" s="72" t="s">
        <v>55</v>
      </c>
      <c r="G24" s="72">
        <f>IFERROR((VLOOKUP(B24,PENDIENTES!$L$5:$M$561,2,0)),0)</f>
        <v>0</v>
      </c>
      <c r="H24" s="72" t="s">
        <v>204</v>
      </c>
      <c r="R24" s="75">
        <v>1037085</v>
      </c>
      <c r="S24" s="73">
        <f>IFERROR((VLOOKUP(R24,FONT!$W$5:$X$1091,2,0)),0)</f>
        <v>40351701.630644001</v>
      </c>
      <c r="T24" s="75" t="s">
        <v>342</v>
      </c>
      <c r="U24" s="72" t="s">
        <v>343</v>
      </c>
      <c r="V24" s="72" t="s">
        <v>343</v>
      </c>
      <c r="W24" s="72">
        <f>IFERROR((VLOOKUP(R24,PENDIENTES!$L$5:$M$561,2,0)),0)</f>
        <v>1</v>
      </c>
      <c r="X24" s="72" t="s">
        <v>204</v>
      </c>
    </row>
    <row r="25" spans="2:24" x14ac:dyDescent="0.25">
      <c r="B25" s="75">
        <v>2000927</v>
      </c>
      <c r="C25" s="73">
        <f>IFERROR((VLOOKUP(B25,FONT!$W$5:$X$1091,2,0)),0)</f>
        <v>43142832.562044002</v>
      </c>
      <c r="D25" s="75" t="s">
        <v>56</v>
      </c>
      <c r="E25" s="72" t="s">
        <v>262</v>
      </c>
      <c r="F25" s="72" t="s">
        <v>263</v>
      </c>
      <c r="G25" s="72">
        <f>IFERROR((VLOOKUP(B25,PENDIENTES!$L$5:$M$561,2,0)),0)</f>
        <v>0</v>
      </c>
      <c r="H25" s="72" t="s">
        <v>204</v>
      </c>
      <c r="R25" s="75">
        <v>65502397418</v>
      </c>
      <c r="S25" s="73">
        <f>IFERROR((VLOOKUP(R25,FONT!$W$5:$X$1091,2,0)),0)</f>
        <v>21732632.524448</v>
      </c>
      <c r="T25" s="75" t="s">
        <v>344</v>
      </c>
      <c r="U25" s="72" t="s">
        <v>346</v>
      </c>
      <c r="V25" s="72" t="s">
        <v>346</v>
      </c>
      <c r="W25" s="72">
        <f>IFERROR((VLOOKUP(R25,PENDIENTES!$L$5:$M$561,2,0)),0)</f>
        <v>0</v>
      </c>
      <c r="X25" s="72" t="s">
        <v>204</v>
      </c>
    </row>
    <row r="26" spans="2:24" x14ac:dyDescent="0.25">
      <c r="B26" s="75">
        <v>2000928</v>
      </c>
      <c r="C26" s="73">
        <f>IFERROR((VLOOKUP(B26,FONT!$W$5:$X$1091,2,0)),0)</f>
        <v>37093456.768576004</v>
      </c>
      <c r="D26" s="75" t="s">
        <v>57</v>
      </c>
      <c r="E26" s="72" t="s">
        <v>260</v>
      </c>
      <c r="F26" s="72" t="s">
        <v>261</v>
      </c>
      <c r="G26" s="72">
        <f>IFERROR((VLOOKUP(B26,PENDIENTES!$L$5:$M$561,2,0)),0)</f>
        <v>0</v>
      </c>
      <c r="H26" s="72" t="s">
        <v>204</v>
      </c>
      <c r="R26" s="75">
        <v>65501285111</v>
      </c>
      <c r="S26" s="73">
        <f>IFERROR((VLOOKUP(R26,FONT!$W$5:$X$1091,2,0)),0)</f>
        <v>32732470.33326</v>
      </c>
      <c r="T26" s="75" t="s">
        <v>345</v>
      </c>
      <c r="U26" s="72" t="s">
        <v>347</v>
      </c>
      <c r="V26" s="72" t="s">
        <v>347</v>
      </c>
      <c r="W26" s="72">
        <f>IFERROR((VLOOKUP(R26,PENDIENTES!$L$5:$M$561,2,0)),0)</f>
        <v>0</v>
      </c>
      <c r="X26" s="72" t="s">
        <v>204</v>
      </c>
    </row>
    <row r="27" spans="2:24" x14ac:dyDescent="0.25">
      <c r="B27" s="75">
        <v>65507408917</v>
      </c>
      <c r="C27" s="73">
        <f>IFERROR((VLOOKUP(B27,FONT!$W$5:$X$1091,2,0)),0)</f>
        <v>0</v>
      </c>
      <c r="D27" s="75">
        <v>37</v>
      </c>
      <c r="E27" s="72" t="s">
        <v>18</v>
      </c>
      <c r="F27" s="72" t="s">
        <v>209</v>
      </c>
      <c r="G27" s="72">
        <f>IFERROR((VLOOKUP(B27,PENDIENTES!$L$5:$M$561,2,0)),0)</f>
        <v>0</v>
      </c>
      <c r="H27" s="72" t="s">
        <v>204</v>
      </c>
      <c r="R27" s="75">
        <v>2000469</v>
      </c>
      <c r="S27" s="73">
        <f>IFERROR((VLOOKUP(R27,FONT!$W$5:$X$1091,2,0)),0)</f>
        <v>0</v>
      </c>
      <c r="T27" s="75" t="s">
        <v>90</v>
      </c>
      <c r="U27" s="72" t="s">
        <v>266</v>
      </c>
      <c r="V27" s="72" t="s">
        <v>266</v>
      </c>
      <c r="W27" s="72">
        <f>IFERROR((VLOOKUP(R27,PENDIENTES!$L$5:$M$561,2,0)),0)</f>
        <v>1</v>
      </c>
      <c r="X27" s="72" t="s">
        <v>204</v>
      </c>
    </row>
    <row r="28" spans="2:24" x14ac:dyDescent="0.25">
      <c r="B28" s="75">
        <v>1037124</v>
      </c>
      <c r="C28" s="73">
        <f>IFERROR((VLOOKUP(B28,FONT!$W$5:$X$1091,2,0)),0)</f>
        <v>2875696.5890790001</v>
      </c>
      <c r="D28" s="75">
        <v>75</v>
      </c>
      <c r="E28" s="72" t="s">
        <v>63</v>
      </c>
      <c r="F28" s="72" t="s">
        <v>212</v>
      </c>
      <c r="G28" s="72">
        <f>IFERROR((VLOOKUP(B28,PENDIENTES!$L$5:$M$561,2,0)),0)</f>
        <v>1</v>
      </c>
      <c r="H28" s="72" t="s">
        <v>204</v>
      </c>
      <c r="R28" s="75">
        <v>2000466</v>
      </c>
      <c r="S28" s="73">
        <f>IFERROR((VLOOKUP(R28,FONT!$W$5:$X$1091,2,0)),0)</f>
        <v>0</v>
      </c>
      <c r="T28" s="75" t="s">
        <v>91</v>
      </c>
      <c r="U28" s="72" t="s">
        <v>268</v>
      </c>
      <c r="V28" s="72" t="s">
        <v>268</v>
      </c>
      <c r="W28" s="72">
        <f>IFERROR((VLOOKUP(R28,PENDIENTES!$L$5:$M$561,2,0)),0)</f>
        <v>0</v>
      </c>
      <c r="X28" s="72" t="s">
        <v>204</v>
      </c>
    </row>
    <row r="29" spans="2:24" x14ac:dyDescent="0.25">
      <c r="B29" s="75">
        <v>1033811</v>
      </c>
      <c r="C29" s="73">
        <f>IFERROR((VLOOKUP(B29,FONT!$W$5:$X$1091,2,0)),0)</f>
        <v>3248841.5216000001</v>
      </c>
      <c r="D29" s="75">
        <v>76</v>
      </c>
      <c r="E29" s="72" t="s">
        <v>64</v>
      </c>
      <c r="F29" s="72" t="s">
        <v>212</v>
      </c>
      <c r="G29" s="72">
        <f>IFERROR((VLOOKUP(B29,PENDIENTES!$L$5:$M$561,2,0)),0)</f>
        <v>0</v>
      </c>
      <c r="H29" s="72" t="s">
        <v>204</v>
      </c>
      <c r="R29" s="75">
        <v>1033795</v>
      </c>
      <c r="S29" s="73">
        <f>IFERROR((VLOOKUP(R29,FONT!$W$5:$X$1091,2,0)),0)</f>
        <v>11634623.918634001</v>
      </c>
      <c r="T29" s="75">
        <v>1033795</v>
      </c>
      <c r="U29" s="72" t="s">
        <v>510</v>
      </c>
      <c r="V29" s="72" t="s">
        <v>510</v>
      </c>
      <c r="W29" s="72">
        <f>IFERROR((VLOOKUP(R29,PENDIENTES!$L$5:$M$561,2,0)),0)</f>
        <v>0</v>
      </c>
      <c r="X29" s="72" t="s">
        <v>204</v>
      </c>
    </row>
    <row r="30" spans="2:24" x14ac:dyDescent="0.25">
      <c r="B30" s="75">
        <v>65502425394</v>
      </c>
      <c r="C30" s="73">
        <f>IFERROR((VLOOKUP(B30,FONT!$W$5:$X$1091,2,0)),0)</f>
        <v>104963120.889327</v>
      </c>
      <c r="D30" s="75">
        <v>93</v>
      </c>
      <c r="E30" s="72" t="s">
        <v>66</v>
      </c>
      <c r="F30" s="72" t="s">
        <v>215</v>
      </c>
      <c r="G30" s="72">
        <f>IFERROR((VLOOKUP(B30,PENDIENTES!$L$5:$M$561,2,0)),0)</f>
        <v>0</v>
      </c>
      <c r="H30" s="72" t="s">
        <v>204</v>
      </c>
      <c r="R30" s="75">
        <v>65508881201</v>
      </c>
      <c r="S30" s="73">
        <f>IFERROR((VLOOKUP(R30,FONT!$W$5:$X$1091,2,0)),0)</f>
        <v>1529145.231872</v>
      </c>
      <c r="T30" s="75" t="s">
        <v>619</v>
      </c>
      <c r="U30" s="72" t="s">
        <v>614</v>
      </c>
      <c r="V30" s="72" t="s">
        <v>614</v>
      </c>
      <c r="W30" s="72">
        <f>IFERROR((VLOOKUP(R30,PENDIENTES!$L$5:$M$561,2,0)),0)</f>
        <v>0</v>
      </c>
      <c r="X30" s="72" t="s">
        <v>204</v>
      </c>
    </row>
    <row r="31" spans="2:24" x14ac:dyDescent="0.25">
      <c r="B31" s="75">
        <v>1002455</v>
      </c>
      <c r="C31" s="73">
        <f>IFERROR((VLOOKUP(B31,FONT!$W$5:$X$1091,2,0)),0)</f>
        <v>8938949.8599999994</v>
      </c>
      <c r="D31" s="75">
        <v>94</v>
      </c>
      <c r="E31" s="72" t="s">
        <v>67</v>
      </c>
      <c r="F31" s="72" t="s">
        <v>216</v>
      </c>
      <c r="G31" s="72">
        <f>IFERROR((VLOOKUP(B31,PENDIENTES!$L$5:$M$561,2,0)),0)</f>
        <v>0</v>
      </c>
      <c r="H31" s="72" t="s">
        <v>204</v>
      </c>
      <c r="R31" s="75">
        <v>65508886089</v>
      </c>
      <c r="S31" s="73">
        <f>IFERROR((VLOOKUP(R31,FONT!$W$5:$X$1091,2,0)),0)</f>
        <v>96488725.812631994</v>
      </c>
      <c r="T31" s="75" t="s">
        <v>512</v>
      </c>
      <c r="U31" s="72" t="s">
        <v>511</v>
      </c>
      <c r="V31" s="72" t="s">
        <v>511</v>
      </c>
      <c r="W31" s="72">
        <f>IFERROR((VLOOKUP(R31,PENDIENTES!$L$5:$M$561,2,0)),0)</f>
        <v>0</v>
      </c>
      <c r="X31" s="72" t="s">
        <v>204</v>
      </c>
    </row>
    <row r="32" spans="2:24" x14ac:dyDescent="0.25">
      <c r="B32" s="75">
        <v>152965</v>
      </c>
      <c r="C32" s="73">
        <f>IFERROR((VLOOKUP(B32,FONT!$W$5:$X$1091,2,0)),0)</f>
        <v>21394557.376568999</v>
      </c>
      <c r="D32" s="75">
        <v>105</v>
      </c>
      <c r="E32" s="72" t="s">
        <v>68</v>
      </c>
      <c r="F32" s="72" t="s">
        <v>217</v>
      </c>
      <c r="G32" s="72">
        <f>IFERROR((VLOOKUP(B32,PENDIENTES!$L$5:$M$561,2,0)),0)</f>
        <v>0</v>
      </c>
      <c r="H32" s="72" t="s">
        <v>204</v>
      </c>
      <c r="R32" s="84">
        <v>1000002861</v>
      </c>
      <c r="S32" s="73">
        <f>IFERROR((VLOOKUP(R32,FONT!$W$5:$X$1091,2,0)),0)</f>
        <v>13097239.509880001</v>
      </c>
      <c r="T32" s="75" t="s">
        <v>513</v>
      </c>
      <c r="U32" s="72" t="s">
        <v>514</v>
      </c>
      <c r="V32" s="72" t="s">
        <v>514</v>
      </c>
      <c r="W32" s="72">
        <f>IFERROR((VLOOKUP(R32,PENDIENTES!$L$5:$M$561,2,0)),0)</f>
        <v>1</v>
      </c>
      <c r="X32" s="72" t="s">
        <v>204</v>
      </c>
    </row>
    <row r="33" spans="2:24" x14ac:dyDescent="0.25">
      <c r="B33" s="75">
        <v>1005849</v>
      </c>
      <c r="C33" s="73">
        <f>IFERROR((VLOOKUP(B33,FONT!$W$5:$X$1091,2,0)),0)</f>
        <v>26196890.727880001</v>
      </c>
      <c r="D33" s="75">
        <v>114</v>
      </c>
      <c r="E33" s="72" t="s">
        <v>218</v>
      </c>
      <c r="F33" s="72" t="s">
        <v>219</v>
      </c>
      <c r="G33" s="72">
        <f>IFERROR((VLOOKUP(B33,PENDIENTES!$L$5:$M$561,2,0)),0)</f>
        <v>0</v>
      </c>
      <c r="H33" s="72" t="s">
        <v>204</v>
      </c>
      <c r="R33" s="75">
        <v>1000003291</v>
      </c>
      <c r="S33" s="73">
        <f>IFERROR((VLOOKUP(R33,FONT!$W$5:$X$1091,2,0)),0)</f>
        <v>60779327.953492001</v>
      </c>
      <c r="T33" s="75" t="s">
        <v>515</v>
      </c>
      <c r="U33" s="72" t="s">
        <v>526</v>
      </c>
      <c r="V33" s="72" t="s">
        <v>526</v>
      </c>
      <c r="W33" s="72">
        <f>IFERROR((VLOOKUP(R33,PENDIENTES!$L$5:$M$561,2,0)),0)</f>
        <v>1</v>
      </c>
      <c r="X33" s="72" t="s">
        <v>204</v>
      </c>
    </row>
    <row r="34" spans="2:24" x14ac:dyDescent="0.25">
      <c r="B34" s="75">
        <v>142481</v>
      </c>
      <c r="C34" s="73">
        <f>IFERROR((VLOOKUP(B34,FONT!$W$5:$X$1091,2,0)),0)</f>
        <v>1058388.8999999999</v>
      </c>
      <c r="D34" s="75">
        <v>1081</v>
      </c>
      <c r="E34" s="72" t="s">
        <v>73</v>
      </c>
      <c r="F34" s="72" t="s">
        <v>216</v>
      </c>
      <c r="G34" s="72">
        <f>IFERROR((VLOOKUP(B34,PENDIENTES!$L$5:$M$561,2,0)),0)</f>
        <v>0</v>
      </c>
      <c r="H34" s="72" t="s">
        <v>204</v>
      </c>
      <c r="R34" s="75">
        <v>1000003292</v>
      </c>
      <c r="S34" s="73">
        <f>IFERROR((VLOOKUP(R34,FONT!$W$5:$X$1091,2,0)),0)</f>
        <v>8581992.0128080007</v>
      </c>
      <c r="T34" s="75" t="s">
        <v>516</v>
      </c>
      <c r="U34" s="72" t="s">
        <v>527</v>
      </c>
      <c r="V34" s="72" t="s">
        <v>527</v>
      </c>
      <c r="W34" s="72">
        <f>IFERROR((VLOOKUP(R34,PENDIENTES!$L$5:$M$561,2,0)),0)</f>
        <v>1</v>
      </c>
      <c r="X34" s="72" t="s">
        <v>204</v>
      </c>
    </row>
    <row r="35" spans="2:24" x14ac:dyDescent="0.25">
      <c r="B35" s="75">
        <v>142482</v>
      </c>
      <c r="C35" s="73">
        <f>IFERROR((VLOOKUP(B35,FONT!$W$5:$X$1091,2,0)),0)</f>
        <v>208796.14</v>
      </c>
      <c r="D35" s="75">
        <v>1082</v>
      </c>
      <c r="E35" s="72" t="s">
        <v>74</v>
      </c>
      <c r="F35" s="72" t="s">
        <v>216</v>
      </c>
      <c r="G35" s="72">
        <f>IFERROR((VLOOKUP(B35,PENDIENTES!$L$5:$M$561,2,0)),0)</f>
        <v>0</v>
      </c>
      <c r="H35" s="72" t="s">
        <v>204</v>
      </c>
      <c r="R35" s="75">
        <v>1000003293</v>
      </c>
      <c r="S35" s="73">
        <f>IFERROR((VLOOKUP(R35,FONT!$W$5:$X$1091,2,0)),0)</f>
        <v>31340123.241996001</v>
      </c>
      <c r="T35" s="75" t="s">
        <v>517</v>
      </c>
      <c r="U35" s="72" t="s">
        <v>528</v>
      </c>
      <c r="V35" s="72" t="s">
        <v>528</v>
      </c>
      <c r="W35" s="72">
        <f>IFERROR((VLOOKUP(R35,PENDIENTES!$L$5:$M$561,2,0)),0)</f>
        <v>1</v>
      </c>
      <c r="X35" s="72" t="s">
        <v>204</v>
      </c>
    </row>
    <row r="36" spans="2:24" x14ac:dyDescent="0.25">
      <c r="B36" s="75">
        <v>65507665273</v>
      </c>
      <c r="C36" s="73">
        <f>IFERROR((VLOOKUP(B36,FONT!$W$5:$X$1091,2,0)),0)</f>
        <v>0</v>
      </c>
      <c r="D36" s="75">
        <v>1094</v>
      </c>
      <c r="E36" s="72" t="s">
        <v>75</v>
      </c>
      <c r="F36" s="72" t="s">
        <v>209</v>
      </c>
      <c r="G36" s="72">
        <f>IFERROR((VLOOKUP(B36,PENDIENTES!$L$5:$M$561,2,0)),0)</f>
        <v>0</v>
      </c>
      <c r="H36" s="72" t="s">
        <v>204</v>
      </c>
      <c r="R36" s="75">
        <v>1000003294</v>
      </c>
      <c r="S36" s="73">
        <f>IFERROR((VLOOKUP(R36,FONT!$W$5:$X$1091,2,0)),0)</f>
        <v>2752363.5903360001</v>
      </c>
      <c r="T36" s="75">
        <v>1528</v>
      </c>
      <c r="U36" s="72" t="s">
        <v>529</v>
      </c>
      <c r="V36" s="72" t="s">
        <v>529</v>
      </c>
      <c r="W36" s="72">
        <f>IFERROR((VLOOKUP(R36,PENDIENTES!$L$5:$M$561,2,0)),0)</f>
        <v>0</v>
      </c>
      <c r="X36" s="72" t="s">
        <v>204</v>
      </c>
    </row>
    <row r="37" spans="2:24" x14ac:dyDescent="0.25">
      <c r="B37" s="75">
        <v>1018014</v>
      </c>
      <c r="C37" s="73">
        <f>IFERROR((VLOOKUP(B37,FONT!$W$5:$X$1091,2,0)),0)</f>
        <v>4309.26</v>
      </c>
      <c r="D37" s="75">
        <v>1018014</v>
      </c>
      <c r="E37" s="72" t="s">
        <v>79</v>
      </c>
      <c r="F37" s="72" t="s">
        <v>79</v>
      </c>
      <c r="G37" s="72">
        <f>IFERROR((VLOOKUP(B37,PENDIENTES!$L$5:$M$561,2,0)),0)</f>
        <v>0</v>
      </c>
      <c r="H37" s="72" t="s">
        <v>204</v>
      </c>
      <c r="R37" s="75">
        <v>1000003295</v>
      </c>
      <c r="S37" s="73">
        <f>IFERROR((VLOOKUP(R37,FONT!$W$5:$X$1091,2,0)),0)</f>
        <v>82669240.862708002</v>
      </c>
      <c r="T37" s="75" t="s">
        <v>518</v>
      </c>
      <c r="U37" s="72" t="s">
        <v>530</v>
      </c>
      <c r="V37" s="72" t="s">
        <v>530</v>
      </c>
      <c r="W37" s="72">
        <f>IFERROR((VLOOKUP(R37,PENDIENTES!$L$5:$M$561,2,0)),0)</f>
        <v>1</v>
      </c>
      <c r="X37" s="72" t="s">
        <v>204</v>
      </c>
    </row>
    <row r="38" spans="2:24" x14ac:dyDescent="0.25">
      <c r="B38" s="75">
        <v>1018122</v>
      </c>
      <c r="C38" s="73">
        <f>IFERROR((VLOOKUP(B38,FONT!$W$5:$X$1091,2,0)),0)</f>
        <v>59838.68</v>
      </c>
      <c r="D38" s="75">
        <v>1018122</v>
      </c>
      <c r="E38" s="72" t="s">
        <v>80</v>
      </c>
      <c r="F38" s="72" t="s">
        <v>216</v>
      </c>
      <c r="G38" s="72">
        <f>IFERROR((VLOOKUP(B38,PENDIENTES!$L$5:$M$561,2,0)),0)</f>
        <v>0</v>
      </c>
      <c r="H38" s="72" t="s">
        <v>204</v>
      </c>
      <c r="R38" s="75">
        <v>1000003296</v>
      </c>
      <c r="S38" s="73">
        <f>IFERROR((VLOOKUP(R38,FONT!$W$5:$X$1091,2,0)),0)</f>
        <v>29963625.547031999</v>
      </c>
      <c r="T38" s="75" t="s">
        <v>519</v>
      </c>
      <c r="U38" s="72" t="s">
        <v>531</v>
      </c>
      <c r="V38" s="72" t="s">
        <v>531</v>
      </c>
      <c r="W38" s="72">
        <f>IFERROR((VLOOKUP(R38,PENDIENTES!$L$5:$M$561,2,0)),0)</f>
        <v>0</v>
      </c>
      <c r="X38" s="72" t="s">
        <v>204</v>
      </c>
    </row>
    <row r="39" spans="2:24" x14ac:dyDescent="0.25">
      <c r="B39" s="75">
        <v>1018302</v>
      </c>
      <c r="C39" s="73">
        <f>IFERROR((VLOOKUP(B39,FONT!$W$5:$X$1091,2,0)),0)</f>
        <v>2957355.92</v>
      </c>
      <c r="D39" s="75">
        <v>1018302</v>
      </c>
      <c r="E39" s="72" t="s">
        <v>81</v>
      </c>
      <c r="F39" s="72" t="s">
        <v>216</v>
      </c>
      <c r="G39" s="72">
        <f>IFERROR((VLOOKUP(B39,PENDIENTES!$L$5:$M$561,2,0)),0)</f>
        <v>0</v>
      </c>
      <c r="H39" s="72" t="s">
        <v>204</v>
      </c>
      <c r="R39" s="75">
        <v>1000003297</v>
      </c>
      <c r="S39" s="73">
        <f>IFERROR((VLOOKUP(R39,FONT!$W$5:$X$1091,2,0)),0)</f>
        <v>10801619.469752001</v>
      </c>
      <c r="T39" s="75" t="s">
        <v>520</v>
      </c>
      <c r="U39" s="72" t="s">
        <v>532</v>
      </c>
      <c r="V39" s="72" t="s">
        <v>532</v>
      </c>
      <c r="W39" s="72">
        <f>IFERROR((VLOOKUP(R39,PENDIENTES!$L$5:$M$561,2,0)),0)</f>
        <v>1</v>
      </c>
      <c r="X39" s="72" t="s">
        <v>204</v>
      </c>
    </row>
    <row r="40" spans="2:24" x14ac:dyDescent="0.25">
      <c r="B40" s="75">
        <v>65502313952</v>
      </c>
      <c r="C40" s="73">
        <f>IFERROR((VLOOKUP(B40,FONT!$W$5:$X$1091,2,0)),0)</f>
        <v>1667338100.6397631</v>
      </c>
      <c r="D40" s="75">
        <v>92</v>
      </c>
      <c r="E40" s="72" t="s">
        <v>213</v>
      </c>
      <c r="F40" s="72" t="s">
        <v>214</v>
      </c>
      <c r="G40" s="72">
        <f>IFERROR((VLOOKUP(B40,PENDIENTES!$L$5:$M$561,2,0)),0)</f>
        <v>0</v>
      </c>
      <c r="H40" s="72" t="s">
        <v>204</v>
      </c>
      <c r="R40" s="75">
        <v>1000003298</v>
      </c>
      <c r="S40" s="73">
        <f>IFERROR((VLOOKUP(R40,FONT!$W$5:$X$1091,2,0)),0)</f>
        <v>26481530.031164002</v>
      </c>
      <c r="T40" s="75" t="s">
        <v>521</v>
      </c>
      <c r="U40" s="72" t="s">
        <v>533</v>
      </c>
      <c r="V40" s="72" t="s">
        <v>533</v>
      </c>
      <c r="W40" s="72">
        <f>IFERROR((VLOOKUP(R40,PENDIENTES!$L$5:$M$561,2,0)),0)</f>
        <v>1</v>
      </c>
      <c r="X40" s="72" t="s">
        <v>204</v>
      </c>
    </row>
    <row r="41" spans="2:24" x14ac:dyDescent="0.25">
      <c r="B41" s="75">
        <v>1036724</v>
      </c>
      <c r="C41" s="73">
        <f>IFERROR((VLOOKUP(B41,FONT!$W$5:$X$1091,2,0)),0)</f>
        <v>9398474.0984480008</v>
      </c>
      <c r="D41" s="75" t="s">
        <v>313</v>
      </c>
      <c r="E41" s="72" t="s">
        <v>315</v>
      </c>
      <c r="F41" s="72" t="s">
        <v>315</v>
      </c>
      <c r="G41" s="72">
        <f>IFERROR((VLOOKUP(B41,PENDIENTES!$L$5:$M$561,2,0)),0)</f>
        <v>0</v>
      </c>
      <c r="H41" s="72" t="s">
        <v>204</v>
      </c>
      <c r="R41" s="75">
        <v>1000003299</v>
      </c>
      <c r="S41" s="73">
        <f>IFERROR((VLOOKUP(R41,FONT!$W$5:$X$1091,2,0)),0)</f>
        <v>96704930.350431994</v>
      </c>
      <c r="T41" s="75">
        <v>6981</v>
      </c>
      <c r="U41" s="72" t="s">
        <v>534</v>
      </c>
      <c r="V41" s="72" t="s">
        <v>534</v>
      </c>
      <c r="W41" s="72">
        <f>IFERROR((VLOOKUP(R41,PENDIENTES!$L$5:$M$561,2,0)),0)</f>
        <v>1</v>
      </c>
      <c r="X41" s="72" t="s">
        <v>204</v>
      </c>
    </row>
    <row r="42" spans="2:24" x14ac:dyDescent="0.25">
      <c r="B42" s="75">
        <v>65508989338</v>
      </c>
      <c r="C42" s="73">
        <f>IFERROR((VLOOKUP(B42,FONT!$W$5:$X$1091,2,0)),0)</f>
        <v>57461140.273712002</v>
      </c>
      <c r="D42" s="75" t="s">
        <v>318</v>
      </c>
      <c r="E42" s="72" t="s">
        <v>316</v>
      </c>
      <c r="F42" s="72" t="s">
        <v>316</v>
      </c>
      <c r="G42" s="72">
        <f>IFERROR((VLOOKUP(B42,PENDIENTES!$L$5:$M$561,2,0)),0)</f>
        <v>0</v>
      </c>
      <c r="H42" s="72" t="s">
        <v>204</v>
      </c>
      <c r="R42" s="75">
        <v>1000003300</v>
      </c>
      <c r="S42" s="73">
        <f>IFERROR((VLOOKUP(R42,FONT!$W$5:$X$1091,2,0)),0)</f>
        <v>10765009.061136</v>
      </c>
      <c r="T42" s="75" t="s">
        <v>522</v>
      </c>
      <c r="U42" s="72" t="s">
        <v>535</v>
      </c>
      <c r="V42" s="72" t="s">
        <v>535</v>
      </c>
      <c r="W42" s="72">
        <f>IFERROR((VLOOKUP(R42,PENDIENTES!$L$5:$M$561,2,0)),0)</f>
        <v>0</v>
      </c>
      <c r="X42" s="72" t="s">
        <v>204</v>
      </c>
    </row>
    <row r="43" spans="2:24" x14ac:dyDescent="0.25">
      <c r="B43" s="75">
        <v>65507143699</v>
      </c>
      <c r="C43" s="73">
        <f>IFERROR((VLOOKUP(B43,FONT!$W$5:$X$1091,2,0)),0)</f>
        <v>469565.06172900001</v>
      </c>
      <c r="D43" s="75" t="s">
        <v>327</v>
      </c>
      <c r="E43" s="72" t="s">
        <v>327</v>
      </c>
      <c r="F43" s="72" t="s">
        <v>327</v>
      </c>
      <c r="G43" s="72">
        <f>IFERROR((VLOOKUP(B43,PENDIENTES!$L$5:$M$561,2,0)),0)</f>
        <v>0</v>
      </c>
      <c r="H43" s="72" t="s">
        <v>204</v>
      </c>
      <c r="R43" s="75">
        <v>1000003301</v>
      </c>
      <c r="S43" s="73">
        <f>IFERROR((VLOOKUP(R43,FONT!$W$5:$X$1091,2,0)),0)</f>
        <v>21470183.983491998</v>
      </c>
      <c r="T43" s="75" t="s">
        <v>523</v>
      </c>
      <c r="U43" s="72" t="s">
        <v>536</v>
      </c>
      <c r="V43" s="72" t="s">
        <v>536</v>
      </c>
      <c r="W43" s="72">
        <f>IFERROR((VLOOKUP(R43,PENDIENTES!$L$5:$M$561,2,0)),0)</f>
        <v>0</v>
      </c>
      <c r="X43" s="72" t="s">
        <v>204</v>
      </c>
    </row>
    <row r="44" spans="2:24" x14ac:dyDescent="0.25">
      <c r="B44" s="75">
        <v>65507143745</v>
      </c>
      <c r="C44" s="73">
        <f>IFERROR((VLOOKUP(B44,FONT!$W$5:$X$1091,2,0)),0)</f>
        <v>296669.94669900002</v>
      </c>
      <c r="D44" s="75" t="s">
        <v>328</v>
      </c>
      <c r="E44" s="72" t="s">
        <v>328</v>
      </c>
      <c r="F44" s="72" t="s">
        <v>328</v>
      </c>
      <c r="G44" s="72">
        <f>IFERROR((VLOOKUP(B44,PENDIENTES!$L$5:$M$561,2,0)),0)</f>
        <v>0</v>
      </c>
      <c r="H44" s="72" t="s">
        <v>204</v>
      </c>
      <c r="R44" s="75">
        <v>1000003302</v>
      </c>
      <c r="S44" s="73">
        <f>IFERROR((VLOOKUP(R44,FONT!$W$5:$X$1091,2,0)),0)</f>
        <v>13975865.53926</v>
      </c>
      <c r="T44" s="75" t="s">
        <v>524</v>
      </c>
      <c r="U44" s="72" t="s">
        <v>537</v>
      </c>
      <c r="V44" s="72" t="s">
        <v>537</v>
      </c>
      <c r="W44" s="72">
        <f>IFERROR((VLOOKUP(R44,PENDIENTES!$L$5:$M$561,2,0)),0)</f>
        <v>1</v>
      </c>
      <c r="X44" s="72" t="s">
        <v>204</v>
      </c>
    </row>
    <row r="45" spans="2:24" x14ac:dyDescent="0.25">
      <c r="B45" s="75">
        <v>65507142173</v>
      </c>
      <c r="C45" s="73">
        <f>IFERROR((VLOOKUP(B45,FONT!$W$5:$X$1091,2,0)),0)</f>
        <v>739470.93246499996</v>
      </c>
      <c r="D45" s="75" t="s">
        <v>329</v>
      </c>
      <c r="E45" s="72" t="s">
        <v>329</v>
      </c>
      <c r="F45" s="72" t="s">
        <v>329</v>
      </c>
      <c r="G45" s="72">
        <f>IFERROR((VLOOKUP(B45,PENDIENTES!$L$5:$M$561,2,0)),0)</f>
        <v>0</v>
      </c>
      <c r="H45" s="72" t="s">
        <v>204</v>
      </c>
      <c r="R45" s="75">
        <v>1000003305</v>
      </c>
      <c r="S45" s="73">
        <f>IFERROR((VLOOKUP(R45,FONT!$W$5:$X$1091,2,0)),0)</f>
        <v>10526385.828136001</v>
      </c>
      <c r="T45" s="75" t="s">
        <v>525</v>
      </c>
      <c r="U45" s="72" t="s">
        <v>538</v>
      </c>
      <c r="V45" s="72" t="s">
        <v>538</v>
      </c>
      <c r="W45" s="72">
        <f>IFERROR((VLOOKUP(R45,PENDIENTES!$L$5:$M$561,2,0)),0)</f>
        <v>0</v>
      </c>
      <c r="X45" s="72" t="s">
        <v>204</v>
      </c>
    </row>
    <row r="46" spans="2:24" x14ac:dyDescent="0.25">
      <c r="B46" s="75">
        <v>65507052215</v>
      </c>
      <c r="C46" s="73">
        <f>IFERROR((VLOOKUP(B46,FONT!$W$5:$X$1091,2,0)),0)</f>
        <v>7911653.4124480002</v>
      </c>
      <c r="D46" s="75" t="s">
        <v>330</v>
      </c>
      <c r="E46" s="72" t="s">
        <v>331</v>
      </c>
      <c r="F46" s="72" t="s">
        <v>331</v>
      </c>
      <c r="G46" s="72">
        <f>IFERROR((VLOOKUP(B46,PENDIENTES!$L$5:$M$561,2,0)),0)</f>
        <v>0</v>
      </c>
      <c r="H46" s="72" t="s">
        <v>204</v>
      </c>
      <c r="R46" s="75">
        <v>1000003307</v>
      </c>
      <c r="S46" s="73">
        <f>IFERROR((VLOOKUP(R46,FONT!$W$5:$X$1091,2,0)),0)</f>
        <v>7177.3792359999998</v>
      </c>
      <c r="T46" s="75" t="s">
        <v>547</v>
      </c>
      <c r="U46" s="72" t="s">
        <v>548</v>
      </c>
      <c r="V46" s="72" t="s">
        <v>548</v>
      </c>
      <c r="W46" s="72">
        <f>IFERROR((VLOOKUP(R46,PENDIENTES!$L$5:$M$561,2,0)),0)</f>
        <v>0</v>
      </c>
      <c r="X46" s="72" t="s">
        <v>204</v>
      </c>
    </row>
    <row r="47" spans="2:24" x14ac:dyDescent="0.25">
      <c r="B47" s="75">
        <v>65507052277</v>
      </c>
      <c r="C47" s="73">
        <f>IFERROR((VLOOKUP(B47,FONT!$W$5:$X$1091,2,0)),0)</f>
        <v>5074705.3529690001</v>
      </c>
      <c r="D47" s="75" t="s">
        <v>332</v>
      </c>
      <c r="E47" s="72" t="s">
        <v>331</v>
      </c>
      <c r="F47" s="72" t="s">
        <v>331</v>
      </c>
      <c r="G47" s="72">
        <f>IFERROR((VLOOKUP(B47,PENDIENTES!$L$5:$M$561,2,0)),0)</f>
        <v>0</v>
      </c>
      <c r="H47" s="72" t="s">
        <v>204</v>
      </c>
      <c r="R47" s="75">
        <v>1000003968</v>
      </c>
      <c r="S47" s="73">
        <f>IFERROR((VLOOKUP(R47,FONT!$W$5:$X$1091,2,0)),0)</f>
        <v>0</v>
      </c>
      <c r="T47" s="75" t="s">
        <v>549</v>
      </c>
      <c r="U47" s="72" t="s">
        <v>550</v>
      </c>
      <c r="V47" s="72" t="s">
        <v>550</v>
      </c>
      <c r="W47" s="72">
        <f>IFERROR((VLOOKUP(R47,PENDIENTES!$L$5:$M$561,2,0)),0)</f>
        <v>0</v>
      </c>
      <c r="X47" s="72" t="s">
        <v>204</v>
      </c>
    </row>
    <row r="48" spans="2:24" x14ac:dyDescent="0.25">
      <c r="B48" s="75">
        <v>65507052294</v>
      </c>
      <c r="C48" s="73">
        <f>IFERROR((VLOOKUP(B48,FONT!$W$5:$X$1091,2,0)),0)</f>
        <v>7726026.700096</v>
      </c>
      <c r="D48" s="75" t="s">
        <v>333</v>
      </c>
      <c r="E48" s="72" t="s">
        <v>331</v>
      </c>
      <c r="F48" s="72" t="s">
        <v>331</v>
      </c>
      <c r="G48" s="72">
        <f>IFERROR((VLOOKUP(B48,PENDIENTES!$L$5:$M$561,2,0)),0)</f>
        <v>0</v>
      </c>
      <c r="H48" s="72" t="s">
        <v>204</v>
      </c>
      <c r="R48" s="75">
        <v>1000003306</v>
      </c>
      <c r="S48" s="73">
        <f>IFERROR((VLOOKUP(R48,FONT!$W$5:$X$1091,2,0)),0)</f>
        <v>0</v>
      </c>
      <c r="T48" s="75" t="s">
        <v>620</v>
      </c>
      <c r="U48" s="72" t="s">
        <v>621</v>
      </c>
      <c r="V48" s="72" t="s">
        <v>621</v>
      </c>
      <c r="W48" s="72">
        <f>IFERROR((VLOOKUP(R48,PENDIENTES!$L$5:$M$561,2,0)),0)</f>
        <v>0</v>
      </c>
      <c r="X48" s="72" t="s">
        <v>204</v>
      </c>
    </row>
    <row r="49" spans="2:8" x14ac:dyDescent="0.25">
      <c r="B49" s="75">
        <v>1037923</v>
      </c>
      <c r="C49" s="73">
        <f>IFERROR((VLOOKUP(B49,FONT!$W$5:$X$1091,2,0)),0)</f>
        <v>1499134.751252</v>
      </c>
      <c r="D49" s="75" t="s">
        <v>320</v>
      </c>
      <c r="E49" s="72" t="s">
        <v>320</v>
      </c>
      <c r="F49" s="72" t="s">
        <v>320</v>
      </c>
      <c r="G49" s="72">
        <f>IFERROR((VLOOKUP(B49,PENDIENTES!$L$5:$M$561,2,0)),0)</f>
        <v>0</v>
      </c>
      <c r="H49" s="72" t="s">
        <v>204</v>
      </c>
    </row>
    <row r="50" spans="2:8" x14ac:dyDescent="0.25">
      <c r="B50" s="75">
        <v>1037924</v>
      </c>
      <c r="C50" s="73">
        <f>IFERROR((VLOOKUP(B50,FONT!$W$5:$X$1091,2,0)),0)</f>
        <v>0</v>
      </c>
      <c r="D50" s="75" t="s">
        <v>322</v>
      </c>
      <c r="E50" s="72" t="s">
        <v>322</v>
      </c>
      <c r="F50" s="72" t="s">
        <v>322</v>
      </c>
      <c r="G50" s="72">
        <f>IFERROR((VLOOKUP(B50,PENDIENTES!$L$5:$M$561,2,0)),0)</f>
        <v>0</v>
      </c>
      <c r="H50" s="72" t="s">
        <v>204</v>
      </c>
    </row>
    <row r="51" spans="2:8" x14ac:dyDescent="0.25">
      <c r="B51" s="75">
        <v>1037925</v>
      </c>
      <c r="C51" s="73">
        <f>IFERROR((VLOOKUP(B51,FONT!$W$5:$X$1091,2,0)),0)</f>
        <v>1531784.5237159999</v>
      </c>
      <c r="D51" s="75" t="s">
        <v>321</v>
      </c>
      <c r="E51" s="72" t="s">
        <v>321</v>
      </c>
      <c r="F51" s="72" t="s">
        <v>321</v>
      </c>
      <c r="G51" s="72">
        <f>IFERROR((VLOOKUP(B51,PENDIENTES!$L$5:$M$561,2,0)),0)</f>
        <v>0</v>
      </c>
      <c r="H51" s="72" t="s">
        <v>204</v>
      </c>
    </row>
    <row r="52" spans="2:8" x14ac:dyDescent="0.25">
      <c r="B52" s="75">
        <v>65509560409</v>
      </c>
      <c r="C52" s="73">
        <f>IFERROR((VLOOKUP(B52,FONT!$W$5:$X$1091,2,0)),0)</f>
        <v>57344512.107092001</v>
      </c>
      <c r="D52" s="75" t="s">
        <v>353</v>
      </c>
      <c r="E52" s="72" t="s">
        <v>349</v>
      </c>
      <c r="F52" s="72" t="s">
        <v>349</v>
      </c>
      <c r="G52" s="72">
        <f>IFERROR((VLOOKUP(B52,PENDIENTES!$L$5:$M$561,2,0)),0)</f>
        <v>0</v>
      </c>
      <c r="H52" s="72" t="s">
        <v>204</v>
      </c>
    </row>
    <row r="53" spans="2:8" x14ac:dyDescent="0.25">
      <c r="B53" s="75">
        <v>65509560426</v>
      </c>
      <c r="C53" s="73">
        <f>IFERROR((VLOOKUP(B53,FONT!$W$5:$X$1091,2,0)),0)</f>
        <v>217913.11411600001</v>
      </c>
      <c r="D53" s="75" t="s">
        <v>354</v>
      </c>
      <c r="E53" s="72" t="s">
        <v>350</v>
      </c>
      <c r="F53" s="72" t="s">
        <v>350</v>
      </c>
      <c r="G53" s="72">
        <f>IFERROR((VLOOKUP(B53,PENDIENTES!$L$5:$M$561,2,0)),0)</f>
        <v>0</v>
      </c>
      <c r="H53" s="72" t="s">
        <v>204</v>
      </c>
    </row>
    <row r="54" spans="2:8" x14ac:dyDescent="0.25">
      <c r="B54" s="75">
        <v>65509560457</v>
      </c>
      <c r="C54" s="73">
        <f>IFERROR((VLOOKUP(B54,FONT!$W$5:$X$1091,2,0)),0)</f>
        <v>1277403.6654079999</v>
      </c>
      <c r="D54" s="75" t="s">
        <v>355</v>
      </c>
      <c r="E54" s="72" t="s">
        <v>351</v>
      </c>
      <c r="F54" s="72" t="s">
        <v>351</v>
      </c>
      <c r="G54" s="72">
        <f>IFERROR((VLOOKUP(B54,PENDIENTES!$L$5:$M$561,2,0)),0)</f>
        <v>0</v>
      </c>
      <c r="H54" s="72" t="s">
        <v>204</v>
      </c>
    </row>
    <row r="55" spans="2:8" x14ac:dyDescent="0.25">
      <c r="B55" s="75">
        <v>65509560443</v>
      </c>
      <c r="C55" s="73">
        <f>IFERROR((VLOOKUP(B55,FONT!$W$5:$X$1091,2,0)),0)</f>
        <v>594835.91909600003</v>
      </c>
      <c r="D55" s="75" t="s">
        <v>356</v>
      </c>
      <c r="E55" s="72" t="s">
        <v>352</v>
      </c>
      <c r="F55" s="72" t="s">
        <v>352</v>
      </c>
      <c r="G55" s="72">
        <f>IFERROR((VLOOKUP(B55,PENDIENTES!$L$5:$M$561,2,0)),0)</f>
        <v>0</v>
      </c>
      <c r="H55" s="72" t="s">
        <v>204</v>
      </c>
    </row>
    <row r="56" spans="2:8" x14ac:dyDescent="0.25">
      <c r="B56" s="75">
        <v>1036723</v>
      </c>
      <c r="C56" s="73">
        <f>IFERROR((VLOOKUP(B56,FONT!$W$5:$X$1091,2,0)),0)</f>
        <v>4302568.8086080002</v>
      </c>
      <c r="D56" s="75" t="s">
        <v>312</v>
      </c>
      <c r="E56" s="72" t="s">
        <v>314</v>
      </c>
      <c r="F56" s="72" t="s">
        <v>314</v>
      </c>
      <c r="G56" s="72">
        <f>IFERROR((VLOOKUP(B56,PENDIENTES!$L$5:$M$561,2,0)),0)</f>
        <v>0</v>
      </c>
      <c r="H56" s="72" t="s">
        <v>204</v>
      </c>
    </row>
    <row r="57" spans="2:8" x14ac:dyDescent="0.25">
      <c r="C57" s="73">
        <f>IFERROR((VLOOKUP(B57,FONT!$W$5:$X$1091,2,0)),0)</f>
        <v>0</v>
      </c>
      <c r="G57" s="72">
        <f>IFERROR((VLOOKUP(B57,PENDIENTES!$L$5:$M$561,2,0)),0)</f>
        <v>0</v>
      </c>
    </row>
    <row r="58" spans="2:8" x14ac:dyDescent="0.25">
      <c r="C58" s="73">
        <f>IFERROR((VLOOKUP(B58,FONT!$W$5:$X$1091,2,0)),0)</f>
        <v>0</v>
      </c>
      <c r="G58" s="72">
        <f>IFERROR((VLOOKUP(B58,PENDIENTES!$L$5:$M$561,2,0)),0)</f>
        <v>0</v>
      </c>
    </row>
    <row r="59" spans="2:8" x14ac:dyDescent="0.25">
      <c r="C59" s="73">
        <f>IFERROR((VLOOKUP(B59,FONT!$W$5:$X$1091,2,0)),0)</f>
        <v>0</v>
      </c>
      <c r="G59" s="72">
        <f>IFERROR((VLOOKUP(B59,PENDIENTES!$L$5:$M$561,2,0)),0)</f>
        <v>0</v>
      </c>
    </row>
    <row r="60" spans="2:8" x14ac:dyDescent="0.25">
      <c r="C60" s="73">
        <f>IFERROR((VLOOKUP(B60,FONT!$W$5:$X$1091,2,0)),0)</f>
        <v>0</v>
      </c>
      <c r="G60" s="72">
        <f>IFERROR((VLOOKUP(B60,PENDIENTES!$L$5:$M$561,2,0)),0)</f>
        <v>0</v>
      </c>
    </row>
    <row r="61" spans="2:8" x14ac:dyDescent="0.25">
      <c r="C61" s="73">
        <f>IFERROR((VLOOKUP(B61,FONT!$W$5:$X$1091,2,0)),0)</f>
        <v>0</v>
      </c>
      <c r="G61" s="72">
        <f>IFERROR((VLOOKUP(B61,PENDIENTES!$L$5:$M$561,2,0)),0)</f>
        <v>0</v>
      </c>
    </row>
    <row r="62" spans="2:8" x14ac:dyDescent="0.25">
      <c r="C62" s="73">
        <f>IFERROR((VLOOKUP(B62,FONT!$W$5:$X$1091,2,0)),0)</f>
        <v>0</v>
      </c>
      <c r="G62" s="72">
        <f>IFERROR((VLOOKUP(B62,PENDIENTES!$L$5:$M$561,2,0)),0)</f>
        <v>0</v>
      </c>
    </row>
    <row r="63" spans="2:8" x14ac:dyDescent="0.25">
      <c r="C63" s="73">
        <f>IFERROR((VLOOKUP(B63,FONT!$W$5:$X$1091,2,0)),0)</f>
        <v>0</v>
      </c>
      <c r="G63" s="72">
        <f>IFERROR((VLOOKUP(B63,PENDIENTES!$L$5:$M$561,2,0)),0)</f>
        <v>0</v>
      </c>
    </row>
    <row r="64" spans="2:8" x14ac:dyDescent="0.25">
      <c r="C64" s="73">
        <f>IFERROR((VLOOKUP(B64,FONT!$W$5:$X$1091,2,0)),0)</f>
        <v>0</v>
      </c>
      <c r="G64" s="72">
        <f>IFERROR((VLOOKUP(B64,PENDIENTES!$L$5:$M$561,2,0)),0)</f>
        <v>0</v>
      </c>
    </row>
    <row r="65" spans="3:7" x14ac:dyDescent="0.25">
      <c r="C65" s="73">
        <f>IFERROR((VLOOKUP(B65,FONT!$W$5:$X$1091,2,0)),0)</f>
        <v>0</v>
      </c>
      <c r="G65" s="72">
        <f>IFERROR((VLOOKUP(B65,PENDIENTES!$L$5:$M$561,2,0)),0)</f>
        <v>0</v>
      </c>
    </row>
    <row r="66" spans="3:7" x14ac:dyDescent="0.25">
      <c r="C66" s="73">
        <f>IFERROR((VLOOKUP(B66,FONT!$W$5:$X$1091,2,0)),0)</f>
        <v>0</v>
      </c>
      <c r="G66" s="72">
        <f>IFERROR((VLOOKUP(B66,PENDIENTES!$L$5:$M$561,2,0)),0)</f>
        <v>0</v>
      </c>
    </row>
    <row r="67" spans="3:7" x14ac:dyDescent="0.25">
      <c r="C67" s="73">
        <f>IFERROR((VLOOKUP(B67,FONT!$W$5:$X$1091,2,0)),0)</f>
        <v>0</v>
      </c>
      <c r="G67" s="72">
        <f>IFERROR((VLOOKUP(B67,PENDIENTES!$L$5:$M$561,2,0)),0)</f>
        <v>0</v>
      </c>
    </row>
    <row r="68" spans="3:7" x14ac:dyDescent="0.25">
      <c r="C68" s="73">
        <f>IFERROR((VLOOKUP(B68,FONT!$W$5:$X$1091,2,0)),0)</f>
        <v>0</v>
      </c>
      <c r="G68" s="72">
        <f>IFERROR((VLOOKUP(B68,PENDIENTES!$L$5:$M$561,2,0)),0)</f>
        <v>0</v>
      </c>
    </row>
    <row r="69" spans="3:7" x14ac:dyDescent="0.25">
      <c r="C69" s="73">
        <f>IFERROR((VLOOKUP(B69,FONT!$W$5:$X$1091,2,0)),0)</f>
        <v>0</v>
      </c>
      <c r="G69" s="72">
        <f>IFERROR((VLOOKUP(B69,PENDIENTES!$L$5:$M$561,2,0)),0)</f>
        <v>0</v>
      </c>
    </row>
    <row r="70" spans="3:7" x14ac:dyDescent="0.25">
      <c r="C70" s="73">
        <f>IFERROR((VLOOKUP(B70,FONT!$W$5:$X$1091,2,0)),0)</f>
        <v>0</v>
      </c>
      <c r="G70" s="72">
        <f>IFERROR((VLOOKUP(B70,PENDIENTES!$L$5:$M$561,2,0)),0)</f>
        <v>0</v>
      </c>
    </row>
    <row r="71" spans="3:7" x14ac:dyDescent="0.25">
      <c r="C71" s="73">
        <f>IFERROR((VLOOKUP(B71,FONT!$W$5:$X$1091,2,0)),0)</f>
        <v>0</v>
      </c>
      <c r="G71" s="72">
        <f>IFERROR((VLOOKUP(B71,PENDIENTES!$L$5:$M$561,2,0)),0)</f>
        <v>0</v>
      </c>
    </row>
    <row r="72" spans="3:7" x14ac:dyDescent="0.25">
      <c r="C72" s="73">
        <f>IFERROR((VLOOKUP(B72,FONT!$W$5:$X$1091,2,0)),0)</f>
        <v>0</v>
      </c>
      <c r="G72" s="72">
        <f>IFERROR((VLOOKUP(B72,PENDIENTES!$L$5:$M$561,2,0)),0)</f>
        <v>0</v>
      </c>
    </row>
    <row r="73" spans="3:7" x14ac:dyDescent="0.25">
      <c r="C73" s="73">
        <f>IFERROR((VLOOKUP(B73,FONT!$W$5:$X$1091,2,0)),0)</f>
        <v>0</v>
      </c>
      <c r="G73" s="72">
        <f>IFERROR((VLOOKUP(B73,PENDIENTES!$L$5:$M$561,2,0)),0)</f>
        <v>0</v>
      </c>
    </row>
    <row r="74" spans="3:7" x14ac:dyDescent="0.25">
      <c r="C74" s="73">
        <f>IFERROR((VLOOKUP(B74,FONT!$W$5:$X$1091,2,0)),0)</f>
        <v>0</v>
      </c>
      <c r="G74" s="72">
        <f>IFERROR((VLOOKUP(B74,PENDIENTES!$L$5:$M$561,2,0)),0)</f>
        <v>0</v>
      </c>
    </row>
    <row r="75" spans="3:7" x14ac:dyDescent="0.25">
      <c r="C75" s="73">
        <f>IFERROR((VLOOKUP(B75,FONT!$W$5:$X$1091,2,0)),0)</f>
        <v>0</v>
      </c>
      <c r="G75" s="72">
        <f>IFERROR((VLOOKUP(B75,PENDIENTES!$L$5:$M$561,2,0)),0)</f>
        <v>0</v>
      </c>
    </row>
    <row r="76" spans="3:7" x14ac:dyDescent="0.25">
      <c r="C76" s="73">
        <f>IFERROR((VLOOKUP(B76,FONT!$W$5:$X$1091,2,0)),0)</f>
        <v>0</v>
      </c>
      <c r="G76" s="72">
        <f>IFERROR((VLOOKUP(B76,PENDIENTES!$L$5:$M$561,2,0)),0)</f>
        <v>0</v>
      </c>
    </row>
    <row r="77" spans="3:7" x14ac:dyDescent="0.25">
      <c r="C77" s="73">
        <f>IFERROR((VLOOKUP(B77,FONT!$W$5:$X$1091,2,0)),0)</f>
        <v>0</v>
      </c>
      <c r="G77" s="72">
        <f>IFERROR((VLOOKUP(B77,PENDIENTES!$L$5:$M$561,2,0)),0)</f>
        <v>0</v>
      </c>
    </row>
    <row r="78" spans="3:7" x14ac:dyDescent="0.25">
      <c r="C78" s="73">
        <f>IFERROR((VLOOKUP(B78,FONT!$W$5:$X$1091,2,0)),0)</f>
        <v>0</v>
      </c>
      <c r="G78" s="72">
        <f>IFERROR((VLOOKUP(B78,PENDIENTES!$L$5:$M$561,2,0)),0)</f>
        <v>0</v>
      </c>
    </row>
    <row r="79" spans="3:7" x14ac:dyDescent="0.25">
      <c r="C79" s="73">
        <f>IFERROR((VLOOKUP(B79,FONT!$W$5:$X$1091,2,0)),0)</f>
        <v>0</v>
      </c>
      <c r="G79" s="72">
        <f>IFERROR((VLOOKUP(B79,PENDIENTES!$L$5:$M$561,2,0)),0)</f>
        <v>0</v>
      </c>
    </row>
    <row r="80" spans="3:7" ht="13.7" customHeight="1" x14ac:dyDescent="0.25">
      <c r="C80" s="73">
        <f>IFERROR((VLOOKUP(B80,FONT!$W$5:$X$1091,2,0)),0)</f>
        <v>0</v>
      </c>
      <c r="G80" s="72">
        <f>IFERROR((VLOOKUP(B80,PENDIENTES!$L$5:$M$561,2,0)),0)</f>
        <v>0</v>
      </c>
    </row>
    <row r="81" spans="3:24" ht="13.7" customHeight="1" x14ac:dyDescent="0.25">
      <c r="C81" s="73">
        <f>IFERROR((VLOOKUP(B81,FONT!$W$5:$X$1091,2,0)),0)</f>
        <v>0</v>
      </c>
      <c r="G81" s="72">
        <f>IFERROR((VLOOKUP(B81,PENDIENTES!$L$5:$M$561,2,0)),0)</f>
        <v>0</v>
      </c>
    </row>
    <row r="82" spans="3:24" x14ac:dyDescent="0.25">
      <c r="C82" s="73">
        <f>IFERROR((VLOOKUP(B82,FONT!$W$5:$X$1091,2,0)),0)</f>
        <v>0</v>
      </c>
      <c r="G82" s="72">
        <f>IFERROR((VLOOKUP(B82,PENDIENTES!$L$5:$M$561,2,0)),0)</f>
        <v>0</v>
      </c>
    </row>
    <row r="83" spans="3:24" x14ac:dyDescent="0.25">
      <c r="C83" s="73">
        <f>IFERROR((VLOOKUP(B83,FONT!$W$5:$X$1091,2,0)),0)</f>
        <v>0</v>
      </c>
      <c r="G83" s="72">
        <f>IFERROR((VLOOKUP(B83,PENDIENTES!$L$5:$M$561,2,0)),0)</f>
        <v>0</v>
      </c>
      <c r="I83" s="123"/>
      <c r="J83" s="124"/>
      <c r="K83" s="125"/>
      <c r="L83" s="124"/>
      <c r="M83" s="123"/>
      <c r="N83" s="123"/>
      <c r="O83" s="123"/>
      <c r="P83" s="123"/>
      <c r="R83" s="124"/>
      <c r="S83" s="125"/>
      <c r="T83" s="124"/>
      <c r="U83" s="123"/>
      <c r="V83" s="123"/>
      <c r="W83" s="123"/>
      <c r="X83" s="123"/>
    </row>
  </sheetData>
  <mergeCells count="3">
    <mergeCell ref="B5:H5"/>
    <mergeCell ref="J5:P5"/>
    <mergeCell ref="R5:X5"/>
  </mergeCells>
  <conditionalFormatting sqref="R22:R24">
    <cfRule type="duplicateValues" dxfId="5" priority="14"/>
  </conditionalFormatting>
  <conditionalFormatting sqref="R47:R48">
    <cfRule type="duplicateValues" dxfId="4" priority="8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2:V84"/>
  <sheetViews>
    <sheetView zoomScale="70" zoomScaleNormal="70" workbookViewId="0">
      <selection activeCell="A3" sqref="A3"/>
    </sheetView>
  </sheetViews>
  <sheetFormatPr baseColWidth="10" defaultRowHeight="15" x14ac:dyDescent="0.25"/>
  <cols>
    <col min="1" max="1" width="14.85546875" bestFit="1" customWidth="1"/>
    <col min="2" max="2" width="16.140625" bestFit="1" customWidth="1"/>
    <col min="3" max="3" width="25" customWidth="1"/>
    <col min="4" max="4" width="43.85546875" customWidth="1"/>
    <col min="5" max="5" width="17.140625" customWidth="1"/>
    <col min="8" max="8" width="12.85546875" bestFit="1" customWidth="1"/>
    <col min="9" max="9" width="12.140625" bestFit="1" customWidth="1"/>
    <col min="10" max="10" width="13.42578125" bestFit="1" customWidth="1"/>
    <col min="11" max="11" width="12.5703125" bestFit="1" customWidth="1"/>
    <col min="12" max="12" width="12.85546875" bestFit="1" customWidth="1"/>
    <col min="13" max="13" width="15.140625" customWidth="1"/>
    <col min="15" max="15" width="14.140625" bestFit="1" customWidth="1"/>
    <col min="17" max="17" width="15.140625" customWidth="1"/>
    <col min="18" max="18" width="16.85546875" bestFit="1" customWidth="1"/>
    <col min="19" max="19" width="14.140625" customWidth="1"/>
    <col min="20" max="20" width="31.140625" customWidth="1"/>
    <col min="21" max="21" width="20.5703125" customWidth="1"/>
  </cols>
  <sheetData>
    <row r="2" spans="1:22" x14ac:dyDescent="0.25">
      <c r="A2" s="118" t="s">
        <v>88</v>
      </c>
      <c r="B2" s="118"/>
      <c r="C2" s="118"/>
      <c r="D2" s="118"/>
      <c r="E2" s="118"/>
      <c r="I2" s="118" t="s">
        <v>87</v>
      </c>
      <c r="J2" s="118"/>
      <c r="K2" s="118"/>
      <c r="L2" s="118"/>
      <c r="M2" s="118"/>
      <c r="Q2" s="118" t="s">
        <v>105</v>
      </c>
      <c r="R2" s="118"/>
      <c r="S2" s="118"/>
      <c r="T2" s="118"/>
      <c r="U2" s="118"/>
    </row>
    <row r="3" spans="1:22" x14ac:dyDescent="0.25">
      <c r="A3" s="1" t="s">
        <v>23</v>
      </c>
      <c r="B3" s="7" t="s">
        <v>106</v>
      </c>
      <c r="C3" s="1" t="s">
        <v>107</v>
      </c>
      <c r="D3" s="1" t="s">
        <v>108</v>
      </c>
      <c r="E3" s="1" t="s">
        <v>109</v>
      </c>
      <c r="F3" s="8" t="s">
        <v>145</v>
      </c>
      <c r="I3" s="1" t="s">
        <v>23</v>
      </c>
      <c r="J3" s="7" t="s">
        <v>106</v>
      </c>
      <c r="K3" s="1" t="s">
        <v>107</v>
      </c>
      <c r="L3" s="1" t="s">
        <v>108</v>
      </c>
      <c r="M3" s="1" t="s">
        <v>109</v>
      </c>
      <c r="N3" s="8" t="s">
        <v>145</v>
      </c>
      <c r="Q3" s="1" t="s">
        <v>23</v>
      </c>
      <c r="R3" s="7" t="s">
        <v>106</v>
      </c>
      <c r="S3" s="1" t="s">
        <v>107</v>
      </c>
      <c r="T3" s="1" t="s">
        <v>108</v>
      </c>
      <c r="U3" s="1" t="s">
        <v>109</v>
      </c>
      <c r="V3" s="8" t="s">
        <v>145</v>
      </c>
    </row>
    <row r="4" spans="1:22" x14ac:dyDescent="0.25">
      <c r="A4">
        <v>156622</v>
      </c>
      <c r="B4">
        <v>203705476.38309199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42426821.603606999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22901377.689304002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981466.69845200004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1600297.8591159999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 s="4">
        <v>29175276.964768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13674935.246929999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>
        <v>30554888.754117001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52831071.346625999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257628.98404800001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93135769.234126002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32195624.158808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36862014.311584003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570670743.00125206</v>
      </c>
      <c r="C10">
        <v>2000905</v>
      </c>
      <c r="D10" t="s">
        <v>45</v>
      </c>
      <c r="E10" t="s">
        <v>45</v>
      </c>
      <c r="F10">
        <v>0</v>
      </c>
      <c r="J10" s="14"/>
      <c r="Q10">
        <v>1031341</v>
      </c>
      <c r="R10">
        <v>26358687.108624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>
        <v>2000574</v>
      </c>
      <c r="B11">
        <v>6247804.5492439996</v>
      </c>
      <c r="C11" t="s">
        <v>172</v>
      </c>
      <c r="D11" t="s">
        <v>255</v>
      </c>
      <c r="E11" t="s">
        <v>172</v>
      </c>
      <c r="F11">
        <v>0</v>
      </c>
      <c r="J11" s="14"/>
      <c r="Q11">
        <v>65501902345</v>
      </c>
      <c r="R11">
        <v>29211516.135896001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27603079.142901</v>
      </c>
      <c r="C12" t="s">
        <v>172</v>
      </c>
      <c r="D12" t="s">
        <v>255</v>
      </c>
      <c r="E12" t="s">
        <v>172</v>
      </c>
      <c r="F12">
        <v>0</v>
      </c>
      <c r="J12" s="14"/>
      <c r="Q12">
        <v>1037087</v>
      </c>
      <c r="R12">
        <v>18359.321096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>
        <v>2000576</v>
      </c>
      <c r="B13">
        <v>7847433.3837179998</v>
      </c>
      <c r="C13" t="s">
        <v>172</v>
      </c>
      <c r="D13" t="s">
        <v>255</v>
      </c>
      <c r="E13" t="s">
        <v>172</v>
      </c>
      <c r="F13">
        <v>0</v>
      </c>
      <c r="J13" s="14"/>
      <c r="Q13">
        <v>65502397418</v>
      </c>
      <c r="R13">
        <v>21732632.524448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61534022.634461001</v>
      </c>
      <c r="C14" t="s">
        <v>172</v>
      </c>
      <c r="D14" t="s">
        <v>255</v>
      </c>
      <c r="E14" t="s">
        <v>172</v>
      </c>
      <c r="F14">
        <v>0</v>
      </c>
      <c r="J14" s="14"/>
      <c r="Q14">
        <v>65501285111</v>
      </c>
      <c r="R14">
        <v>32732470.33326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14666173.122264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 s="16">
        <v>2000534</v>
      </c>
      <c r="B16" s="16">
        <v>437.32162499999998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11634623.918634001</v>
      </c>
      <c r="S16">
        <v>1033795</v>
      </c>
      <c r="T16" t="s">
        <v>510</v>
      </c>
      <c r="U16" t="s">
        <v>510</v>
      </c>
      <c r="V16">
        <v>0</v>
      </c>
    </row>
    <row r="17" spans="1:22" x14ac:dyDescent="0.25">
      <c r="A17">
        <v>65507430562</v>
      </c>
      <c r="B17">
        <v>219370869.39074799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1529145.231872</v>
      </c>
      <c r="S17" t="s">
        <v>619</v>
      </c>
      <c r="T17" t="s">
        <v>614</v>
      </c>
      <c r="U17" t="s">
        <v>614</v>
      </c>
      <c r="V17">
        <v>0</v>
      </c>
    </row>
    <row r="18" spans="1:22" x14ac:dyDescent="0.25">
      <c r="A18">
        <v>2000597</v>
      </c>
      <c r="B18">
        <v>23370.467639999999</v>
      </c>
      <c r="C18" t="s">
        <v>306</v>
      </c>
      <c r="F18">
        <v>0</v>
      </c>
      <c r="Q18">
        <v>65508886089</v>
      </c>
      <c r="R18">
        <v>96488725.812631994</v>
      </c>
      <c r="S18" t="s">
        <v>512</v>
      </c>
      <c r="T18" t="s">
        <v>511</v>
      </c>
      <c r="U18" t="s">
        <v>511</v>
      </c>
      <c r="V18">
        <v>0</v>
      </c>
    </row>
    <row r="19" spans="1:22" x14ac:dyDescent="0.25">
      <c r="A19">
        <v>2000730</v>
      </c>
      <c r="B19">
        <v>4910789.4843149995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2752363.5903360001</v>
      </c>
      <c r="S19">
        <v>1528</v>
      </c>
      <c r="T19" t="s">
        <v>529</v>
      </c>
      <c r="U19" t="s">
        <v>529</v>
      </c>
      <c r="V19">
        <v>0</v>
      </c>
    </row>
    <row r="20" spans="1:22" x14ac:dyDescent="0.25">
      <c r="A20">
        <v>2000927</v>
      </c>
      <c r="B20">
        <v>43142832.562044002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29963625.547031999</v>
      </c>
      <c r="S20" t="s">
        <v>519</v>
      </c>
      <c r="T20" t="s">
        <v>531</v>
      </c>
      <c r="U20" t="s">
        <v>531</v>
      </c>
      <c r="V20">
        <v>0</v>
      </c>
    </row>
    <row r="21" spans="1:22" x14ac:dyDescent="0.25">
      <c r="A21">
        <v>2000928</v>
      </c>
      <c r="B21">
        <v>37093456.768576004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10765009.061136</v>
      </c>
      <c r="S21" t="s">
        <v>522</v>
      </c>
      <c r="T21" t="s">
        <v>535</v>
      </c>
      <c r="U21" t="s">
        <v>535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21470183.983491998</v>
      </c>
      <c r="S22" t="s">
        <v>523</v>
      </c>
      <c r="T22" t="s">
        <v>536</v>
      </c>
      <c r="U22" t="s">
        <v>536</v>
      </c>
      <c r="V22">
        <v>0</v>
      </c>
    </row>
    <row r="23" spans="1:22" x14ac:dyDescent="0.25">
      <c r="A23">
        <v>1033811</v>
      </c>
      <c r="B23" s="4">
        <v>3248841.5216000001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10526385.828136001</v>
      </c>
      <c r="S23" t="s">
        <v>525</v>
      </c>
      <c r="T23" t="s">
        <v>538</v>
      </c>
      <c r="U23" t="s">
        <v>538</v>
      </c>
      <c r="V23">
        <v>0</v>
      </c>
    </row>
    <row r="24" spans="1:22" x14ac:dyDescent="0.25">
      <c r="A24">
        <v>65502425394</v>
      </c>
      <c r="B24">
        <v>104963120.889327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7177.3792359999998</v>
      </c>
      <c r="S24" t="s">
        <v>547</v>
      </c>
      <c r="T24" t="s">
        <v>548</v>
      </c>
      <c r="U24" t="s">
        <v>548</v>
      </c>
      <c r="V24">
        <v>0</v>
      </c>
    </row>
    <row r="25" spans="1:22" x14ac:dyDescent="0.25">
      <c r="A25">
        <v>1002455</v>
      </c>
      <c r="B25">
        <v>8938949.8599999994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549</v>
      </c>
      <c r="T25" t="s">
        <v>550</v>
      </c>
      <c r="U25" t="s">
        <v>550</v>
      </c>
      <c r="V25">
        <v>0</v>
      </c>
    </row>
    <row r="26" spans="1:22" x14ac:dyDescent="0.25">
      <c r="A26">
        <v>152965</v>
      </c>
      <c r="B26">
        <v>21394557.376568999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620</v>
      </c>
      <c r="T26" t="s">
        <v>621</v>
      </c>
      <c r="U26" t="s">
        <v>621</v>
      </c>
      <c r="V26">
        <v>0</v>
      </c>
    </row>
    <row r="27" spans="1:22" ht="18.75" x14ac:dyDescent="0.3">
      <c r="A27">
        <v>1005849</v>
      </c>
      <c r="B27">
        <v>26196890.727880001</v>
      </c>
      <c r="C27">
        <v>114</v>
      </c>
      <c r="D27" t="s">
        <v>218</v>
      </c>
      <c r="E27" t="s">
        <v>219</v>
      </c>
      <c r="F27">
        <v>0</v>
      </c>
      <c r="H27" s="15"/>
      <c r="Q27">
        <v>2000469</v>
      </c>
      <c r="R27">
        <v>0</v>
      </c>
      <c r="S27" t="s">
        <v>90</v>
      </c>
      <c r="T27" t="s">
        <v>266</v>
      </c>
      <c r="U27" t="s">
        <v>265</v>
      </c>
      <c r="V27">
        <v>1</v>
      </c>
    </row>
    <row r="28" spans="1:22" x14ac:dyDescent="0.25">
      <c r="A28">
        <v>142481</v>
      </c>
      <c r="B28" s="20">
        <v>1058388.8999999999</v>
      </c>
      <c r="C28">
        <v>1081</v>
      </c>
      <c r="D28" t="s">
        <v>73</v>
      </c>
      <c r="E28" t="s">
        <v>216</v>
      </c>
      <c r="F28">
        <v>0</v>
      </c>
      <c r="H28" s="14"/>
      <c r="Q28">
        <v>2001050</v>
      </c>
      <c r="R28">
        <v>3958037.0935169999</v>
      </c>
      <c r="S28" t="s">
        <v>177</v>
      </c>
      <c r="T28" t="s">
        <v>270</v>
      </c>
      <c r="U28" t="s">
        <v>271</v>
      </c>
      <c r="V28">
        <v>1</v>
      </c>
    </row>
    <row r="29" spans="1:22" x14ac:dyDescent="0.25">
      <c r="A29">
        <v>142482</v>
      </c>
      <c r="B29">
        <v>208796.14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16704197.451416001</v>
      </c>
      <c r="S29" t="s">
        <v>303</v>
      </c>
      <c r="T29" t="s">
        <v>309</v>
      </c>
      <c r="U29" t="s">
        <v>309</v>
      </c>
      <c r="V29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14737348.621164</v>
      </c>
      <c r="S30" t="s">
        <v>334</v>
      </c>
      <c r="T30" t="s">
        <v>335</v>
      </c>
      <c r="U30" t="s">
        <v>335</v>
      </c>
      <c r="V30">
        <v>1</v>
      </c>
    </row>
    <row r="31" spans="1:22" x14ac:dyDescent="0.25">
      <c r="A31">
        <v>1018014</v>
      </c>
      <c r="B31" s="4">
        <v>4309.26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55433047.280056</v>
      </c>
      <c r="S31" t="s">
        <v>336</v>
      </c>
      <c r="T31" t="s">
        <v>337</v>
      </c>
      <c r="U31" t="s">
        <v>337</v>
      </c>
      <c r="V31">
        <v>1</v>
      </c>
    </row>
    <row r="32" spans="1:22" x14ac:dyDescent="0.25">
      <c r="A32">
        <v>1018122</v>
      </c>
      <c r="B32">
        <v>59838.68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7989275.5879040007</v>
      </c>
      <c r="S32" t="s">
        <v>338</v>
      </c>
      <c r="T32" t="s">
        <v>339</v>
      </c>
      <c r="U32" t="s">
        <v>339</v>
      </c>
      <c r="V32">
        <v>1</v>
      </c>
    </row>
    <row r="33" spans="1:22" x14ac:dyDescent="0.25">
      <c r="A33">
        <v>1018302</v>
      </c>
      <c r="B33">
        <v>2957355.92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8890963.5312760007</v>
      </c>
      <c r="S33" t="s">
        <v>340</v>
      </c>
      <c r="T33" t="s">
        <v>341</v>
      </c>
      <c r="U33" t="s">
        <v>341</v>
      </c>
      <c r="V33">
        <v>1</v>
      </c>
    </row>
    <row r="34" spans="1:22" x14ac:dyDescent="0.25">
      <c r="A34">
        <v>65502313952</v>
      </c>
      <c r="B34">
        <v>1667338100.6397631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40351701.630644001</v>
      </c>
      <c r="S34" t="s">
        <v>342</v>
      </c>
      <c r="T34" t="s">
        <v>343</v>
      </c>
      <c r="U34" t="s">
        <v>343</v>
      </c>
      <c r="V34">
        <v>1</v>
      </c>
    </row>
    <row r="35" spans="1:22" x14ac:dyDescent="0.25">
      <c r="A35">
        <v>1036724</v>
      </c>
      <c r="B35">
        <v>9398474.0984480008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>
        <v>1</v>
      </c>
    </row>
    <row r="36" spans="1:22" x14ac:dyDescent="0.25">
      <c r="A36">
        <v>65508989338</v>
      </c>
      <c r="B36">
        <v>57461140.273712002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>
        <v>13097239.509880001</v>
      </c>
      <c r="S36" t="s">
        <v>513</v>
      </c>
      <c r="T36" t="s">
        <v>514</v>
      </c>
      <c r="U36" t="s">
        <v>514</v>
      </c>
      <c r="V36">
        <v>1</v>
      </c>
    </row>
    <row r="37" spans="1:22" x14ac:dyDescent="0.25">
      <c r="A37">
        <v>65507143699</v>
      </c>
      <c r="B37">
        <v>469565.06172900001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60779327.953492001</v>
      </c>
      <c r="S37" t="s">
        <v>515</v>
      </c>
      <c r="T37" t="s">
        <v>526</v>
      </c>
      <c r="U37" t="s">
        <v>526</v>
      </c>
      <c r="V37">
        <v>1</v>
      </c>
    </row>
    <row r="38" spans="1:22" x14ac:dyDescent="0.25">
      <c r="A38">
        <v>65507143745</v>
      </c>
      <c r="B38">
        <v>296669.94669900002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8581992.0128080007</v>
      </c>
      <c r="S38" t="s">
        <v>516</v>
      </c>
      <c r="T38" t="s">
        <v>527</v>
      </c>
      <c r="U38" t="s">
        <v>527</v>
      </c>
      <c r="V38">
        <v>1</v>
      </c>
    </row>
    <row r="39" spans="1:22" x14ac:dyDescent="0.25">
      <c r="A39">
        <v>65507142173</v>
      </c>
      <c r="B39">
        <v>739470.93246499996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31340123.241996001</v>
      </c>
      <c r="S39" t="s">
        <v>517</v>
      </c>
      <c r="T39" t="s">
        <v>528</v>
      </c>
      <c r="U39" t="s">
        <v>528</v>
      </c>
      <c r="V39">
        <v>1</v>
      </c>
    </row>
    <row r="40" spans="1:22" x14ac:dyDescent="0.25">
      <c r="A40">
        <v>65507052215</v>
      </c>
      <c r="B40">
        <v>7911653.4124480002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82669240.862708002</v>
      </c>
      <c r="S40" t="s">
        <v>518</v>
      </c>
      <c r="T40" t="s">
        <v>530</v>
      </c>
      <c r="U40" t="s">
        <v>530</v>
      </c>
      <c r="V40">
        <v>1</v>
      </c>
    </row>
    <row r="41" spans="1:22" x14ac:dyDescent="0.25">
      <c r="A41">
        <v>65507052277</v>
      </c>
      <c r="B41">
        <v>5074705.3529690001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>
        <v>10801619.469752001</v>
      </c>
      <c r="S41" t="s">
        <v>520</v>
      </c>
      <c r="T41" t="s">
        <v>532</v>
      </c>
      <c r="U41" t="s">
        <v>532</v>
      </c>
      <c r="V41">
        <v>1</v>
      </c>
    </row>
    <row r="42" spans="1:22" x14ac:dyDescent="0.25">
      <c r="A42">
        <v>65507052294</v>
      </c>
      <c r="B42">
        <v>7726026.700096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26481530.031164002</v>
      </c>
      <c r="S42" t="s">
        <v>521</v>
      </c>
      <c r="T42" t="s">
        <v>533</v>
      </c>
      <c r="U42" t="s">
        <v>533</v>
      </c>
      <c r="V42">
        <v>1</v>
      </c>
    </row>
    <row r="43" spans="1:22" x14ac:dyDescent="0.25">
      <c r="A43">
        <v>1037923</v>
      </c>
      <c r="B43">
        <v>1499134.751252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96704930.350431994</v>
      </c>
      <c r="S43">
        <v>6981</v>
      </c>
      <c r="T43" t="s">
        <v>534</v>
      </c>
      <c r="U43" t="s">
        <v>534</v>
      </c>
      <c r="V43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13975865.53926</v>
      </c>
      <c r="S44" t="s">
        <v>524</v>
      </c>
      <c r="T44" t="s">
        <v>537</v>
      </c>
      <c r="U44" t="s">
        <v>537</v>
      </c>
      <c r="V44">
        <v>1</v>
      </c>
    </row>
    <row r="45" spans="1:22" x14ac:dyDescent="0.25">
      <c r="A45">
        <v>1037925</v>
      </c>
      <c r="B45">
        <v>1531784.5237159999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10750642.521645</v>
      </c>
      <c r="S45" t="s">
        <v>176</v>
      </c>
      <c r="T45" t="s">
        <v>272</v>
      </c>
      <c r="U45" t="s">
        <v>271</v>
      </c>
      <c r="V45">
        <v>6</v>
      </c>
    </row>
    <row r="46" spans="1:22" x14ac:dyDescent="0.25">
      <c r="A46">
        <v>65509560409</v>
      </c>
      <c r="B46">
        <v>57344512.107092001</v>
      </c>
      <c r="C46" t="s">
        <v>353</v>
      </c>
      <c r="D46" t="s">
        <v>349</v>
      </c>
      <c r="E46" t="s">
        <v>349</v>
      </c>
      <c r="F46">
        <v>0</v>
      </c>
      <c r="Q46">
        <v>2001049</v>
      </c>
      <c r="R46">
        <v>7587642.8867290001</v>
      </c>
      <c r="S46" t="s">
        <v>176</v>
      </c>
      <c r="T46" t="s">
        <v>272</v>
      </c>
      <c r="U46" t="s">
        <v>271</v>
      </c>
      <c r="V46">
        <v>15</v>
      </c>
    </row>
    <row r="47" spans="1:22" x14ac:dyDescent="0.25">
      <c r="A47">
        <v>65509560426</v>
      </c>
      <c r="B47">
        <v>217913.11411600001</v>
      </c>
      <c r="C47" t="s">
        <v>354</v>
      </c>
      <c r="D47" t="s">
        <v>350</v>
      </c>
      <c r="E47" t="s">
        <v>350</v>
      </c>
      <c r="F47">
        <v>0</v>
      </c>
      <c r="Q47">
        <v>2001049</v>
      </c>
      <c r="R47">
        <v>7587642.8867290001</v>
      </c>
      <c r="S47" t="s">
        <v>176</v>
      </c>
      <c r="T47" t="s">
        <v>272</v>
      </c>
      <c r="U47" t="s">
        <v>271</v>
      </c>
      <c r="V47">
        <v>15</v>
      </c>
    </row>
    <row r="48" spans="1:22" x14ac:dyDescent="0.25">
      <c r="A48">
        <v>65509560457</v>
      </c>
      <c r="B48">
        <v>1277403.6654079999</v>
      </c>
      <c r="C48" t="s">
        <v>355</v>
      </c>
      <c r="D48" t="s">
        <v>351</v>
      </c>
      <c r="E48" t="s">
        <v>351</v>
      </c>
      <c r="F48">
        <v>0</v>
      </c>
    </row>
    <row r="49" spans="1:18" x14ac:dyDescent="0.25">
      <c r="A49">
        <v>65509560443</v>
      </c>
      <c r="B49">
        <v>594835.91909600003</v>
      </c>
      <c r="C49" t="s">
        <v>356</v>
      </c>
      <c r="D49" t="s">
        <v>352</v>
      </c>
      <c r="E49" t="s">
        <v>352</v>
      </c>
      <c r="F49">
        <v>0</v>
      </c>
    </row>
    <row r="50" spans="1:18" x14ac:dyDescent="0.25">
      <c r="A50">
        <v>1036723</v>
      </c>
      <c r="B50">
        <v>4302568.8086080002</v>
      </c>
      <c r="C50" t="s">
        <v>312</v>
      </c>
      <c r="D50" t="s">
        <v>314</v>
      </c>
      <c r="E50" t="s">
        <v>314</v>
      </c>
      <c r="F50">
        <v>0</v>
      </c>
    </row>
    <row r="51" spans="1:18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18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18" x14ac:dyDescent="0.25">
      <c r="A53">
        <v>1037124</v>
      </c>
      <c r="B53">
        <v>2875696.5890790001</v>
      </c>
      <c r="C53">
        <v>75</v>
      </c>
      <c r="D53" t="s">
        <v>63</v>
      </c>
      <c r="E53" t="s">
        <v>212</v>
      </c>
      <c r="F53">
        <v>1</v>
      </c>
    </row>
    <row r="57" spans="1:18" x14ac:dyDescent="0.25">
      <c r="B57" s="29"/>
      <c r="O57" s="4"/>
      <c r="R57" s="4"/>
    </row>
    <row r="58" spans="1:18" x14ac:dyDescent="0.25">
      <c r="R58" s="4"/>
    </row>
    <row r="64" spans="1:18" ht="19.5" customHeight="1" x14ac:dyDescent="0.25"/>
    <row r="66" spans="2:22" x14ac:dyDescent="0.25">
      <c r="S66">
        <v>2300</v>
      </c>
      <c r="T66" t="s">
        <v>104</v>
      </c>
      <c r="U66" t="s">
        <v>103</v>
      </c>
      <c r="V66">
        <v>0</v>
      </c>
    </row>
    <row r="67" spans="2:22" x14ac:dyDescent="0.25">
      <c r="S67" t="s">
        <v>175</v>
      </c>
      <c r="T67" t="s">
        <v>148</v>
      </c>
      <c r="U67" t="s">
        <v>148</v>
      </c>
      <c r="V67">
        <v>0</v>
      </c>
    </row>
    <row r="68" spans="2:22" x14ac:dyDescent="0.25">
      <c r="S68" t="s">
        <v>176</v>
      </c>
      <c r="T68" t="s">
        <v>272</v>
      </c>
      <c r="U68" t="s">
        <v>271</v>
      </c>
      <c r="V68">
        <v>0</v>
      </c>
    </row>
    <row r="69" spans="2:22" x14ac:dyDescent="0.25">
      <c r="S69" t="s">
        <v>177</v>
      </c>
      <c r="T69" t="s">
        <v>270</v>
      </c>
      <c r="U69" t="s">
        <v>271</v>
      </c>
      <c r="V69">
        <v>0</v>
      </c>
    </row>
    <row r="70" spans="2:22" x14ac:dyDescent="0.25">
      <c r="S70">
        <v>2779</v>
      </c>
      <c r="T70" t="s">
        <v>289</v>
      </c>
      <c r="U70" t="s">
        <v>142</v>
      </c>
      <c r="V70">
        <v>0</v>
      </c>
    </row>
    <row r="71" spans="2:22" x14ac:dyDescent="0.25">
      <c r="S71">
        <v>2779</v>
      </c>
      <c r="T71" t="s">
        <v>289</v>
      </c>
      <c r="U71" t="s">
        <v>142</v>
      </c>
      <c r="V71">
        <v>0</v>
      </c>
    </row>
    <row r="72" spans="2:22" x14ac:dyDescent="0.25">
      <c r="S72">
        <v>2779</v>
      </c>
      <c r="T72" t="s">
        <v>289</v>
      </c>
      <c r="U72" t="s">
        <v>142</v>
      </c>
      <c r="V72">
        <v>0</v>
      </c>
    </row>
    <row r="73" spans="2:22" x14ac:dyDescent="0.25">
      <c r="S73">
        <v>2779</v>
      </c>
      <c r="T73" t="s">
        <v>289</v>
      </c>
      <c r="U73" t="s">
        <v>142</v>
      </c>
      <c r="V73">
        <v>0</v>
      </c>
    </row>
    <row r="74" spans="2:22" x14ac:dyDescent="0.25">
      <c r="S74">
        <v>2779</v>
      </c>
      <c r="T74" t="s">
        <v>289</v>
      </c>
      <c r="U74" t="s">
        <v>142</v>
      </c>
      <c r="V74">
        <v>0</v>
      </c>
    </row>
    <row r="75" spans="2:22" x14ac:dyDescent="0.25">
      <c r="S75">
        <v>2779</v>
      </c>
      <c r="T75" t="s">
        <v>289</v>
      </c>
      <c r="U75" t="s">
        <v>142</v>
      </c>
      <c r="V75">
        <v>0</v>
      </c>
    </row>
    <row r="76" spans="2:22" x14ac:dyDescent="0.25">
      <c r="S76">
        <v>2779</v>
      </c>
      <c r="T76" t="s">
        <v>289</v>
      </c>
      <c r="U76" t="s">
        <v>142</v>
      </c>
      <c r="V76">
        <v>0</v>
      </c>
    </row>
    <row r="77" spans="2:22" x14ac:dyDescent="0.25">
      <c r="S77">
        <v>2779</v>
      </c>
      <c r="T77" t="s">
        <v>289</v>
      </c>
      <c r="U77" t="s">
        <v>142</v>
      </c>
      <c r="V77">
        <v>0</v>
      </c>
    </row>
    <row r="78" spans="2:22" x14ac:dyDescent="0.25">
      <c r="S78">
        <v>2001022</v>
      </c>
      <c r="T78" t="s">
        <v>280</v>
      </c>
      <c r="U78" t="s">
        <v>149</v>
      </c>
      <c r="V78">
        <v>0</v>
      </c>
    </row>
    <row r="79" spans="2:22" x14ac:dyDescent="0.25">
      <c r="B79" s="28"/>
      <c r="S79">
        <v>2001022</v>
      </c>
      <c r="T79" t="s">
        <v>280</v>
      </c>
      <c r="U79" t="s">
        <v>149</v>
      </c>
      <c r="V79">
        <v>0</v>
      </c>
    </row>
    <row r="80" spans="2:22" x14ac:dyDescent="0.25">
      <c r="J80" s="19"/>
      <c r="L80" s="17"/>
      <c r="R80" s="29"/>
      <c r="S80">
        <v>2001022</v>
      </c>
      <c r="T80" t="s">
        <v>280</v>
      </c>
      <c r="U80" t="s">
        <v>149</v>
      </c>
      <c r="V80">
        <v>0</v>
      </c>
    </row>
    <row r="81" spans="10:22" x14ac:dyDescent="0.25">
      <c r="J81" s="18"/>
      <c r="L81" s="9"/>
      <c r="R81" s="29"/>
      <c r="S81">
        <v>2001022</v>
      </c>
      <c r="T81" t="s">
        <v>280</v>
      </c>
      <c r="U81" t="s">
        <v>149</v>
      </c>
      <c r="V81">
        <v>0</v>
      </c>
    </row>
    <row r="82" spans="10:22" x14ac:dyDescent="0.25">
      <c r="J82" s="14"/>
      <c r="L82" s="14"/>
      <c r="R82" s="29"/>
      <c r="S82" t="s">
        <v>303</v>
      </c>
      <c r="T82" t="s">
        <v>309</v>
      </c>
      <c r="U82" t="s">
        <v>309</v>
      </c>
      <c r="V82">
        <v>2</v>
      </c>
    </row>
    <row r="83" spans="10:22" x14ac:dyDescent="0.25">
      <c r="S83" t="s">
        <v>304</v>
      </c>
      <c r="T83" t="s">
        <v>310</v>
      </c>
      <c r="U83" t="s">
        <v>310</v>
      </c>
      <c r="V83">
        <v>1</v>
      </c>
    </row>
    <row r="84" spans="10:22" x14ac:dyDescent="0.25">
      <c r="S84" t="s">
        <v>305</v>
      </c>
      <c r="T84" t="s">
        <v>308</v>
      </c>
      <c r="U84" t="s">
        <v>308</v>
      </c>
      <c r="V84">
        <v>3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3 F54:F1048576">
    <cfRule type="cellIs" dxfId="3" priority="5" operator="greaterThan">
      <formula>0</formula>
    </cfRule>
  </conditionalFormatting>
  <conditionalFormatting sqref="N1:N1048576">
    <cfRule type="cellIs" dxfId="2" priority="4" operator="greaterThan">
      <formula>0</formula>
    </cfRule>
  </conditionalFormatting>
  <conditionalFormatting sqref="V1:V1048576">
    <cfRule type="cellIs" dxfId="1" priority="3" operator="greaterThan">
      <formula>0</formula>
    </cfRule>
  </conditionalFormatting>
  <conditionalFormatting sqref="F4:F5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2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38"/>
  </cols>
  <sheetData>
    <row r="1" spans="1:5" x14ac:dyDescent="0.25">
      <c r="A1" s="8" t="s">
        <v>279</v>
      </c>
      <c r="B1" s="8" t="s">
        <v>23</v>
      </c>
      <c r="C1" s="39" t="s">
        <v>180</v>
      </c>
      <c r="D1" s="37" t="s">
        <v>182</v>
      </c>
      <c r="E1" s="37" t="s">
        <v>181</v>
      </c>
    </row>
    <row r="2" spans="1:5" x14ac:dyDescent="0.25">
      <c r="A2">
        <v>58</v>
      </c>
      <c r="B2">
        <v>156622</v>
      </c>
      <c r="C2" s="38" t="s">
        <v>183</v>
      </c>
    </row>
    <row r="3" spans="1:5" x14ac:dyDescent="0.25">
      <c r="A3">
        <v>60</v>
      </c>
      <c r="B3">
        <v>154702</v>
      </c>
      <c r="C3" s="38" t="s">
        <v>183</v>
      </c>
    </row>
    <row r="4" spans="1:5" x14ac:dyDescent="0.25">
      <c r="A4">
        <v>63</v>
      </c>
      <c r="B4">
        <v>80820</v>
      </c>
      <c r="C4" s="38" t="s">
        <v>183</v>
      </c>
    </row>
    <row r="5" spans="1:5" x14ac:dyDescent="0.25">
      <c r="A5">
        <v>86</v>
      </c>
      <c r="B5">
        <v>64972</v>
      </c>
      <c r="C5" s="38" t="s">
        <v>183</v>
      </c>
    </row>
    <row r="6" spans="1:5" x14ac:dyDescent="0.25">
      <c r="A6" t="s">
        <v>311</v>
      </c>
      <c r="B6">
        <v>1036691</v>
      </c>
      <c r="C6" s="38" t="s">
        <v>183</v>
      </c>
    </row>
    <row r="7" spans="1:5" x14ac:dyDescent="0.25">
      <c r="A7">
        <v>120</v>
      </c>
      <c r="B7">
        <v>2000241</v>
      </c>
      <c r="C7" s="38" t="s">
        <v>183</v>
      </c>
    </row>
    <row r="8" spans="1:5" x14ac:dyDescent="0.25">
      <c r="A8">
        <v>120</v>
      </c>
      <c r="B8">
        <v>2000240</v>
      </c>
      <c r="C8" s="38" t="s">
        <v>183</v>
      </c>
    </row>
    <row r="9" spans="1:5" x14ac:dyDescent="0.25">
      <c r="A9">
        <v>121</v>
      </c>
      <c r="B9">
        <v>2000239</v>
      </c>
      <c r="C9" s="38" t="s">
        <v>183</v>
      </c>
    </row>
    <row r="10" spans="1:5" x14ac:dyDescent="0.25">
      <c r="A10">
        <v>121</v>
      </c>
      <c r="B10">
        <v>2000238</v>
      </c>
      <c r="C10" s="38" t="s">
        <v>183</v>
      </c>
    </row>
    <row r="11" spans="1:5" x14ac:dyDescent="0.25">
      <c r="A11">
        <v>122</v>
      </c>
      <c r="B11">
        <v>65501387259</v>
      </c>
      <c r="C11" s="38" t="s">
        <v>183</v>
      </c>
    </row>
    <row r="12" spans="1:5" x14ac:dyDescent="0.25">
      <c r="A12">
        <v>1071</v>
      </c>
      <c r="B12">
        <v>71532</v>
      </c>
      <c r="C12" s="38" t="s">
        <v>183</v>
      </c>
    </row>
    <row r="13" spans="1:5" x14ac:dyDescent="0.25">
      <c r="A13">
        <v>1071</v>
      </c>
      <c r="B13">
        <v>71535</v>
      </c>
      <c r="C13" s="38" t="s">
        <v>183</v>
      </c>
    </row>
    <row r="14" spans="1:5" x14ac:dyDescent="0.25">
      <c r="A14">
        <v>127</v>
      </c>
      <c r="B14">
        <v>1013187</v>
      </c>
      <c r="C14" s="38" t="s">
        <v>183</v>
      </c>
    </row>
    <row r="15" spans="1:5" x14ac:dyDescent="0.25">
      <c r="A15">
        <v>128</v>
      </c>
      <c r="B15">
        <v>2000486</v>
      </c>
      <c r="C15" s="38" t="s">
        <v>183</v>
      </c>
    </row>
    <row r="16" spans="1:5" x14ac:dyDescent="0.25">
      <c r="A16">
        <v>2000905</v>
      </c>
      <c r="B16">
        <v>2000905</v>
      </c>
      <c r="C16" s="38" t="s">
        <v>183</v>
      </c>
    </row>
    <row r="17" spans="1:3" x14ac:dyDescent="0.25">
      <c r="A17" t="s">
        <v>46</v>
      </c>
      <c r="B17">
        <v>2000570</v>
      </c>
      <c r="C17" s="38" t="s">
        <v>183</v>
      </c>
    </row>
    <row r="18" spans="1:3" x14ac:dyDescent="0.25">
      <c r="A18" t="s">
        <v>46</v>
      </c>
      <c r="B18">
        <v>2000571</v>
      </c>
      <c r="C18" s="38" t="s">
        <v>183</v>
      </c>
    </row>
    <row r="19" spans="1:3" x14ac:dyDescent="0.25">
      <c r="A19" t="s">
        <v>46</v>
      </c>
      <c r="B19">
        <v>2000572</v>
      </c>
      <c r="C19" s="38" t="s">
        <v>183</v>
      </c>
    </row>
    <row r="20" spans="1:3" x14ac:dyDescent="0.25">
      <c r="A20" t="s">
        <v>46</v>
      </c>
      <c r="B20">
        <v>2000573</v>
      </c>
      <c r="C20" s="38" t="s">
        <v>183</v>
      </c>
    </row>
    <row r="21" spans="1:3" x14ac:dyDescent="0.25">
      <c r="A21" t="s">
        <v>172</v>
      </c>
      <c r="B21">
        <v>2000574</v>
      </c>
      <c r="C21" s="38" t="s">
        <v>183</v>
      </c>
    </row>
    <row r="22" spans="1:3" x14ac:dyDescent="0.25">
      <c r="A22" t="s">
        <v>172</v>
      </c>
      <c r="B22">
        <v>2000575</v>
      </c>
      <c r="C22" s="38" t="s">
        <v>183</v>
      </c>
    </row>
    <row r="23" spans="1:3" x14ac:dyDescent="0.25">
      <c r="A23" t="s">
        <v>172</v>
      </c>
      <c r="B23">
        <v>2000576</v>
      </c>
      <c r="C23" s="38" t="s">
        <v>183</v>
      </c>
    </row>
    <row r="24" spans="1:3" x14ac:dyDescent="0.25">
      <c r="A24" t="s">
        <v>172</v>
      </c>
      <c r="B24">
        <v>2000577</v>
      </c>
      <c r="C24" s="38" t="s">
        <v>183</v>
      </c>
    </row>
    <row r="25" spans="1:3" x14ac:dyDescent="0.25">
      <c r="A25" t="s">
        <v>47</v>
      </c>
      <c r="B25">
        <v>2000522</v>
      </c>
      <c r="C25" s="38" t="s">
        <v>183</v>
      </c>
    </row>
    <row r="26" spans="1:3" x14ac:dyDescent="0.25">
      <c r="A26" t="s">
        <v>49</v>
      </c>
      <c r="B26">
        <v>65503691935</v>
      </c>
      <c r="C26" s="38" t="s">
        <v>183</v>
      </c>
    </row>
    <row r="27" spans="1:3" x14ac:dyDescent="0.25">
      <c r="A27" t="s">
        <v>50</v>
      </c>
      <c r="B27">
        <v>2000534</v>
      </c>
      <c r="C27" s="38" t="s">
        <v>183</v>
      </c>
    </row>
    <row r="28" spans="1:3" x14ac:dyDescent="0.25">
      <c r="A28" t="s">
        <v>52</v>
      </c>
      <c r="B28">
        <v>65504667724</v>
      </c>
      <c r="C28" s="38" t="s">
        <v>183</v>
      </c>
    </row>
    <row r="29" spans="1:3" x14ac:dyDescent="0.25">
      <c r="A29">
        <v>2001012</v>
      </c>
      <c r="B29">
        <v>2001012</v>
      </c>
      <c r="C29" s="38" t="s">
        <v>183</v>
      </c>
    </row>
    <row r="30" spans="1:3" x14ac:dyDescent="0.25">
      <c r="A30" t="s">
        <v>146</v>
      </c>
      <c r="B30">
        <v>65505569851</v>
      </c>
      <c r="C30" s="38" t="s">
        <v>183</v>
      </c>
    </row>
    <row r="31" spans="1:3" x14ac:dyDescent="0.25">
      <c r="A31" t="s">
        <v>242</v>
      </c>
      <c r="B31" s="60">
        <v>65507430562</v>
      </c>
      <c r="C31" s="38" t="s">
        <v>183</v>
      </c>
    </row>
    <row r="32" spans="1:3" x14ac:dyDescent="0.25">
      <c r="A32" t="s">
        <v>53</v>
      </c>
      <c r="B32">
        <v>65503863638</v>
      </c>
      <c r="C32" s="38" t="s">
        <v>183</v>
      </c>
    </row>
    <row r="33" spans="1:3" x14ac:dyDescent="0.25">
      <c r="A33">
        <v>1032382</v>
      </c>
      <c r="B33">
        <v>1032382</v>
      </c>
      <c r="C33" s="38" t="s">
        <v>183</v>
      </c>
    </row>
    <row r="34" spans="1:3" x14ac:dyDescent="0.25">
      <c r="A34" s="60" t="s">
        <v>306</v>
      </c>
      <c r="B34">
        <v>2000597</v>
      </c>
      <c r="C34" s="38" t="s">
        <v>183</v>
      </c>
    </row>
    <row r="35" spans="1:3" x14ac:dyDescent="0.25">
      <c r="A35" t="s">
        <v>54</v>
      </c>
      <c r="B35">
        <v>2000730</v>
      </c>
      <c r="C35" s="38" t="s">
        <v>183</v>
      </c>
    </row>
    <row r="36" spans="1:3" x14ac:dyDescent="0.25">
      <c r="A36" t="s">
        <v>56</v>
      </c>
      <c r="B36">
        <v>2000927</v>
      </c>
      <c r="C36" s="38" t="s">
        <v>183</v>
      </c>
    </row>
    <row r="37" spans="1:3" x14ac:dyDescent="0.25">
      <c r="A37" t="s">
        <v>57</v>
      </c>
      <c r="B37">
        <v>2000928</v>
      </c>
      <c r="C37" s="38" t="s">
        <v>183</v>
      </c>
    </row>
    <row r="38" spans="1:3" x14ac:dyDescent="0.25">
      <c r="A38" t="s">
        <v>58</v>
      </c>
      <c r="B38">
        <v>65503562246</v>
      </c>
      <c r="C38" s="38" t="s">
        <v>183</v>
      </c>
    </row>
    <row r="39" spans="1:3" x14ac:dyDescent="0.25">
      <c r="A39">
        <v>115</v>
      </c>
      <c r="B39">
        <v>2000204</v>
      </c>
      <c r="C39" s="38" t="s">
        <v>183</v>
      </c>
    </row>
    <row r="40" spans="1:3" x14ac:dyDescent="0.25">
      <c r="A40">
        <v>19</v>
      </c>
      <c r="B40">
        <v>77703</v>
      </c>
      <c r="C40" s="38" t="s">
        <v>183</v>
      </c>
    </row>
    <row r="41" spans="1:3" x14ac:dyDescent="0.25">
      <c r="A41">
        <v>37</v>
      </c>
      <c r="B41">
        <v>65507408917</v>
      </c>
      <c r="C41" s="38" t="s">
        <v>183</v>
      </c>
    </row>
    <row r="42" spans="1:3" x14ac:dyDescent="0.25">
      <c r="A42">
        <v>71</v>
      </c>
      <c r="B42">
        <v>156331</v>
      </c>
      <c r="C42" s="38" t="s">
        <v>183</v>
      </c>
    </row>
    <row r="43" spans="1:3" x14ac:dyDescent="0.25">
      <c r="A43">
        <v>74</v>
      </c>
      <c r="B43">
        <v>65502222299</v>
      </c>
      <c r="C43" s="38" t="s">
        <v>183</v>
      </c>
    </row>
    <row r="44" spans="1:3" x14ac:dyDescent="0.25">
      <c r="A44">
        <v>75</v>
      </c>
      <c r="B44">
        <v>1037124</v>
      </c>
      <c r="C44" s="38" t="s">
        <v>183</v>
      </c>
    </row>
    <row r="45" spans="1:3" x14ac:dyDescent="0.25">
      <c r="A45">
        <v>76</v>
      </c>
      <c r="B45">
        <v>1033811</v>
      </c>
      <c r="C45" s="38" t="s">
        <v>183</v>
      </c>
    </row>
    <row r="46" spans="1:3" x14ac:dyDescent="0.25">
      <c r="A46">
        <v>78</v>
      </c>
      <c r="B46">
        <v>69902</v>
      </c>
      <c r="C46" s="38" t="s">
        <v>183</v>
      </c>
    </row>
    <row r="47" spans="1:3" x14ac:dyDescent="0.25">
      <c r="A47">
        <v>93</v>
      </c>
      <c r="B47">
        <v>65502425394</v>
      </c>
      <c r="C47" s="38" t="s">
        <v>183</v>
      </c>
    </row>
    <row r="48" spans="1:3" x14ac:dyDescent="0.25">
      <c r="A48">
        <v>94</v>
      </c>
      <c r="B48">
        <v>1002455</v>
      </c>
      <c r="C48" s="38" t="s">
        <v>183</v>
      </c>
    </row>
    <row r="49" spans="1:3" x14ac:dyDescent="0.25">
      <c r="A49">
        <v>100</v>
      </c>
      <c r="B49">
        <v>2000135</v>
      </c>
      <c r="C49" s="38" t="s">
        <v>183</v>
      </c>
    </row>
    <row r="50" spans="1:3" x14ac:dyDescent="0.25">
      <c r="A50">
        <v>105</v>
      </c>
      <c r="B50">
        <v>152965</v>
      </c>
      <c r="C50" s="38" t="s">
        <v>183</v>
      </c>
    </row>
    <row r="51" spans="1:3" x14ac:dyDescent="0.25">
      <c r="A51">
        <v>114</v>
      </c>
      <c r="B51">
        <v>1005849</v>
      </c>
      <c r="C51" s="38" t="s">
        <v>183</v>
      </c>
    </row>
    <row r="52" spans="1:3" x14ac:dyDescent="0.25">
      <c r="A52">
        <v>119</v>
      </c>
      <c r="B52">
        <v>1008496</v>
      </c>
      <c r="C52" s="38" t="s">
        <v>183</v>
      </c>
    </row>
    <row r="53" spans="1:3" x14ac:dyDescent="0.25">
      <c r="A53">
        <v>1032128</v>
      </c>
      <c r="B53">
        <v>1032128</v>
      </c>
      <c r="C53" s="38" t="s">
        <v>183</v>
      </c>
    </row>
    <row r="54" spans="1:3" x14ac:dyDescent="0.25">
      <c r="A54">
        <v>1068</v>
      </c>
      <c r="B54">
        <v>67715</v>
      </c>
      <c r="C54" s="38" t="s">
        <v>183</v>
      </c>
    </row>
    <row r="55" spans="1:3" x14ac:dyDescent="0.25">
      <c r="A55">
        <v>1074</v>
      </c>
      <c r="B55">
        <v>1031629</v>
      </c>
      <c r="C55" s="38" t="s">
        <v>183</v>
      </c>
    </row>
    <row r="56" spans="1:3" x14ac:dyDescent="0.25">
      <c r="A56">
        <v>1074</v>
      </c>
      <c r="B56">
        <v>1031627</v>
      </c>
      <c r="C56" s="38" t="s">
        <v>183</v>
      </c>
    </row>
    <row r="57" spans="1:3" x14ac:dyDescent="0.25">
      <c r="A57">
        <v>1081</v>
      </c>
      <c r="B57">
        <v>142481</v>
      </c>
      <c r="C57" s="38" t="s">
        <v>183</v>
      </c>
    </row>
    <row r="58" spans="1:3" x14ac:dyDescent="0.25">
      <c r="A58">
        <v>1082</v>
      </c>
      <c r="B58">
        <v>142482</v>
      </c>
      <c r="C58" s="38" t="s">
        <v>183</v>
      </c>
    </row>
    <row r="59" spans="1:3" x14ac:dyDescent="0.25">
      <c r="A59">
        <v>1094</v>
      </c>
      <c r="B59">
        <v>65507665273</v>
      </c>
      <c r="C59" s="38" t="s">
        <v>183</v>
      </c>
    </row>
    <row r="60" spans="1:3" x14ac:dyDescent="0.25">
      <c r="A60">
        <v>1097</v>
      </c>
      <c r="B60">
        <v>75655</v>
      </c>
      <c r="C60" s="38" t="s">
        <v>183</v>
      </c>
    </row>
    <row r="61" spans="1:3" x14ac:dyDescent="0.25">
      <c r="A61">
        <v>1800</v>
      </c>
      <c r="B61">
        <v>75145</v>
      </c>
      <c r="C61" s="38" t="s">
        <v>183</v>
      </c>
    </row>
    <row r="62" spans="1:3" x14ac:dyDescent="0.25">
      <c r="A62">
        <v>1800</v>
      </c>
      <c r="B62">
        <v>75146</v>
      </c>
      <c r="C62" s="38" t="s">
        <v>183</v>
      </c>
    </row>
    <row r="63" spans="1:3" x14ac:dyDescent="0.25">
      <c r="A63">
        <v>1018014</v>
      </c>
      <c r="B63">
        <v>1018014</v>
      </c>
      <c r="C63" s="38" t="s">
        <v>183</v>
      </c>
    </row>
    <row r="64" spans="1:3" x14ac:dyDescent="0.25">
      <c r="A64">
        <v>1018122</v>
      </c>
      <c r="B64">
        <v>1018122</v>
      </c>
      <c r="C64" s="38" t="s">
        <v>183</v>
      </c>
    </row>
    <row r="65" spans="1:5" x14ac:dyDescent="0.25">
      <c r="A65">
        <v>1018302</v>
      </c>
      <c r="B65">
        <v>1018302</v>
      </c>
      <c r="C65" s="38" t="s">
        <v>183</v>
      </c>
    </row>
    <row r="66" spans="1:5" x14ac:dyDescent="0.25">
      <c r="A66">
        <v>1018811</v>
      </c>
      <c r="B66">
        <v>1018811</v>
      </c>
      <c r="C66" s="38" t="s">
        <v>183</v>
      </c>
    </row>
    <row r="67" spans="1:5" x14ac:dyDescent="0.25">
      <c r="A67">
        <v>4031</v>
      </c>
      <c r="B67">
        <v>4031</v>
      </c>
      <c r="C67" s="38" t="s">
        <v>183</v>
      </c>
    </row>
    <row r="68" spans="1:5" x14ac:dyDescent="0.25">
      <c r="A68">
        <v>2000698</v>
      </c>
      <c r="B68">
        <v>2000698</v>
      </c>
      <c r="C68" s="38" t="s">
        <v>183</v>
      </c>
    </row>
    <row r="69" spans="1:5" x14ac:dyDescent="0.25">
      <c r="A69">
        <v>2000732</v>
      </c>
      <c r="B69">
        <v>2000732</v>
      </c>
      <c r="C69" s="38" t="s">
        <v>183</v>
      </c>
    </row>
    <row r="70" spans="1:5" x14ac:dyDescent="0.25">
      <c r="A70">
        <v>2000733</v>
      </c>
      <c r="B70">
        <v>2000733</v>
      </c>
      <c r="C70" s="38" t="s">
        <v>183</v>
      </c>
    </row>
    <row r="71" spans="1:5" x14ac:dyDescent="0.25">
      <c r="A71">
        <v>2000736</v>
      </c>
      <c r="B71">
        <v>2000736</v>
      </c>
      <c r="C71" s="38" t="s">
        <v>183</v>
      </c>
    </row>
    <row r="72" spans="1:5" x14ac:dyDescent="0.25">
      <c r="A72">
        <v>92</v>
      </c>
      <c r="B72">
        <v>65502313952</v>
      </c>
      <c r="C72" s="38" t="s">
        <v>183</v>
      </c>
    </row>
    <row r="73" spans="1:5" x14ac:dyDescent="0.25">
      <c r="A73">
        <v>1032873</v>
      </c>
      <c r="B73">
        <v>1032873</v>
      </c>
      <c r="C73" s="38" t="s">
        <v>183</v>
      </c>
    </row>
    <row r="74" spans="1:5" x14ac:dyDescent="0.25">
      <c r="A74" s="60" t="s">
        <v>297</v>
      </c>
      <c r="B74">
        <v>147492</v>
      </c>
      <c r="D74" s="38" t="s">
        <v>183</v>
      </c>
    </row>
    <row r="75" spans="1:5" x14ac:dyDescent="0.25">
      <c r="A75" s="60" t="s">
        <v>297</v>
      </c>
      <c r="B75">
        <v>147491</v>
      </c>
      <c r="D75" s="38" t="s">
        <v>183</v>
      </c>
    </row>
    <row r="76" spans="1:5" x14ac:dyDescent="0.25">
      <c r="A76" s="60" t="s">
        <v>297</v>
      </c>
      <c r="B76">
        <v>159246</v>
      </c>
      <c r="D76" s="38" t="s">
        <v>183</v>
      </c>
    </row>
    <row r="77" spans="1:5" x14ac:dyDescent="0.25">
      <c r="A77" s="60" t="s">
        <v>297</v>
      </c>
      <c r="B77">
        <v>1010401</v>
      </c>
      <c r="D77" s="38" t="s">
        <v>183</v>
      </c>
    </row>
    <row r="78" spans="1:5" x14ac:dyDescent="0.25">
      <c r="A78" t="s">
        <v>89</v>
      </c>
      <c r="B78">
        <v>2000470</v>
      </c>
      <c r="E78" s="38" t="s">
        <v>183</v>
      </c>
    </row>
    <row r="79" spans="1:5" x14ac:dyDescent="0.25">
      <c r="A79" t="s">
        <v>90</v>
      </c>
      <c r="B79">
        <v>2000469</v>
      </c>
      <c r="E79" s="38" t="s">
        <v>183</v>
      </c>
    </row>
    <row r="80" spans="1:5" x14ac:dyDescent="0.25">
      <c r="A80" t="s">
        <v>91</v>
      </c>
      <c r="B80">
        <v>2000466</v>
      </c>
      <c r="E80" s="38" t="s">
        <v>183</v>
      </c>
    </row>
    <row r="81" spans="1:5" x14ac:dyDescent="0.25">
      <c r="A81" t="s">
        <v>92</v>
      </c>
      <c r="B81">
        <v>2000467</v>
      </c>
      <c r="E81" s="38" t="s">
        <v>183</v>
      </c>
    </row>
    <row r="82" spans="1:5" x14ac:dyDescent="0.25">
      <c r="A82" t="s">
        <v>93</v>
      </c>
      <c r="B82">
        <v>1018867</v>
      </c>
      <c r="E82" s="38" t="s">
        <v>183</v>
      </c>
    </row>
    <row r="83" spans="1:5" x14ac:dyDescent="0.25">
      <c r="A83" t="s">
        <v>94</v>
      </c>
      <c r="B83">
        <v>65501372909</v>
      </c>
      <c r="E83" s="38" t="s">
        <v>183</v>
      </c>
    </row>
    <row r="84" spans="1:5" x14ac:dyDescent="0.25">
      <c r="A84" t="s">
        <v>96</v>
      </c>
      <c r="B84">
        <v>65505283448</v>
      </c>
      <c r="E84" s="38" t="s">
        <v>183</v>
      </c>
    </row>
    <row r="85" spans="1:5" x14ac:dyDescent="0.25">
      <c r="A85" t="s">
        <v>97</v>
      </c>
      <c r="B85">
        <v>65505283360</v>
      </c>
      <c r="E85" s="38" t="s">
        <v>183</v>
      </c>
    </row>
    <row r="86" spans="1:5" x14ac:dyDescent="0.25">
      <c r="A86" t="s">
        <v>98</v>
      </c>
      <c r="B86">
        <v>65505283309</v>
      </c>
      <c r="E86" s="38" t="s">
        <v>183</v>
      </c>
    </row>
    <row r="87" spans="1:5" x14ac:dyDescent="0.25">
      <c r="A87" t="s">
        <v>99</v>
      </c>
      <c r="B87">
        <v>65505285253</v>
      </c>
      <c r="E87" s="38" t="s">
        <v>183</v>
      </c>
    </row>
    <row r="88" spans="1:5" x14ac:dyDescent="0.25">
      <c r="A88" t="s">
        <v>100</v>
      </c>
      <c r="B88">
        <v>1031340</v>
      </c>
      <c r="E88" s="38" t="s">
        <v>183</v>
      </c>
    </row>
    <row r="89" spans="1:5" x14ac:dyDescent="0.25">
      <c r="A89" t="s">
        <v>173</v>
      </c>
      <c r="B89">
        <v>2000848</v>
      </c>
      <c r="E89" s="38" t="s">
        <v>183</v>
      </c>
    </row>
    <row r="90" spans="1:5" x14ac:dyDescent="0.25">
      <c r="A90" t="s">
        <v>174</v>
      </c>
      <c r="B90">
        <v>2000849</v>
      </c>
      <c r="E90" s="38" t="s">
        <v>183</v>
      </c>
    </row>
    <row r="91" spans="1:5" x14ac:dyDescent="0.25">
      <c r="A91" s="60" t="s">
        <v>256</v>
      </c>
      <c r="B91">
        <v>2000926</v>
      </c>
      <c r="E91" s="38" t="s">
        <v>183</v>
      </c>
    </row>
    <row r="92" spans="1:5" x14ac:dyDescent="0.25">
      <c r="A92">
        <v>1031547</v>
      </c>
      <c r="B92">
        <v>1031547</v>
      </c>
      <c r="E92" s="38" t="s">
        <v>183</v>
      </c>
    </row>
    <row r="93" spans="1:5" x14ac:dyDescent="0.25">
      <c r="A93">
        <v>1031548</v>
      </c>
      <c r="B93">
        <v>1031548</v>
      </c>
      <c r="E93" s="38" t="s">
        <v>183</v>
      </c>
    </row>
    <row r="94" spans="1:5" x14ac:dyDescent="0.25">
      <c r="A94">
        <v>1031549</v>
      </c>
      <c r="B94">
        <v>1031549</v>
      </c>
      <c r="E94" s="38" t="s">
        <v>183</v>
      </c>
    </row>
    <row r="95" spans="1:5" x14ac:dyDescent="0.25">
      <c r="A95">
        <v>1031550</v>
      </c>
      <c r="B95">
        <v>1031550</v>
      </c>
      <c r="E95" s="38" t="s">
        <v>183</v>
      </c>
    </row>
    <row r="96" spans="1:5" x14ac:dyDescent="0.25">
      <c r="A96">
        <v>1031551</v>
      </c>
      <c r="B96">
        <v>1031551</v>
      </c>
      <c r="E96" s="38" t="s">
        <v>183</v>
      </c>
    </row>
    <row r="97" spans="1:5" x14ac:dyDescent="0.25">
      <c r="A97">
        <v>118</v>
      </c>
      <c r="B97">
        <v>78666</v>
      </c>
      <c r="E97" s="38" t="s">
        <v>183</v>
      </c>
    </row>
    <row r="98" spans="1:5" x14ac:dyDescent="0.25">
      <c r="A98">
        <v>118</v>
      </c>
      <c r="B98">
        <v>2000219</v>
      </c>
      <c r="E98" s="38" t="s">
        <v>183</v>
      </c>
    </row>
    <row r="99" spans="1:5" x14ac:dyDescent="0.25">
      <c r="A99">
        <v>118</v>
      </c>
      <c r="B99">
        <v>2000220</v>
      </c>
      <c r="E99" s="38" t="s">
        <v>183</v>
      </c>
    </row>
    <row r="100" spans="1:5" x14ac:dyDescent="0.25">
      <c r="A100">
        <v>118</v>
      </c>
      <c r="B100">
        <v>2000221</v>
      </c>
      <c r="E100" s="38" t="s">
        <v>183</v>
      </c>
    </row>
    <row r="101" spans="1:5" x14ac:dyDescent="0.25">
      <c r="A101">
        <v>118</v>
      </c>
      <c r="B101">
        <v>78665</v>
      </c>
      <c r="E101" s="38" t="s">
        <v>183</v>
      </c>
    </row>
    <row r="102" spans="1:5" x14ac:dyDescent="0.25">
      <c r="A102">
        <v>118</v>
      </c>
      <c r="B102">
        <v>2000216</v>
      </c>
      <c r="E102" s="38" t="s">
        <v>183</v>
      </c>
    </row>
    <row r="103" spans="1:5" x14ac:dyDescent="0.25">
      <c r="A103">
        <v>118</v>
      </c>
      <c r="B103">
        <v>2000217</v>
      </c>
      <c r="E103" s="38" t="s">
        <v>183</v>
      </c>
    </row>
    <row r="104" spans="1:5" x14ac:dyDescent="0.25">
      <c r="A104">
        <v>118</v>
      </c>
      <c r="B104">
        <v>2000218</v>
      </c>
      <c r="E104" s="38" t="s">
        <v>183</v>
      </c>
    </row>
    <row r="105" spans="1:5" x14ac:dyDescent="0.25">
      <c r="A105">
        <v>2500</v>
      </c>
      <c r="B105">
        <v>2000183</v>
      </c>
      <c r="E105" s="38" t="s">
        <v>183</v>
      </c>
    </row>
    <row r="106" spans="1:5" x14ac:dyDescent="0.25">
      <c r="A106">
        <v>2500</v>
      </c>
      <c r="B106" t="s">
        <v>111</v>
      </c>
      <c r="E106" s="38" t="s">
        <v>183</v>
      </c>
    </row>
    <row r="107" spans="1:5" x14ac:dyDescent="0.25">
      <c r="A107">
        <v>2500</v>
      </c>
      <c r="B107" t="s">
        <v>112</v>
      </c>
      <c r="E107" s="38" t="s">
        <v>183</v>
      </c>
    </row>
    <row r="108" spans="1:5" x14ac:dyDescent="0.25">
      <c r="A108">
        <v>2500</v>
      </c>
      <c r="B108" t="s">
        <v>113</v>
      </c>
      <c r="E108" s="38" t="s">
        <v>183</v>
      </c>
    </row>
    <row r="109" spans="1:5" x14ac:dyDescent="0.25">
      <c r="A109">
        <v>2500</v>
      </c>
      <c r="B109">
        <v>2000182</v>
      </c>
      <c r="E109" s="38" t="s">
        <v>183</v>
      </c>
    </row>
    <row r="110" spans="1:5" x14ac:dyDescent="0.25">
      <c r="A110">
        <v>2500</v>
      </c>
      <c r="B110" t="s">
        <v>114</v>
      </c>
      <c r="E110" s="38" t="s">
        <v>183</v>
      </c>
    </row>
    <row r="111" spans="1:5" x14ac:dyDescent="0.25">
      <c r="A111">
        <v>2500</v>
      </c>
      <c r="B111" t="s">
        <v>115</v>
      </c>
      <c r="E111" s="38" t="s">
        <v>183</v>
      </c>
    </row>
    <row r="112" spans="1:5" x14ac:dyDescent="0.25">
      <c r="A112">
        <v>2500</v>
      </c>
      <c r="B112" t="s">
        <v>116</v>
      </c>
      <c r="E112" s="38" t="s">
        <v>183</v>
      </c>
    </row>
    <row r="113" spans="1:5" x14ac:dyDescent="0.25">
      <c r="A113">
        <v>2600</v>
      </c>
      <c r="B113" t="s">
        <v>117</v>
      </c>
      <c r="E113" s="38" t="s">
        <v>183</v>
      </c>
    </row>
    <row r="114" spans="1:5" x14ac:dyDescent="0.25">
      <c r="A114">
        <v>2600</v>
      </c>
      <c r="B114" t="s">
        <v>118</v>
      </c>
      <c r="E114" s="38" t="s">
        <v>183</v>
      </c>
    </row>
    <row r="115" spans="1:5" x14ac:dyDescent="0.25">
      <c r="A115">
        <v>2600</v>
      </c>
      <c r="B115" t="s">
        <v>119</v>
      </c>
      <c r="E115" s="38" t="s">
        <v>183</v>
      </c>
    </row>
    <row r="116" spans="1:5" x14ac:dyDescent="0.25">
      <c r="A116">
        <v>2600</v>
      </c>
      <c r="B116" t="s">
        <v>120</v>
      </c>
      <c r="E116" s="38" t="s">
        <v>183</v>
      </c>
    </row>
    <row r="117" spans="1:5" x14ac:dyDescent="0.25">
      <c r="A117">
        <v>2600</v>
      </c>
      <c r="B117" t="s">
        <v>121</v>
      </c>
      <c r="E117" s="38" t="s">
        <v>183</v>
      </c>
    </row>
    <row r="118" spans="1:5" x14ac:dyDescent="0.25">
      <c r="A118">
        <v>2600</v>
      </c>
      <c r="B118" t="s">
        <v>122</v>
      </c>
      <c r="E118" s="38" t="s">
        <v>183</v>
      </c>
    </row>
    <row r="119" spans="1:5" x14ac:dyDescent="0.25">
      <c r="A119">
        <v>2600</v>
      </c>
      <c r="B119" t="s">
        <v>123</v>
      </c>
      <c r="E119" s="38" t="s">
        <v>183</v>
      </c>
    </row>
    <row r="120" spans="1:5" x14ac:dyDescent="0.25">
      <c r="A120">
        <v>2600</v>
      </c>
      <c r="B120" t="s">
        <v>124</v>
      </c>
      <c r="E120" s="38" t="s">
        <v>183</v>
      </c>
    </row>
    <row r="121" spans="1:5" x14ac:dyDescent="0.25">
      <c r="A121">
        <v>2777</v>
      </c>
      <c r="B121" t="s">
        <v>125</v>
      </c>
      <c r="E121" s="38" t="s">
        <v>183</v>
      </c>
    </row>
    <row r="122" spans="1:5" x14ac:dyDescent="0.25">
      <c r="A122">
        <v>2777</v>
      </c>
      <c r="B122" t="s">
        <v>126</v>
      </c>
      <c r="E122" s="38" t="s">
        <v>183</v>
      </c>
    </row>
    <row r="123" spans="1:5" x14ac:dyDescent="0.25">
      <c r="A123">
        <v>2777</v>
      </c>
      <c r="B123" t="s">
        <v>127</v>
      </c>
      <c r="E123" s="38" t="s">
        <v>183</v>
      </c>
    </row>
    <row r="124" spans="1:5" x14ac:dyDescent="0.25">
      <c r="A124">
        <v>2777</v>
      </c>
      <c r="B124" t="s">
        <v>128</v>
      </c>
      <c r="E124" s="38" t="s">
        <v>183</v>
      </c>
    </row>
    <row r="125" spans="1:5" x14ac:dyDescent="0.25">
      <c r="A125">
        <v>2777</v>
      </c>
      <c r="B125" t="s">
        <v>129</v>
      </c>
      <c r="E125" s="38" t="s">
        <v>183</v>
      </c>
    </row>
    <row r="126" spans="1:5" x14ac:dyDescent="0.25">
      <c r="A126">
        <v>2777</v>
      </c>
      <c r="B126" t="s">
        <v>130</v>
      </c>
      <c r="E126" s="38" t="s">
        <v>183</v>
      </c>
    </row>
    <row r="127" spans="1:5" x14ac:dyDescent="0.25">
      <c r="A127">
        <v>2777</v>
      </c>
      <c r="B127" t="s">
        <v>131</v>
      </c>
      <c r="E127" s="38" t="s">
        <v>183</v>
      </c>
    </row>
    <row r="128" spans="1:5" x14ac:dyDescent="0.25">
      <c r="A128">
        <v>2777</v>
      </c>
      <c r="B128" t="s">
        <v>132</v>
      </c>
      <c r="E128" s="38" t="s">
        <v>183</v>
      </c>
    </row>
    <row r="129" spans="1:5" x14ac:dyDescent="0.25">
      <c r="A129">
        <v>2700</v>
      </c>
      <c r="B129" t="s">
        <v>133</v>
      </c>
      <c r="E129" s="38" t="s">
        <v>183</v>
      </c>
    </row>
    <row r="130" spans="1:5" x14ac:dyDescent="0.25">
      <c r="A130">
        <v>2700</v>
      </c>
      <c r="B130" t="s">
        <v>134</v>
      </c>
      <c r="E130" s="38" t="s">
        <v>183</v>
      </c>
    </row>
    <row r="131" spans="1:5" x14ac:dyDescent="0.25">
      <c r="A131">
        <v>2700</v>
      </c>
      <c r="B131" t="s">
        <v>135</v>
      </c>
      <c r="E131" s="38" t="s">
        <v>183</v>
      </c>
    </row>
    <row r="132" spans="1:5" x14ac:dyDescent="0.25">
      <c r="A132">
        <v>2700</v>
      </c>
      <c r="B132" t="s">
        <v>136</v>
      </c>
      <c r="E132" s="38" t="s">
        <v>183</v>
      </c>
    </row>
    <row r="133" spans="1:5" x14ac:dyDescent="0.25">
      <c r="A133">
        <v>2700</v>
      </c>
      <c r="B133" t="s">
        <v>137</v>
      </c>
      <c r="E133" s="38" t="s">
        <v>183</v>
      </c>
    </row>
    <row r="134" spans="1:5" x14ac:dyDescent="0.25">
      <c r="A134">
        <v>2700</v>
      </c>
      <c r="B134" t="s">
        <v>138</v>
      </c>
      <c r="E134" s="38" t="s">
        <v>183</v>
      </c>
    </row>
    <row r="135" spans="1:5" x14ac:dyDescent="0.25">
      <c r="A135">
        <v>2700</v>
      </c>
      <c r="B135" t="s">
        <v>139</v>
      </c>
      <c r="E135" s="38" t="s">
        <v>183</v>
      </c>
    </row>
    <row r="136" spans="1:5" x14ac:dyDescent="0.25">
      <c r="A136">
        <v>2700</v>
      </c>
      <c r="B136" t="s">
        <v>140</v>
      </c>
      <c r="E136" s="38" t="s">
        <v>183</v>
      </c>
    </row>
    <row r="137" spans="1:5" x14ac:dyDescent="0.25">
      <c r="A137">
        <v>2100</v>
      </c>
      <c r="B137">
        <v>2000385</v>
      </c>
      <c r="E137" s="38" t="s">
        <v>183</v>
      </c>
    </row>
    <row r="138" spans="1:5" x14ac:dyDescent="0.25">
      <c r="A138">
        <v>2200</v>
      </c>
      <c r="B138">
        <v>566810</v>
      </c>
      <c r="E138" s="38" t="s">
        <v>183</v>
      </c>
    </row>
    <row r="139" spans="1:5" x14ac:dyDescent="0.25">
      <c r="A139">
        <v>2300</v>
      </c>
      <c r="B139">
        <v>142518</v>
      </c>
      <c r="E139" s="38" t="s">
        <v>183</v>
      </c>
    </row>
    <row r="140" spans="1:5" x14ac:dyDescent="0.25">
      <c r="A140" t="s">
        <v>175</v>
      </c>
      <c r="B140">
        <v>1031341</v>
      </c>
      <c r="E140" s="38" t="s">
        <v>183</v>
      </c>
    </row>
    <row r="141" spans="1:5" x14ac:dyDescent="0.25">
      <c r="A141" t="s">
        <v>176</v>
      </c>
      <c r="B141">
        <v>2001049</v>
      </c>
      <c r="E141" s="38" t="s">
        <v>183</v>
      </c>
    </row>
    <row r="142" spans="1:5" x14ac:dyDescent="0.25">
      <c r="A142" t="s">
        <v>177</v>
      </c>
      <c r="B142">
        <v>2001050</v>
      </c>
      <c r="E142" s="38" t="s">
        <v>183</v>
      </c>
    </row>
    <row r="143" spans="1:5" x14ac:dyDescent="0.25">
      <c r="A143">
        <v>2779</v>
      </c>
      <c r="B143" t="s">
        <v>150</v>
      </c>
      <c r="E143" s="38" t="s">
        <v>183</v>
      </c>
    </row>
    <row r="144" spans="1:5" x14ac:dyDescent="0.25">
      <c r="A144">
        <v>2779</v>
      </c>
      <c r="B144" t="s">
        <v>151</v>
      </c>
      <c r="E144" s="38" t="s">
        <v>183</v>
      </c>
    </row>
    <row r="145" spans="1:5" x14ac:dyDescent="0.25">
      <c r="A145">
        <v>2779</v>
      </c>
      <c r="B145" t="s">
        <v>152</v>
      </c>
      <c r="E145" s="38" t="s">
        <v>183</v>
      </c>
    </row>
    <row r="146" spans="1:5" x14ac:dyDescent="0.25">
      <c r="A146">
        <v>2779</v>
      </c>
      <c r="B146" t="s">
        <v>153</v>
      </c>
      <c r="E146" s="38" t="s">
        <v>183</v>
      </c>
    </row>
    <row r="147" spans="1:5" x14ac:dyDescent="0.25">
      <c r="A147">
        <v>2779</v>
      </c>
      <c r="B147" t="s">
        <v>154</v>
      </c>
      <c r="E147" s="38" t="s">
        <v>183</v>
      </c>
    </row>
    <row r="148" spans="1:5" x14ac:dyDescent="0.25">
      <c r="A148">
        <v>2779</v>
      </c>
      <c r="B148" t="s">
        <v>155</v>
      </c>
      <c r="E148" s="38" t="s">
        <v>183</v>
      </c>
    </row>
    <row r="149" spans="1:5" x14ac:dyDescent="0.25">
      <c r="A149">
        <v>2779</v>
      </c>
      <c r="B149" t="s">
        <v>156</v>
      </c>
      <c r="E149" s="38" t="s">
        <v>183</v>
      </c>
    </row>
    <row r="150" spans="1:5" x14ac:dyDescent="0.25">
      <c r="A150">
        <v>2779</v>
      </c>
      <c r="B150" t="s">
        <v>157</v>
      </c>
      <c r="E150" s="38" t="s">
        <v>183</v>
      </c>
    </row>
    <row r="151" spans="1:5" x14ac:dyDescent="0.25">
      <c r="A151">
        <v>2001022</v>
      </c>
      <c r="B151" t="s">
        <v>159</v>
      </c>
      <c r="E151" s="38" t="s">
        <v>183</v>
      </c>
    </row>
    <row r="152" spans="1:5" x14ac:dyDescent="0.25">
      <c r="A152">
        <v>2001022</v>
      </c>
      <c r="B152" t="s">
        <v>160</v>
      </c>
      <c r="E152" s="38" t="s">
        <v>183</v>
      </c>
    </row>
    <row r="153" spans="1:5" x14ac:dyDescent="0.25">
      <c r="A153">
        <v>2001022</v>
      </c>
      <c r="B153" t="s">
        <v>161</v>
      </c>
      <c r="E153" s="38" t="s">
        <v>183</v>
      </c>
    </row>
    <row r="154" spans="1:5" x14ac:dyDescent="0.25">
      <c r="A154">
        <v>2001022</v>
      </c>
      <c r="B154" t="s">
        <v>162</v>
      </c>
      <c r="E154" s="38" t="s">
        <v>183</v>
      </c>
    </row>
    <row r="155" spans="1:5" x14ac:dyDescent="0.25">
      <c r="A155" t="s">
        <v>303</v>
      </c>
      <c r="B155">
        <v>1037090</v>
      </c>
      <c r="E155" s="38" t="s">
        <v>183</v>
      </c>
    </row>
    <row r="156" spans="1:5" x14ac:dyDescent="0.25">
      <c r="A156" t="s">
        <v>304</v>
      </c>
      <c r="B156" s="42">
        <v>65501902345</v>
      </c>
      <c r="E156" s="38" t="s">
        <v>183</v>
      </c>
    </row>
    <row r="157" spans="1:5" x14ac:dyDescent="0.25">
      <c r="A157" t="s">
        <v>305</v>
      </c>
      <c r="B157" s="42">
        <v>1037087</v>
      </c>
      <c r="E157" s="38" t="s">
        <v>183</v>
      </c>
    </row>
    <row r="158" spans="1:5" x14ac:dyDescent="0.25">
      <c r="A158" t="s">
        <v>312</v>
      </c>
      <c r="B158" s="42">
        <v>1036723</v>
      </c>
      <c r="C158" s="38" t="s">
        <v>183</v>
      </c>
    </row>
    <row r="159" spans="1:5" x14ac:dyDescent="0.25">
      <c r="A159" t="s">
        <v>313</v>
      </c>
      <c r="B159" s="42">
        <v>1036724</v>
      </c>
      <c r="C159" s="38" t="s">
        <v>183</v>
      </c>
    </row>
    <row r="160" spans="1:5" x14ac:dyDescent="0.25">
      <c r="A160" t="s">
        <v>318</v>
      </c>
      <c r="B160">
        <v>65508989338</v>
      </c>
      <c r="C160" s="38" t="s">
        <v>183</v>
      </c>
    </row>
    <row r="161" spans="1:5" x14ac:dyDescent="0.25">
      <c r="A161" t="s">
        <v>320</v>
      </c>
      <c r="B161">
        <v>1037923</v>
      </c>
      <c r="C161" s="38" t="s">
        <v>183</v>
      </c>
    </row>
    <row r="162" spans="1:5" x14ac:dyDescent="0.25">
      <c r="A162" t="s">
        <v>321</v>
      </c>
      <c r="B162">
        <v>1037925</v>
      </c>
      <c r="C162" s="38" t="s">
        <v>183</v>
      </c>
    </row>
    <row r="163" spans="1:5" x14ac:dyDescent="0.25">
      <c r="A163" t="s">
        <v>322</v>
      </c>
      <c r="B163">
        <v>1037924</v>
      </c>
      <c r="C163" s="38" t="s">
        <v>183</v>
      </c>
    </row>
    <row r="164" spans="1:5" x14ac:dyDescent="0.25">
      <c r="A164" t="s">
        <v>344</v>
      </c>
      <c r="B164">
        <v>65502397418</v>
      </c>
      <c r="E164" s="38" t="s">
        <v>183</v>
      </c>
    </row>
    <row r="165" spans="1:5" x14ac:dyDescent="0.25">
      <c r="A165" t="s">
        <v>345</v>
      </c>
      <c r="B165">
        <v>65501285111</v>
      </c>
      <c r="E165" s="38" t="s">
        <v>183</v>
      </c>
    </row>
    <row r="166" spans="1:5" x14ac:dyDescent="0.25">
      <c r="A166" t="s">
        <v>90</v>
      </c>
      <c r="B166">
        <v>2000469</v>
      </c>
      <c r="E166" s="38" t="s">
        <v>183</v>
      </c>
    </row>
    <row r="167" spans="1:5" x14ac:dyDescent="0.25">
      <c r="A167" t="s">
        <v>91</v>
      </c>
      <c r="B167">
        <v>2000466</v>
      </c>
      <c r="E167" s="38" t="s">
        <v>183</v>
      </c>
    </row>
    <row r="168" spans="1:5" x14ac:dyDescent="0.25">
      <c r="A168" s="38" t="s">
        <v>349</v>
      </c>
      <c r="B168">
        <v>65509560409</v>
      </c>
      <c r="C168" s="38" t="s">
        <v>183</v>
      </c>
    </row>
    <row r="169" spans="1:5" x14ac:dyDescent="0.25">
      <c r="A169" s="38" t="s">
        <v>350</v>
      </c>
      <c r="B169">
        <v>65509560426</v>
      </c>
      <c r="C169" s="38" t="s">
        <v>183</v>
      </c>
    </row>
    <row r="170" spans="1:5" x14ac:dyDescent="0.25">
      <c r="A170" s="38" t="s">
        <v>351</v>
      </c>
      <c r="B170">
        <v>65509560457</v>
      </c>
      <c r="C170" s="38" t="s">
        <v>183</v>
      </c>
    </row>
    <row r="171" spans="1:5" x14ac:dyDescent="0.25">
      <c r="A171" s="38" t="s">
        <v>352</v>
      </c>
      <c r="B171">
        <v>65509560443</v>
      </c>
      <c r="C171" s="38" t="s">
        <v>183</v>
      </c>
    </row>
    <row r="172" spans="1:5" x14ac:dyDescent="0.25">
      <c r="A172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workbookViewId="0">
      <selection activeCell="E9" sqref="E9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120" t="s">
        <v>189</v>
      </c>
      <c r="B2" s="120" t="s">
        <v>190</v>
      </c>
      <c r="C2" s="120" t="s">
        <v>188</v>
      </c>
      <c r="D2" s="120" t="s">
        <v>191</v>
      </c>
      <c r="E2" s="120" t="s">
        <v>192</v>
      </c>
      <c r="F2" s="120" t="s">
        <v>193</v>
      </c>
      <c r="G2" s="119" t="s">
        <v>194</v>
      </c>
      <c r="H2" s="119"/>
    </row>
    <row r="3" spans="1:8" x14ac:dyDescent="0.25">
      <c r="A3" s="121"/>
      <c r="B3" s="121"/>
      <c r="C3" s="121"/>
      <c r="D3" s="121"/>
      <c r="E3" s="121"/>
      <c r="F3" s="121"/>
      <c r="G3" s="54" t="s">
        <v>195</v>
      </c>
      <c r="H3" s="54" t="s">
        <v>196</v>
      </c>
    </row>
    <row r="4" spans="1:8" x14ac:dyDescent="0.25">
      <c r="A4" s="33">
        <v>156331</v>
      </c>
      <c r="B4" s="33">
        <v>71</v>
      </c>
      <c r="C4" s="32" t="s">
        <v>197</v>
      </c>
      <c r="D4" s="32" t="s">
        <v>60</v>
      </c>
      <c r="E4" s="32" t="s">
        <v>61</v>
      </c>
      <c r="F4" s="32" t="s">
        <v>198</v>
      </c>
      <c r="G4" s="33" t="s">
        <v>183</v>
      </c>
      <c r="H4" s="33"/>
    </row>
    <row r="5" spans="1:8" x14ac:dyDescent="0.25">
      <c r="A5" s="33">
        <v>65502222299</v>
      </c>
      <c r="B5" s="33">
        <v>74</v>
      </c>
      <c r="C5" s="32" t="s">
        <v>197</v>
      </c>
      <c r="D5" s="32" t="s">
        <v>62</v>
      </c>
      <c r="E5" s="32" t="s">
        <v>62</v>
      </c>
      <c r="F5" s="32" t="s">
        <v>198</v>
      </c>
      <c r="G5" s="33" t="s">
        <v>183</v>
      </c>
      <c r="H5" s="33"/>
    </row>
    <row r="6" spans="1:8" x14ac:dyDescent="0.25">
      <c r="A6" s="33">
        <v>2000135</v>
      </c>
      <c r="B6" s="33">
        <v>100</v>
      </c>
      <c r="C6" s="32" t="s">
        <v>197</v>
      </c>
      <c r="D6" s="32" t="s">
        <v>199</v>
      </c>
      <c r="E6" s="32" t="s">
        <v>33</v>
      </c>
      <c r="F6" s="32" t="s">
        <v>198</v>
      </c>
      <c r="G6" s="33" t="s">
        <v>183</v>
      </c>
      <c r="H6" s="33"/>
    </row>
    <row r="7" spans="1:8" ht="30" x14ac:dyDescent="0.25">
      <c r="A7" s="33">
        <v>2000204</v>
      </c>
      <c r="B7" s="33">
        <v>115</v>
      </c>
      <c r="C7" s="32" t="s">
        <v>197</v>
      </c>
      <c r="D7" s="32" t="s">
        <v>158</v>
      </c>
      <c r="E7" s="32" t="s">
        <v>33</v>
      </c>
      <c r="F7" s="32" t="s">
        <v>198</v>
      </c>
      <c r="G7" s="33" t="s">
        <v>183</v>
      </c>
      <c r="H7" s="33"/>
    </row>
    <row r="8" spans="1:8" ht="60" x14ac:dyDescent="0.25">
      <c r="A8" s="43">
        <v>1008496</v>
      </c>
      <c r="B8" s="43">
        <v>119</v>
      </c>
      <c r="C8" s="44" t="s">
        <v>197</v>
      </c>
      <c r="D8" s="44" t="s">
        <v>69</v>
      </c>
      <c r="E8" s="44" t="s">
        <v>200</v>
      </c>
      <c r="F8" s="44" t="s">
        <v>166</v>
      </c>
      <c r="G8" s="43" t="s">
        <v>183</v>
      </c>
      <c r="H8" s="43"/>
    </row>
    <row r="9" spans="1:8" ht="30" x14ac:dyDescent="0.25">
      <c r="A9" s="33">
        <v>67715</v>
      </c>
      <c r="B9" s="33">
        <v>1068</v>
      </c>
      <c r="C9" s="32" t="s">
        <v>197</v>
      </c>
      <c r="D9" s="32" t="s">
        <v>70</v>
      </c>
      <c r="E9" s="32" t="s">
        <v>201</v>
      </c>
      <c r="F9" s="32" t="s">
        <v>166</v>
      </c>
      <c r="G9" s="33" t="s">
        <v>183</v>
      </c>
      <c r="H9" s="33"/>
    </row>
    <row r="10" spans="1:8" x14ac:dyDescent="0.25">
      <c r="A10" s="33">
        <v>2000385</v>
      </c>
      <c r="B10" s="33">
        <v>2100</v>
      </c>
      <c r="C10" s="32" t="s">
        <v>197</v>
      </c>
      <c r="D10" s="32" t="s">
        <v>102</v>
      </c>
      <c r="E10" s="32" t="s">
        <v>103</v>
      </c>
      <c r="F10" s="32" t="s">
        <v>202</v>
      </c>
      <c r="G10" s="33"/>
      <c r="H10" s="33" t="s">
        <v>183</v>
      </c>
    </row>
    <row r="11" spans="1:8" x14ac:dyDescent="0.25">
      <c r="A11" s="33">
        <v>566810</v>
      </c>
      <c r="B11" s="33">
        <v>2200</v>
      </c>
      <c r="C11" s="32" t="s">
        <v>197</v>
      </c>
      <c r="D11" s="32" t="s">
        <v>103</v>
      </c>
      <c r="E11" s="32" t="s">
        <v>103</v>
      </c>
      <c r="F11" s="32" t="s">
        <v>202</v>
      </c>
      <c r="G11" s="33"/>
      <c r="H11" s="33" t="s">
        <v>183</v>
      </c>
    </row>
    <row r="12" spans="1:8" x14ac:dyDescent="0.25">
      <c r="A12" s="33">
        <v>142518</v>
      </c>
      <c r="B12" s="33">
        <v>2300</v>
      </c>
      <c r="C12" s="32" t="s">
        <v>197</v>
      </c>
      <c r="D12" s="32" t="s">
        <v>104</v>
      </c>
      <c r="E12" s="32" t="s">
        <v>103</v>
      </c>
      <c r="F12" s="32" t="s">
        <v>202</v>
      </c>
      <c r="G12" s="33"/>
      <c r="H12" s="33" t="s">
        <v>183</v>
      </c>
    </row>
    <row r="13" spans="1:8" ht="30" x14ac:dyDescent="0.25">
      <c r="A13" s="33">
        <v>1018811</v>
      </c>
      <c r="B13" s="33">
        <v>1018811</v>
      </c>
      <c r="C13" s="32" t="s">
        <v>197</v>
      </c>
      <c r="D13" s="32" t="s">
        <v>82</v>
      </c>
      <c r="E13" s="32" t="s">
        <v>203</v>
      </c>
      <c r="F13" s="32" t="s">
        <v>198</v>
      </c>
      <c r="G13" s="33" t="s">
        <v>183</v>
      </c>
      <c r="H13" s="33"/>
    </row>
    <row r="14" spans="1:8" x14ac:dyDescent="0.25">
      <c r="A14" s="34">
        <v>1032382</v>
      </c>
      <c r="B14" s="34">
        <v>1032382</v>
      </c>
      <c r="C14" s="32" t="s">
        <v>197</v>
      </c>
      <c r="D14" s="32" t="s">
        <v>164</v>
      </c>
      <c r="E14" s="32" t="s">
        <v>164</v>
      </c>
      <c r="F14" s="32" t="s">
        <v>198</v>
      </c>
      <c r="G14" s="33" t="s">
        <v>183</v>
      </c>
      <c r="H14" s="33"/>
    </row>
    <row r="15" spans="1:8" ht="30" x14ac:dyDescent="0.25">
      <c r="A15" s="33">
        <v>2000698</v>
      </c>
      <c r="B15" s="33">
        <v>2000698</v>
      </c>
      <c r="C15" s="32" t="s">
        <v>197</v>
      </c>
      <c r="D15" s="32" t="s">
        <v>83</v>
      </c>
      <c r="E15" s="32" t="s">
        <v>33</v>
      </c>
      <c r="F15" s="32" t="s">
        <v>198</v>
      </c>
      <c r="G15" s="33" t="s">
        <v>183</v>
      </c>
      <c r="H15" s="33"/>
    </row>
    <row r="16" spans="1:8" ht="30" x14ac:dyDescent="0.25">
      <c r="A16" s="33">
        <v>2000732</v>
      </c>
      <c r="B16" s="33">
        <v>2000732</v>
      </c>
      <c r="C16" s="32" t="s">
        <v>197</v>
      </c>
      <c r="D16" s="32" t="s">
        <v>84</v>
      </c>
      <c r="E16" s="32" t="s">
        <v>33</v>
      </c>
      <c r="F16" s="32" t="s">
        <v>198</v>
      </c>
      <c r="G16" s="33" t="s">
        <v>183</v>
      </c>
      <c r="H16" s="33"/>
    </row>
    <row r="17" spans="1:8" x14ac:dyDescent="0.25">
      <c r="A17" s="33">
        <v>2000733</v>
      </c>
      <c r="B17" s="33">
        <v>2000733</v>
      </c>
      <c r="C17" s="32" t="s">
        <v>197</v>
      </c>
      <c r="D17" s="32" t="s">
        <v>85</v>
      </c>
      <c r="E17" s="32" t="s">
        <v>33</v>
      </c>
      <c r="F17" s="32" t="s">
        <v>198</v>
      </c>
      <c r="G17" s="33" t="s">
        <v>183</v>
      </c>
      <c r="H17" s="33"/>
    </row>
    <row r="18" spans="1:8" x14ac:dyDescent="0.25">
      <c r="A18" s="33">
        <v>2001012</v>
      </c>
      <c r="B18" s="33">
        <v>2001012</v>
      </c>
      <c r="C18" s="32" t="s">
        <v>204</v>
      </c>
      <c r="D18" s="32" t="s">
        <v>205</v>
      </c>
      <c r="E18" s="32" t="s">
        <v>149</v>
      </c>
      <c r="F18" s="32" t="s">
        <v>198</v>
      </c>
      <c r="G18" s="33" t="s">
        <v>183</v>
      </c>
      <c r="H18" s="33"/>
    </row>
    <row r="19" spans="1:8" x14ac:dyDescent="0.25">
      <c r="A19" s="33">
        <v>2001022</v>
      </c>
      <c r="B19" s="33">
        <v>2001022</v>
      </c>
      <c r="C19" s="32" t="s">
        <v>204</v>
      </c>
      <c r="D19" s="32" t="s">
        <v>280</v>
      </c>
      <c r="E19" s="32" t="s">
        <v>149</v>
      </c>
      <c r="F19" s="32" t="s">
        <v>166</v>
      </c>
      <c r="G19" s="33" t="s">
        <v>183</v>
      </c>
      <c r="H19" s="33"/>
    </row>
    <row r="20" spans="1:8" ht="30" x14ac:dyDescent="0.25">
      <c r="A20" s="33">
        <v>65504667724</v>
      </c>
      <c r="B20" s="33" t="s">
        <v>52</v>
      </c>
      <c r="C20" s="32" t="s">
        <v>204</v>
      </c>
      <c r="D20" s="32" t="s">
        <v>169</v>
      </c>
      <c r="E20" s="32" t="s">
        <v>169</v>
      </c>
      <c r="F20" s="32" t="s">
        <v>198</v>
      </c>
      <c r="G20" s="33" t="s">
        <v>206</v>
      </c>
      <c r="H20" s="33"/>
    </row>
    <row r="21" spans="1:8" ht="30" x14ac:dyDescent="0.25">
      <c r="A21" s="33">
        <v>65503851337</v>
      </c>
      <c r="B21" s="33" t="s">
        <v>53</v>
      </c>
      <c r="C21" s="32" t="s">
        <v>204</v>
      </c>
      <c r="D21" s="32" t="s">
        <v>281</v>
      </c>
      <c r="E21" s="32" t="s">
        <v>208</v>
      </c>
      <c r="F21" s="32" t="s">
        <v>166</v>
      </c>
      <c r="G21" s="33" t="s">
        <v>183</v>
      </c>
      <c r="H21" s="33"/>
    </row>
    <row r="22" spans="1:8" ht="30" x14ac:dyDescent="0.25">
      <c r="A22" s="33">
        <v>65503863610</v>
      </c>
      <c r="B22" s="33" t="s">
        <v>53</v>
      </c>
      <c r="C22" s="32" t="s">
        <v>204</v>
      </c>
      <c r="D22" s="32" t="s">
        <v>282</v>
      </c>
      <c r="E22" s="32" t="s">
        <v>208</v>
      </c>
      <c r="F22" s="32" t="s">
        <v>166</v>
      </c>
      <c r="G22" s="33" t="s">
        <v>183</v>
      </c>
      <c r="H22" s="33"/>
    </row>
    <row r="23" spans="1:8" ht="30" x14ac:dyDescent="0.25">
      <c r="A23" s="33">
        <v>65503863624</v>
      </c>
      <c r="B23" s="33" t="s">
        <v>53</v>
      </c>
      <c r="C23" s="32" t="s">
        <v>204</v>
      </c>
      <c r="D23" s="32" t="s">
        <v>283</v>
      </c>
      <c r="E23" s="32" t="s">
        <v>208</v>
      </c>
      <c r="F23" s="32" t="s">
        <v>166</v>
      </c>
      <c r="G23" s="33" t="s">
        <v>183</v>
      </c>
      <c r="H23" s="33"/>
    </row>
    <row r="24" spans="1:8" ht="30" x14ac:dyDescent="0.25">
      <c r="A24" s="33">
        <v>65503863638</v>
      </c>
      <c r="B24" s="33" t="s">
        <v>53</v>
      </c>
      <c r="C24" s="32" t="s">
        <v>204</v>
      </c>
      <c r="D24" s="32" t="s">
        <v>207</v>
      </c>
      <c r="E24" s="32" t="s">
        <v>208</v>
      </c>
      <c r="F24" s="32" t="s">
        <v>166</v>
      </c>
      <c r="G24" s="33" t="s">
        <v>183</v>
      </c>
      <c r="H24" s="33"/>
    </row>
    <row r="25" spans="1:8" ht="60" x14ac:dyDescent="0.25">
      <c r="A25" s="43">
        <v>65507408917</v>
      </c>
      <c r="B25" s="43">
        <v>37</v>
      </c>
      <c r="C25" s="44" t="s">
        <v>204</v>
      </c>
      <c r="D25" s="44" t="s">
        <v>18</v>
      </c>
      <c r="E25" s="44" t="s">
        <v>209</v>
      </c>
      <c r="F25" s="44" t="s">
        <v>198</v>
      </c>
      <c r="G25" s="43" t="s">
        <v>183</v>
      </c>
      <c r="H25" s="43"/>
    </row>
    <row r="26" spans="1:8" x14ac:dyDescent="0.25">
      <c r="A26" s="43">
        <v>156622</v>
      </c>
      <c r="B26" s="43">
        <v>58</v>
      </c>
      <c r="C26" s="44" t="s">
        <v>204</v>
      </c>
      <c r="D26" s="44" t="s">
        <v>39</v>
      </c>
      <c r="E26" s="44" t="s">
        <v>39</v>
      </c>
      <c r="F26" s="44" t="s">
        <v>198</v>
      </c>
      <c r="G26" s="43" t="s">
        <v>183</v>
      </c>
      <c r="H26" s="43"/>
    </row>
    <row r="27" spans="1:8" x14ac:dyDescent="0.25">
      <c r="A27" s="43">
        <v>154702</v>
      </c>
      <c r="B27" s="43">
        <v>60</v>
      </c>
      <c r="C27" s="44" t="s">
        <v>204</v>
      </c>
      <c r="D27" s="44" t="s">
        <v>40</v>
      </c>
      <c r="E27" s="44" t="s">
        <v>210</v>
      </c>
      <c r="F27" s="44" t="s">
        <v>166</v>
      </c>
      <c r="G27" s="43" t="s">
        <v>183</v>
      </c>
      <c r="H27" s="43"/>
    </row>
    <row r="28" spans="1:8" x14ac:dyDescent="0.25">
      <c r="A28" s="43">
        <v>80820</v>
      </c>
      <c r="B28" s="43">
        <v>63</v>
      </c>
      <c r="C28" s="44" t="s">
        <v>204</v>
      </c>
      <c r="D28" s="44" t="s">
        <v>211</v>
      </c>
      <c r="E28" s="44" t="s">
        <v>210</v>
      </c>
      <c r="F28" s="44" t="s">
        <v>166</v>
      </c>
      <c r="G28" s="43" t="s">
        <v>183</v>
      </c>
      <c r="H28" s="43"/>
    </row>
    <row r="29" spans="1:8" ht="30" x14ac:dyDescent="0.25">
      <c r="A29" s="43">
        <v>1037124</v>
      </c>
      <c r="B29" s="43">
        <v>75</v>
      </c>
      <c r="C29" s="44" t="s">
        <v>204</v>
      </c>
      <c r="D29" s="44" t="s">
        <v>63</v>
      </c>
      <c r="E29" s="44" t="s">
        <v>212</v>
      </c>
      <c r="F29" s="44" t="s">
        <v>198</v>
      </c>
      <c r="G29" s="43" t="s">
        <v>183</v>
      </c>
      <c r="H29" s="43"/>
    </row>
    <row r="30" spans="1:8" x14ac:dyDescent="0.25">
      <c r="A30" s="43">
        <v>1033811</v>
      </c>
      <c r="B30" s="43">
        <v>76</v>
      </c>
      <c r="C30" s="44" t="s">
        <v>204</v>
      </c>
      <c r="D30" s="44" t="s">
        <v>64</v>
      </c>
      <c r="E30" s="44" t="s">
        <v>212</v>
      </c>
      <c r="F30" s="44" t="s">
        <v>198</v>
      </c>
      <c r="G30" s="43" t="s">
        <v>183</v>
      </c>
      <c r="H30" s="43"/>
    </row>
    <row r="31" spans="1:8" x14ac:dyDescent="0.25">
      <c r="A31" s="43">
        <v>69902</v>
      </c>
      <c r="B31" s="43">
        <v>78</v>
      </c>
      <c r="C31" s="44" t="s">
        <v>204</v>
      </c>
      <c r="D31" s="44" t="s">
        <v>65</v>
      </c>
      <c r="E31" s="44" t="s">
        <v>212</v>
      </c>
      <c r="F31" s="44" t="s">
        <v>198</v>
      </c>
      <c r="G31" s="43" t="s">
        <v>183</v>
      </c>
      <c r="H31" s="43"/>
    </row>
    <row r="32" spans="1:8" x14ac:dyDescent="0.25">
      <c r="A32" s="43">
        <v>64972</v>
      </c>
      <c r="B32" s="43">
        <v>86</v>
      </c>
      <c r="C32" s="44" t="s">
        <v>204</v>
      </c>
      <c r="D32" s="44" t="s">
        <v>41</v>
      </c>
      <c r="E32" s="44" t="s">
        <v>41</v>
      </c>
      <c r="F32" s="44" t="s">
        <v>198</v>
      </c>
      <c r="G32" s="43" t="s">
        <v>183</v>
      </c>
      <c r="H32" s="43"/>
    </row>
    <row r="33" spans="1:8" ht="60" x14ac:dyDescent="0.25">
      <c r="A33" s="43">
        <v>65502313952</v>
      </c>
      <c r="B33" s="43">
        <v>92</v>
      </c>
      <c r="C33" s="44" t="s">
        <v>204</v>
      </c>
      <c r="D33" s="44" t="s">
        <v>213</v>
      </c>
      <c r="E33" s="44" t="s">
        <v>214</v>
      </c>
      <c r="F33" s="44" t="s">
        <v>166</v>
      </c>
      <c r="G33" s="43" t="s">
        <v>183</v>
      </c>
      <c r="H33" s="43"/>
    </row>
    <row r="34" spans="1:8" x14ac:dyDescent="0.25">
      <c r="A34" s="43">
        <v>65502425394</v>
      </c>
      <c r="B34" s="60">
        <v>93</v>
      </c>
      <c r="C34" s="44" t="s">
        <v>197</v>
      </c>
      <c r="D34" s="44" t="s">
        <v>66</v>
      </c>
      <c r="E34" s="44" t="s">
        <v>215</v>
      </c>
      <c r="F34" s="44" t="s">
        <v>166</v>
      </c>
      <c r="G34" s="43" t="s">
        <v>183</v>
      </c>
      <c r="H34" s="43"/>
    </row>
    <row r="35" spans="1:8" x14ac:dyDescent="0.25">
      <c r="A35" s="43">
        <v>1002455</v>
      </c>
      <c r="B35" s="43">
        <v>94</v>
      </c>
      <c r="C35" s="44" t="s">
        <v>204</v>
      </c>
      <c r="D35" s="44" t="s">
        <v>67</v>
      </c>
      <c r="E35" s="44" t="s">
        <v>216</v>
      </c>
      <c r="F35" s="44" t="s">
        <v>202</v>
      </c>
      <c r="G35" s="43" t="s">
        <v>183</v>
      </c>
      <c r="H35" s="43"/>
    </row>
    <row r="36" spans="1:8" ht="30" x14ac:dyDescent="0.25">
      <c r="A36" s="43">
        <v>152965</v>
      </c>
      <c r="B36" s="43">
        <v>105</v>
      </c>
      <c r="C36" s="44" t="s">
        <v>197</v>
      </c>
      <c r="D36" s="44" t="s">
        <v>68</v>
      </c>
      <c r="E36" s="44" t="s">
        <v>217</v>
      </c>
      <c r="F36" s="44" t="s">
        <v>198</v>
      </c>
      <c r="G36" s="43" t="s">
        <v>183</v>
      </c>
      <c r="H36" s="43"/>
    </row>
    <row r="37" spans="1:8" ht="60" x14ac:dyDescent="0.25">
      <c r="A37" s="43">
        <v>1005849</v>
      </c>
      <c r="B37" s="43">
        <v>114</v>
      </c>
      <c r="C37" s="44" t="s">
        <v>204</v>
      </c>
      <c r="D37" s="44" t="s">
        <v>218</v>
      </c>
      <c r="E37" s="44" t="s">
        <v>219</v>
      </c>
      <c r="F37" s="44" t="s">
        <v>167</v>
      </c>
      <c r="G37" s="43" t="s">
        <v>183</v>
      </c>
      <c r="H37" s="43"/>
    </row>
    <row r="38" spans="1:8" x14ac:dyDescent="0.25">
      <c r="A38" s="43">
        <v>78665</v>
      </c>
      <c r="B38" s="43">
        <v>118</v>
      </c>
      <c r="C38" s="44" t="s">
        <v>204</v>
      </c>
      <c r="D38" s="44" t="s">
        <v>223</v>
      </c>
      <c r="E38" s="44" t="s">
        <v>142</v>
      </c>
      <c r="F38" s="44" t="s">
        <v>166</v>
      </c>
      <c r="G38" s="43"/>
      <c r="H38" s="43" t="s">
        <v>183</v>
      </c>
    </row>
    <row r="39" spans="1:8" x14ac:dyDescent="0.25">
      <c r="A39" s="43">
        <v>78666</v>
      </c>
      <c r="B39" s="43">
        <v>118</v>
      </c>
      <c r="C39" s="44" t="s">
        <v>204</v>
      </c>
      <c r="D39" s="44" t="s">
        <v>224</v>
      </c>
      <c r="E39" s="44" t="s">
        <v>142</v>
      </c>
      <c r="F39" s="44" t="s">
        <v>166</v>
      </c>
      <c r="G39" s="43"/>
      <c r="H39" s="43" t="s">
        <v>183</v>
      </c>
    </row>
    <row r="40" spans="1:8" x14ac:dyDescent="0.25">
      <c r="A40" s="43">
        <v>2000216</v>
      </c>
      <c r="B40" s="43">
        <v>118</v>
      </c>
      <c r="C40" s="44" t="s">
        <v>204</v>
      </c>
      <c r="D40" s="44" t="s">
        <v>225</v>
      </c>
      <c r="E40" s="44" t="s">
        <v>142</v>
      </c>
      <c r="F40" s="44" t="s">
        <v>166</v>
      </c>
      <c r="G40" s="43"/>
      <c r="H40" s="43" t="s">
        <v>183</v>
      </c>
    </row>
    <row r="41" spans="1:8" x14ac:dyDescent="0.25">
      <c r="A41" s="43">
        <v>2000217</v>
      </c>
      <c r="B41" s="43">
        <v>118</v>
      </c>
      <c r="C41" s="44" t="s">
        <v>204</v>
      </c>
      <c r="D41" s="44" t="s">
        <v>226</v>
      </c>
      <c r="E41" s="44" t="s">
        <v>142</v>
      </c>
      <c r="F41" s="44" t="s">
        <v>166</v>
      </c>
      <c r="G41" s="43"/>
      <c r="H41" s="43" t="s">
        <v>183</v>
      </c>
    </row>
    <row r="42" spans="1:8" x14ac:dyDescent="0.25">
      <c r="A42" s="43">
        <v>2000218</v>
      </c>
      <c r="B42" s="43">
        <v>118</v>
      </c>
      <c r="C42" s="44" t="s">
        <v>204</v>
      </c>
      <c r="D42" s="44" t="s">
        <v>227</v>
      </c>
      <c r="E42" s="44" t="s">
        <v>142</v>
      </c>
      <c r="F42" s="44" t="s">
        <v>166</v>
      </c>
      <c r="G42" s="43"/>
      <c r="H42" s="43" t="s">
        <v>183</v>
      </c>
    </row>
    <row r="43" spans="1:8" x14ac:dyDescent="0.25">
      <c r="A43" s="43">
        <v>2000219</v>
      </c>
      <c r="B43" s="43">
        <v>118</v>
      </c>
      <c r="C43" s="44" t="s">
        <v>204</v>
      </c>
      <c r="D43" s="44" t="s">
        <v>228</v>
      </c>
      <c r="E43" s="44" t="s">
        <v>142</v>
      </c>
      <c r="F43" s="44" t="s">
        <v>166</v>
      </c>
      <c r="G43" s="43"/>
      <c r="H43" s="43" t="s">
        <v>183</v>
      </c>
    </row>
    <row r="44" spans="1:8" x14ac:dyDescent="0.25">
      <c r="A44" s="43">
        <v>2000220</v>
      </c>
      <c r="B44" s="43">
        <v>118</v>
      </c>
      <c r="C44" s="44" t="s">
        <v>204</v>
      </c>
      <c r="D44" s="44" t="s">
        <v>229</v>
      </c>
      <c r="E44" s="44" t="s">
        <v>142</v>
      </c>
      <c r="F44" s="44" t="s">
        <v>166</v>
      </c>
      <c r="G44" s="43"/>
      <c r="H44" s="43" t="s">
        <v>183</v>
      </c>
    </row>
    <row r="45" spans="1:8" x14ac:dyDescent="0.25">
      <c r="A45" s="43">
        <v>2000221</v>
      </c>
      <c r="B45" s="43">
        <v>118</v>
      </c>
      <c r="C45" s="44" t="s">
        <v>204</v>
      </c>
      <c r="D45" s="44" t="s">
        <v>230</v>
      </c>
      <c r="E45" s="44" t="s">
        <v>142</v>
      </c>
      <c r="F45" s="44" t="s">
        <v>166</v>
      </c>
      <c r="G45" s="43"/>
      <c r="H45" s="43" t="s">
        <v>183</v>
      </c>
    </row>
    <row r="46" spans="1:8" x14ac:dyDescent="0.25">
      <c r="A46" s="43">
        <v>2000240</v>
      </c>
      <c r="B46" s="43">
        <v>120</v>
      </c>
      <c r="C46" s="44" t="s">
        <v>204</v>
      </c>
      <c r="D46" s="44" t="s">
        <v>231</v>
      </c>
      <c r="E46" s="44" t="s">
        <v>232</v>
      </c>
      <c r="F46" s="44" t="s">
        <v>166</v>
      </c>
      <c r="G46" s="43" t="s">
        <v>183</v>
      </c>
      <c r="H46" s="43"/>
    </row>
    <row r="47" spans="1:8" x14ac:dyDescent="0.25">
      <c r="A47" s="43">
        <v>2000241</v>
      </c>
      <c r="B47" s="43">
        <v>120</v>
      </c>
      <c r="C47" s="44" t="s">
        <v>204</v>
      </c>
      <c r="D47" s="44" t="s">
        <v>233</v>
      </c>
      <c r="E47" s="44" t="s">
        <v>232</v>
      </c>
      <c r="F47" s="44" t="s">
        <v>166</v>
      </c>
      <c r="G47" s="43" t="s">
        <v>183</v>
      </c>
      <c r="H47" s="43"/>
    </row>
    <row r="48" spans="1:8" x14ac:dyDescent="0.25">
      <c r="A48" s="43">
        <v>2000238</v>
      </c>
      <c r="B48" s="43">
        <v>121</v>
      </c>
      <c r="C48" s="44" t="s">
        <v>204</v>
      </c>
      <c r="D48" s="44" t="s">
        <v>234</v>
      </c>
      <c r="E48" s="44" t="s">
        <v>232</v>
      </c>
      <c r="F48" s="44" t="s">
        <v>166</v>
      </c>
      <c r="G48" s="43" t="s">
        <v>183</v>
      </c>
      <c r="H48" s="43"/>
    </row>
    <row r="49" spans="1:8" x14ac:dyDescent="0.25">
      <c r="A49" s="43">
        <v>2000239</v>
      </c>
      <c r="B49" s="43">
        <v>121</v>
      </c>
      <c r="C49" s="44" t="s">
        <v>204</v>
      </c>
      <c r="D49" s="44" t="s">
        <v>235</v>
      </c>
      <c r="E49" s="44" t="s">
        <v>232</v>
      </c>
      <c r="F49" s="44" t="s">
        <v>166</v>
      </c>
      <c r="G49" s="43" t="s">
        <v>183</v>
      </c>
      <c r="H49" s="43"/>
    </row>
    <row r="50" spans="1:8" x14ac:dyDescent="0.25">
      <c r="A50" s="43">
        <v>65501387259</v>
      </c>
      <c r="B50" s="43">
        <v>122</v>
      </c>
      <c r="C50" s="44" t="s">
        <v>204</v>
      </c>
      <c r="D50" s="44" t="s">
        <v>42</v>
      </c>
      <c r="E50" s="44" t="s">
        <v>42</v>
      </c>
      <c r="F50" s="44" t="s">
        <v>166</v>
      </c>
      <c r="G50" s="43" t="s">
        <v>183</v>
      </c>
      <c r="H50" s="43"/>
    </row>
    <row r="51" spans="1:8" x14ac:dyDescent="0.25">
      <c r="A51" s="43">
        <v>1013187</v>
      </c>
      <c r="B51" s="43">
        <v>127</v>
      </c>
      <c r="C51" s="44" t="s">
        <v>204</v>
      </c>
      <c r="D51" s="44" t="s">
        <v>43</v>
      </c>
      <c r="E51" s="44" t="s">
        <v>236</v>
      </c>
      <c r="F51" s="44" t="s">
        <v>166</v>
      </c>
      <c r="G51" s="43" t="s">
        <v>183</v>
      </c>
      <c r="H51" s="43"/>
    </row>
    <row r="52" spans="1:8" x14ac:dyDescent="0.25">
      <c r="A52" s="43">
        <v>2000486</v>
      </c>
      <c r="B52" s="43">
        <v>128</v>
      </c>
      <c r="C52" s="44" t="s">
        <v>204</v>
      </c>
      <c r="D52" s="44" t="s">
        <v>171</v>
      </c>
      <c r="E52" s="44" t="s">
        <v>221</v>
      </c>
      <c r="F52" s="44" t="s">
        <v>198</v>
      </c>
      <c r="G52" s="43" t="s">
        <v>183</v>
      </c>
      <c r="H52" s="43"/>
    </row>
    <row r="53" spans="1:8" x14ac:dyDescent="0.25">
      <c r="A53" s="43">
        <v>71535</v>
      </c>
      <c r="B53" s="43">
        <v>1071</v>
      </c>
      <c r="C53" s="44" t="s">
        <v>197</v>
      </c>
      <c r="D53" s="44" t="s">
        <v>237</v>
      </c>
      <c r="E53" s="44" t="s">
        <v>238</v>
      </c>
      <c r="F53" s="44" t="s">
        <v>166</v>
      </c>
      <c r="G53" s="43"/>
      <c r="H53" s="43" t="s">
        <v>183</v>
      </c>
    </row>
    <row r="54" spans="1:8" x14ac:dyDescent="0.25">
      <c r="A54" s="43">
        <v>71532</v>
      </c>
      <c r="B54" s="43">
        <v>1071</v>
      </c>
      <c r="C54" s="44" t="s">
        <v>197</v>
      </c>
      <c r="D54" s="44" t="s">
        <v>239</v>
      </c>
      <c r="E54" s="44" t="s">
        <v>238</v>
      </c>
      <c r="F54" s="44" t="s">
        <v>166</v>
      </c>
      <c r="G54" s="43"/>
      <c r="H54" s="43" t="s">
        <v>183</v>
      </c>
    </row>
    <row r="55" spans="1:8" x14ac:dyDescent="0.25">
      <c r="A55" s="43">
        <v>1031629</v>
      </c>
      <c r="B55" s="43">
        <v>1074</v>
      </c>
      <c r="C55" s="44" t="s">
        <v>204</v>
      </c>
      <c r="D55" s="44" t="s">
        <v>71</v>
      </c>
      <c r="E55" s="44" t="s">
        <v>240</v>
      </c>
      <c r="F55" s="44" t="s">
        <v>166</v>
      </c>
      <c r="G55" s="43" t="s">
        <v>183</v>
      </c>
      <c r="H55" s="43"/>
    </row>
    <row r="56" spans="1:8" x14ac:dyDescent="0.25">
      <c r="A56" s="43">
        <v>1031627</v>
      </c>
      <c r="B56" s="43">
        <v>1074</v>
      </c>
      <c r="C56" s="44" t="s">
        <v>204</v>
      </c>
      <c r="D56" s="44" t="s">
        <v>72</v>
      </c>
      <c r="E56" s="44" t="s">
        <v>240</v>
      </c>
      <c r="F56" s="44" t="s">
        <v>166</v>
      </c>
      <c r="G56" s="43" t="s">
        <v>183</v>
      </c>
      <c r="H56" s="43"/>
    </row>
    <row r="57" spans="1:8" ht="30" x14ac:dyDescent="0.25">
      <c r="A57" s="43">
        <v>142481</v>
      </c>
      <c r="B57" s="43">
        <v>1081</v>
      </c>
      <c r="C57" s="44" t="s">
        <v>204</v>
      </c>
      <c r="D57" s="44" t="s">
        <v>73</v>
      </c>
      <c r="E57" s="48" t="s">
        <v>216</v>
      </c>
      <c r="F57" s="44" t="s">
        <v>202</v>
      </c>
      <c r="G57" s="43" t="s">
        <v>183</v>
      </c>
      <c r="H57" s="43"/>
    </row>
    <row r="58" spans="1:8" ht="30" x14ac:dyDescent="0.25">
      <c r="A58" s="43">
        <v>142482</v>
      </c>
      <c r="B58" s="43">
        <v>1082</v>
      </c>
      <c r="C58" s="44" t="s">
        <v>204</v>
      </c>
      <c r="D58" s="44" t="s">
        <v>74</v>
      </c>
      <c r="E58" s="48" t="s">
        <v>216</v>
      </c>
      <c r="F58" s="44" t="s">
        <v>202</v>
      </c>
      <c r="G58" s="43" t="s">
        <v>183</v>
      </c>
      <c r="H58" s="43"/>
    </row>
    <row r="59" spans="1:8" ht="45" x14ac:dyDescent="0.25">
      <c r="A59" s="43">
        <v>65507665273</v>
      </c>
      <c r="B59" s="43">
        <v>1094</v>
      </c>
      <c r="C59" s="44" t="s">
        <v>204</v>
      </c>
      <c r="D59" s="44" t="s">
        <v>75</v>
      </c>
      <c r="E59" s="44" t="s">
        <v>209</v>
      </c>
      <c r="F59" s="44" t="s">
        <v>166</v>
      </c>
      <c r="G59" s="43" t="s">
        <v>183</v>
      </c>
      <c r="H59" s="43"/>
    </row>
    <row r="60" spans="1:8" x14ac:dyDescent="0.25">
      <c r="A60" s="41">
        <v>75655</v>
      </c>
      <c r="B60" s="41">
        <v>1097</v>
      </c>
      <c r="C60" s="40" t="s">
        <v>204</v>
      </c>
      <c r="D60" s="40" t="s">
        <v>76</v>
      </c>
      <c r="E60" s="44" t="s">
        <v>76</v>
      </c>
      <c r="F60" s="44" t="s">
        <v>198</v>
      </c>
      <c r="G60" s="43" t="s">
        <v>183</v>
      </c>
      <c r="H60" s="43"/>
    </row>
    <row r="61" spans="1:8" x14ac:dyDescent="0.25">
      <c r="A61" s="43">
        <v>75145</v>
      </c>
      <c r="B61" s="43">
        <v>1800</v>
      </c>
      <c r="C61" s="44" t="s">
        <v>197</v>
      </c>
      <c r="D61" s="44" t="s">
        <v>77</v>
      </c>
      <c r="E61" s="44" t="s">
        <v>241</v>
      </c>
      <c r="F61" s="44" t="s">
        <v>166</v>
      </c>
      <c r="G61" s="43" t="s">
        <v>183</v>
      </c>
      <c r="H61" s="43"/>
    </row>
    <row r="62" spans="1:8" x14ac:dyDescent="0.25">
      <c r="A62" s="43">
        <v>75146</v>
      </c>
      <c r="B62" s="43">
        <v>1800</v>
      </c>
      <c r="C62" s="44" t="s">
        <v>197</v>
      </c>
      <c r="D62" s="44" t="s">
        <v>78</v>
      </c>
      <c r="E62" s="44" t="s">
        <v>241</v>
      </c>
      <c r="F62" s="44" t="s">
        <v>166</v>
      </c>
      <c r="G62" s="43" t="s">
        <v>183</v>
      </c>
      <c r="H62" s="43"/>
    </row>
    <row r="63" spans="1:8" x14ac:dyDescent="0.25">
      <c r="A63" s="43">
        <v>65507430562</v>
      </c>
      <c r="B63" s="43" t="s">
        <v>242</v>
      </c>
      <c r="C63" s="44" t="s">
        <v>165</v>
      </c>
      <c r="D63" s="44" t="s">
        <v>243</v>
      </c>
      <c r="E63" s="44" t="s">
        <v>243</v>
      </c>
      <c r="F63" s="44" t="s">
        <v>198</v>
      </c>
      <c r="G63" s="43" t="s">
        <v>183</v>
      </c>
      <c r="H63" s="43"/>
    </row>
    <row r="64" spans="1:8" x14ac:dyDescent="0.25">
      <c r="A64" s="43">
        <v>2000182</v>
      </c>
      <c r="B64" s="43">
        <v>2500</v>
      </c>
      <c r="C64" s="44" t="s">
        <v>204</v>
      </c>
      <c r="D64" s="44" t="s">
        <v>141</v>
      </c>
      <c r="E64" s="44" t="s">
        <v>142</v>
      </c>
      <c r="F64" s="44" t="s">
        <v>166</v>
      </c>
      <c r="G64" s="43"/>
      <c r="H64" s="43" t="s">
        <v>183</v>
      </c>
    </row>
    <row r="65" spans="1:8" x14ac:dyDescent="0.25">
      <c r="A65" s="43">
        <v>2000183</v>
      </c>
      <c r="B65" s="43">
        <v>2500</v>
      </c>
      <c r="C65" s="44" t="s">
        <v>204</v>
      </c>
      <c r="D65" s="44" t="s">
        <v>244</v>
      </c>
      <c r="E65" s="44" t="s">
        <v>142</v>
      </c>
      <c r="F65" s="44" t="s">
        <v>166</v>
      </c>
      <c r="G65" s="43"/>
      <c r="H65" s="43" t="s">
        <v>183</v>
      </c>
    </row>
    <row r="66" spans="1:8" x14ac:dyDescent="0.25">
      <c r="A66" s="43">
        <v>1012259</v>
      </c>
      <c r="B66" s="43">
        <v>2600</v>
      </c>
      <c r="C66" s="44" t="s">
        <v>204</v>
      </c>
      <c r="D66" s="44" t="s">
        <v>284</v>
      </c>
      <c r="E66" s="44" t="s">
        <v>142</v>
      </c>
      <c r="F66" s="44" t="s">
        <v>166</v>
      </c>
      <c r="G66" s="43"/>
      <c r="H66" s="43" t="s">
        <v>183</v>
      </c>
    </row>
    <row r="67" spans="1:8" x14ac:dyDescent="0.25">
      <c r="A67" s="43">
        <v>1012260</v>
      </c>
      <c r="B67" s="43">
        <v>2600</v>
      </c>
      <c r="C67" s="44" t="s">
        <v>204</v>
      </c>
      <c r="D67" s="44" t="s">
        <v>285</v>
      </c>
      <c r="E67" s="44" t="s">
        <v>142</v>
      </c>
      <c r="F67" s="44" t="s">
        <v>166</v>
      </c>
      <c r="G67" s="43"/>
      <c r="H67" s="43" t="s">
        <v>183</v>
      </c>
    </row>
    <row r="68" spans="1:8" x14ac:dyDescent="0.25">
      <c r="A68" s="43">
        <v>2000423</v>
      </c>
      <c r="B68" s="43">
        <v>2700</v>
      </c>
      <c r="C68" s="44" t="s">
        <v>204</v>
      </c>
      <c r="D68" s="44" t="s">
        <v>178</v>
      </c>
      <c r="E68" s="44" t="s">
        <v>142</v>
      </c>
      <c r="F68" s="44" t="s">
        <v>166</v>
      </c>
      <c r="G68" s="43"/>
      <c r="H68" s="43" t="s">
        <v>183</v>
      </c>
    </row>
    <row r="69" spans="1:8" x14ac:dyDescent="0.25">
      <c r="A69" s="43">
        <v>2000424</v>
      </c>
      <c r="B69" s="43">
        <v>2700</v>
      </c>
      <c r="C69" s="44" t="s">
        <v>204</v>
      </c>
      <c r="D69" s="44" t="s">
        <v>179</v>
      </c>
      <c r="E69" s="44" t="s">
        <v>142</v>
      </c>
      <c r="F69" s="44" t="s">
        <v>166</v>
      </c>
      <c r="G69" s="43"/>
      <c r="H69" s="43" t="s">
        <v>183</v>
      </c>
    </row>
    <row r="70" spans="1:8" x14ac:dyDescent="0.25">
      <c r="A70" s="43">
        <v>2000780</v>
      </c>
      <c r="B70" s="43">
        <v>2777</v>
      </c>
      <c r="C70" s="44" t="s">
        <v>204</v>
      </c>
      <c r="D70" s="44" t="s">
        <v>286</v>
      </c>
      <c r="E70" s="44" t="s">
        <v>142</v>
      </c>
      <c r="F70" s="44" t="s">
        <v>166</v>
      </c>
      <c r="G70" s="43"/>
      <c r="H70" s="43" t="s">
        <v>183</v>
      </c>
    </row>
    <row r="71" spans="1:8" x14ac:dyDescent="0.25">
      <c r="A71" s="43">
        <v>2000779</v>
      </c>
      <c r="B71" s="43">
        <v>2777</v>
      </c>
      <c r="C71" s="44" t="s">
        <v>204</v>
      </c>
      <c r="D71" s="44" t="s">
        <v>287</v>
      </c>
      <c r="E71" s="44" t="s">
        <v>142</v>
      </c>
      <c r="F71" s="44" t="s">
        <v>166</v>
      </c>
      <c r="G71" s="43"/>
      <c r="H71" s="43" t="s">
        <v>183</v>
      </c>
    </row>
    <row r="72" spans="1:8" x14ac:dyDescent="0.25">
      <c r="A72" s="43">
        <v>2001047</v>
      </c>
      <c r="B72" s="43">
        <v>2779</v>
      </c>
      <c r="C72" s="44" t="s">
        <v>204</v>
      </c>
      <c r="D72" s="44" t="s">
        <v>288</v>
      </c>
      <c r="E72" s="49" t="s">
        <v>142</v>
      </c>
      <c r="F72" s="44" t="s">
        <v>166</v>
      </c>
      <c r="G72" s="43"/>
      <c r="H72" s="43" t="s">
        <v>183</v>
      </c>
    </row>
    <row r="73" spans="1:8" x14ac:dyDescent="0.25">
      <c r="A73" s="43">
        <v>2001046</v>
      </c>
      <c r="B73" s="43">
        <v>2779</v>
      </c>
      <c r="C73" s="44" t="s">
        <v>204</v>
      </c>
      <c r="D73" s="44" t="s">
        <v>289</v>
      </c>
      <c r="E73" s="49" t="s">
        <v>142</v>
      </c>
      <c r="F73" s="44" t="s">
        <v>166</v>
      </c>
      <c r="G73" s="43"/>
      <c r="H73" s="43" t="s">
        <v>183</v>
      </c>
    </row>
    <row r="74" spans="1:8" x14ac:dyDescent="0.25">
      <c r="A74" s="50">
        <v>4031</v>
      </c>
      <c r="B74" s="43">
        <v>4031</v>
      </c>
      <c r="C74" s="44" t="s">
        <v>197</v>
      </c>
      <c r="D74" s="44" t="s">
        <v>163</v>
      </c>
      <c r="E74" s="49" t="s">
        <v>163</v>
      </c>
      <c r="F74" s="44" t="s">
        <v>198</v>
      </c>
      <c r="G74" s="43" t="s">
        <v>183</v>
      </c>
      <c r="H74" s="43"/>
    </row>
    <row r="75" spans="1:8" x14ac:dyDescent="0.25">
      <c r="A75" s="43">
        <v>1018014</v>
      </c>
      <c r="B75" s="43">
        <v>1018014</v>
      </c>
      <c r="C75" s="44" t="s">
        <v>204</v>
      </c>
      <c r="D75" s="44" t="s">
        <v>79</v>
      </c>
      <c r="E75" s="44" t="s">
        <v>79</v>
      </c>
      <c r="F75" s="44" t="s">
        <v>202</v>
      </c>
      <c r="G75" s="43" t="s">
        <v>183</v>
      </c>
      <c r="H75" s="43"/>
    </row>
    <row r="76" spans="1:8" ht="30" x14ac:dyDescent="0.25">
      <c r="A76" s="43">
        <v>1018122</v>
      </c>
      <c r="B76" s="43">
        <v>1018122</v>
      </c>
      <c r="C76" s="44" t="s">
        <v>204</v>
      </c>
      <c r="D76" s="44" t="s">
        <v>80</v>
      </c>
      <c r="E76" s="44" t="s">
        <v>216</v>
      </c>
      <c r="F76" s="44" t="s">
        <v>202</v>
      </c>
      <c r="G76" s="43" t="s">
        <v>183</v>
      </c>
      <c r="H76" s="43"/>
    </row>
    <row r="77" spans="1:8" x14ac:dyDescent="0.25">
      <c r="A77" s="43">
        <v>1018302</v>
      </c>
      <c r="B77" s="43">
        <v>1018302</v>
      </c>
      <c r="C77" s="44" t="s">
        <v>204</v>
      </c>
      <c r="D77" s="44" t="s">
        <v>81</v>
      </c>
      <c r="E77" s="44" t="s">
        <v>216</v>
      </c>
      <c r="F77" s="44" t="s">
        <v>202</v>
      </c>
      <c r="G77" s="43" t="s">
        <v>183</v>
      </c>
      <c r="H77" s="43"/>
    </row>
    <row r="78" spans="1:8" ht="30" x14ac:dyDescent="0.25">
      <c r="A78" s="43">
        <v>1031547</v>
      </c>
      <c r="B78" s="43">
        <v>1031547</v>
      </c>
      <c r="C78" s="44" t="s">
        <v>204</v>
      </c>
      <c r="D78" s="44" t="s">
        <v>34</v>
      </c>
      <c r="E78" s="44" t="s">
        <v>245</v>
      </c>
      <c r="F78" s="44" t="s">
        <v>198</v>
      </c>
      <c r="G78" s="43" t="s">
        <v>183</v>
      </c>
      <c r="H78" s="43"/>
    </row>
    <row r="79" spans="1:8" ht="30" x14ac:dyDescent="0.25">
      <c r="A79" s="43">
        <v>1031548</v>
      </c>
      <c r="B79" s="43">
        <v>1031548</v>
      </c>
      <c r="C79" s="44" t="s">
        <v>204</v>
      </c>
      <c r="D79" s="44" t="s">
        <v>35</v>
      </c>
      <c r="E79" s="44" t="s">
        <v>245</v>
      </c>
      <c r="F79" s="44" t="s">
        <v>198</v>
      </c>
      <c r="G79" s="43" t="s">
        <v>183</v>
      </c>
      <c r="H79" s="43"/>
    </row>
    <row r="80" spans="1:8" ht="30" x14ac:dyDescent="0.25">
      <c r="A80" s="43">
        <v>1031549</v>
      </c>
      <c r="B80" s="43">
        <v>1031549</v>
      </c>
      <c r="C80" s="44" t="s">
        <v>204</v>
      </c>
      <c r="D80" s="44" t="s">
        <v>36</v>
      </c>
      <c r="E80" s="44" t="s">
        <v>245</v>
      </c>
      <c r="F80" s="44" t="s">
        <v>198</v>
      </c>
      <c r="G80" s="43" t="s">
        <v>183</v>
      </c>
      <c r="H80" s="43"/>
    </row>
    <row r="81" spans="1:8" x14ac:dyDescent="0.25">
      <c r="A81" s="43">
        <v>1031550</v>
      </c>
      <c r="B81" s="43">
        <v>1031550</v>
      </c>
      <c r="C81" s="44" t="s">
        <v>204</v>
      </c>
      <c r="D81" s="44" t="s">
        <v>37</v>
      </c>
      <c r="E81" s="44" t="s">
        <v>245</v>
      </c>
      <c r="F81" s="44" t="s">
        <v>198</v>
      </c>
      <c r="G81" s="43" t="s">
        <v>183</v>
      </c>
      <c r="H81" s="43"/>
    </row>
    <row r="82" spans="1:8" ht="30" x14ac:dyDescent="0.25">
      <c r="A82" s="43">
        <v>1031551</v>
      </c>
      <c r="B82" s="43">
        <v>1031551</v>
      </c>
      <c r="C82" s="44" t="s">
        <v>204</v>
      </c>
      <c r="D82" s="44" t="s">
        <v>38</v>
      </c>
      <c r="E82" s="44" t="s">
        <v>245</v>
      </c>
      <c r="F82" s="47" t="s">
        <v>198</v>
      </c>
      <c r="G82" s="43" t="s">
        <v>183</v>
      </c>
      <c r="H82" s="43"/>
    </row>
    <row r="83" spans="1:8" x14ac:dyDescent="0.25">
      <c r="A83" s="41">
        <v>79971</v>
      </c>
      <c r="B83" s="41">
        <v>1032128</v>
      </c>
      <c r="C83" s="40" t="s">
        <v>197</v>
      </c>
      <c r="D83" s="40" t="s">
        <v>290</v>
      </c>
      <c r="E83" s="44" t="s">
        <v>290</v>
      </c>
      <c r="F83" s="44" t="s">
        <v>166</v>
      </c>
      <c r="G83" s="43" t="s">
        <v>183</v>
      </c>
      <c r="H83" s="43"/>
    </row>
    <row r="84" spans="1:8" ht="45" x14ac:dyDescent="0.25">
      <c r="A84" s="35">
        <v>1032873</v>
      </c>
      <c r="B84" s="43">
        <v>1032873</v>
      </c>
      <c r="C84" s="44" t="s">
        <v>165</v>
      </c>
      <c r="D84" s="44" t="s">
        <v>170</v>
      </c>
      <c r="E84" s="44" t="s">
        <v>170</v>
      </c>
      <c r="F84" s="44" t="s">
        <v>166</v>
      </c>
      <c r="G84" s="43" t="s">
        <v>183</v>
      </c>
      <c r="H84" s="43"/>
    </row>
    <row r="85" spans="1:8" x14ac:dyDescent="0.25">
      <c r="A85" s="41">
        <v>2000736</v>
      </c>
      <c r="B85" s="41">
        <v>2000736</v>
      </c>
      <c r="C85" s="40" t="s">
        <v>197</v>
      </c>
      <c r="D85" s="40" t="s">
        <v>86</v>
      </c>
      <c r="E85" s="44" t="s">
        <v>76</v>
      </c>
      <c r="F85" s="44" t="s">
        <v>198</v>
      </c>
      <c r="G85" s="43" t="s">
        <v>183</v>
      </c>
      <c r="H85" s="43"/>
    </row>
    <row r="86" spans="1:8" ht="30" x14ac:dyDescent="0.25">
      <c r="A86" s="43">
        <v>2000905</v>
      </c>
      <c r="B86" s="43">
        <v>2000905</v>
      </c>
      <c r="C86" s="44" t="s">
        <v>204</v>
      </c>
      <c r="D86" s="44" t="s">
        <v>45</v>
      </c>
      <c r="E86" s="44" t="s">
        <v>45</v>
      </c>
      <c r="F86" s="44" t="s">
        <v>166</v>
      </c>
      <c r="G86" s="43" t="s">
        <v>183</v>
      </c>
      <c r="H86" s="43"/>
    </row>
    <row r="87" spans="1:8" x14ac:dyDescent="0.25">
      <c r="A87" s="43">
        <v>65505283448</v>
      </c>
      <c r="B87" s="43" t="s">
        <v>96</v>
      </c>
      <c r="C87" s="44" t="s">
        <v>204</v>
      </c>
      <c r="D87" s="44" t="s">
        <v>246</v>
      </c>
      <c r="E87" s="44" t="s">
        <v>247</v>
      </c>
      <c r="F87" s="44" t="s">
        <v>198</v>
      </c>
      <c r="G87" s="43" t="s">
        <v>183</v>
      </c>
      <c r="H87" s="43"/>
    </row>
    <row r="88" spans="1:8" x14ac:dyDescent="0.25">
      <c r="A88" s="43">
        <v>65505283360</v>
      </c>
      <c r="B88" s="43" t="s">
        <v>97</v>
      </c>
      <c r="C88" s="44" t="s">
        <v>204</v>
      </c>
      <c r="D88" s="44" t="s">
        <v>248</v>
      </c>
      <c r="E88" s="44" t="s">
        <v>247</v>
      </c>
      <c r="F88" s="44" t="s">
        <v>198</v>
      </c>
      <c r="G88" s="43" t="s">
        <v>183</v>
      </c>
      <c r="H88" s="43"/>
    </row>
    <row r="89" spans="1:8" ht="45" x14ac:dyDescent="0.25">
      <c r="A89" s="43">
        <v>1018867</v>
      </c>
      <c r="B89" s="52" t="s">
        <v>93</v>
      </c>
      <c r="C89" s="51" t="s">
        <v>204</v>
      </c>
      <c r="D89" s="51" t="s">
        <v>249</v>
      </c>
      <c r="E89" s="36" t="s">
        <v>250</v>
      </c>
      <c r="F89" s="51" t="s">
        <v>198</v>
      </c>
      <c r="G89" s="52" t="s">
        <v>183</v>
      </c>
      <c r="H89" s="52"/>
    </row>
    <row r="90" spans="1:8" ht="30" x14ac:dyDescent="0.25">
      <c r="A90" s="43">
        <v>2000849</v>
      </c>
      <c r="B90" s="43" t="s">
        <v>174</v>
      </c>
      <c r="C90" s="44" t="s">
        <v>204</v>
      </c>
      <c r="D90" s="44" t="s">
        <v>251</v>
      </c>
      <c r="E90" s="44" t="s">
        <v>252</v>
      </c>
      <c r="F90" s="44" t="s">
        <v>198</v>
      </c>
      <c r="G90" s="43" t="s">
        <v>183</v>
      </c>
      <c r="H90" s="43"/>
    </row>
    <row r="91" spans="1:8" ht="30" x14ac:dyDescent="0.25">
      <c r="A91" s="43">
        <v>2000848</v>
      </c>
      <c r="B91" s="43" t="s">
        <v>173</v>
      </c>
      <c r="C91" s="44" t="s">
        <v>204</v>
      </c>
      <c r="D91" s="44" t="s">
        <v>253</v>
      </c>
      <c r="E91" s="44" t="s">
        <v>252</v>
      </c>
      <c r="F91" s="44" t="s">
        <v>198</v>
      </c>
      <c r="G91" s="43" t="s">
        <v>183</v>
      </c>
      <c r="H91" s="43"/>
    </row>
    <row r="92" spans="1:8" ht="30" x14ac:dyDescent="0.25">
      <c r="A92" s="43">
        <v>65501372909</v>
      </c>
      <c r="B92" s="43" t="s">
        <v>94</v>
      </c>
      <c r="C92" s="44" t="s">
        <v>204</v>
      </c>
      <c r="D92" s="44" t="s">
        <v>95</v>
      </c>
      <c r="E92" s="44" t="s">
        <v>254</v>
      </c>
      <c r="F92" s="44" t="s">
        <v>198</v>
      </c>
      <c r="G92" s="43" t="s">
        <v>183</v>
      </c>
      <c r="H92" s="43"/>
    </row>
    <row r="93" spans="1:8" x14ac:dyDescent="0.25">
      <c r="A93" s="43">
        <v>1031340</v>
      </c>
      <c r="B93" s="43" t="s">
        <v>100</v>
      </c>
      <c r="C93" s="44" t="s">
        <v>204</v>
      </c>
      <c r="D93" s="44" t="s">
        <v>101</v>
      </c>
      <c r="E93" s="44" t="s">
        <v>101</v>
      </c>
      <c r="F93" s="44" t="s">
        <v>198</v>
      </c>
      <c r="G93" s="43" t="s">
        <v>183</v>
      </c>
      <c r="H93" s="43"/>
    </row>
    <row r="94" spans="1:8" x14ac:dyDescent="0.25">
      <c r="A94" s="41">
        <v>2000522</v>
      </c>
      <c r="B94" s="41" t="s">
        <v>47</v>
      </c>
      <c r="C94" s="40" t="s">
        <v>204</v>
      </c>
      <c r="D94" s="40" t="s">
        <v>48</v>
      </c>
      <c r="E94" s="44" t="s">
        <v>48</v>
      </c>
      <c r="F94" s="44" t="s">
        <v>198</v>
      </c>
      <c r="G94" s="43" t="s">
        <v>183</v>
      </c>
      <c r="H94" s="43"/>
    </row>
    <row r="95" spans="1:8" x14ac:dyDescent="0.25">
      <c r="A95" s="43">
        <v>65505283309</v>
      </c>
      <c r="B95" s="43" t="s">
        <v>98</v>
      </c>
      <c r="C95" s="44" t="s">
        <v>204</v>
      </c>
      <c r="D95" s="44" t="s">
        <v>98</v>
      </c>
      <c r="E95" s="44" t="s">
        <v>247</v>
      </c>
      <c r="F95" s="44" t="s">
        <v>198</v>
      </c>
      <c r="G95" s="43" t="s">
        <v>183</v>
      </c>
      <c r="H95" s="43"/>
    </row>
    <row r="96" spans="1:8" x14ac:dyDescent="0.25">
      <c r="A96" s="43">
        <v>2000574</v>
      </c>
      <c r="B96" s="43" t="s">
        <v>172</v>
      </c>
      <c r="C96" s="44" t="s">
        <v>204</v>
      </c>
      <c r="D96" s="44" t="s">
        <v>255</v>
      </c>
      <c r="E96" s="44" t="s">
        <v>172</v>
      </c>
      <c r="F96" s="44" t="s">
        <v>166</v>
      </c>
      <c r="G96" s="43" t="s">
        <v>183</v>
      </c>
      <c r="H96" s="43"/>
    </row>
    <row r="97" spans="1:8" x14ac:dyDescent="0.25">
      <c r="A97" s="43">
        <v>2000577</v>
      </c>
      <c r="B97" s="43" t="s">
        <v>172</v>
      </c>
      <c r="C97" s="44" t="s">
        <v>204</v>
      </c>
      <c r="D97" s="44" t="s">
        <v>255</v>
      </c>
      <c r="E97" s="44" t="s">
        <v>172</v>
      </c>
      <c r="F97" s="44" t="s">
        <v>166</v>
      </c>
      <c r="G97" s="43" t="s">
        <v>183</v>
      </c>
      <c r="H97" s="43"/>
    </row>
    <row r="98" spans="1:8" x14ac:dyDescent="0.25">
      <c r="A98" s="43">
        <v>2000575</v>
      </c>
      <c r="B98" s="43" t="s">
        <v>172</v>
      </c>
      <c r="C98" s="44" t="s">
        <v>204</v>
      </c>
      <c r="D98" s="44" t="s">
        <v>255</v>
      </c>
      <c r="E98" s="44" t="s">
        <v>172</v>
      </c>
      <c r="F98" s="44" t="s">
        <v>166</v>
      </c>
      <c r="G98" s="43" t="s">
        <v>183</v>
      </c>
      <c r="H98" s="43"/>
    </row>
    <row r="99" spans="1:8" x14ac:dyDescent="0.25">
      <c r="A99" s="43">
        <v>2000576</v>
      </c>
      <c r="B99" s="43" t="s">
        <v>172</v>
      </c>
      <c r="C99" s="44" t="s">
        <v>204</v>
      </c>
      <c r="D99" s="44" t="s">
        <v>255</v>
      </c>
      <c r="E99" s="44" t="s">
        <v>172</v>
      </c>
      <c r="F99" s="44" t="s">
        <v>166</v>
      </c>
      <c r="G99" s="43" t="s">
        <v>183</v>
      </c>
      <c r="H99" s="44"/>
    </row>
    <row r="100" spans="1:8" ht="45" x14ac:dyDescent="0.25">
      <c r="A100" s="43">
        <v>2000926</v>
      </c>
      <c r="B100" s="43" t="s">
        <v>256</v>
      </c>
      <c r="C100" s="44" t="s">
        <v>204</v>
      </c>
      <c r="D100" s="44" t="s">
        <v>257</v>
      </c>
      <c r="E100" s="44" t="s">
        <v>258</v>
      </c>
      <c r="F100" s="44" t="s">
        <v>259</v>
      </c>
      <c r="G100" s="43" t="s">
        <v>183</v>
      </c>
      <c r="H100" s="43"/>
    </row>
    <row r="101" spans="1:8" ht="30" x14ac:dyDescent="0.25">
      <c r="A101" s="43">
        <v>2000928</v>
      </c>
      <c r="B101" s="43" t="s">
        <v>57</v>
      </c>
      <c r="C101" s="44" t="s">
        <v>204</v>
      </c>
      <c r="D101" s="44" t="s">
        <v>260</v>
      </c>
      <c r="E101" s="44" t="s">
        <v>261</v>
      </c>
      <c r="F101" s="44" t="s">
        <v>166</v>
      </c>
      <c r="G101" s="43" t="s">
        <v>183</v>
      </c>
      <c r="H101" s="43"/>
    </row>
    <row r="102" spans="1:8" ht="45" x14ac:dyDescent="0.25">
      <c r="A102" s="43">
        <v>2000927</v>
      </c>
      <c r="B102" s="43" t="s">
        <v>56</v>
      </c>
      <c r="C102" s="44" t="s">
        <v>204</v>
      </c>
      <c r="D102" s="44" t="s">
        <v>262</v>
      </c>
      <c r="E102" s="44" t="s">
        <v>263</v>
      </c>
      <c r="F102" s="44" t="s">
        <v>166</v>
      </c>
      <c r="G102" s="43" t="s">
        <v>183</v>
      </c>
      <c r="H102" s="43"/>
    </row>
    <row r="103" spans="1:8" ht="30" x14ac:dyDescent="0.25">
      <c r="A103" s="43">
        <v>65505569851</v>
      </c>
      <c r="B103" s="43" t="s">
        <v>146</v>
      </c>
      <c r="C103" s="44" t="s">
        <v>204</v>
      </c>
      <c r="D103" s="44" t="s">
        <v>168</v>
      </c>
      <c r="E103" s="44" t="s">
        <v>147</v>
      </c>
      <c r="F103" s="44" t="s">
        <v>198</v>
      </c>
      <c r="G103" s="43" t="s">
        <v>183</v>
      </c>
      <c r="H103" s="43"/>
    </row>
    <row r="104" spans="1:8" ht="30" x14ac:dyDescent="0.25">
      <c r="A104" s="43">
        <v>2000534</v>
      </c>
      <c r="B104" s="43" t="s">
        <v>50</v>
      </c>
      <c r="C104" s="44" t="s">
        <v>204</v>
      </c>
      <c r="D104" s="44" t="s">
        <v>51</v>
      </c>
      <c r="E104" s="44" t="s">
        <v>51</v>
      </c>
      <c r="F104" s="44" t="s">
        <v>259</v>
      </c>
      <c r="G104" s="43" t="s">
        <v>183</v>
      </c>
      <c r="H104" s="43"/>
    </row>
    <row r="105" spans="1:8" ht="30" x14ac:dyDescent="0.25">
      <c r="A105" s="43">
        <v>2000470</v>
      </c>
      <c r="B105" s="43" t="s">
        <v>89</v>
      </c>
      <c r="C105" s="44" t="s">
        <v>204</v>
      </c>
      <c r="D105" s="44" t="s">
        <v>264</v>
      </c>
      <c r="E105" s="44" t="s">
        <v>265</v>
      </c>
      <c r="F105" s="44" t="s">
        <v>198</v>
      </c>
      <c r="G105" s="43" t="s">
        <v>183</v>
      </c>
      <c r="H105" s="43"/>
    </row>
    <row r="106" spans="1:8" x14ac:dyDescent="0.25">
      <c r="A106" s="43">
        <v>65505285253</v>
      </c>
      <c r="B106" s="43" t="s">
        <v>99</v>
      </c>
      <c r="C106" s="44" t="s">
        <v>204</v>
      </c>
      <c r="D106" s="44" t="s">
        <v>99</v>
      </c>
      <c r="E106" s="44" t="s">
        <v>247</v>
      </c>
      <c r="F106" s="43" t="s">
        <v>198</v>
      </c>
      <c r="G106" s="43"/>
      <c r="H106" s="44"/>
    </row>
    <row r="107" spans="1:8" ht="30" x14ac:dyDescent="0.25">
      <c r="A107" s="43">
        <v>2000469</v>
      </c>
      <c r="B107" s="43" t="s">
        <v>90</v>
      </c>
      <c r="C107" s="44" t="s">
        <v>204</v>
      </c>
      <c r="D107" s="44" t="s">
        <v>266</v>
      </c>
      <c r="E107" s="44" t="s">
        <v>265</v>
      </c>
      <c r="F107" s="43" t="s">
        <v>198</v>
      </c>
      <c r="G107" s="43" t="s">
        <v>183</v>
      </c>
      <c r="H107" s="44"/>
    </row>
    <row r="108" spans="1:8" x14ac:dyDescent="0.25">
      <c r="A108" s="43">
        <v>2000730</v>
      </c>
      <c r="B108" s="43" t="s">
        <v>54</v>
      </c>
      <c r="C108" s="44" t="s">
        <v>204</v>
      </c>
      <c r="D108" s="44" t="s">
        <v>267</v>
      </c>
      <c r="E108" s="44" t="s">
        <v>55</v>
      </c>
      <c r="F108" s="43" t="s">
        <v>198</v>
      </c>
      <c r="G108" s="43" t="s">
        <v>183</v>
      </c>
      <c r="H108" s="44"/>
    </row>
    <row r="109" spans="1:8" ht="45" x14ac:dyDescent="0.25">
      <c r="A109" s="43">
        <v>2000466</v>
      </c>
      <c r="B109" s="43" t="s">
        <v>91</v>
      </c>
      <c r="C109" s="44" t="s">
        <v>204</v>
      </c>
      <c r="D109" s="44" t="s">
        <v>268</v>
      </c>
      <c r="E109" s="44" t="s">
        <v>265</v>
      </c>
      <c r="F109" s="43" t="s">
        <v>198</v>
      </c>
      <c r="G109" s="43" t="s">
        <v>183</v>
      </c>
      <c r="H109" s="44"/>
    </row>
    <row r="110" spans="1:8" ht="45" x14ac:dyDescent="0.25">
      <c r="A110" s="43">
        <v>2000467</v>
      </c>
      <c r="B110" s="43" t="s">
        <v>92</v>
      </c>
      <c r="C110" s="44" t="s">
        <v>204</v>
      </c>
      <c r="D110" s="44" t="s">
        <v>269</v>
      </c>
      <c r="E110" s="44" t="s">
        <v>265</v>
      </c>
      <c r="F110" s="43" t="s">
        <v>198</v>
      </c>
      <c r="G110" s="43" t="s">
        <v>183</v>
      </c>
      <c r="H110" s="44"/>
    </row>
    <row r="111" spans="1:8" ht="30" x14ac:dyDescent="0.25">
      <c r="A111" s="43">
        <v>2001050</v>
      </c>
      <c r="B111" s="43" t="s">
        <v>177</v>
      </c>
      <c r="C111" s="44" t="s">
        <v>204</v>
      </c>
      <c r="D111" s="44" t="s">
        <v>270</v>
      </c>
      <c r="E111" s="44" t="s">
        <v>271</v>
      </c>
      <c r="F111" s="43" t="s">
        <v>198</v>
      </c>
      <c r="G111" s="43" t="s">
        <v>183</v>
      </c>
      <c r="H111" s="44"/>
    </row>
    <row r="112" spans="1:8" ht="30" x14ac:dyDescent="0.25">
      <c r="A112" s="43">
        <v>2001049</v>
      </c>
      <c r="B112" s="43" t="s">
        <v>176</v>
      </c>
      <c r="C112" s="44" t="s">
        <v>204</v>
      </c>
      <c r="D112" s="44" t="s">
        <v>272</v>
      </c>
      <c r="E112" s="44" t="s">
        <v>271</v>
      </c>
      <c r="F112" s="43" t="s">
        <v>198</v>
      </c>
      <c r="G112" s="43" t="s">
        <v>183</v>
      </c>
      <c r="H112" s="44"/>
    </row>
    <row r="113" spans="1:8" x14ac:dyDescent="0.25">
      <c r="A113" s="43">
        <v>147491</v>
      </c>
      <c r="B113" s="43" t="s">
        <v>297</v>
      </c>
      <c r="C113" s="44" t="s">
        <v>204</v>
      </c>
      <c r="D113" s="44" t="s">
        <v>298</v>
      </c>
      <c r="E113" s="44" t="s">
        <v>299</v>
      </c>
      <c r="F113" s="43" t="s">
        <v>297</v>
      </c>
      <c r="G113" s="43" t="s">
        <v>183</v>
      </c>
      <c r="H113" s="44"/>
    </row>
    <row r="114" spans="1:8" x14ac:dyDescent="0.25">
      <c r="A114" s="43">
        <v>147492</v>
      </c>
      <c r="B114" s="43" t="s">
        <v>297</v>
      </c>
      <c r="C114" s="44" t="s">
        <v>204</v>
      </c>
      <c r="D114" s="44" t="s">
        <v>300</v>
      </c>
      <c r="E114" s="44" t="s">
        <v>299</v>
      </c>
      <c r="F114" s="43" t="s">
        <v>297</v>
      </c>
      <c r="G114" s="43" t="s">
        <v>183</v>
      </c>
      <c r="H114" s="44"/>
    </row>
    <row r="115" spans="1:8" x14ac:dyDescent="0.25">
      <c r="A115" s="43">
        <v>159246</v>
      </c>
      <c r="B115" s="43" t="s">
        <v>297</v>
      </c>
      <c r="C115" s="44" t="s">
        <v>204</v>
      </c>
      <c r="D115" s="44" t="s">
        <v>301</v>
      </c>
      <c r="E115" s="44" t="s">
        <v>299</v>
      </c>
      <c r="F115" s="44" t="s">
        <v>297</v>
      </c>
      <c r="G115" s="43" t="s">
        <v>183</v>
      </c>
      <c r="H115" s="43"/>
    </row>
    <row r="116" spans="1:8" ht="30" x14ac:dyDescent="0.25">
      <c r="A116" s="43">
        <v>1010401</v>
      </c>
      <c r="B116" s="43" t="s">
        <v>297</v>
      </c>
      <c r="C116" s="44" t="s">
        <v>204</v>
      </c>
      <c r="D116" s="44" t="s">
        <v>302</v>
      </c>
      <c r="E116" s="44" t="s">
        <v>299</v>
      </c>
      <c r="F116" s="44" t="s">
        <v>297</v>
      </c>
      <c r="G116" s="43" t="s">
        <v>183</v>
      </c>
      <c r="H116" s="43"/>
    </row>
    <row r="117" spans="1:8" x14ac:dyDescent="0.25">
      <c r="A117" s="43">
        <v>65503562246</v>
      </c>
      <c r="B117" s="43" t="s">
        <v>58</v>
      </c>
      <c r="C117" s="44" t="s">
        <v>204</v>
      </c>
      <c r="D117" s="44" t="s">
        <v>59</v>
      </c>
      <c r="E117" s="44" t="s">
        <v>59</v>
      </c>
      <c r="F117" s="44" t="s">
        <v>198</v>
      </c>
      <c r="G117" s="43" t="s">
        <v>183</v>
      </c>
      <c r="H117" s="43"/>
    </row>
    <row r="118" spans="1:8" ht="30" x14ac:dyDescent="0.25">
      <c r="A118" s="43">
        <v>1031341</v>
      </c>
      <c r="B118" s="43" t="s">
        <v>175</v>
      </c>
      <c r="C118" s="44" t="s">
        <v>204</v>
      </c>
      <c r="D118" s="44" t="s">
        <v>148</v>
      </c>
      <c r="E118" s="44" t="s">
        <v>148</v>
      </c>
      <c r="F118" s="44" t="s">
        <v>198</v>
      </c>
      <c r="G118" s="43" t="s">
        <v>183</v>
      </c>
      <c r="H118" s="43"/>
    </row>
    <row r="119" spans="1:8" ht="30" x14ac:dyDescent="0.25">
      <c r="A119" s="43">
        <v>2100</v>
      </c>
      <c r="B119" s="43">
        <v>2100</v>
      </c>
      <c r="C119" s="44" t="s">
        <v>204</v>
      </c>
      <c r="D119" s="44" t="s">
        <v>291</v>
      </c>
      <c r="E119" s="44" t="s">
        <v>292</v>
      </c>
      <c r="F119" s="44" t="s">
        <v>293</v>
      </c>
      <c r="G119" s="43" t="s">
        <v>183</v>
      </c>
      <c r="H119" s="43"/>
    </row>
    <row r="120" spans="1:8" x14ac:dyDescent="0.25">
      <c r="A120" s="43">
        <v>1036691</v>
      </c>
      <c r="B120" s="43" t="s">
        <v>311</v>
      </c>
      <c r="C120" s="44" t="s">
        <v>204</v>
      </c>
      <c r="D120" s="44" t="s">
        <v>311</v>
      </c>
      <c r="E120" s="44" t="s">
        <v>311</v>
      </c>
      <c r="F120" s="44" t="s">
        <v>307</v>
      </c>
      <c r="G120" s="43" t="s">
        <v>183</v>
      </c>
      <c r="H120" s="43"/>
    </row>
    <row r="121" spans="1:8" ht="30" x14ac:dyDescent="0.25">
      <c r="A121" s="46">
        <v>1037090</v>
      </c>
      <c r="B121" s="46" t="s">
        <v>303</v>
      </c>
      <c r="C121" s="45" t="s">
        <v>204</v>
      </c>
      <c r="D121" s="46" t="s">
        <v>309</v>
      </c>
      <c r="E121" s="46" t="s">
        <v>309</v>
      </c>
      <c r="F121" s="45" t="s">
        <v>166</v>
      </c>
      <c r="G121" s="46" t="s">
        <v>183</v>
      </c>
      <c r="H121" s="46"/>
    </row>
    <row r="122" spans="1:8" ht="30" x14ac:dyDescent="0.25">
      <c r="A122" s="46">
        <v>65501902345</v>
      </c>
      <c r="B122" s="46" t="s">
        <v>304</v>
      </c>
      <c r="C122" s="45" t="s">
        <v>204</v>
      </c>
      <c r="D122" s="46" t="s">
        <v>310</v>
      </c>
      <c r="E122" s="46" t="s">
        <v>310</v>
      </c>
      <c r="F122" s="45" t="s">
        <v>166</v>
      </c>
      <c r="G122" s="46" t="s">
        <v>183</v>
      </c>
      <c r="H122" s="46"/>
    </row>
    <row r="123" spans="1:8" ht="30" x14ac:dyDescent="0.25">
      <c r="A123" s="46">
        <v>1037087</v>
      </c>
      <c r="B123" s="46" t="s">
        <v>305</v>
      </c>
      <c r="C123" s="45" t="s">
        <v>204</v>
      </c>
      <c r="D123" s="46" t="s">
        <v>308</v>
      </c>
      <c r="E123" s="46" t="s">
        <v>308</v>
      </c>
      <c r="F123" s="45" t="s">
        <v>166</v>
      </c>
      <c r="G123" s="46" t="s">
        <v>183</v>
      </c>
      <c r="H123" s="46"/>
    </row>
    <row r="124" spans="1:8" ht="45" x14ac:dyDescent="0.25">
      <c r="A124" s="46">
        <v>1036723</v>
      </c>
      <c r="B124" s="46" t="s">
        <v>312</v>
      </c>
      <c r="C124" s="45" t="s">
        <v>165</v>
      </c>
      <c r="D124" s="53" t="s">
        <v>314</v>
      </c>
      <c r="E124" s="53" t="s">
        <v>314</v>
      </c>
      <c r="F124" s="45" t="s">
        <v>259</v>
      </c>
      <c r="G124" s="46" t="s">
        <v>183</v>
      </c>
      <c r="H124" s="46"/>
    </row>
    <row r="125" spans="1:8" ht="45" x14ac:dyDescent="0.25">
      <c r="A125" s="46">
        <v>1036724</v>
      </c>
      <c r="B125" s="46" t="s">
        <v>313</v>
      </c>
      <c r="C125" s="45" t="s">
        <v>165</v>
      </c>
      <c r="D125" s="53" t="s">
        <v>315</v>
      </c>
      <c r="E125" s="53" t="s">
        <v>315</v>
      </c>
      <c r="F125" s="45" t="s">
        <v>307</v>
      </c>
      <c r="G125" s="46" t="s">
        <v>183</v>
      </c>
      <c r="H125" s="46"/>
    </row>
    <row r="126" spans="1:8" ht="30" x14ac:dyDescent="0.25">
      <c r="A126" s="43">
        <v>65508989338</v>
      </c>
      <c r="B126" s="43" t="s">
        <v>318</v>
      </c>
      <c r="C126" s="45" t="s">
        <v>165</v>
      </c>
      <c r="D126" s="44" t="s">
        <v>316</v>
      </c>
      <c r="E126" s="44" t="s">
        <v>316</v>
      </c>
      <c r="F126" s="45" t="s">
        <v>307</v>
      </c>
      <c r="G126" s="43" t="s">
        <v>183</v>
      </c>
      <c r="H126" s="43"/>
    </row>
    <row r="127" spans="1:8" x14ac:dyDescent="0.25">
      <c r="A127" s="64">
        <v>1037923</v>
      </c>
      <c r="B127" s="64" t="s">
        <v>320</v>
      </c>
      <c r="C127" s="64" t="s">
        <v>165</v>
      </c>
      <c r="D127" s="64" t="s">
        <v>323</v>
      </c>
      <c r="E127" s="64" t="s">
        <v>311</v>
      </c>
      <c r="F127" s="64" t="s">
        <v>307</v>
      </c>
      <c r="G127" s="64" t="s">
        <v>183</v>
      </c>
      <c r="H127" s="64"/>
    </row>
    <row r="128" spans="1:8" x14ac:dyDescent="0.25">
      <c r="A128" s="64">
        <v>1037925</v>
      </c>
      <c r="B128" s="64" t="s">
        <v>321</v>
      </c>
      <c r="C128" s="64" t="s">
        <v>165</v>
      </c>
      <c r="D128" s="64" t="s">
        <v>324</v>
      </c>
      <c r="E128" s="64" t="s">
        <v>311</v>
      </c>
      <c r="F128" s="64" t="s">
        <v>307</v>
      </c>
      <c r="G128" s="64" t="s">
        <v>183</v>
      </c>
      <c r="H128" s="64"/>
    </row>
    <row r="129" spans="1:8" x14ac:dyDescent="0.25">
      <c r="A129" s="64">
        <v>1037924</v>
      </c>
      <c r="B129" s="64" t="s">
        <v>322</v>
      </c>
      <c r="C129" s="64" t="s">
        <v>165</v>
      </c>
      <c r="D129" s="64" t="s">
        <v>325</v>
      </c>
      <c r="E129" s="64" t="s">
        <v>311</v>
      </c>
      <c r="F129" s="64" t="s">
        <v>307</v>
      </c>
      <c r="G129" s="64" t="s">
        <v>183</v>
      </c>
      <c r="H129" s="64"/>
    </row>
    <row r="130" spans="1:8" x14ac:dyDescent="0.25">
      <c r="A130" s="64">
        <v>65509560409</v>
      </c>
      <c r="B130" s="64" t="s">
        <v>349</v>
      </c>
      <c r="C130" s="64" t="s">
        <v>165</v>
      </c>
      <c r="D130" s="64" t="s">
        <v>349</v>
      </c>
      <c r="E130" s="64" t="s">
        <v>349</v>
      </c>
      <c r="F130" s="64" t="s">
        <v>307</v>
      </c>
      <c r="G130" s="64" t="s">
        <v>183</v>
      </c>
      <c r="H130" s="64"/>
    </row>
    <row r="131" spans="1:8" x14ac:dyDescent="0.25">
      <c r="A131" s="64">
        <v>65509560426</v>
      </c>
      <c r="B131" s="64" t="s">
        <v>350</v>
      </c>
      <c r="C131" s="64" t="s">
        <v>165</v>
      </c>
      <c r="D131" s="64" t="s">
        <v>350</v>
      </c>
      <c r="E131" s="64" t="s">
        <v>350</v>
      </c>
      <c r="F131" s="64" t="s">
        <v>307</v>
      </c>
      <c r="G131" s="64" t="s">
        <v>183</v>
      </c>
      <c r="H131" s="64"/>
    </row>
    <row r="132" spans="1:8" x14ac:dyDescent="0.25">
      <c r="A132" s="64">
        <v>65509560457</v>
      </c>
      <c r="B132" s="64" t="s">
        <v>351</v>
      </c>
      <c r="C132" s="64" t="s">
        <v>165</v>
      </c>
      <c r="D132" s="64" t="s">
        <v>351</v>
      </c>
      <c r="E132" s="64" t="s">
        <v>351</v>
      </c>
      <c r="F132" s="64" t="s">
        <v>307</v>
      </c>
      <c r="G132" s="64" t="s">
        <v>183</v>
      </c>
      <c r="H132" s="64"/>
    </row>
    <row r="133" spans="1:8" x14ac:dyDescent="0.25">
      <c r="A133" s="64">
        <v>65509560443</v>
      </c>
      <c r="B133" s="64" t="s">
        <v>352</v>
      </c>
      <c r="C133" s="64" t="s">
        <v>165</v>
      </c>
      <c r="D133" s="64" t="s">
        <v>352</v>
      </c>
      <c r="E133" s="64" t="s">
        <v>352</v>
      </c>
      <c r="F133" s="64" t="s">
        <v>307</v>
      </c>
      <c r="G133" s="64" t="s">
        <v>183</v>
      </c>
      <c r="H133" s="64"/>
    </row>
    <row r="134" spans="1:8" x14ac:dyDescent="0.25">
      <c r="A134" s="64"/>
      <c r="B134" s="64"/>
      <c r="C134" s="64"/>
      <c r="D134" s="64"/>
      <c r="E134" s="64"/>
      <c r="F134" s="64"/>
      <c r="G134" s="64"/>
      <c r="H134" s="64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H178"/>
  <sheetViews>
    <sheetView workbookViewId="0">
      <selection activeCell="C179" sqref="C179"/>
    </sheetView>
  </sheetViews>
  <sheetFormatPr baseColWidth="10" defaultRowHeight="15" x14ac:dyDescent="0.25"/>
  <cols>
    <col min="2" max="2" width="12" bestFit="1" customWidth="1"/>
    <col min="4" max="4" width="15.85546875" bestFit="1" customWidth="1"/>
    <col min="5" max="6" width="78.140625" bestFit="1" customWidth="1"/>
  </cols>
  <sheetData>
    <row r="1" spans="1:8" x14ac:dyDescent="0.25">
      <c r="A1" s="1" t="s">
        <v>188</v>
      </c>
      <c r="B1" s="1" t="s">
        <v>23</v>
      </c>
      <c r="C1" s="7" t="s">
        <v>106</v>
      </c>
      <c r="D1" s="1" t="s">
        <v>107</v>
      </c>
      <c r="E1" s="1" t="s">
        <v>108</v>
      </c>
      <c r="F1" s="1" t="s">
        <v>109</v>
      </c>
      <c r="G1" s="8" t="s">
        <v>144</v>
      </c>
      <c r="H1" s="8" t="s">
        <v>110</v>
      </c>
    </row>
    <row r="2" spans="1:8" x14ac:dyDescent="0.25">
      <c r="A2" t="s">
        <v>88</v>
      </c>
      <c r="B2">
        <v>156622</v>
      </c>
      <c r="D2">
        <v>58</v>
      </c>
      <c r="E2" t="s">
        <v>39</v>
      </c>
      <c r="F2" t="s">
        <v>39</v>
      </c>
      <c r="H2" t="s">
        <v>204</v>
      </c>
    </row>
    <row r="3" spans="1:8" x14ac:dyDescent="0.25">
      <c r="A3" t="s">
        <v>88</v>
      </c>
      <c r="B3">
        <v>154702</v>
      </c>
      <c r="D3">
        <v>60</v>
      </c>
      <c r="E3" t="s">
        <v>40</v>
      </c>
      <c r="F3" t="s">
        <v>210</v>
      </c>
      <c r="H3" t="s">
        <v>204</v>
      </c>
    </row>
    <row r="4" spans="1:8" x14ac:dyDescent="0.25">
      <c r="A4" t="s">
        <v>88</v>
      </c>
      <c r="B4">
        <v>80820</v>
      </c>
      <c r="D4">
        <v>63</v>
      </c>
      <c r="E4" t="s">
        <v>211</v>
      </c>
      <c r="F4" t="s">
        <v>210</v>
      </c>
      <c r="H4" t="s">
        <v>204</v>
      </c>
    </row>
    <row r="5" spans="1:8" x14ac:dyDescent="0.25">
      <c r="A5" t="s">
        <v>88</v>
      </c>
      <c r="B5">
        <v>64972</v>
      </c>
      <c r="D5">
        <v>86</v>
      </c>
      <c r="E5" t="s">
        <v>41</v>
      </c>
      <c r="F5" t="s">
        <v>41</v>
      </c>
      <c r="H5" t="s">
        <v>204</v>
      </c>
    </row>
    <row r="6" spans="1:8" x14ac:dyDescent="0.25">
      <c r="A6" t="s">
        <v>88</v>
      </c>
      <c r="B6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x14ac:dyDescent="0.25">
      <c r="A7" t="s">
        <v>88</v>
      </c>
      <c r="B7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x14ac:dyDescent="0.25">
      <c r="A8" t="s">
        <v>88</v>
      </c>
      <c r="B8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x14ac:dyDescent="0.25">
      <c r="A9" t="s">
        <v>88</v>
      </c>
      <c r="B9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x14ac:dyDescent="0.25">
      <c r="A10" t="s">
        <v>88</v>
      </c>
      <c r="B10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x14ac:dyDescent="0.25">
      <c r="A11" t="s">
        <v>88</v>
      </c>
      <c r="B1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x14ac:dyDescent="0.25">
      <c r="A12" t="s">
        <v>88</v>
      </c>
      <c r="B12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x14ac:dyDescent="0.25">
      <c r="A13" t="s">
        <v>88</v>
      </c>
      <c r="B13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x14ac:dyDescent="0.25">
      <c r="A14" t="s">
        <v>88</v>
      </c>
      <c r="B14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x14ac:dyDescent="0.25">
      <c r="A15" t="s">
        <v>88</v>
      </c>
      <c r="B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x14ac:dyDescent="0.25">
      <c r="A16" t="s">
        <v>88</v>
      </c>
      <c r="B16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x14ac:dyDescent="0.25">
      <c r="A17" t="s">
        <v>88</v>
      </c>
      <c r="B17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x14ac:dyDescent="0.25">
      <c r="A18" t="s">
        <v>88</v>
      </c>
      <c r="B18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x14ac:dyDescent="0.25">
      <c r="A19" t="s">
        <v>88</v>
      </c>
      <c r="B19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x14ac:dyDescent="0.25">
      <c r="A20" t="s">
        <v>88</v>
      </c>
      <c r="B20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x14ac:dyDescent="0.25">
      <c r="A21" t="s">
        <v>88</v>
      </c>
      <c r="B2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x14ac:dyDescent="0.25">
      <c r="A22" t="s">
        <v>88</v>
      </c>
      <c r="B22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x14ac:dyDescent="0.25">
      <c r="A23" t="s">
        <v>88</v>
      </c>
      <c r="B23">
        <v>2000570</v>
      </c>
      <c r="D23" t="s">
        <v>46</v>
      </c>
    </row>
    <row r="24" spans="1:8" x14ac:dyDescent="0.25">
      <c r="A24" t="s">
        <v>88</v>
      </c>
      <c r="B24">
        <v>2000571</v>
      </c>
      <c r="D24" t="s">
        <v>46</v>
      </c>
    </row>
    <row r="25" spans="1:8" x14ac:dyDescent="0.25">
      <c r="A25" t="s">
        <v>88</v>
      </c>
      <c r="B25">
        <v>2000572</v>
      </c>
      <c r="D25" t="s">
        <v>46</v>
      </c>
    </row>
    <row r="26" spans="1:8" x14ac:dyDescent="0.25">
      <c r="A26" t="s">
        <v>88</v>
      </c>
      <c r="B26">
        <v>2000573</v>
      </c>
      <c r="D26" t="s">
        <v>46</v>
      </c>
    </row>
    <row r="27" spans="1:8" x14ac:dyDescent="0.25">
      <c r="A27" t="s">
        <v>88</v>
      </c>
      <c r="B27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x14ac:dyDescent="0.25">
      <c r="A28" t="s">
        <v>88</v>
      </c>
      <c r="B28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x14ac:dyDescent="0.25">
      <c r="A29" t="s">
        <v>88</v>
      </c>
      <c r="B29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x14ac:dyDescent="0.25">
      <c r="A30" t="s">
        <v>88</v>
      </c>
      <c r="B30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x14ac:dyDescent="0.25">
      <c r="A31" t="s">
        <v>88</v>
      </c>
      <c r="B3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x14ac:dyDescent="0.25">
      <c r="A32" t="s">
        <v>88</v>
      </c>
      <c r="B32">
        <v>65503691935</v>
      </c>
      <c r="D32" t="s">
        <v>49</v>
      </c>
    </row>
    <row r="33" spans="1:8" x14ac:dyDescent="0.25">
      <c r="A33" t="s">
        <v>88</v>
      </c>
      <c r="B33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x14ac:dyDescent="0.25">
      <c r="A34" t="s">
        <v>88</v>
      </c>
      <c r="B34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x14ac:dyDescent="0.25">
      <c r="A35" t="s">
        <v>88</v>
      </c>
      <c r="B3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x14ac:dyDescent="0.25">
      <c r="A36" t="s">
        <v>88</v>
      </c>
      <c r="B36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x14ac:dyDescent="0.25">
      <c r="A37" t="s">
        <v>88</v>
      </c>
      <c r="B37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x14ac:dyDescent="0.25">
      <c r="A38" t="s">
        <v>88</v>
      </c>
      <c r="B38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x14ac:dyDescent="0.25">
      <c r="A39" t="s">
        <v>88</v>
      </c>
      <c r="B39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x14ac:dyDescent="0.25">
      <c r="A40" t="s">
        <v>88</v>
      </c>
      <c r="B40">
        <v>2000597</v>
      </c>
      <c r="D40" t="s">
        <v>306</v>
      </c>
    </row>
    <row r="41" spans="1:8" x14ac:dyDescent="0.25">
      <c r="A41" t="s">
        <v>88</v>
      </c>
      <c r="B4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x14ac:dyDescent="0.25">
      <c r="A42" t="s">
        <v>88</v>
      </c>
      <c r="B42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x14ac:dyDescent="0.25">
      <c r="A43" t="s">
        <v>88</v>
      </c>
      <c r="B43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x14ac:dyDescent="0.25">
      <c r="A44" t="s">
        <v>88</v>
      </c>
      <c r="B44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x14ac:dyDescent="0.25">
      <c r="A45" t="s">
        <v>88</v>
      </c>
      <c r="B4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x14ac:dyDescent="0.25">
      <c r="A46" t="s">
        <v>88</v>
      </c>
      <c r="B46">
        <v>77703</v>
      </c>
      <c r="D46">
        <v>19</v>
      </c>
    </row>
    <row r="47" spans="1:8" x14ac:dyDescent="0.25">
      <c r="A47" t="s">
        <v>88</v>
      </c>
      <c r="B47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x14ac:dyDescent="0.25">
      <c r="A48" t="s">
        <v>88</v>
      </c>
      <c r="B48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x14ac:dyDescent="0.25">
      <c r="A49" t="s">
        <v>88</v>
      </c>
      <c r="B49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x14ac:dyDescent="0.25">
      <c r="A50" t="s">
        <v>88</v>
      </c>
      <c r="B50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x14ac:dyDescent="0.25">
      <c r="A51" t="s">
        <v>88</v>
      </c>
      <c r="B5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x14ac:dyDescent="0.25">
      <c r="A52" t="s">
        <v>88</v>
      </c>
      <c r="B52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x14ac:dyDescent="0.25">
      <c r="A53" t="s">
        <v>88</v>
      </c>
      <c r="B53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x14ac:dyDescent="0.25">
      <c r="A54" t="s">
        <v>88</v>
      </c>
      <c r="B54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x14ac:dyDescent="0.25">
      <c r="A55" t="s">
        <v>88</v>
      </c>
      <c r="B5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x14ac:dyDescent="0.25">
      <c r="A56" t="s">
        <v>88</v>
      </c>
      <c r="B56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x14ac:dyDescent="0.25">
      <c r="A57" t="s">
        <v>88</v>
      </c>
      <c r="B57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x14ac:dyDescent="0.25">
      <c r="A58" t="s">
        <v>88</v>
      </c>
      <c r="B58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x14ac:dyDescent="0.25">
      <c r="A59" t="s">
        <v>88</v>
      </c>
      <c r="B59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x14ac:dyDescent="0.25">
      <c r="A60" t="s">
        <v>88</v>
      </c>
      <c r="B60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x14ac:dyDescent="0.25">
      <c r="A61" t="s">
        <v>88</v>
      </c>
      <c r="B6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x14ac:dyDescent="0.25">
      <c r="A62" t="s">
        <v>88</v>
      </c>
      <c r="B62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x14ac:dyDescent="0.25">
      <c r="A63" t="s">
        <v>88</v>
      </c>
      <c r="B63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x14ac:dyDescent="0.25">
      <c r="A64" t="s">
        <v>88</v>
      </c>
      <c r="B64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x14ac:dyDescent="0.25">
      <c r="A65" t="s">
        <v>88</v>
      </c>
      <c r="B6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x14ac:dyDescent="0.25">
      <c r="A66" t="s">
        <v>88</v>
      </c>
      <c r="B66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x14ac:dyDescent="0.25">
      <c r="A67" t="s">
        <v>88</v>
      </c>
      <c r="B67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x14ac:dyDescent="0.25">
      <c r="A68" t="s">
        <v>88</v>
      </c>
      <c r="B68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x14ac:dyDescent="0.25">
      <c r="A69" t="s">
        <v>88</v>
      </c>
      <c r="B69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x14ac:dyDescent="0.25">
      <c r="A70" t="s">
        <v>88</v>
      </c>
      <c r="B70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x14ac:dyDescent="0.25">
      <c r="A71" t="s">
        <v>88</v>
      </c>
      <c r="B7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x14ac:dyDescent="0.25">
      <c r="A72" t="s">
        <v>88</v>
      </c>
      <c r="B72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x14ac:dyDescent="0.25">
      <c r="A73" t="s">
        <v>88</v>
      </c>
      <c r="B73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x14ac:dyDescent="0.25">
      <c r="A74" t="s">
        <v>88</v>
      </c>
      <c r="B74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x14ac:dyDescent="0.25">
      <c r="A75" t="s">
        <v>88</v>
      </c>
      <c r="B7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x14ac:dyDescent="0.25">
      <c r="A76" t="s">
        <v>88</v>
      </c>
      <c r="B76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x14ac:dyDescent="0.25">
      <c r="A77" t="s">
        <v>88</v>
      </c>
      <c r="B77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x14ac:dyDescent="0.25">
      <c r="A78" t="s">
        <v>88</v>
      </c>
      <c r="B78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x14ac:dyDescent="0.25">
      <c r="A79" t="s">
        <v>88</v>
      </c>
      <c r="B79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x14ac:dyDescent="0.25">
      <c r="A80" t="s">
        <v>88</v>
      </c>
      <c r="B80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x14ac:dyDescent="0.25">
      <c r="A81" t="s">
        <v>88</v>
      </c>
      <c r="B8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x14ac:dyDescent="0.25">
      <c r="A82" t="s">
        <v>88</v>
      </c>
      <c r="B82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x14ac:dyDescent="0.25">
      <c r="A83" t="s">
        <v>88</v>
      </c>
      <c r="B83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x14ac:dyDescent="0.25">
      <c r="A84" t="s">
        <v>88</v>
      </c>
      <c r="B84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x14ac:dyDescent="0.25">
      <c r="A85" t="s">
        <v>88</v>
      </c>
      <c r="B8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x14ac:dyDescent="0.25">
      <c r="A86" t="s">
        <v>87</v>
      </c>
      <c r="B86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x14ac:dyDescent="0.25">
      <c r="A87" t="s">
        <v>87</v>
      </c>
      <c r="B87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x14ac:dyDescent="0.25">
      <c r="A88" t="s">
        <v>87</v>
      </c>
      <c r="B88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x14ac:dyDescent="0.25">
      <c r="A89" t="s">
        <v>87</v>
      </c>
      <c r="B89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x14ac:dyDescent="0.25">
      <c r="A90" t="s">
        <v>105</v>
      </c>
      <c r="B90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x14ac:dyDescent="0.25">
      <c r="A91" t="s">
        <v>105</v>
      </c>
      <c r="B9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x14ac:dyDescent="0.25">
      <c r="A92" t="s">
        <v>105</v>
      </c>
      <c r="B92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x14ac:dyDescent="0.25">
      <c r="A93" t="s">
        <v>105</v>
      </c>
      <c r="B93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x14ac:dyDescent="0.25">
      <c r="A94" t="s">
        <v>105</v>
      </c>
      <c r="B94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x14ac:dyDescent="0.25">
      <c r="A95" t="s">
        <v>105</v>
      </c>
      <c r="B9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x14ac:dyDescent="0.25">
      <c r="A96" t="s">
        <v>105</v>
      </c>
      <c r="B96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x14ac:dyDescent="0.25">
      <c r="A97" t="s">
        <v>105</v>
      </c>
      <c r="B97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x14ac:dyDescent="0.25">
      <c r="A98" t="s">
        <v>105</v>
      </c>
      <c r="B98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x14ac:dyDescent="0.25">
      <c r="A99" t="s">
        <v>105</v>
      </c>
      <c r="B99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x14ac:dyDescent="0.25">
      <c r="A100" t="s">
        <v>105</v>
      </c>
      <c r="B100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x14ac:dyDescent="0.25">
      <c r="A101" t="s">
        <v>105</v>
      </c>
      <c r="B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x14ac:dyDescent="0.25">
      <c r="A102" t="s">
        <v>105</v>
      </c>
      <c r="B102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x14ac:dyDescent="0.25">
      <c r="A103" t="s">
        <v>105</v>
      </c>
      <c r="B103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x14ac:dyDescent="0.25">
      <c r="A104" t="s">
        <v>105</v>
      </c>
      <c r="B104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x14ac:dyDescent="0.25">
      <c r="A105" t="s">
        <v>105</v>
      </c>
      <c r="B10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x14ac:dyDescent="0.25">
      <c r="A106" t="s">
        <v>105</v>
      </c>
      <c r="B106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x14ac:dyDescent="0.25">
      <c r="A107" t="s">
        <v>105</v>
      </c>
      <c r="B107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x14ac:dyDescent="0.25">
      <c r="A108" t="s">
        <v>105</v>
      </c>
      <c r="B108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x14ac:dyDescent="0.25">
      <c r="A109" t="s">
        <v>105</v>
      </c>
      <c r="B109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x14ac:dyDescent="0.25">
      <c r="A110" t="s">
        <v>105</v>
      </c>
      <c r="B110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x14ac:dyDescent="0.25">
      <c r="A111" t="s">
        <v>105</v>
      </c>
      <c r="B11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x14ac:dyDescent="0.25">
      <c r="A112" t="s">
        <v>105</v>
      </c>
      <c r="B112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x14ac:dyDescent="0.25">
      <c r="A113" t="s">
        <v>105</v>
      </c>
      <c r="B113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x14ac:dyDescent="0.25">
      <c r="A114" t="s">
        <v>105</v>
      </c>
      <c r="B114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x14ac:dyDescent="0.25">
      <c r="A115" t="s">
        <v>105</v>
      </c>
      <c r="B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x14ac:dyDescent="0.25">
      <c r="A116" t="s">
        <v>105</v>
      </c>
      <c r="B116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x14ac:dyDescent="0.25">
      <c r="A117" t="s">
        <v>105</v>
      </c>
      <c r="B117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x14ac:dyDescent="0.25">
      <c r="A118" t="s">
        <v>105</v>
      </c>
      <c r="B118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x14ac:dyDescent="0.25">
      <c r="A119" t="s">
        <v>105</v>
      </c>
      <c r="B119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x14ac:dyDescent="0.25">
      <c r="A120" t="s">
        <v>105</v>
      </c>
      <c r="B120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x14ac:dyDescent="0.25">
      <c r="A121" t="s">
        <v>105</v>
      </c>
      <c r="B12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x14ac:dyDescent="0.25">
      <c r="A149" t="s">
        <v>105</v>
      </c>
      <c r="B149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x14ac:dyDescent="0.25">
      <c r="A150" t="s">
        <v>105</v>
      </c>
      <c r="B150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x14ac:dyDescent="0.25">
      <c r="A151" t="s">
        <v>105</v>
      </c>
      <c r="B15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x14ac:dyDescent="0.25">
      <c r="A152" t="s">
        <v>105</v>
      </c>
      <c r="B152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x14ac:dyDescent="0.25">
      <c r="A153" t="s">
        <v>105</v>
      </c>
      <c r="B153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x14ac:dyDescent="0.25">
      <c r="A154" t="s">
        <v>105</v>
      </c>
      <c r="B154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x14ac:dyDescent="0.25">
      <c r="A167" t="s">
        <v>105</v>
      </c>
      <c r="B167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x14ac:dyDescent="0.25">
      <c r="A168" t="s">
        <v>105</v>
      </c>
      <c r="B168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x14ac:dyDescent="0.25">
      <c r="A169" t="s">
        <v>105</v>
      </c>
      <c r="B169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x14ac:dyDescent="0.25">
      <c r="A170" t="s">
        <v>105</v>
      </c>
      <c r="B170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x14ac:dyDescent="0.25">
      <c r="A171" t="s">
        <v>105</v>
      </c>
      <c r="B17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x14ac:dyDescent="0.25">
      <c r="A172" t="s">
        <v>105</v>
      </c>
      <c r="B172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x14ac:dyDescent="0.25">
      <c r="A173" t="s">
        <v>105</v>
      </c>
      <c r="B173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x14ac:dyDescent="0.25">
      <c r="A174" t="s">
        <v>105</v>
      </c>
      <c r="B174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x14ac:dyDescent="0.25">
      <c r="A175" t="s">
        <v>105</v>
      </c>
      <c r="B17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x14ac:dyDescent="0.25">
      <c r="A176" t="s">
        <v>105</v>
      </c>
    </row>
    <row r="177" spans="1:1" x14ac:dyDescent="0.25">
      <c r="A177" t="s">
        <v>105</v>
      </c>
    </row>
    <row r="178" spans="1:1" x14ac:dyDescent="0.25">
      <c r="A178" t="s">
        <v>105</v>
      </c>
    </row>
  </sheetData>
  <autoFilter ref="A1:H167" xr:uid="{00000000-0001-0000-0300-000000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workbookViewId="0">
      <selection activeCell="B2" sqref="B2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8" t="s">
        <v>184</v>
      </c>
      <c r="B1" s="30" t="s">
        <v>185</v>
      </c>
      <c r="D1" s="8" t="s">
        <v>273</v>
      </c>
      <c r="E1" s="8" t="s">
        <v>276</v>
      </c>
      <c r="F1" s="8" t="s">
        <v>274</v>
      </c>
      <c r="G1" s="8" t="s">
        <v>275</v>
      </c>
    </row>
    <row r="2" spans="1:7" x14ac:dyDescent="0.25">
      <c r="A2" t="s">
        <v>186</v>
      </c>
      <c r="B2" s="31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31" t="s">
        <v>295</v>
      </c>
      <c r="D3" t="s">
        <v>87</v>
      </c>
      <c r="E3" t="s">
        <v>278</v>
      </c>
      <c r="F3" t="s">
        <v>183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156622</v>
      </c>
      <c r="B2">
        <v>203705476.38309199</v>
      </c>
      <c r="C2">
        <v>58</v>
      </c>
      <c r="D2" t="s">
        <v>39</v>
      </c>
      <c r="E2" t="s">
        <v>39</v>
      </c>
      <c r="F2">
        <v>0</v>
      </c>
    </row>
    <row r="3" spans="1:6" x14ac:dyDescent="0.25">
      <c r="A3">
        <v>1036691</v>
      </c>
      <c r="B3">
        <v>981466.69845200004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x14ac:dyDescent="0.25">
      <c r="A6">
        <v>1013187</v>
      </c>
      <c r="B6">
        <v>93135769.234126002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x14ac:dyDescent="0.25">
      <c r="A8">
        <v>2000905</v>
      </c>
      <c r="B8">
        <v>570670743.00125206</v>
      </c>
      <c r="C8">
        <v>2000905</v>
      </c>
      <c r="D8" t="s">
        <v>45</v>
      </c>
      <c r="E8" t="s">
        <v>45</v>
      </c>
      <c r="F8">
        <v>0</v>
      </c>
    </row>
    <row r="9" spans="1:6" x14ac:dyDescent="0.25">
      <c r="A9">
        <v>2000574</v>
      </c>
      <c r="B9">
        <v>6247804.5492439996</v>
      </c>
      <c r="C9" t="s">
        <v>172</v>
      </c>
      <c r="D9" t="s">
        <v>255</v>
      </c>
      <c r="E9" t="s">
        <v>172</v>
      </c>
      <c r="F9">
        <v>0</v>
      </c>
    </row>
    <row r="10" spans="1:6" x14ac:dyDescent="0.25">
      <c r="A10">
        <v>2000575</v>
      </c>
      <c r="B10">
        <v>27603079.142901</v>
      </c>
      <c r="C10" t="s">
        <v>172</v>
      </c>
      <c r="D10" t="s">
        <v>255</v>
      </c>
      <c r="E10" t="s">
        <v>172</v>
      </c>
      <c r="F10">
        <v>0</v>
      </c>
    </row>
    <row r="11" spans="1:6" x14ac:dyDescent="0.25">
      <c r="A11">
        <v>2000576</v>
      </c>
      <c r="B11">
        <v>7847433.3837179998</v>
      </c>
      <c r="C11" t="s">
        <v>172</v>
      </c>
      <c r="D11" t="s">
        <v>255</v>
      </c>
      <c r="E11" t="s">
        <v>172</v>
      </c>
      <c r="F11">
        <v>0</v>
      </c>
    </row>
    <row r="12" spans="1:6" x14ac:dyDescent="0.25">
      <c r="A12">
        <v>2000577</v>
      </c>
      <c r="B12">
        <v>61534022.634461001</v>
      </c>
      <c r="C12" t="s">
        <v>172</v>
      </c>
      <c r="D12" t="s">
        <v>255</v>
      </c>
      <c r="E12" t="s">
        <v>172</v>
      </c>
      <c r="F12">
        <v>0</v>
      </c>
    </row>
    <row r="13" spans="1:6" x14ac:dyDescent="0.25">
      <c r="A13">
        <v>65503691935</v>
      </c>
      <c r="B13">
        <v>14666173.122264</v>
      </c>
      <c r="C13" t="s">
        <v>49</v>
      </c>
      <c r="D13" t="s">
        <v>49</v>
      </c>
      <c r="E13" t="s">
        <v>49</v>
      </c>
      <c r="F13">
        <v>0</v>
      </c>
    </row>
    <row r="14" spans="1:6" x14ac:dyDescent="0.25">
      <c r="A14">
        <v>2000534</v>
      </c>
      <c r="B14">
        <v>437.32162499999998</v>
      </c>
      <c r="C14" t="s">
        <v>50</v>
      </c>
      <c r="D14" t="s">
        <v>51</v>
      </c>
      <c r="E14" t="s">
        <v>51</v>
      </c>
      <c r="F14">
        <v>0</v>
      </c>
    </row>
    <row r="15" spans="1:6" x14ac:dyDescent="0.25">
      <c r="A15">
        <v>65507430562</v>
      </c>
      <c r="B15">
        <v>219370869.39074799</v>
      </c>
      <c r="C15" t="s">
        <v>242</v>
      </c>
      <c r="D15" t="s">
        <v>243</v>
      </c>
      <c r="E15" t="s">
        <v>243</v>
      </c>
      <c r="F15">
        <v>0</v>
      </c>
    </row>
    <row r="16" spans="1:6" x14ac:dyDescent="0.25">
      <c r="A16">
        <v>2000597</v>
      </c>
      <c r="B16">
        <v>23370.467639999999</v>
      </c>
      <c r="C16" t="s">
        <v>306</v>
      </c>
      <c r="F16">
        <v>0</v>
      </c>
    </row>
    <row r="17" spans="1:6" x14ac:dyDescent="0.25">
      <c r="A17">
        <v>2000730</v>
      </c>
      <c r="B17">
        <v>4910789.4843149995</v>
      </c>
      <c r="C17" t="s">
        <v>54</v>
      </c>
      <c r="D17" t="s">
        <v>267</v>
      </c>
      <c r="E17" t="s">
        <v>55</v>
      </c>
      <c r="F17">
        <v>0</v>
      </c>
    </row>
    <row r="18" spans="1:6" x14ac:dyDescent="0.25">
      <c r="A18">
        <v>2000927</v>
      </c>
      <c r="B18">
        <v>43142832.562044002</v>
      </c>
      <c r="C18" t="s">
        <v>56</v>
      </c>
      <c r="D18" t="s">
        <v>262</v>
      </c>
      <c r="E18" t="s">
        <v>263</v>
      </c>
      <c r="F18">
        <v>0</v>
      </c>
    </row>
    <row r="19" spans="1:6" x14ac:dyDescent="0.25">
      <c r="A19">
        <v>2000928</v>
      </c>
      <c r="B19">
        <v>37093456.768576004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x14ac:dyDescent="0.25">
      <c r="A21">
        <v>1033811</v>
      </c>
      <c r="B21">
        <v>3248841.5216000001</v>
      </c>
      <c r="C21">
        <v>76</v>
      </c>
      <c r="D21" t="s">
        <v>64</v>
      </c>
      <c r="E21" t="s">
        <v>212</v>
      </c>
      <c r="F21">
        <v>0</v>
      </c>
    </row>
    <row r="22" spans="1:6" x14ac:dyDescent="0.25">
      <c r="A22">
        <v>65502425394</v>
      </c>
      <c r="B22">
        <v>104963120.889327</v>
      </c>
      <c r="C22">
        <v>93</v>
      </c>
      <c r="D22" t="s">
        <v>66</v>
      </c>
      <c r="E22" t="s">
        <v>215</v>
      </c>
      <c r="F22">
        <v>0</v>
      </c>
    </row>
    <row r="23" spans="1:6" x14ac:dyDescent="0.25">
      <c r="A23">
        <v>1002455</v>
      </c>
      <c r="B23">
        <v>8938949.8599999994</v>
      </c>
      <c r="C23">
        <v>94</v>
      </c>
      <c r="D23" t="s">
        <v>67</v>
      </c>
      <c r="E23" t="s">
        <v>216</v>
      </c>
      <c r="F23">
        <v>0</v>
      </c>
    </row>
    <row r="24" spans="1:6" x14ac:dyDescent="0.25">
      <c r="A24">
        <v>152965</v>
      </c>
      <c r="B24">
        <v>21394557.376568999</v>
      </c>
      <c r="C24">
        <v>105</v>
      </c>
      <c r="D24" t="s">
        <v>68</v>
      </c>
      <c r="E24" t="s">
        <v>217</v>
      </c>
      <c r="F24">
        <v>0</v>
      </c>
    </row>
    <row r="25" spans="1:6" x14ac:dyDescent="0.25">
      <c r="A25">
        <v>1005849</v>
      </c>
      <c r="B25">
        <v>26196890.727880001</v>
      </c>
      <c r="C25">
        <v>114</v>
      </c>
      <c r="D25" t="s">
        <v>218</v>
      </c>
      <c r="E25" t="s">
        <v>219</v>
      </c>
      <c r="F25">
        <v>0</v>
      </c>
    </row>
    <row r="26" spans="1:6" x14ac:dyDescent="0.25">
      <c r="A26">
        <v>142481</v>
      </c>
      <c r="B26">
        <v>1058388.8999999999</v>
      </c>
      <c r="C26">
        <v>1081</v>
      </c>
      <c r="D26" t="s">
        <v>73</v>
      </c>
      <c r="E26" t="s">
        <v>216</v>
      </c>
      <c r="F26">
        <v>0</v>
      </c>
    </row>
    <row r="27" spans="1:6" x14ac:dyDescent="0.25">
      <c r="A27">
        <v>142482</v>
      </c>
      <c r="B27">
        <v>208796.14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x14ac:dyDescent="0.25">
      <c r="A29">
        <v>1018014</v>
      </c>
      <c r="B29">
        <v>4309.26</v>
      </c>
      <c r="C29">
        <v>1018014</v>
      </c>
      <c r="D29" t="s">
        <v>79</v>
      </c>
      <c r="E29" t="s">
        <v>79</v>
      </c>
      <c r="F29">
        <v>0</v>
      </c>
    </row>
    <row r="30" spans="1:6" x14ac:dyDescent="0.25">
      <c r="A30">
        <v>1018122</v>
      </c>
      <c r="B30">
        <v>59838.68</v>
      </c>
      <c r="C30">
        <v>1018122</v>
      </c>
      <c r="D30" t="s">
        <v>80</v>
      </c>
      <c r="E30" t="s">
        <v>216</v>
      </c>
      <c r="F30">
        <v>0</v>
      </c>
    </row>
    <row r="31" spans="1:6" x14ac:dyDescent="0.25">
      <c r="A31">
        <v>1018302</v>
      </c>
      <c r="B31">
        <v>2957355.92</v>
      </c>
      <c r="C31">
        <v>1018302</v>
      </c>
      <c r="D31" t="s">
        <v>81</v>
      </c>
      <c r="E31" t="s">
        <v>216</v>
      </c>
      <c r="F31">
        <v>0</v>
      </c>
    </row>
    <row r="32" spans="1:6" x14ac:dyDescent="0.25">
      <c r="A32">
        <v>65502313952</v>
      </c>
      <c r="B32">
        <v>1667338100.6397631</v>
      </c>
      <c r="C32">
        <v>92</v>
      </c>
      <c r="D32" t="s">
        <v>213</v>
      </c>
      <c r="E32" t="s">
        <v>214</v>
      </c>
      <c r="F32">
        <v>0</v>
      </c>
    </row>
    <row r="33" spans="1:6" x14ac:dyDescent="0.25">
      <c r="A33">
        <v>1036724</v>
      </c>
      <c r="B33">
        <v>9398474.0984480008</v>
      </c>
      <c r="C33" t="s">
        <v>313</v>
      </c>
      <c r="D33" t="s">
        <v>315</v>
      </c>
      <c r="E33" t="s">
        <v>315</v>
      </c>
      <c r="F33">
        <v>0</v>
      </c>
    </row>
    <row r="34" spans="1:6" x14ac:dyDescent="0.25">
      <c r="A34">
        <v>65508989338</v>
      </c>
      <c r="B34">
        <v>57461140.273712002</v>
      </c>
      <c r="C34" t="s">
        <v>318</v>
      </c>
      <c r="D34" t="s">
        <v>316</v>
      </c>
      <c r="E34" t="s">
        <v>316</v>
      </c>
      <c r="F34">
        <v>0</v>
      </c>
    </row>
    <row r="35" spans="1:6" x14ac:dyDescent="0.25">
      <c r="A35">
        <v>65507143699</v>
      </c>
      <c r="B35">
        <v>469565.06172900001</v>
      </c>
      <c r="C35" t="s">
        <v>327</v>
      </c>
      <c r="D35" t="s">
        <v>327</v>
      </c>
      <c r="E35" t="s">
        <v>327</v>
      </c>
      <c r="F35">
        <v>0</v>
      </c>
    </row>
    <row r="36" spans="1:6" x14ac:dyDescent="0.25">
      <c r="A36">
        <v>65507143745</v>
      </c>
      <c r="B36">
        <v>296669.94669900002</v>
      </c>
      <c r="C36" t="s">
        <v>328</v>
      </c>
      <c r="D36" t="s">
        <v>328</v>
      </c>
      <c r="E36" t="s">
        <v>328</v>
      </c>
      <c r="F36">
        <v>0</v>
      </c>
    </row>
    <row r="37" spans="1:6" x14ac:dyDescent="0.25">
      <c r="A37">
        <v>65507142173</v>
      </c>
      <c r="B37">
        <v>739470.93246499996</v>
      </c>
      <c r="C37" t="s">
        <v>329</v>
      </c>
      <c r="D37" t="s">
        <v>329</v>
      </c>
      <c r="E37" t="s">
        <v>329</v>
      </c>
      <c r="F37">
        <v>0</v>
      </c>
    </row>
    <row r="38" spans="1:6" x14ac:dyDescent="0.25">
      <c r="A38">
        <v>65507052215</v>
      </c>
      <c r="B38">
        <v>7911653.4124480002</v>
      </c>
      <c r="C38" t="s">
        <v>330</v>
      </c>
      <c r="D38" t="s">
        <v>331</v>
      </c>
      <c r="E38" t="s">
        <v>331</v>
      </c>
      <c r="F38">
        <v>0</v>
      </c>
    </row>
    <row r="39" spans="1:6" x14ac:dyDescent="0.25">
      <c r="A39">
        <v>65507052277</v>
      </c>
      <c r="B39">
        <v>5074705.3529690001</v>
      </c>
      <c r="C39" t="s">
        <v>332</v>
      </c>
      <c r="D39" t="s">
        <v>331</v>
      </c>
      <c r="E39" t="s">
        <v>331</v>
      </c>
      <c r="F39">
        <v>0</v>
      </c>
    </row>
    <row r="40" spans="1:6" x14ac:dyDescent="0.25">
      <c r="A40">
        <v>65507052294</v>
      </c>
      <c r="B40">
        <v>7726026.700096</v>
      </c>
      <c r="C40" t="s">
        <v>333</v>
      </c>
      <c r="D40" t="s">
        <v>331</v>
      </c>
      <c r="E40" t="s">
        <v>331</v>
      </c>
      <c r="F40">
        <v>0</v>
      </c>
    </row>
    <row r="41" spans="1:6" x14ac:dyDescent="0.25">
      <c r="A41">
        <v>1037923</v>
      </c>
      <c r="B41">
        <v>1499134.751252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x14ac:dyDescent="0.25">
      <c r="A43">
        <v>1037925</v>
      </c>
      <c r="B43">
        <v>1531784.5237159999</v>
      </c>
      <c r="C43" t="s">
        <v>321</v>
      </c>
      <c r="D43" t="s">
        <v>321</v>
      </c>
      <c r="E43" t="s">
        <v>321</v>
      </c>
      <c r="F43">
        <v>0</v>
      </c>
    </row>
    <row r="44" spans="1:6" x14ac:dyDescent="0.25">
      <c r="A44">
        <v>65509560409</v>
      </c>
      <c r="B44">
        <v>57344512.107092001</v>
      </c>
      <c r="C44" t="s">
        <v>353</v>
      </c>
      <c r="D44" t="s">
        <v>349</v>
      </c>
      <c r="E44" t="s">
        <v>349</v>
      </c>
      <c r="F44">
        <v>0</v>
      </c>
    </row>
    <row r="45" spans="1:6" x14ac:dyDescent="0.25">
      <c r="A45">
        <v>65509560426</v>
      </c>
      <c r="B45">
        <v>217913.11411600001</v>
      </c>
      <c r="C45" t="s">
        <v>354</v>
      </c>
      <c r="D45" t="s">
        <v>350</v>
      </c>
      <c r="E45" t="s">
        <v>350</v>
      </c>
      <c r="F45">
        <v>0</v>
      </c>
    </row>
    <row r="46" spans="1:6" x14ac:dyDescent="0.25">
      <c r="A46">
        <v>65509560457</v>
      </c>
      <c r="B46">
        <v>1277403.6654079999</v>
      </c>
      <c r="C46" t="s">
        <v>355</v>
      </c>
      <c r="D46" t="s">
        <v>351</v>
      </c>
      <c r="E46" t="s">
        <v>351</v>
      </c>
      <c r="F46">
        <v>0</v>
      </c>
    </row>
    <row r="47" spans="1:6" x14ac:dyDescent="0.25">
      <c r="A47">
        <v>65509560443</v>
      </c>
      <c r="B47">
        <v>594835.91909600003</v>
      </c>
      <c r="C47" t="s">
        <v>356</v>
      </c>
      <c r="D47" t="s">
        <v>352</v>
      </c>
      <c r="E47" t="s">
        <v>352</v>
      </c>
      <c r="F47">
        <v>0</v>
      </c>
    </row>
    <row r="48" spans="1:6" x14ac:dyDescent="0.25">
      <c r="A48">
        <v>1036723</v>
      </c>
      <c r="B48">
        <v>4302568.8086080002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2875696.5890790001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147492</v>
      </c>
      <c r="B2">
        <v>42426821.603606999</v>
      </c>
      <c r="C2" t="s">
        <v>297</v>
      </c>
      <c r="D2" t="s">
        <v>302</v>
      </c>
      <c r="E2" t="s">
        <v>299</v>
      </c>
      <c r="F2">
        <v>0</v>
      </c>
    </row>
    <row r="3" spans="1:6" x14ac:dyDescent="0.25">
      <c r="A3">
        <v>147491</v>
      </c>
      <c r="B3">
        <v>1600297.8591159999</v>
      </c>
      <c r="C3" t="s">
        <v>297</v>
      </c>
      <c r="D3" t="s">
        <v>302</v>
      </c>
      <c r="E3" t="s">
        <v>299</v>
      </c>
      <c r="F3">
        <v>0</v>
      </c>
    </row>
    <row r="4" spans="1:6" x14ac:dyDescent="0.25">
      <c r="A4">
        <v>159246</v>
      </c>
      <c r="B4">
        <v>13674935.246929999</v>
      </c>
      <c r="C4" t="s">
        <v>297</v>
      </c>
      <c r="D4" t="s">
        <v>302</v>
      </c>
      <c r="E4" t="s">
        <v>299</v>
      </c>
      <c r="F4">
        <v>0</v>
      </c>
    </row>
    <row r="5" spans="1:6" x14ac:dyDescent="0.25">
      <c r="A5">
        <v>1010401</v>
      </c>
      <c r="B5">
        <v>52831071.346625999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82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2000467</v>
      </c>
      <c r="B2">
        <v>22901377.689304002</v>
      </c>
      <c r="C2" t="s">
        <v>92</v>
      </c>
      <c r="D2" t="s">
        <v>269</v>
      </c>
      <c r="E2" t="s">
        <v>265</v>
      </c>
      <c r="F2">
        <v>0</v>
      </c>
    </row>
    <row r="3" spans="1:6" x14ac:dyDescent="0.25">
      <c r="A3">
        <v>1018867</v>
      </c>
      <c r="B3">
        <v>29175276.964768</v>
      </c>
      <c r="C3" t="s">
        <v>93</v>
      </c>
      <c r="D3" t="s">
        <v>249</v>
      </c>
      <c r="E3" t="s">
        <v>250</v>
      </c>
      <c r="F3">
        <v>0</v>
      </c>
    </row>
    <row r="4" spans="1:6" x14ac:dyDescent="0.25">
      <c r="A4">
        <v>65501372909</v>
      </c>
      <c r="B4">
        <v>30554888.754117001</v>
      </c>
      <c r="C4" t="s">
        <v>94</v>
      </c>
      <c r="D4" t="s">
        <v>95</v>
      </c>
      <c r="E4" t="s">
        <v>254</v>
      </c>
      <c r="F4">
        <v>0</v>
      </c>
    </row>
    <row r="5" spans="1:6" x14ac:dyDescent="0.25">
      <c r="A5">
        <v>65505285253</v>
      </c>
      <c r="B5">
        <v>257628.98404800001</v>
      </c>
      <c r="C5" t="s">
        <v>99</v>
      </c>
      <c r="D5" t="s">
        <v>99</v>
      </c>
      <c r="E5" t="s">
        <v>247</v>
      </c>
      <c r="F5">
        <v>0</v>
      </c>
    </row>
    <row r="6" spans="1:6" x14ac:dyDescent="0.25">
      <c r="A6">
        <v>1031340</v>
      </c>
      <c r="B6">
        <v>32195624.158808</v>
      </c>
      <c r="C6" t="s">
        <v>100</v>
      </c>
      <c r="D6" t="s">
        <v>101</v>
      </c>
      <c r="E6" t="s">
        <v>101</v>
      </c>
      <c r="F6">
        <v>0</v>
      </c>
    </row>
    <row r="7" spans="1:6" x14ac:dyDescent="0.25">
      <c r="A7">
        <v>2000926</v>
      </c>
      <c r="B7">
        <v>36862014.311584003</v>
      </c>
      <c r="C7" t="s">
        <v>256</v>
      </c>
      <c r="D7" t="s">
        <v>257</v>
      </c>
      <c r="E7" t="s">
        <v>258</v>
      </c>
      <c r="F7">
        <v>0</v>
      </c>
    </row>
    <row r="8" spans="1:6" x14ac:dyDescent="0.25">
      <c r="A8">
        <v>1031341</v>
      </c>
      <c r="B8">
        <v>26358687.108624</v>
      </c>
      <c r="C8" t="s">
        <v>175</v>
      </c>
      <c r="D8" t="s">
        <v>148</v>
      </c>
      <c r="E8" t="s">
        <v>148</v>
      </c>
      <c r="F8">
        <v>0</v>
      </c>
    </row>
    <row r="9" spans="1:6" x14ac:dyDescent="0.25">
      <c r="A9">
        <v>65501902345</v>
      </c>
      <c r="B9">
        <v>29211516.135896001</v>
      </c>
      <c r="C9" t="s">
        <v>304</v>
      </c>
      <c r="D9" t="s">
        <v>310</v>
      </c>
      <c r="E9" t="s">
        <v>310</v>
      </c>
      <c r="F9">
        <v>0</v>
      </c>
    </row>
    <row r="10" spans="1:6" x14ac:dyDescent="0.25">
      <c r="A10">
        <v>1037087</v>
      </c>
      <c r="B10">
        <v>18359.321096</v>
      </c>
      <c r="C10" t="s">
        <v>305</v>
      </c>
      <c r="D10" t="s">
        <v>308</v>
      </c>
      <c r="E10" t="s">
        <v>308</v>
      </c>
      <c r="F10">
        <v>0</v>
      </c>
    </row>
    <row r="11" spans="1:6" x14ac:dyDescent="0.25">
      <c r="A11">
        <v>65502397418</v>
      </c>
      <c r="B11">
        <v>21732632.524448</v>
      </c>
      <c r="C11" t="s">
        <v>344</v>
      </c>
      <c r="D11" t="s">
        <v>346</v>
      </c>
      <c r="E11" t="s">
        <v>346</v>
      </c>
      <c r="F11">
        <v>0</v>
      </c>
    </row>
    <row r="12" spans="1:6" x14ac:dyDescent="0.25">
      <c r="A12">
        <v>65501285111</v>
      </c>
      <c r="B12">
        <v>32732470.33326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x14ac:dyDescent="0.25">
      <c r="A14">
        <v>1033795</v>
      </c>
      <c r="B14">
        <v>11634623.918634001</v>
      </c>
      <c r="C14">
        <v>1033795</v>
      </c>
      <c r="D14" t="s">
        <v>510</v>
      </c>
      <c r="E14" t="s">
        <v>510</v>
      </c>
      <c r="F14">
        <v>0</v>
      </c>
    </row>
    <row r="15" spans="1:6" x14ac:dyDescent="0.25">
      <c r="A15">
        <v>65508881201</v>
      </c>
      <c r="B15">
        <v>1529145.231872</v>
      </c>
      <c r="C15" t="s">
        <v>619</v>
      </c>
      <c r="D15" t="s">
        <v>614</v>
      </c>
      <c r="E15" t="s">
        <v>614</v>
      </c>
      <c r="F15">
        <v>0</v>
      </c>
    </row>
    <row r="16" spans="1:6" x14ac:dyDescent="0.25">
      <c r="A16">
        <v>65508886089</v>
      </c>
      <c r="B16">
        <v>96488725.812631994</v>
      </c>
      <c r="C16" t="s">
        <v>512</v>
      </c>
      <c r="D16" t="s">
        <v>511</v>
      </c>
      <c r="E16" t="s">
        <v>511</v>
      </c>
      <c r="F16">
        <v>0</v>
      </c>
    </row>
    <row r="17" spans="1:6" x14ac:dyDescent="0.25">
      <c r="A17">
        <v>1000003294</v>
      </c>
      <c r="B17">
        <v>2752363.5903360001</v>
      </c>
      <c r="C17">
        <v>1528</v>
      </c>
      <c r="D17" t="s">
        <v>529</v>
      </c>
      <c r="E17" t="s">
        <v>529</v>
      </c>
      <c r="F17">
        <v>0</v>
      </c>
    </row>
    <row r="18" spans="1:6" x14ac:dyDescent="0.25">
      <c r="A18">
        <v>1000003296</v>
      </c>
      <c r="B18">
        <v>29963625.547031999</v>
      </c>
      <c r="C18" t="s">
        <v>519</v>
      </c>
      <c r="D18" t="s">
        <v>531</v>
      </c>
      <c r="E18" t="s">
        <v>531</v>
      </c>
      <c r="F18">
        <v>0</v>
      </c>
    </row>
    <row r="19" spans="1:6" x14ac:dyDescent="0.25">
      <c r="A19">
        <v>1000003300</v>
      </c>
      <c r="B19">
        <v>10765009.061136</v>
      </c>
      <c r="C19" t="s">
        <v>522</v>
      </c>
      <c r="D19" t="s">
        <v>535</v>
      </c>
      <c r="E19" t="s">
        <v>535</v>
      </c>
      <c r="F19">
        <v>0</v>
      </c>
    </row>
    <row r="20" spans="1:6" x14ac:dyDescent="0.25">
      <c r="A20">
        <v>1000003301</v>
      </c>
      <c r="B20">
        <v>21470183.983491998</v>
      </c>
      <c r="C20" t="s">
        <v>523</v>
      </c>
      <c r="D20" t="s">
        <v>536</v>
      </c>
      <c r="E20" t="s">
        <v>536</v>
      </c>
      <c r="F20">
        <v>0</v>
      </c>
    </row>
    <row r="21" spans="1:6" x14ac:dyDescent="0.25">
      <c r="A21">
        <v>1000003305</v>
      </c>
      <c r="B21">
        <v>10526385.828136001</v>
      </c>
      <c r="C21" t="s">
        <v>525</v>
      </c>
      <c r="D21" t="s">
        <v>538</v>
      </c>
      <c r="E21" t="s">
        <v>538</v>
      </c>
      <c r="F21">
        <v>0</v>
      </c>
    </row>
    <row r="22" spans="1:6" x14ac:dyDescent="0.25">
      <c r="A22">
        <v>1000003307</v>
      </c>
      <c r="B22">
        <v>7177.3792359999998</v>
      </c>
      <c r="C22" t="s">
        <v>547</v>
      </c>
      <c r="D22" t="s">
        <v>548</v>
      </c>
      <c r="E22" t="s">
        <v>548</v>
      </c>
      <c r="F22">
        <v>0</v>
      </c>
    </row>
    <row r="23" spans="1:6" hidden="1" x14ac:dyDescent="0.25">
      <c r="A23">
        <v>1000003968</v>
      </c>
      <c r="B23">
        <v>0</v>
      </c>
      <c r="C23" t="s">
        <v>549</v>
      </c>
      <c r="D23" t="s">
        <v>550</v>
      </c>
      <c r="E23" t="s">
        <v>550</v>
      </c>
      <c r="F23">
        <v>0</v>
      </c>
    </row>
    <row r="24" spans="1:6" hidden="1" x14ac:dyDescent="0.25">
      <c r="A24">
        <v>1000003306</v>
      </c>
      <c r="B24">
        <v>0</v>
      </c>
      <c r="C24" t="s">
        <v>620</v>
      </c>
      <c r="D24" t="s">
        <v>621</v>
      </c>
      <c r="E24" t="s">
        <v>621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3958037.0935169999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16704197.451416001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14737348.621164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55433047.280056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7989275.5879040007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8890963.5312760007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40351701.630644001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13097239.509880001</v>
      </c>
      <c r="C34" t="s">
        <v>513</v>
      </c>
      <c r="D34" t="s">
        <v>514</v>
      </c>
      <c r="E34" t="s">
        <v>514</v>
      </c>
      <c r="F34">
        <v>1</v>
      </c>
    </row>
    <row r="35" spans="1:6" hidden="1" x14ac:dyDescent="0.25">
      <c r="A35">
        <v>1000003291</v>
      </c>
      <c r="B35">
        <v>60779327.953492001</v>
      </c>
      <c r="C35" t="s">
        <v>515</v>
      </c>
      <c r="D35" t="s">
        <v>526</v>
      </c>
      <c r="E35" t="s">
        <v>526</v>
      </c>
      <c r="F35">
        <v>1</v>
      </c>
    </row>
    <row r="36" spans="1:6" hidden="1" x14ac:dyDescent="0.25">
      <c r="A36">
        <v>1000003292</v>
      </c>
      <c r="B36">
        <v>8581992.0128080007</v>
      </c>
      <c r="C36" t="s">
        <v>516</v>
      </c>
      <c r="D36" t="s">
        <v>527</v>
      </c>
      <c r="E36" t="s">
        <v>527</v>
      </c>
      <c r="F36">
        <v>1</v>
      </c>
    </row>
    <row r="37" spans="1:6" hidden="1" x14ac:dyDescent="0.25">
      <c r="A37">
        <v>1000003293</v>
      </c>
      <c r="B37">
        <v>31340123.241996001</v>
      </c>
      <c r="C37" t="s">
        <v>517</v>
      </c>
      <c r="D37" t="s">
        <v>528</v>
      </c>
      <c r="E37" t="s">
        <v>528</v>
      </c>
      <c r="F37">
        <v>1</v>
      </c>
    </row>
    <row r="38" spans="1:6" hidden="1" x14ac:dyDescent="0.25">
      <c r="A38">
        <v>1000003295</v>
      </c>
      <c r="B38">
        <v>82669240.862708002</v>
      </c>
      <c r="C38" t="s">
        <v>518</v>
      </c>
      <c r="D38" t="s">
        <v>530</v>
      </c>
      <c r="E38" t="s">
        <v>530</v>
      </c>
      <c r="F38">
        <v>1</v>
      </c>
    </row>
    <row r="39" spans="1:6" hidden="1" x14ac:dyDescent="0.25">
      <c r="A39">
        <v>1000003297</v>
      </c>
      <c r="B39">
        <v>10801619.469752001</v>
      </c>
      <c r="C39" t="s">
        <v>520</v>
      </c>
      <c r="D39" t="s">
        <v>532</v>
      </c>
      <c r="E39" t="s">
        <v>532</v>
      </c>
      <c r="F39">
        <v>1</v>
      </c>
    </row>
    <row r="40" spans="1:6" hidden="1" x14ac:dyDescent="0.25">
      <c r="A40">
        <v>1000003298</v>
      </c>
      <c r="B40">
        <v>26481530.031164002</v>
      </c>
      <c r="C40" t="s">
        <v>521</v>
      </c>
      <c r="D40" t="s">
        <v>533</v>
      </c>
      <c r="E40" t="s">
        <v>533</v>
      </c>
      <c r="F40">
        <v>1</v>
      </c>
    </row>
    <row r="41" spans="1:6" hidden="1" x14ac:dyDescent="0.25">
      <c r="A41">
        <v>1000003299</v>
      </c>
      <c r="B41">
        <v>96704930.350431994</v>
      </c>
      <c r="C41">
        <v>6981</v>
      </c>
      <c r="D41" t="s">
        <v>534</v>
      </c>
      <c r="E41" t="s">
        <v>534</v>
      </c>
      <c r="F41">
        <v>1</v>
      </c>
    </row>
    <row r="42" spans="1:6" hidden="1" x14ac:dyDescent="0.25">
      <c r="A42">
        <v>1000003302</v>
      </c>
      <c r="B42">
        <v>13975865.53926</v>
      </c>
      <c r="C42" t="s">
        <v>524</v>
      </c>
      <c r="D42" t="s">
        <v>537</v>
      </c>
      <c r="E42" t="s">
        <v>537</v>
      </c>
      <c r="F42">
        <v>1</v>
      </c>
    </row>
    <row r="43" spans="1:6" hidden="1" x14ac:dyDescent="0.25">
      <c r="A43">
        <v>2001049</v>
      </c>
      <c r="B43">
        <v>10750642.521645</v>
      </c>
      <c r="C43" t="s">
        <v>176</v>
      </c>
      <c r="D43" t="s">
        <v>272</v>
      </c>
      <c r="E43" t="s">
        <v>271</v>
      </c>
      <c r="F43">
        <v>6</v>
      </c>
    </row>
    <row r="44" spans="1:6" hidden="1" x14ac:dyDescent="0.25">
      <c r="A44">
        <v>2001049</v>
      </c>
      <c r="B44">
        <v>7587642.8867290001</v>
      </c>
      <c r="C44" t="s">
        <v>176</v>
      </c>
      <c r="D44" t="s">
        <v>272</v>
      </c>
      <c r="E44" t="s">
        <v>271</v>
      </c>
      <c r="F44">
        <v>15</v>
      </c>
    </row>
    <row r="45" spans="1:6" hidden="1" x14ac:dyDescent="0.25">
      <c r="A45">
        <v>2001049</v>
      </c>
      <c r="B45">
        <v>7587642.8867290001</v>
      </c>
      <c r="C45" t="s">
        <v>176</v>
      </c>
      <c r="D45" t="s">
        <v>272</v>
      </c>
      <c r="E45" t="s">
        <v>271</v>
      </c>
      <c r="F45">
        <v>15</v>
      </c>
    </row>
    <row r="64" spans="3:6" x14ac:dyDescent="0.25">
      <c r="C64">
        <v>2300</v>
      </c>
      <c r="D64" t="s">
        <v>104</v>
      </c>
      <c r="E64" t="s">
        <v>103</v>
      </c>
      <c r="F64">
        <v>0</v>
      </c>
    </row>
    <row r="65" spans="3:6" x14ac:dyDescent="0.25">
      <c r="C65" t="s">
        <v>175</v>
      </c>
      <c r="D65" t="s">
        <v>148</v>
      </c>
      <c r="E65" t="s">
        <v>148</v>
      </c>
      <c r="F65">
        <v>0</v>
      </c>
    </row>
    <row r="66" spans="3:6" x14ac:dyDescent="0.25">
      <c r="C66" t="s">
        <v>176</v>
      </c>
      <c r="D66" t="s">
        <v>272</v>
      </c>
      <c r="E66" t="s">
        <v>271</v>
      </c>
      <c r="F66">
        <v>0</v>
      </c>
    </row>
    <row r="67" spans="3:6" x14ac:dyDescent="0.25">
      <c r="C67" t="s">
        <v>177</v>
      </c>
      <c r="D67" t="s">
        <v>270</v>
      </c>
      <c r="E67" t="s">
        <v>271</v>
      </c>
      <c r="F67">
        <v>0</v>
      </c>
    </row>
    <row r="68" spans="3:6" x14ac:dyDescent="0.25">
      <c r="C68">
        <v>2779</v>
      </c>
      <c r="D68" t="s">
        <v>289</v>
      </c>
      <c r="E68" t="s">
        <v>142</v>
      </c>
      <c r="F68">
        <v>0</v>
      </c>
    </row>
    <row r="69" spans="3:6" x14ac:dyDescent="0.25">
      <c r="C69">
        <v>2779</v>
      </c>
      <c r="D69" t="s">
        <v>289</v>
      </c>
      <c r="E69" t="s">
        <v>142</v>
      </c>
      <c r="F69">
        <v>0</v>
      </c>
    </row>
    <row r="70" spans="3:6" x14ac:dyDescent="0.25">
      <c r="C70">
        <v>2779</v>
      </c>
      <c r="D70" t="s">
        <v>289</v>
      </c>
      <c r="E70" t="s">
        <v>142</v>
      </c>
      <c r="F70">
        <v>0</v>
      </c>
    </row>
    <row r="71" spans="3:6" x14ac:dyDescent="0.25">
      <c r="C71">
        <v>2779</v>
      </c>
      <c r="D71" t="s">
        <v>289</v>
      </c>
      <c r="E71" t="s">
        <v>142</v>
      </c>
      <c r="F71">
        <v>0</v>
      </c>
    </row>
    <row r="72" spans="3:6" x14ac:dyDescent="0.25">
      <c r="C72">
        <v>2779</v>
      </c>
      <c r="D72" t="s">
        <v>289</v>
      </c>
      <c r="E72" t="s">
        <v>142</v>
      </c>
      <c r="F72">
        <v>0</v>
      </c>
    </row>
    <row r="73" spans="3:6" x14ac:dyDescent="0.25">
      <c r="C73">
        <v>2779</v>
      </c>
      <c r="D73" t="s">
        <v>289</v>
      </c>
      <c r="E73" t="s">
        <v>142</v>
      </c>
      <c r="F73">
        <v>0</v>
      </c>
    </row>
    <row r="74" spans="3:6" x14ac:dyDescent="0.25">
      <c r="C74">
        <v>2779</v>
      </c>
      <c r="D74" t="s">
        <v>289</v>
      </c>
      <c r="E74" t="s">
        <v>142</v>
      </c>
      <c r="F74">
        <v>0</v>
      </c>
    </row>
    <row r="75" spans="3:6" x14ac:dyDescent="0.25">
      <c r="C75">
        <v>2779</v>
      </c>
      <c r="D75" t="s">
        <v>289</v>
      </c>
      <c r="E75" t="s">
        <v>142</v>
      </c>
      <c r="F75">
        <v>0</v>
      </c>
    </row>
    <row r="76" spans="3:6" x14ac:dyDescent="0.25">
      <c r="C76">
        <v>2001022</v>
      </c>
      <c r="D76" t="s">
        <v>280</v>
      </c>
      <c r="E76" t="s">
        <v>149</v>
      </c>
      <c r="F76">
        <v>0</v>
      </c>
    </row>
    <row r="77" spans="3:6" x14ac:dyDescent="0.25">
      <c r="C77">
        <v>2001022</v>
      </c>
      <c r="D77" t="s">
        <v>280</v>
      </c>
      <c r="E77" t="s">
        <v>149</v>
      </c>
      <c r="F77">
        <v>0</v>
      </c>
    </row>
    <row r="78" spans="3:6" x14ac:dyDescent="0.25">
      <c r="C78">
        <v>2001022</v>
      </c>
      <c r="D78" t="s">
        <v>280</v>
      </c>
      <c r="E78" t="s">
        <v>149</v>
      </c>
      <c r="F78">
        <v>0</v>
      </c>
    </row>
    <row r="79" spans="3:6" x14ac:dyDescent="0.25">
      <c r="C79">
        <v>2001022</v>
      </c>
      <c r="D79" t="s">
        <v>280</v>
      </c>
      <c r="E79" t="s">
        <v>149</v>
      </c>
      <c r="F79">
        <v>0</v>
      </c>
    </row>
    <row r="80" spans="3:6" x14ac:dyDescent="0.25">
      <c r="C80" t="s">
        <v>303</v>
      </c>
      <c r="D80" t="s">
        <v>309</v>
      </c>
      <c r="E80" t="s">
        <v>309</v>
      </c>
      <c r="F80">
        <v>2</v>
      </c>
    </row>
    <row r="81" spans="3:6" x14ac:dyDescent="0.25">
      <c r="C81" t="s">
        <v>304</v>
      </c>
      <c r="D81" t="s">
        <v>310</v>
      </c>
      <c r="E81" t="s">
        <v>310</v>
      </c>
      <c r="F81">
        <v>1</v>
      </c>
    </row>
    <row r="82" spans="3:6" x14ac:dyDescent="0.25">
      <c r="C82" t="s">
        <v>305</v>
      </c>
      <c r="D82" t="s">
        <v>308</v>
      </c>
      <c r="E82" t="s">
        <v>308</v>
      </c>
      <c r="F82">
        <v>3</v>
      </c>
    </row>
  </sheetData>
  <autoFilter ref="A1:F45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FONT</vt:lpstr>
      <vt:lpstr>PENDIENTES</vt:lpstr>
      <vt:lpstr>CONTRATOS RK</vt:lpstr>
      <vt:lpstr>VALUACIÓN</vt:lpstr>
      <vt:lpstr>CatalogoContratos</vt:lpstr>
      <vt:lpstr>ListaContratos</vt:lpstr>
      <vt:lpstr>Contratos</vt:lpstr>
      <vt:lpstr>CatalogoConfiguracion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2024-05-05T14:09:05Z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